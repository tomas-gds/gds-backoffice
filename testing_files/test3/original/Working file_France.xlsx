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comments1.xml" ContentType="application/vnd.openxmlformats-officedocument.spreadsheetml.comments+xml"/>
  <Override PartName="/xl/namedSheetViews/namedSheetView2.xml" ContentType="application/vnd.ms-excel.namedsheetviews+xml"/>
  <Override PartName="/xl/pivotTables/pivotTable1.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globaldatasupport.sharepoint.com/sites/GDS-Clients/Shared Documents/1.0 Global/Revolution Medicines/France/2.0 Working file/"/>
    </mc:Choice>
  </mc:AlternateContent>
  <xr:revisionPtr revIDLastSave="19332" documentId="8_{51BF2B73-C52C-4CC6-AEA2-3A8A1AEC4CE7}" xr6:coauthVersionLast="47" xr6:coauthVersionMax="47" xr10:uidLastSave="{B4874A92-C343-4361-BD9A-776961C78FF5}"/>
  <bookViews>
    <workbookView xWindow="28680" yWindow="-120" windowWidth="29040" windowHeight="15720" xr2:uid="{44AB9D88-732B-4863-9D15-0018ED486FEA}"/>
  </bookViews>
  <sheets>
    <sheet name="HCO_Data" sheetId="1" r:id="rId1"/>
    <sheet name="Clinical Trials HCO" sheetId="8" r:id="rId2"/>
    <sheet name="HCO referrals" sheetId="16" r:id="rId3"/>
    <sheet name="HCPs" sheetId="3" r:id="rId4"/>
    <sheet name="HCP_evidence" sheetId="4" r:id="rId5"/>
    <sheet name="Testing Centres" sheetId="15" r:id="rId6"/>
    <sheet name="Testing Referrals" sheetId="17" r:id="rId7"/>
    <sheet name="Roles" sheetId="21" r:id="rId8"/>
    <sheet name="Investigate" sheetId="19" r:id="rId9"/>
    <sheet name="Sheet2" sheetId="22" r:id="rId10"/>
    <sheet name="Sheet4" sheetId="24" r:id="rId11"/>
    <sheet name="CCAM_Whipple" sheetId="20" r:id="rId12"/>
    <sheet name="Info_Clinical Trials" sheetId="9" r:id="rId13"/>
    <sheet name="InClinical_trials _Evidence_HCP" sheetId="2" r:id="rId14"/>
    <sheet name="Referrals Testing Labs" sheetId="14" r:id="rId15"/>
    <sheet name="Info_Referrals_oncogenetic" sheetId="13" r:id="rId16"/>
    <sheet name="Info_KRAS_NRAS Testing Centers" sheetId="5" r:id="rId17"/>
    <sheet name="Data_Patients_Pancreas Cancer" sheetId="6" r:id="rId18"/>
    <sheet name="Cancer NETWORKS_All" sheetId="11" r:id="rId19"/>
    <sheet name="INCa" sheetId="12" r:id="rId20"/>
  </sheets>
  <externalReferences>
    <externalReference r:id="rId21"/>
  </externalReferences>
  <definedNames>
    <definedName name="_xlnm._FilterDatabase" localSheetId="18" hidden="1">'Cancer NETWORKS_All'!$A$1:$L$651</definedName>
    <definedName name="_xlnm._FilterDatabase" localSheetId="1" hidden="1">'Clinical Trials HCO'!$A$2:$M$2576</definedName>
    <definedName name="_xlnm._FilterDatabase" localSheetId="2" hidden="1">'HCO referrals'!$A$1:$F$120</definedName>
    <definedName name="_xlnm._FilterDatabase" localSheetId="0" hidden="1">HCO_Data!$A$3:$AG$1121</definedName>
    <definedName name="_xlnm._FilterDatabase" localSheetId="4" hidden="1">HCP_evidence!$A$2:$AH$910</definedName>
    <definedName name="_xlnm._FilterDatabase" localSheetId="3" hidden="1">HCPs!$A$3:$BC$3</definedName>
    <definedName name="_xlnm._FilterDatabase" localSheetId="19" hidden="1">INCa!$A$2:$G$724</definedName>
    <definedName name="_xlnm._FilterDatabase" localSheetId="12" hidden="1">'Info_Clinical Trials'!$A$3:$G$3</definedName>
    <definedName name="_xlnm._FilterDatabase" localSheetId="14" hidden="1">'Referrals Testing Labs'!$A$1:$AA$179</definedName>
    <definedName name="_xlnm._FilterDatabase" localSheetId="10" hidden="1">Sheet4!$A$1:$E$620</definedName>
    <definedName name="_xlnm._FilterDatabase" localSheetId="5" hidden="1">'Testing Centres'!$A$3:$O$53</definedName>
    <definedName name="_xlnm._FilterDatabase" localSheetId="6" hidden="1">'Testing Referrals'!$A$1:$F$69</definedName>
  </definedNames>
  <calcPr calcId="191029"/>
  <pivotCaches>
    <pivotCache cacheId="0"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29" i="16" l="1"/>
  <c r="A128" i="16"/>
  <c r="Q878" i="3"/>
  <c r="Q879" i="3"/>
  <c r="Q880" i="3"/>
  <c r="Q881" i="3"/>
  <c r="A127" i="16"/>
  <c r="A126" i="16"/>
  <c r="A122" i="16"/>
  <c r="A123" i="16"/>
  <c r="A124" i="16"/>
  <c r="A125" i="16"/>
  <c r="A71" i="17"/>
  <c r="A121" i="16"/>
  <c r="A120" i="16"/>
  <c r="A118" i="16"/>
  <c r="A119" i="16"/>
  <c r="A117" i="16"/>
  <c r="A115" i="16"/>
  <c r="A116" i="16"/>
  <c r="A113" i="16"/>
  <c r="A114" i="16"/>
  <c r="Q856" i="3"/>
  <c r="Q857" i="3"/>
  <c r="Q858" i="3"/>
  <c r="Q859" i="3"/>
  <c r="Q860" i="3"/>
  <c r="Q861" i="3"/>
  <c r="Q862" i="3"/>
  <c r="Q863" i="3"/>
  <c r="Q864" i="3"/>
  <c r="Q865" i="3"/>
  <c r="Q866" i="3"/>
  <c r="Q867" i="3"/>
  <c r="Q868" i="3"/>
  <c r="Q869" i="3"/>
  <c r="Q870" i="3"/>
  <c r="Q871" i="3"/>
  <c r="Q872" i="3"/>
  <c r="Q873" i="3"/>
  <c r="Q874" i="3"/>
  <c r="Q875" i="3"/>
  <c r="Q876" i="3"/>
  <c r="Q877" i="3"/>
  <c r="A111" i="16"/>
  <c r="A112" i="16"/>
  <c r="A110" i="16"/>
  <c r="A109" i="16"/>
  <c r="Q855" i="3"/>
  <c r="A108" i="16"/>
  <c r="A107" i="16"/>
  <c r="Q852" i="3"/>
  <c r="Q853" i="3"/>
  <c r="Q854" i="3"/>
  <c r="Q834" i="3"/>
  <c r="Q835" i="3"/>
  <c r="Q836" i="3"/>
  <c r="Q837" i="3"/>
  <c r="Q838" i="3"/>
  <c r="Q839" i="3"/>
  <c r="Q840" i="3"/>
  <c r="Q841" i="3"/>
  <c r="Q842" i="3"/>
  <c r="Q843" i="3"/>
  <c r="Q844" i="3"/>
  <c r="Q845" i="3"/>
  <c r="Q846" i="3"/>
  <c r="Q847" i="3"/>
  <c r="Q848" i="3"/>
  <c r="Q849" i="3"/>
  <c r="Q850" i="3"/>
  <c r="Q851" i="3"/>
  <c r="Q832" i="3"/>
  <c r="Q833" i="3"/>
  <c r="A70" i="17"/>
  <c r="A69" i="17"/>
  <c r="A105" i="16"/>
  <c r="A106" i="16"/>
  <c r="A103" i="16"/>
  <c r="A104" i="16"/>
  <c r="Q831" i="3" l="1"/>
  <c r="Q830" i="3"/>
  <c r="Q829" i="3"/>
  <c r="Q828" i="3"/>
  <c r="Q827" i="3"/>
  <c r="Q826" i="3"/>
  <c r="Q825" i="3"/>
  <c r="Q824" i="3"/>
  <c r="Q823" i="3"/>
  <c r="Q822" i="3"/>
  <c r="Q821" i="3"/>
  <c r="Q820" i="3"/>
  <c r="Q819" i="3"/>
  <c r="Q818" i="3"/>
  <c r="Q817" i="3"/>
  <c r="Q816" i="3"/>
  <c r="Q815" i="3"/>
  <c r="Q814" i="3"/>
  <c r="Q813" i="3"/>
  <c r="Q812" i="3"/>
  <c r="Q811" i="3"/>
  <c r="Q810" i="3"/>
  <c r="Q809" i="3"/>
  <c r="A99" i="16" l="1"/>
  <c r="A100" i="16"/>
  <c r="A101" i="16"/>
  <c r="A102" i="16"/>
  <c r="A97" i="16"/>
  <c r="A98" i="16"/>
  <c r="A93" i="16"/>
  <c r="A94" i="16"/>
  <c r="A95" i="16"/>
  <c r="A96" i="16"/>
  <c r="A92" i="16"/>
  <c r="A84" i="16"/>
  <c r="A85" i="16"/>
  <c r="A86" i="16"/>
  <c r="A87" i="16"/>
  <c r="A88" i="16"/>
  <c r="A89" i="16"/>
  <c r="A90" i="16"/>
  <c r="A91" i="16"/>
  <c r="A83" i="16"/>
  <c r="A82" i="16"/>
  <c r="A81" i="16"/>
  <c r="Q805" i="3"/>
  <c r="Q806" i="3"/>
  <c r="Q807" i="3"/>
  <c r="Q808" i="3"/>
  <c r="Q799" i="3"/>
  <c r="Q800" i="3"/>
  <c r="Q801" i="3"/>
  <c r="Q802" i="3"/>
  <c r="Q803" i="3"/>
  <c r="Q804" i="3"/>
  <c r="A68" i="17"/>
  <c r="A79" i="16"/>
  <c r="A80" i="16"/>
  <c r="Q182" i="3"/>
  <c r="Q196" i="3"/>
  <c r="Q202" i="3"/>
  <c r="Q221" i="3"/>
  <c r="Q254" i="3"/>
  <c r="Q260" i="3"/>
  <c r="Q275" i="3"/>
  <c r="Q276" i="3"/>
  <c r="Q279" i="3"/>
  <c r="Q280" i="3"/>
  <c r="Q282" i="3"/>
  <c r="Q284" i="3"/>
  <c r="Q303" i="3"/>
  <c r="Q308" i="3"/>
  <c r="Q309" i="3"/>
  <c r="Q310" i="3"/>
  <c r="Q314" i="3"/>
  <c r="Q317" i="3"/>
  <c r="Q329" i="3"/>
  <c r="Q330" i="3"/>
  <c r="Q334" i="3"/>
  <c r="Q335" i="3"/>
  <c r="Q336" i="3"/>
  <c r="Q337" i="3"/>
  <c r="Q338" i="3"/>
  <c r="Q339" i="3"/>
  <c r="Q340" i="3"/>
  <c r="Q341" i="3"/>
  <c r="Q342" i="3"/>
  <c r="Q343" i="3"/>
  <c r="Q344" i="3"/>
  <c r="Q345" i="3"/>
  <c r="Q346" i="3"/>
  <c r="Q348" i="3"/>
  <c r="Q349" i="3"/>
  <c r="Q350" i="3"/>
  <c r="Q351" i="3"/>
  <c r="Q352" i="3"/>
  <c r="Q353"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171" i="3"/>
  <c r="Q150" i="3"/>
  <c r="Q151" i="3"/>
  <c r="Q141" i="3"/>
  <c r="Q122" i="3"/>
  <c r="Q120" i="3"/>
  <c r="Q104" i="3"/>
  <c r="Q105" i="3"/>
  <c r="Q95" i="3"/>
  <c r="Q84" i="3"/>
  <c r="Q85" i="3"/>
  <c r="Q86" i="3"/>
  <c r="Q87" i="3"/>
  <c r="Q60" i="3"/>
  <c r="Q61" i="3"/>
  <c r="Q62" i="3"/>
  <c r="Q63" i="3"/>
  <c r="Q64" i="3"/>
  <c r="Q65" i="3"/>
  <c r="Q51" i="3"/>
  <c r="Q32" i="3"/>
  <c r="Q20" i="3"/>
  <c r="A77" i="16"/>
  <c r="A78" i="16"/>
  <c r="A75" i="16"/>
  <c r="A76" i="16"/>
  <c r="A73" i="16"/>
  <c r="A74" i="16"/>
  <c r="A72" i="16"/>
  <c r="A70" i="16"/>
  <c r="A71" i="16"/>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2" i="17"/>
  <c r="A66" i="16"/>
  <c r="A67" i="16"/>
  <c r="A68" i="16"/>
  <c r="A69" i="16"/>
  <c r="A64" i="16"/>
  <c r="A65" i="16"/>
  <c r="A63"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2" i="16"/>
  <c r="F5" i="1"/>
  <c r="G5" i="1"/>
  <c r="H5" i="1"/>
  <c r="F6" i="1"/>
  <c r="G6" i="1"/>
  <c r="H6" i="1"/>
  <c r="F7" i="1"/>
  <c r="G7" i="1"/>
  <c r="H7" i="1"/>
  <c r="F8" i="1"/>
  <c r="G8" i="1"/>
  <c r="H8" i="1"/>
  <c r="F9" i="1"/>
  <c r="G9" i="1"/>
  <c r="H9" i="1"/>
  <c r="F10" i="1"/>
  <c r="G10" i="1"/>
  <c r="H10" i="1"/>
  <c r="F11" i="1"/>
  <c r="G11" i="1"/>
  <c r="H11" i="1"/>
  <c r="F12" i="1"/>
  <c r="G12" i="1"/>
  <c r="H12" i="1"/>
  <c r="F13" i="1"/>
  <c r="G13" i="1"/>
  <c r="H13" i="1"/>
  <c r="F14" i="1"/>
  <c r="G14" i="1"/>
  <c r="H14" i="1"/>
  <c r="F15" i="1"/>
  <c r="G15" i="1"/>
  <c r="H15" i="1"/>
  <c r="F16" i="1"/>
  <c r="G16" i="1"/>
  <c r="H16" i="1"/>
  <c r="F17" i="1"/>
  <c r="G17" i="1"/>
  <c r="H17" i="1"/>
  <c r="F18" i="1"/>
  <c r="G18" i="1"/>
  <c r="H18" i="1"/>
  <c r="F19" i="1"/>
  <c r="G19" i="1"/>
  <c r="H19" i="1"/>
  <c r="F20" i="1"/>
  <c r="G20" i="1"/>
  <c r="H20" i="1"/>
  <c r="F21" i="1"/>
  <c r="G21" i="1"/>
  <c r="H21" i="1"/>
  <c r="F22" i="1"/>
  <c r="G22" i="1"/>
  <c r="H22" i="1"/>
  <c r="F23" i="1"/>
  <c r="G23" i="1"/>
  <c r="H23" i="1"/>
  <c r="F24" i="1"/>
  <c r="G24" i="1"/>
  <c r="H24" i="1"/>
  <c r="F25" i="1"/>
  <c r="G25" i="1"/>
  <c r="H25" i="1"/>
  <c r="F26" i="1"/>
  <c r="G26" i="1"/>
  <c r="H26" i="1"/>
  <c r="F27" i="1"/>
  <c r="G27" i="1"/>
  <c r="H27" i="1"/>
  <c r="F28" i="1"/>
  <c r="G28" i="1"/>
  <c r="H28" i="1"/>
  <c r="F29" i="1"/>
  <c r="G29" i="1"/>
  <c r="H29" i="1"/>
  <c r="F30" i="1"/>
  <c r="G30" i="1"/>
  <c r="H30" i="1"/>
  <c r="F31" i="1"/>
  <c r="G31" i="1"/>
  <c r="H31" i="1"/>
  <c r="F32" i="1"/>
  <c r="G32" i="1"/>
  <c r="H32" i="1"/>
  <c r="F33" i="1"/>
  <c r="G33" i="1"/>
  <c r="H33" i="1"/>
  <c r="F34" i="1"/>
  <c r="G34" i="1"/>
  <c r="H34" i="1"/>
  <c r="F35" i="1"/>
  <c r="G35" i="1"/>
  <c r="H35" i="1"/>
  <c r="F36" i="1"/>
  <c r="G36" i="1"/>
  <c r="H36" i="1"/>
  <c r="F37" i="1"/>
  <c r="G37" i="1"/>
  <c r="H37" i="1"/>
  <c r="F38" i="1"/>
  <c r="G38" i="1"/>
  <c r="H38" i="1"/>
  <c r="F39" i="1"/>
  <c r="G39" i="1"/>
  <c r="H39" i="1"/>
  <c r="F40" i="1"/>
  <c r="G40" i="1"/>
  <c r="H40" i="1"/>
  <c r="F41" i="1"/>
  <c r="G41" i="1"/>
  <c r="H41" i="1"/>
  <c r="F42" i="1"/>
  <c r="G42" i="1"/>
  <c r="H42" i="1"/>
  <c r="F43" i="1"/>
  <c r="G43" i="1"/>
  <c r="H43" i="1"/>
  <c r="F44" i="1"/>
  <c r="G44" i="1"/>
  <c r="H44" i="1"/>
  <c r="F45" i="1"/>
  <c r="G45" i="1"/>
  <c r="H45" i="1"/>
  <c r="F46" i="1"/>
  <c r="G46" i="1"/>
  <c r="H46" i="1"/>
  <c r="F47" i="1"/>
  <c r="G47" i="1"/>
  <c r="H47" i="1"/>
  <c r="F48" i="1"/>
  <c r="G48" i="1"/>
  <c r="H48" i="1"/>
  <c r="F49" i="1"/>
  <c r="G49" i="1"/>
  <c r="H49" i="1"/>
  <c r="F50" i="1"/>
  <c r="G50" i="1"/>
  <c r="H50" i="1"/>
  <c r="F51" i="1"/>
  <c r="G51" i="1"/>
  <c r="H51" i="1"/>
  <c r="F52" i="1"/>
  <c r="G52" i="1"/>
  <c r="H52" i="1"/>
  <c r="F53" i="1"/>
  <c r="G53" i="1"/>
  <c r="H53" i="1"/>
  <c r="F54" i="1"/>
  <c r="G54" i="1"/>
  <c r="H54" i="1"/>
  <c r="F55" i="1"/>
  <c r="G55" i="1"/>
  <c r="H55" i="1"/>
  <c r="F56" i="1"/>
  <c r="G56" i="1"/>
  <c r="H56" i="1"/>
  <c r="F57" i="1"/>
  <c r="G57" i="1"/>
  <c r="H57" i="1"/>
  <c r="F58" i="1"/>
  <c r="G58" i="1"/>
  <c r="H58" i="1"/>
  <c r="F59" i="1"/>
  <c r="G59" i="1"/>
  <c r="H59" i="1"/>
  <c r="F60" i="1"/>
  <c r="G60" i="1"/>
  <c r="H60" i="1"/>
  <c r="F61" i="1"/>
  <c r="G61" i="1"/>
  <c r="H61" i="1"/>
  <c r="F62" i="1"/>
  <c r="G62" i="1"/>
  <c r="H62" i="1"/>
  <c r="F63" i="1"/>
  <c r="G63" i="1"/>
  <c r="H63" i="1"/>
  <c r="F64" i="1"/>
  <c r="G64" i="1"/>
  <c r="H64" i="1"/>
  <c r="F65" i="1"/>
  <c r="G65" i="1"/>
  <c r="H65" i="1"/>
  <c r="F66" i="1"/>
  <c r="G66" i="1"/>
  <c r="H66" i="1"/>
  <c r="F67" i="1"/>
  <c r="G67" i="1"/>
  <c r="H67" i="1"/>
  <c r="F68" i="1"/>
  <c r="G68" i="1"/>
  <c r="H68" i="1"/>
  <c r="F69" i="1"/>
  <c r="G69" i="1"/>
  <c r="H69" i="1"/>
  <c r="F70" i="1"/>
  <c r="G70" i="1"/>
  <c r="H70" i="1"/>
  <c r="F71" i="1"/>
  <c r="G71" i="1"/>
  <c r="H71" i="1"/>
  <c r="F72" i="1"/>
  <c r="G72" i="1"/>
  <c r="H72" i="1"/>
  <c r="F73" i="1"/>
  <c r="G73" i="1"/>
  <c r="H73" i="1"/>
  <c r="F74" i="1"/>
  <c r="G74" i="1"/>
  <c r="H74" i="1"/>
  <c r="F75" i="1"/>
  <c r="G75" i="1"/>
  <c r="H75" i="1"/>
  <c r="F76" i="1"/>
  <c r="G76" i="1"/>
  <c r="H76" i="1"/>
  <c r="F77" i="1"/>
  <c r="G77" i="1"/>
  <c r="H77" i="1"/>
  <c r="F78" i="1"/>
  <c r="G78" i="1"/>
  <c r="H78" i="1"/>
  <c r="F79" i="1"/>
  <c r="G79" i="1"/>
  <c r="H79" i="1"/>
  <c r="F80" i="1"/>
  <c r="G80" i="1"/>
  <c r="H80" i="1"/>
  <c r="F81" i="1"/>
  <c r="G81" i="1"/>
  <c r="H81" i="1"/>
  <c r="F82" i="1"/>
  <c r="G82" i="1"/>
  <c r="H82" i="1"/>
  <c r="F83" i="1"/>
  <c r="G83" i="1"/>
  <c r="H83" i="1"/>
  <c r="F84" i="1"/>
  <c r="G84" i="1"/>
  <c r="H84" i="1"/>
  <c r="F85" i="1"/>
  <c r="G85" i="1"/>
  <c r="H85" i="1"/>
  <c r="F86" i="1"/>
  <c r="G86" i="1"/>
  <c r="H86" i="1"/>
  <c r="F87" i="1"/>
  <c r="G87" i="1"/>
  <c r="H87" i="1"/>
  <c r="F88" i="1"/>
  <c r="G88" i="1"/>
  <c r="H88" i="1"/>
  <c r="F89" i="1"/>
  <c r="G89" i="1"/>
  <c r="H89" i="1"/>
  <c r="F90" i="1"/>
  <c r="G90" i="1"/>
  <c r="H90" i="1"/>
  <c r="F91" i="1"/>
  <c r="G91" i="1"/>
  <c r="H91" i="1"/>
  <c r="F92" i="1"/>
  <c r="G92" i="1"/>
  <c r="H92" i="1"/>
  <c r="F93" i="1"/>
  <c r="G93" i="1"/>
  <c r="H93" i="1"/>
  <c r="F94" i="1"/>
  <c r="G94" i="1"/>
  <c r="H94" i="1"/>
  <c r="F95" i="1"/>
  <c r="G95" i="1"/>
  <c r="H95" i="1"/>
  <c r="F96" i="1"/>
  <c r="G96" i="1"/>
  <c r="H96" i="1"/>
  <c r="F97" i="1"/>
  <c r="G97" i="1"/>
  <c r="H97" i="1"/>
  <c r="F98" i="1"/>
  <c r="G98" i="1"/>
  <c r="H98" i="1"/>
  <c r="F99" i="1"/>
  <c r="G99" i="1"/>
  <c r="H99" i="1"/>
  <c r="F100" i="1"/>
  <c r="G100" i="1"/>
  <c r="H100" i="1"/>
  <c r="F101" i="1"/>
  <c r="G101" i="1"/>
  <c r="H101" i="1"/>
  <c r="F102" i="1"/>
  <c r="G102" i="1"/>
  <c r="H102" i="1"/>
  <c r="F103" i="1"/>
  <c r="G103" i="1"/>
  <c r="H103" i="1"/>
  <c r="F104" i="1"/>
  <c r="G104" i="1"/>
  <c r="H104" i="1"/>
  <c r="F105" i="1"/>
  <c r="G105" i="1"/>
  <c r="H105" i="1"/>
  <c r="F106" i="1"/>
  <c r="G106" i="1"/>
  <c r="H106" i="1"/>
  <c r="F107" i="1"/>
  <c r="G107" i="1"/>
  <c r="H107" i="1"/>
  <c r="F108" i="1"/>
  <c r="G108" i="1"/>
  <c r="H108" i="1"/>
  <c r="F109" i="1"/>
  <c r="G109" i="1"/>
  <c r="H109" i="1"/>
  <c r="F110" i="1"/>
  <c r="G110" i="1"/>
  <c r="H110" i="1"/>
  <c r="F111" i="1"/>
  <c r="G111" i="1"/>
  <c r="H111" i="1"/>
  <c r="F112" i="1"/>
  <c r="G112" i="1"/>
  <c r="H112" i="1"/>
  <c r="F113" i="1"/>
  <c r="G113" i="1"/>
  <c r="H113" i="1"/>
  <c r="F114" i="1"/>
  <c r="G114" i="1"/>
  <c r="H114" i="1"/>
  <c r="F115" i="1"/>
  <c r="G115" i="1"/>
  <c r="H115" i="1"/>
  <c r="F116" i="1"/>
  <c r="G116" i="1"/>
  <c r="H116" i="1"/>
  <c r="F117" i="1"/>
  <c r="G117" i="1"/>
  <c r="H117" i="1"/>
  <c r="F118" i="1"/>
  <c r="G118" i="1"/>
  <c r="H118" i="1"/>
  <c r="F119" i="1"/>
  <c r="G119" i="1"/>
  <c r="H119" i="1"/>
  <c r="F120" i="1"/>
  <c r="G120" i="1"/>
  <c r="H120" i="1"/>
  <c r="F121" i="1"/>
  <c r="G121" i="1"/>
  <c r="H121" i="1"/>
  <c r="F122" i="1"/>
  <c r="G122" i="1"/>
  <c r="H122" i="1"/>
  <c r="F123" i="1"/>
  <c r="G123" i="1"/>
  <c r="H123" i="1"/>
  <c r="F124" i="1"/>
  <c r="G124" i="1"/>
  <c r="H124" i="1"/>
  <c r="F125" i="1"/>
  <c r="G125" i="1"/>
  <c r="H125" i="1"/>
  <c r="F126" i="1"/>
  <c r="G126" i="1"/>
  <c r="H126" i="1"/>
  <c r="F127" i="1"/>
  <c r="G127" i="1"/>
  <c r="H127" i="1"/>
  <c r="F128" i="1"/>
  <c r="G128" i="1"/>
  <c r="H128" i="1"/>
  <c r="F129" i="1"/>
  <c r="G129" i="1"/>
  <c r="H129" i="1"/>
  <c r="F130" i="1"/>
  <c r="G130" i="1"/>
  <c r="H130" i="1"/>
  <c r="F131" i="1"/>
  <c r="G131" i="1"/>
  <c r="H131" i="1"/>
  <c r="F132" i="1"/>
  <c r="G132" i="1"/>
  <c r="H132" i="1"/>
  <c r="F133" i="1"/>
  <c r="G133" i="1"/>
  <c r="H133" i="1"/>
  <c r="F134" i="1"/>
  <c r="G134" i="1"/>
  <c r="H134" i="1"/>
  <c r="F135" i="1"/>
  <c r="G135" i="1"/>
  <c r="H135" i="1"/>
  <c r="F136" i="1"/>
  <c r="G136" i="1"/>
  <c r="H136" i="1"/>
  <c r="F137" i="1"/>
  <c r="G137" i="1"/>
  <c r="H137" i="1"/>
  <c r="F138" i="1"/>
  <c r="G138" i="1"/>
  <c r="H138" i="1"/>
  <c r="F139" i="1"/>
  <c r="G139" i="1"/>
  <c r="H139" i="1"/>
  <c r="F140" i="1"/>
  <c r="G140" i="1"/>
  <c r="H140" i="1"/>
  <c r="F141" i="1"/>
  <c r="G141" i="1"/>
  <c r="H141" i="1"/>
  <c r="F142" i="1"/>
  <c r="G142" i="1"/>
  <c r="H142" i="1"/>
  <c r="F143" i="1"/>
  <c r="G143" i="1"/>
  <c r="H143" i="1"/>
  <c r="F144" i="1"/>
  <c r="G144" i="1"/>
  <c r="H144" i="1"/>
  <c r="F145" i="1"/>
  <c r="G145" i="1"/>
  <c r="H145" i="1"/>
  <c r="F146" i="1"/>
  <c r="G146" i="1"/>
  <c r="H146" i="1"/>
  <c r="F147" i="1"/>
  <c r="G147" i="1"/>
  <c r="H147" i="1"/>
  <c r="F148" i="1"/>
  <c r="G148" i="1"/>
  <c r="H148" i="1"/>
  <c r="F149" i="1"/>
  <c r="G149" i="1"/>
  <c r="H149" i="1"/>
  <c r="F150" i="1"/>
  <c r="G150" i="1"/>
  <c r="H150" i="1"/>
  <c r="F151" i="1"/>
  <c r="G151" i="1"/>
  <c r="H151" i="1"/>
  <c r="F152" i="1"/>
  <c r="G152" i="1"/>
  <c r="H152" i="1"/>
  <c r="F153" i="1"/>
  <c r="G153" i="1"/>
  <c r="H153" i="1"/>
  <c r="F154" i="1"/>
  <c r="G154" i="1"/>
  <c r="H154" i="1"/>
  <c r="F155" i="1"/>
  <c r="G155" i="1"/>
  <c r="H155" i="1"/>
  <c r="F156" i="1"/>
  <c r="G156" i="1"/>
  <c r="H156" i="1"/>
  <c r="F157" i="1"/>
  <c r="G157" i="1"/>
  <c r="H157" i="1"/>
  <c r="F158" i="1"/>
  <c r="G158" i="1"/>
  <c r="H158" i="1"/>
  <c r="F159" i="1"/>
  <c r="G159" i="1"/>
  <c r="H159" i="1"/>
  <c r="F160" i="1"/>
  <c r="G160" i="1"/>
  <c r="H160" i="1"/>
  <c r="F161" i="1"/>
  <c r="G161" i="1"/>
  <c r="H161" i="1"/>
  <c r="F162" i="1"/>
  <c r="G162" i="1"/>
  <c r="H162" i="1"/>
  <c r="F163" i="1"/>
  <c r="G163" i="1"/>
  <c r="H163" i="1"/>
  <c r="F164" i="1"/>
  <c r="G164" i="1"/>
  <c r="H164" i="1"/>
  <c r="F165" i="1"/>
  <c r="G165" i="1"/>
  <c r="H165" i="1"/>
  <c r="F166" i="1"/>
  <c r="G166" i="1"/>
  <c r="H166" i="1"/>
  <c r="F167" i="1"/>
  <c r="G167" i="1"/>
  <c r="H167" i="1"/>
  <c r="F168" i="1"/>
  <c r="G168" i="1"/>
  <c r="H168" i="1"/>
  <c r="F169" i="1"/>
  <c r="G169" i="1"/>
  <c r="H169" i="1"/>
  <c r="F170" i="1"/>
  <c r="G170" i="1"/>
  <c r="H170" i="1"/>
  <c r="F171" i="1"/>
  <c r="G171" i="1"/>
  <c r="H171" i="1"/>
  <c r="F172" i="1"/>
  <c r="G172" i="1"/>
  <c r="H172" i="1"/>
  <c r="F173" i="1"/>
  <c r="G173" i="1"/>
  <c r="H173" i="1"/>
  <c r="F174" i="1"/>
  <c r="G174" i="1"/>
  <c r="H174" i="1"/>
  <c r="F175" i="1"/>
  <c r="G175" i="1"/>
  <c r="H175" i="1"/>
  <c r="F176" i="1"/>
  <c r="G176" i="1"/>
  <c r="H176" i="1"/>
  <c r="F177" i="1"/>
  <c r="G177" i="1"/>
  <c r="H177" i="1"/>
  <c r="F178" i="1"/>
  <c r="G178" i="1"/>
  <c r="H178" i="1"/>
  <c r="F179" i="1"/>
  <c r="G179" i="1"/>
  <c r="H179" i="1"/>
  <c r="F180" i="1"/>
  <c r="G180" i="1"/>
  <c r="H180" i="1"/>
  <c r="F181" i="1"/>
  <c r="G181" i="1"/>
  <c r="H181" i="1"/>
  <c r="F182" i="1"/>
  <c r="G182" i="1"/>
  <c r="H182" i="1"/>
  <c r="F183" i="1"/>
  <c r="G183" i="1"/>
  <c r="H183" i="1"/>
  <c r="F184" i="1"/>
  <c r="G184" i="1"/>
  <c r="H184" i="1"/>
  <c r="F185" i="1"/>
  <c r="G185" i="1"/>
  <c r="H185" i="1"/>
  <c r="F186" i="1"/>
  <c r="G186" i="1"/>
  <c r="H186" i="1"/>
  <c r="F187" i="1"/>
  <c r="G187" i="1"/>
  <c r="H187" i="1"/>
  <c r="F188" i="1"/>
  <c r="G188" i="1"/>
  <c r="H188" i="1"/>
  <c r="F189" i="1"/>
  <c r="G189" i="1"/>
  <c r="H189" i="1"/>
  <c r="F190" i="1"/>
  <c r="G190" i="1"/>
  <c r="H190" i="1"/>
  <c r="F191" i="1"/>
  <c r="G191" i="1"/>
  <c r="H191" i="1"/>
  <c r="F192" i="1"/>
  <c r="G192" i="1"/>
  <c r="H192" i="1"/>
  <c r="F193" i="1"/>
  <c r="G193" i="1"/>
  <c r="H193" i="1"/>
  <c r="F194" i="1"/>
  <c r="G194" i="1"/>
  <c r="H194" i="1"/>
  <c r="F195" i="1"/>
  <c r="G195" i="1"/>
  <c r="H195" i="1"/>
  <c r="F196" i="1"/>
  <c r="G196" i="1"/>
  <c r="H196" i="1"/>
  <c r="F197" i="1"/>
  <c r="G197" i="1"/>
  <c r="H197" i="1"/>
  <c r="F198" i="1"/>
  <c r="G198" i="1"/>
  <c r="H198" i="1"/>
  <c r="F199" i="1"/>
  <c r="G199" i="1"/>
  <c r="H199" i="1"/>
  <c r="F200" i="1"/>
  <c r="G200" i="1"/>
  <c r="H200" i="1"/>
  <c r="F201" i="1"/>
  <c r="G201" i="1"/>
  <c r="H201" i="1"/>
  <c r="F202" i="1"/>
  <c r="G202" i="1"/>
  <c r="H202" i="1"/>
  <c r="F203" i="1"/>
  <c r="G203" i="1"/>
  <c r="H203" i="1"/>
  <c r="F204" i="1"/>
  <c r="G204" i="1"/>
  <c r="H204" i="1"/>
  <c r="F205" i="1"/>
  <c r="G205" i="1"/>
  <c r="H205" i="1"/>
  <c r="F206" i="1"/>
  <c r="G206" i="1"/>
  <c r="H206" i="1"/>
  <c r="F207" i="1"/>
  <c r="G207" i="1"/>
  <c r="H207" i="1"/>
  <c r="F208" i="1"/>
  <c r="G208" i="1"/>
  <c r="H208" i="1"/>
  <c r="F209" i="1"/>
  <c r="G209" i="1"/>
  <c r="H209" i="1"/>
  <c r="F210" i="1"/>
  <c r="G210" i="1"/>
  <c r="H210" i="1"/>
  <c r="F211" i="1"/>
  <c r="G211" i="1"/>
  <c r="H211" i="1"/>
  <c r="F212" i="1"/>
  <c r="G212" i="1"/>
  <c r="H212" i="1"/>
  <c r="F213" i="1"/>
  <c r="G213" i="1"/>
  <c r="H213" i="1"/>
  <c r="F214" i="1"/>
  <c r="G214" i="1"/>
  <c r="H214" i="1"/>
  <c r="F215" i="1"/>
  <c r="G215" i="1"/>
  <c r="H215" i="1"/>
  <c r="F216" i="1"/>
  <c r="G216" i="1"/>
  <c r="H216" i="1"/>
  <c r="F217" i="1"/>
  <c r="G217" i="1"/>
  <c r="H217" i="1"/>
  <c r="F218" i="1"/>
  <c r="G218" i="1"/>
  <c r="H218" i="1"/>
  <c r="F219" i="1"/>
  <c r="G219" i="1"/>
  <c r="H219" i="1"/>
  <c r="F220" i="1"/>
  <c r="G220" i="1"/>
  <c r="H220" i="1"/>
  <c r="F221" i="1"/>
  <c r="G221" i="1"/>
  <c r="H221" i="1"/>
  <c r="F222" i="1"/>
  <c r="G222" i="1"/>
  <c r="H222" i="1"/>
  <c r="F223" i="1"/>
  <c r="G223" i="1"/>
  <c r="H223" i="1"/>
  <c r="F224" i="1"/>
  <c r="G224" i="1"/>
  <c r="H224" i="1"/>
  <c r="F225" i="1"/>
  <c r="G225" i="1"/>
  <c r="H225" i="1"/>
  <c r="F226" i="1"/>
  <c r="G226" i="1"/>
  <c r="H226" i="1"/>
  <c r="F227" i="1"/>
  <c r="G227" i="1"/>
  <c r="H227" i="1"/>
  <c r="F228" i="1"/>
  <c r="G228" i="1"/>
  <c r="H228" i="1"/>
  <c r="F229" i="1"/>
  <c r="G229" i="1"/>
  <c r="H229" i="1"/>
  <c r="F230" i="1"/>
  <c r="G230" i="1"/>
  <c r="H230" i="1"/>
  <c r="F231" i="1"/>
  <c r="G231" i="1"/>
  <c r="H231" i="1"/>
  <c r="F232" i="1"/>
  <c r="G232" i="1"/>
  <c r="H232" i="1"/>
  <c r="F233" i="1"/>
  <c r="G233" i="1"/>
  <c r="H233" i="1"/>
  <c r="F234" i="1"/>
  <c r="G234" i="1"/>
  <c r="H234" i="1"/>
  <c r="F235" i="1"/>
  <c r="G235" i="1"/>
  <c r="H235" i="1"/>
  <c r="F236" i="1"/>
  <c r="G236" i="1"/>
  <c r="H236" i="1"/>
  <c r="F237" i="1"/>
  <c r="G237" i="1"/>
  <c r="H237" i="1"/>
  <c r="F238" i="1"/>
  <c r="G238" i="1"/>
  <c r="H238" i="1"/>
  <c r="F239" i="1"/>
  <c r="G239" i="1"/>
  <c r="H239" i="1"/>
  <c r="F240" i="1"/>
  <c r="G240" i="1"/>
  <c r="H240" i="1"/>
  <c r="F241" i="1"/>
  <c r="G241" i="1"/>
  <c r="H241" i="1"/>
  <c r="F242" i="1"/>
  <c r="G242" i="1"/>
  <c r="H242" i="1"/>
  <c r="F243" i="1"/>
  <c r="G243" i="1"/>
  <c r="H243" i="1"/>
  <c r="F244" i="1"/>
  <c r="G244" i="1"/>
  <c r="H244" i="1"/>
  <c r="F245" i="1"/>
  <c r="G245" i="1"/>
  <c r="H245" i="1"/>
  <c r="F246" i="1"/>
  <c r="G246" i="1"/>
  <c r="H246" i="1"/>
  <c r="F247" i="1"/>
  <c r="G247" i="1"/>
  <c r="H247" i="1"/>
  <c r="F248" i="1"/>
  <c r="G248" i="1"/>
  <c r="H248" i="1"/>
  <c r="F249" i="1"/>
  <c r="G249" i="1"/>
  <c r="H249" i="1"/>
  <c r="F250" i="1"/>
  <c r="G250" i="1"/>
  <c r="H250" i="1"/>
  <c r="F251" i="1"/>
  <c r="G251" i="1"/>
  <c r="H251" i="1"/>
  <c r="F252" i="1"/>
  <c r="G252" i="1"/>
  <c r="H252" i="1"/>
  <c r="F253" i="1"/>
  <c r="G253" i="1"/>
  <c r="H253" i="1"/>
  <c r="F254" i="1"/>
  <c r="G254" i="1"/>
  <c r="H254" i="1"/>
  <c r="F255" i="1"/>
  <c r="G255" i="1"/>
  <c r="H255" i="1"/>
  <c r="F256" i="1"/>
  <c r="G256" i="1"/>
  <c r="H256" i="1"/>
  <c r="F257" i="1"/>
  <c r="G257" i="1"/>
  <c r="H257" i="1"/>
  <c r="F258" i="1"/>
  <c r="G258" i="1"/>
  <c r="H258" i="1"/>
  <c r="F259" i="1"/>
  <c r="G259" i="1"/>
  <c r="H259" i="1"/>
  <c r="F260" i="1"/>
  <c r="G260" i="1"/>
  <c r="H260" i="1"/>
  <c r="F261" i="1"/>
  <c r="G261" i="1"/>
  <c r="H261" i="1"/>
  <c r="F262" i="1"/>
  <c r="G262" i="1"/>
  <c r="H262" i="1"/>
  <c r="F263" i="1"/>
  <c r="G263" i="1"/>
  <c r="H263" i="1"/>
  <c r="F264" i="1"/>
  <c r="G264" i="1"/>
  <c r="H264" i="1"/>
  <c r="F265" i="1"/>
  <c r="G265" i="1"/>
  <c r="H265" i="1"/>
  <c r="F266" i="1"/>
  <c r="G266" i="1"/>
  <c r="H266" i="1"/>
  <c r="F267" i="1"/>
  <c r="G267" i="1"/>
  <c r="H267" i="1"/>
  <c r="F268" i="1"/>
  <c r="G268" i="1"/>
  <c r="H268" i="1"/>
  <c r="F269" i="1"/>
  <c r="G269" i="1"/>
  <c r="H269" i="1"/>
  <c r="F270" i="1"/>
  <c r="G270" i="1"/>
  <c r="H270" i="1"/>
  <c r="F271" i="1"/>
  <c r="G271" i="1"/>
  <c r="H271" i="1"/>
  <c r="F272" i="1"/>
  <c r="G272" i="1"/>
  <c r="H272" i="1"/>
  <c r="F273" i="1"/>
  <c r="G273" i="1"/>
  <c r="H273" i="1"/>
  <c r="F274" i="1"/>
  <c r="G274" i="1"/>
  <c r="H274" i="1"/>
  <c r="F275" i="1"/>
  <c r="G275" i="1"/>
  <c r="H275" i="1"/>
  <c r="F276" i="1"/>
  <c r="G276" i="1"/>
  <c r="H276" i="1"/>
  <c r="F277" i="1"/>
  <c r="G277" i="1"/>
  <c r="H277" i="1"/>
  <c r="F278" i="1"/>
  <c r="G278" i="1"/>
  <c r="H278" i="1"/>
  <c r="F279" i="1"/>
  <c r="G279" i="1"/>
  <c r="H279" i="1"/>
  <c r="F280" i="1"/>
  <c r="G280" i="1"/>
  <c r="H280" i="1"/>
  <c r="F281" i="1"/>
  <c r="G281" i="1"/>
  <c r="H281" i="1"/>
  <c r="F282" i="1"/>
  <c r="G282" i="1"/>
  <c r="H282" i="1"/>
  <c r="F283" i="1"/>
  <c r="G283" i="1"/>
  <c r="H283" i="1"/>
  <c r="F284" i="1"/>
  <c r="G284" i="1"/>
  <c r="H284" i="1"/>
  <c r="F285" i="1"/>
  <c r="G285" i="1"/>
  <c r="H285" i="1"/>
  <c r="F286" i="1"/>
  <c r="G286" i="1"/>
  <c r="H286" i="1"/>
  <c r="F287" i="1"/>
  <c r="G287" i="1"/>
  <c r="H287" i="1"/>
  <c r="F288" i="1"/>
  <c r="G288" i="1"/>
  <c r="H288" i="1"/>
  <c r="F289" i="1"/>
  <c r="G289" i="1"/>
  <c r="H289" i="1"/>
  <c r="F290" i="1"/>
  <c r="G290" i="1"/>
  <c r="H290" i="1"/>
  <c r="F291" i="1"/>
  <c r="G291" i="1"/>
  <c r="H291" i="1"/>
  <c r="F292" i="1"/>
  <c r="G292" i="1"/>
  <c r="H292" i="1"/>
  <c r="F293" i="1"/>
  <c r="G293" i="1"/>
  <c r="H293" i="1"/>
  <c r="F294" i="1"/>
  <c r="G294" i="1"/>
  <c r="H294" i="1"/>
  <c r="F295" i="1"/>
  <c r="G295" i="1"/>
  <c r="H295" i="1"/>
  <c r="F296" i="1"/>
  <c r="G296" i="1"/>
  <c r="H296" i="1"/>
  <c r="F297" i="1"/>
  <c r="G297" i="1"/>
  <c r="H297" i="1"/>
  <c r="F298" i="1"/>
  <c r="G298" i="1"/>
  <c r="H298" i="1"/>
  <c r="F299" i="1"/>
  <c r="G299" i="1"/>
  <c r="H299" i="1"/>
  <c r="F300" i="1"/>
  <c r="G300" i="1"/>
  <c r="H300" i="1"/>
  <c r="F301" i="1"/>
  <c r="G301" i="1"/>
  <c r="H301" i="1"/>
  <c r="F302" i="1"/>
  <c r="G302" i="1"/>
  <c r="H302" i="1"/>
  <c r="F303" i="1"/>
  <c r="G303" i="1"/>
  <c r="H303" i="1"/>
  <c r="F304" i="1"/>
  <c r="G304" i="1"/>
  <c r="H304" i="1"/>
  <c r="F305" i="1"/>
  <c r="G305" i="1"/>
  <c r="H305" i="1"/>
  <c r="F306" i="1"/>
  <c r="G306" i="1"/>
  <c r="H306" i="1"/>
  <c r="F307" i="1"/>
  <c r="G307" i="1"/>
  <c r="H307" i="1"/>
  <c r="F308" i="1"/>
  <c r="G308" i="1"/>
  <c r="H308" i="1"/>
  <c r="F309" i="1"/>
  <c r="G309" i="1"/>
  <c r="H309" i="1"/>
  <c r="F310" i="1"/>
  <c r="G310" i="1"/>
  <c r="H310" i="1"/>
  <c r="F311" i="1"/>
  <c r="G311" i="1"/>
  <c r="H311" i="1"/>
  <c r="F312" i="1"/>
  <c r="G312" i="1"/>
  <c r="H312" i="1"/>
  <c r="F313" i="1"/>
  <c r="G313" i="1"/>
  <c r="H313" i="1"/>
  <c r="F314" i="1"/>
  <c r="G314" i="1"/>
  <c r="H314" i="1"/>
  <c r="F315" i="1"/>
  <c r="G315" i="1"/>
  <c r="H315" i="1"/>
  <c r="F316" i="1"/>
  <c r="G316" i="1"/>
  <c r="H316" i="1"/>
  <c r="F317" i="1"/>
  <c r="G317" i="1"/>
  <c r="H317" i="1"/>
  <c r="F318" i="1"/>
  <c r="G318" i="1"/>
  <c r="H318" i="1"/>
  <c r="F319" i="1"/>
  <c r="G319" i="1"/>
  <c r="H319" i="1"/>
  <c r="F320" i="1"/>
  <c r="G320" i="1"/>
  <c r="H320" i="1"/>
  <c r="F321" i="1"/>
  <c r="G321" i="1"/>
  <c r="H321" i="1"/>
  <c r="F322" i="1"/>
  <c r="G322" i="1"/>
  <c r="H322" i="1"/>
  <c r="F323" i="1"/>
  <c r="G323" i="1"/>
  <c r="H323" i="1"/>
  <c r="F324" i="1"/>
  <c r="G324" i="1"/>
  <c r="H324" i="1"/>
  <c r="F325" i="1"/>
  <c r="G325" i="1"/>
  <c r="H325" i="1"/>
  <c r="F326" i="1"/>
  <c r="G326" i="1"/>
  <c r="H326" i="1"/>
  <c r="F327" i="1"/>
  <c r="G327" i="1"/>
  <c r="H327" i="1"/>
  <c r="F328" i="1"/>
  <c r="G328" i="1"/>
  <c r="H328" i="1"/>
  <c r="F329" i="1"/>
  <c r="G329" i="1"/>
  <c r="H329" i="1"/>
  <c r="F330" i="1"/>
  <c r="G330" i="1"/>
  <c r="H330" i="1"/>
  <c r="F331" i="1"/>
  <c r="G331" i="1"/>
  <c r="H331" i="1"/>
  <c r="F332" i="1"/>
  <c r="G332" i="1"/>
  <c r="H332" i="1"/>
  <c r="F333" i="1"/>
  <c r="G333" i="1"/>
  <c r="H333" i="1"/>
  <c r="F334" i="1"/>
  <c r="G334" i="1"/>
  <c r="H334" i="1"/>
  <c r="F335" i="1"/>
  <c r="G335" i="1"/>
  <c r="H335" i="1"/>
  <c r="F336" i="1"/>
  <c r="G336" i="1"/>
  <c r="H336" i="1"/>
  <c r="F337" i="1"/>
  <c r="G337" i="1"/>
  <c r="H337" i="1"/>
  <c r="F338" i="1"/>
  <c r="G338" i="1"/>
  <c r="H338" i="1"/>
  <c r="F339" i="1"/>
  <c r="G339" i="1"/>
  <c r="H339" i="1"/>
  <c r="F340" i="1"/>
  <c r="G340" i="1"/>
  <c r="H340" i="1"/>
  <c r="F341" i="1"/>
  <c r="G341" i="1"/>
  <c r="H341" i="1"/>
  <c r="F342" i="1"/>
  <c r="G342" i="1"/>
  <c r="H342" i="1"/>
  <c r="F343" i="1"/>
  <c r="G343" i="1"/>
  <c r="H343" i="1"/>
  <c r="F344" i="1"/>
  <c r="G344" i="1"/>
  <c r="H344" i="1"/>
  <c r="F345" i="1"/>
  <c r="G345" i="1"/>
  <c r="H345" i="1"/>
  <c r="F346" i="1"/>
  <c r="G346" i="1"/>
  <c r="H346" i="1"/>
  <c r="F347" i="1"/>
  <c r="G347" i="1"/>
  <c r="H347" i="1"/>
  <c r="F348" i="1"/>
  <c r="G348" i="1"/>
  <c r="H348" i="1"/>
  <c r="F349" i="1"/>
  <c r="G349" i="1"/>
  <c r="H349" i="1"/>
  <c r="F350" i="1"/>
  <c r="G350" i="1"/>
  <c r="H350" i="1"/>
  <c r="F351" i="1"/>
  <c r="G351" i="1"/>
  <c r="H351" i="1"/>
  <c r="F352" i="1"/>
  <c r="G352" i="1"/>
  <c r="H352" i="1"/>
  <c r="F353" i="1"/>
  <c r="G353" i="1"/>
  <c r="H353" i="1"/>
  <c r="F354" i="1"/>
  <c r="G354" i="1"/>
  <c r="H354" i="1"/>
  <c r="F355" i="1"/>
  <c r="G355" i="1"/>
  <c r="H355" i="1"/>
  <c r="F356" i="1"/>
  <c r="G356" i="1"/>
  <c r="H356" i="1"/>
  <c r="F357" i="1"/>
  <c r="G357" i="1"/>
  <c r="H357" i="1"/>
  <c r="F358" i="1"/>
  <c r="G358" i="1"/>
  <c r="H358" i="1"/>
  <c r="F359" i="1"/>
  <c r="G359" i="1"/>
  <c r="H359" i="1"/>
  <c r="F360" i="1"/>
  <c r="G360" i="1"/>
  <c r="H360" i="1"/>
  <c r="F361" i="1"/>
  <c r="G361" i="1"/>
  <c r="H361" i="1"/>
  <c r="F362" i="1"/>
  <c r="G362" i="1"/>
  <c r="H362" i="1"/>
  <c r="F363" i="1"/>
  <c r="G363" i="1"/>
  <c r="H363" i="1"/>
  <c r="F364" i="1"/>
  <c r="G364" i="1"/>
  <c r="H364" i="1"/>
  <c r="F365" i="1"/>
  <c r="G365" i="1"/>
  <c r="H365" i="1"/>
  <c r="F366" i="1"/>
  <c r="G366" i="1"/>
  <c r="H366" i="1"/>
  <c r="F367" i="1"/>
  <c r="G367" i="1"/>
  <c r="H367" i="1"/>
  <c r="F368" i="1"/>
  <c r="G368" i="1"/>
  <c r="H368" i="1"/>
  <c r="F369" i="1"/>
  <c r="G369" i="1"/>
  <c r="H369" i="1"/>
  <c r="F370" i="1"/>
  <c r="G370" i="1"/>
  <c r="H370" i="1"/>
  <c r="F371" i="1"/>
  <c r="G371" i="1"/>
  <c r="H371" i="1"/>
  <c r="F372" i="1"/>
  <c r="G372" i="1"/>
  <c r="H372" i="1"/>
  <c r="F373" i="1"/>
  <c r="G373" i="1"/>
  <c r="H373" i="1"/>
  <c r="F374" i="1"/>
  <c r="G374" i="1"/>
  <c r="H374" i="1"/>
  <c r="F375" i="1"/>
  <c r="G375" i="1"/>
  <c r="H375" i="1"/>
  <c r="F376" i="1"/>
  <c r="G376" i="1"/>
  <c r="H376" i="1"/>
  <c r="F377" i="1"/>
  <c r="G377" i="1"/>
  <c r="H377" i="1"/>
  <c r="F378" i="1"/>
  <c r="G378" i="1"/>
  <c r="H378" i="1"/>
  <c r="F379" i="1"/>
  <c r="G379" i="1"/>
  <c r="H379" i="1"/>
  <c r="F380" i="1"/>
  <c r="G380" i="1"/>
  <c r="H380" i="1"/>
  <c r="F381" i="1"/>
  <c r="G381" i="1"/>
  <c r="H381" i="1"/>
  <c r="F382" i="1"/>
  <c r="G382" i="1"/>
  <c r="H382" i="1"/>
  <c r="F383" i="1"/>
  <c r="G383" i="1"/>
  <c r="H383" i="1"/>
  <c r="F384" i="1"/>
  <c r="G384" i="1"/>
  <c r="H384" i="1"/>
  <c r="F385" i="1"/>
  <c r="G385" i="1"/>
  <c r="H385" i="1"/>
  <c r="F386" i="1"/>
  <c r="G386" i="1"/>
  <c r="H386" i="1"/>
  <c r="F387" i="1"/>
  <c r="G387" i="1"/>
  <c r="H387" i="1"/>
  <c r="F388" i="1"/>
  <c r="G388" i="1"/>
  <c r="H388" i="1"/>
  <c r="F389" i="1"/>
  <c r="G389" i="1"/>
  <c r="H389" i="1"/>
  <c r="F390" i="1"/>
  <c r="G390" i="1"/>
  <c r="H390" i="1"/>
  <c r="F391" i="1"/>
  <c r="G391" i="1"/>
  <c r="H391" i="1"/>
  <c r="F392" i="1"/>
  <c r="G392" i="1"/>
  <c r="H392" i="1"/>
  <c r="F393" i="1"/>
  <c r="G393" i="1"/>
  <c r="H393" i="1"/>
  <c r="F394" i="1"/>
  <c r="G394" i="1"/>
  <c r="H394" i="1"/>
  <c r="F395" i="1"/>
  <c r="G395" i="1"/>
  <c r="H395" i="1"/>
  <c r="F396" i="1"/>
  <c r="G396" i="1"/>
  <c r="H396" i="1"/>
  <c r="F397" i="1"/>
  <c r="G397" i="1"/>
  <c r="H397" i="1"/>
  <c r="F398" i="1"/>
  <c r="G398" i="1"/>
  <c r="H398" i="1"/>
  <c r="F399" i="1"/>
  <c r="G399" i="1"/>
  <c r="H399" i="1"/>
  <c r="F400" i="1"/>
  <c r="G400" i="1"/>
  <c r="H400" i="1"/>
  <c r="F401" i="1"/>
  <c r="G401" i="1"/>
  <c r="H401" i="1"/>
  <c r="F402" i="1"/>
  <c r="G402" i="1"/>
  <c r="H402" i="1"/>
  <c r="F403" i="1"/>
  <c r="G403" i="1"/>
  <c r="H403" i="1"/>
  <c r="F404" i="1"/>
  <c r="G404" i="1"/>
  <c r="H404" i="1"/>
  <c r="F405" i="1"/>
  <c r="G405" i="1"/>
  <c r="H405" i="1"/>
  <c r="F406" i="1"/>
  <c r="G406" i="1"/>
  <c r="H406" i="1"/>
  <c r="F407" i="1"/>
  <c r="G407" i="1"/>
  <c r="H407" i="1"/>
  <c r="F408" i="1"/>
  <c r="G408" i="1"/>
  <c r="H408" i="1"/>
  <c r="F409" i="1"/>
  <c r="G409" i="1"/>
  <c r="H409" i="1"/>
  <c r="F410" i="1"/>
  <c r="G410" i="1"/>
  <c r="H410" i="1"/>
  <c r="F411" i="1"/>
  <c r="G411" i="1"/>
  <c r="H411" i="1"/>
  <c r="F412" i="1"/>
  <c r="G412" i="1"/>
  <c r="H412" i="1"/>
  <c r="F413" i="1"/>
  <c r="G413" i="1"/>
  <c r="H413" i="1"/>
  <c r="F414" i="1"/>
  <c r="G414" i="1"/>
  <c r="H414" i="1"/>
  <c r="F415" i="1"/>
  <c r="G415" i="1"/>
  <c r="H415" i="1"/>
  <c r="F416" i="1"/>
  <c r="G416" i="1"/>
  <c r="H416" i="1"/>
  <c r="F417" i="1"/>
  <c r="G417" i="1"/>
  <c r="H417" i="1"/>
  <c r="F418" i="1"/>
  <c r="G418" i="1"/>
  <c r="H418" i="1"/>
  <c r="F419" i="1"/>
  <c r="G419" i="1"/>
  <c r="H419" i="1"/>
  <c r="F420" i="1"/>
  <c r="G420" i="1"/>
  <c r="H420" i="1"/>
  <c r="F421" i="1"/>
  <c r="G421" i="1"/>
  <c r="H421" i="1"/>
  <c r="F422" i="1"/>
  <c r="G422" i="1"/>
  <c r="H422" i="1"/>
  <c r="F423" i="1"/>
  <c r="G423" i="1"/>
  <c r="H423" i="1"/>
  <c r="F424" i="1"/>
  <c r="G424" i="1"/>
  <c r="H424" i="1"/>
  <c r="F425" i="1"/>
  <c r="G425" i="1"/>
  <c r="H425" i="1"/>
  <c r="F426" i="1"/>
  <c r="G426" i="1"/>
  <c r="H426" i="1"/>
  <c r="F427" i="1"/>
  <c r="G427" i="1"/>
  <c r="H427" i="1"/>
  <c r="F428" i="1"/>
  <c r="G428" i="1"/>
  <c r="H428" i="1"/>
  <c r="F429" i="1"/>
  <c r="G429" i="1"/>
  <c r="H429" i="1"/>
  <c r="F430" i="1"/>
  <c r="G430" i="1"/>
  <c r="H430" i="1"/>
  <c r="F431" i="1"/>
  <c r="G431" i="1"/>
  <c r="H431" i="1"/>
  <c r="F432" i="1"/>
  <c r="G432" i="1"/>
  <c r="H432" i="1"/>
  <c r="F433" i="1"/>
  <c r="G433" i="1"/>
  <c r="H433" i="1"/>
  <c r="F434" i="1"/>
  <c r="G434" i="1"/>
  <c r="H434" i="1"/>
  <c r="F435" i="1"/>
  <c r="G435" i="1"/>
  <c r="H435" i="1"/>
  <c r="F436" i="1"/>
  <c r="G436" i="1"/>
  <c r="H436" i="1"/>
  <c r="F437" i="1"/>
  <c r="G437" i="1"/>
  <c r="H437" i="1"/>
  <c r="F438" i="1"/>
  <c r="G438" i="1"/>
  <c r="H438" i="1"/>
  <c r="F439" i="1"/>
  <c r="G439" i="1"/>
  <c r="H439" i="1"/>
  <c r="F440" i="1"/>
  <c r="G440" i="1"/>
  <c r="H440" i="1"/>
  <c r="F441" i="1"/>
  <c r="G441" i="1"/>
  <c r="H441" i="1"/>
  <c r="F442" i="1"/>
  <c r="G442" i="1"/>
  <c r="H442" i="1"/>
  <c r="F443" i="1"/>
  <c r="G443" i="1"/>
  <c r="H443" i="1"/>
  <c r="F444" i="1"/>
  <c r="G444" i="1"/>
  <c r="H444" i="1"/>
  <c r="F445" i="1"/>
  <c r="G445" i="1"/>
  <c r="H445" i="1"/>
  <c r="F446" i="1"/>
  <c r="G446" i="1"/>
  <c r="H446" i="1"/>
  <c r="F447" i="1"/>
  <c r="G447" i="1"/>
  <c r="H447" i="1"/>
  <c r="F448" i="1"/>
  <c r="G448" i="1"/>
  <c r="H448" i="1"/>
  <c r="F449" i="1"/>
  <c r="G449" i="1"/>
  <c r="H449" i="1"/>
  <c r="F450" i="1"/>
  <c r="G450" i="1"/>
  <c r="H450" i="1"/>
  <c r="F451" i="1"/>
  <c r="G451" i="1"/>
  <c r="H451" i="1"/>
  <c r="F452" i="1"/>
  <c r="G452" i="1"/>
  <c r="H452" i="1"/>
  <c r="F453" i="1"/>
  <c r="G453" i="1"/>
  <c r="H453" i="1"/>
  <c r="F454" i="1"/>
  <c r="G454" i="1"/>
  <c r="H454" i="1"/>
  <c r="F455" i="1"/>
  <c r="G455" i="1"/>
  <c r="H455" i="1"/>
  <c r="F456" i="1"/>
  <c r="G456" i="1"/>
  <c r="H456" i="1"/>
  <c r="F457" i="1"/>
  <c r="G457" i="1"/>
  <c r="H457" i="1"/>
  <c r="F458" i="1"/>
  <c r="G458" i="1"/>
  <c r="H458" i="1"/>
  <c r="F459" i="1"/>
  <c r="G459" i="1"/>
  <c r="H459" i="1"/>
  <c r="F460" i="1"/>
  <c r="G460" i="1"/>
  <c r="H460" i="1"/>
  <c r="F461" i="1"/>
  <c r="G461" i="1"/>
  <c r="H461" i="1"/>
  <c r="F462" i="1"/>
  <c r="G462" i="1"/>
  <c r="H462" i="1"/>
  <c r="F463" i="1"/>
  <c r="G463" i="1"/>
  <c r="H463" i="1"/>
  <c r="F464" i="1"/>
  <c r="G464" i="1"/>
  <c r="H464" i="1"/>
  <c r="F465" i="1"/>
  <c r="G465" i="1"/>
  <c r="H465" i="1"/>
  <c r="F466" i="1"/>
  <c r="G466" i="1"/>
  <c r="H466" i="1"/>
  <c r="F467" i="1"/>
  <c r="G467" i="1"/>
  <c r="H467" i="1"/>
  <c r="F468" i="1"/>
  <c r="G468" i="1"/>
  <c r="H468" i="1"/>
  <c r="F469" i="1"/>
  <c r="G469" i="1"/>
  <c r="H469" i="1"/>
  <c r="F470" i="1"/>
  <c r="G470" i="1"/>
  <c r="H470" i="1"/>
  <c r="F471" i="1"/>
  <c r="G471" i="1"/>
  <c r="H471" i="1"/>
  <c r="F472" i="1"/>
  <c r="G472" i="1"/>
  <c r="H472" i="1"/>
  <c r="F473" i="1"/>
  <c r="G473" i="1"/>
  <c r="H473" i="1"/>
  <c r="F474" i="1"/>
  <c r="G474" i="1"/>
  <c r="H474" i="1"/>
  <c r="F475" i="1"/>
  <c r="G475" i="1"/>
  <c r="H475" i="1"/>
  <c r="F476" i="1"/>
  <c r="G476" i="1"/>
  <c r="H476" i="1"/>
  <c r="F477" i="1"/>
  <c r="G477" i="1"/>
  <c r="H477" i="1"/>
  <c r="F478" i="1"/>
  <c r="G478" i="1"/>
  <c r="H478" i="1"/>
  <c r="F479" i="1"/>
  <c r="G479" i="1"/>
  <c r="H479" i="1"/>
  <c r="F480" i="1"/>
  <c r="G480" i="1"/>
  <c r="H480" i="1"/>
  <c r="F481" i="1"/>
  <c r="G481" i="1"/>
  <c r="H481" i="1"/>
  <c r="F482" i="1"/>
  <c r="G482" i="1"/>
  <c r="H482" i="1"/>
  <c r="F483" i="1"/>
  <c r="G483" i="1"/>
  <c r="H483" i="1"/>
  <c r="F484" i="1"/>
  <c r="G484" i="1"/>
  <c r="H484" i="1"/>
  <c r="F485" i="1"/>
  <c r="G485" i="1"/>
  <c r="H485" i="1"/>
  <c r="F486" i="1"/>
  <c r="G486" i="1"/>
  <c r="H486" i="1"/>
  <c r="F487" i="1"/>
  <c r="G487" i="1"/>
  <c r="H487" i="1"/>
  <c r="F488" i="1"/>
  <c r="G488" i="1"/>
  <c r="H488" i="1"/>
  <c r="F489" i="1"/>
  <c r="G489" i="1"/>
  <c r="H489" i="1"/>
  <c r="F490" i="1"/>
  <c r="G490" i="1"/>
  <c r="H490" i="1"/>
  <c r="F491" i="1"/>
  <c r="G491" i="1"/>
  <c r="H491" i="1"/>
  <c r="F492" i="1"/>
  <c r="G492" i="1"/>
  <c r="H492" i="1"/>
  <c r="F493" i="1"/>
  <c r="G493" i="1"/>
  <c r="H493" i="1"/>
  <c r="F494" i="1"/>
  <c r="G494" i="1"/>
  <c r="H494" i="1"/>
  <c r="F495" i="1"/>
  <c r="G495" i="1"/>
  <c r="H495" i="1"/>
  <c r="F496" i="1"/>
  <c r="G496" i="1"/>
  <c r="H496" i="1"/>
  <c r="F497" i="1"/>
  <c r="G497" i="1"/>
  <c r="H497" i="1"/>
  <c r="F498" i="1"/>
  <c r="G498" i="1"/>
  <c r="H498" i="1"/>
  <c r="F499" i="1"/>
  <c r="G499" i="1"/>
  <c r="H499" i="1"/>
  <c r="F500" i="1"/>
  <c r="G500" i="1"/>
  <c r="H500" i="1"/>
  <c r="F501" i="1"/>
  <c r="G501" i="1"/>
  <c r="H501" i="1"/>
  <c r="F502" i="1"/>
  <c r="G502" i="1"/>
  <c r="H502" i="1"/>
  <c r="F503" i="1"/>
  <c r="G503" i="1"/>
  <c r="H503" i="1"/>
  <c r="F504" i="1"/>
  <c r="G504" i="1"/>
  <c r="H504" i="1"/>
  <c r="F505" i="1"/>
  <c r="G505" i="1"/>
  <c r="H505" i="1"/>
  <c r="F506" i="1"/>
  <c r="G506" i="1"/>
  <c r="H506" i="1"/>
  <c r="F507" i="1"/>
  <c r="G507" i="1"/>
  <c r="H507" i="1"/>
  <c r="F508" i="1"/>
  <c r="G508" i="1"/>
  <c r="H508" i="1"/>
  <c r="F509" i="1"/>
  <c r="G509" i="1"/>
  <c r="H509" i="1"/>
  <c r="F510" i="1"/>
  <c r="G510" i="1"/>
  <c r="H510" i="1"/>
  <c r="F511" i="1"/>
  <c r="G511" i="1"/>
  <c r="H511" i="1"/>
  <c r="F512" i="1"/>
  <c r="G512" i="1"/>
  <c r="H512" i="1"/>
  <c r="F513" i="1"/>
  <c r="G513" i="1"/>
  <c r="H513" i="1"/>
  <c r="F514" i="1"/>
  <c r="G514" i="1"/>
  <c r="H514" i="1"/>
  <c r="F515" i="1"/>
  <c r="G515" i="1"/>
  <c r="H515" i="1"/>
  <c r="F516" i="1"/>
  <c r="G516" i="1"/>
  <c r="H516" i="1"/>
  <c r="F517" i="1"/>
  <c r="G517" i="1"/>
  <c r="H517" i="1"/>
  <c r="F518" i="1"/>
  <c r="G518" i="1"/>
  <c r="H518" i="1"/>
  <c r="F519" i="1"/>
  <c r="G519" i="1"/>
  <c r="H519" i="1"/>
  <c r="F520" i="1"/>
  <c r="G520" i="1"/>
  <c r="H520" i="1"/>
  <c r="F521" i="1"/>
  <c r="G521" i="1"/>
  <c r="H521" i="1"/>
  <c r="F522" i="1"/>
  <c r="G522" i="1"/>
  <c r="H522" i="1"/>
  <c r="F523" i="1"/>
  <c r="G523" i="1"/>
  <c r="H523" i="1"/>
  <c r="F524" i="1"/>
  <c r="G524" i="1"/>
  <c r="H524" i="1"/>
  <c r="F525" i="1"/>
  <c r="G525" i="1"/>
  <c r="H525" i="1"/>
  <c r="F526" i="1"/>
  <c r="G526" i="1"/>
  <c r="H526" i="1"/>
  <c r="F527" i="1"/>
  <c r="G527" i="1"/>
  <c r="H527" i="1"/>
  <c r="F528" i="1"/>
  <c r="G528" i="1"/>
  <c r="H528" i="1"/>
  <c r="F529" i="1"/>
  <c r="G529" i="1"/>
  <c r="H529" i="1"/>
  <c r="F530" i="1"/>
  <c r="G530" i="1"/>
  <c r="H530" i="1"/>
  <c r="F531" i="1"/>
  <c r="G531" i="1"/>
  <c r="H531" i="1"/>
  <c r="F532" i="1"/>
  <c r="G532" i="1"/>
  <c r="H532" i="1"/>
  <c r="F533" i="1"/>
  <c r="G533" i="1"/>
  <c r="H533" i="1"/>
  <c r="F534" i="1"/>
  <c r="G534" i="1"/>
  <c r="H534" i="1"/>
  <c r="F535" i="1"/>
  <c r="G535" i="1"/>
  <c r="H535" i="1"/>
  <c r="F536" i="1"/>
  <c r="G536" i="1"/>
  <c r="H536" i="1"/>
  <c r="F537" i="1"/>
  <c r="G537" i="1"/>
  <c r="H537" i="1"/>
  <c r="F538" i="1"/>
  <c r="G538" i="1"/>
  <c r="H538" i="1"/>
  <c r="F539" i="1"/>
  <c r="G539" i="1"/>
  <c r="H539" i="1"/>
  <c r="F540" i="1"/>
  <c r="G540" i="1"/>
  <c r="H540" i="1"/>
  <c r="F541" i="1"/>
  <c r="G541" i="1"/>
  <c r="H541" i="1"/>
  <c r="F542" i="1"/>
  <c r="G542" i="1"/>
  <c r="H542" i="1"/>
  <c r="F543" i="1"/>
  <c r="G543" i="1"/>
  <c r="H543" i="1"/>
  <c r="F544" i="1"/>
  <c r="G544" i="1"/>
  <c r="H544" i="1"/>
  <c r="F545" i="1"/>
  <c r="G545" i="1"/>
  <c r="H545" i="1"/>
  <c r="F546" i="1"/>
  <c r="G546" i="1"/>
  <c r="H546" i="1"/>
  <c r="F547" i="1"/>
  <c r="G547" i="1"/>
  <c r="H547" i="1"/>
  <c r="F548" i="1"/>
  <c r="G548" i="1"/>
  <c r="H548" i="1"/>
  <c r="F549" i="1"/>
  <c r="G549" i="1"/>
  <c r="H549" i="1"/>
  <c r="F550" i="1"/>
  <c r="G550" i="1"/>
  <c r="H550" i="1"/>
  <c r="F551" i="1"/>
  <c r="G551" i="1"/>
  <c r="H551" i="1"/>
  <c r="F552" i="1"/>
  <c r="G552" i="1"/>
  <c r="H552" i="1"/>
  <c r="F553" i="1"/>
  <c r="G553" i="1"/>
  <c r="H553" i="1"/>
  <c r="F554" i="1"/>
  <c r="G554" i="1"/>
  <c r="H554" i="1"/>
  <c r="F555" i="1"/>
  <c r="G555" i="1"/>
  <c r="H555" i="1"/>
  <c r="F556" i="1"/>
  <c r="G556" i="1"/>
  <c r="H556" i="1"/>
  <c r="F557" i="1"/>
  <c r="G557" i="1"/>
  <c r="H557" i="1"/>
  <c r="F558" i="1"/>
  <c r="G558" i="1"/>
  <c r="H558" i="1"/>
  <c r="F559" i="1"/>
  <c r="G559" i="1"/>
  <c r="H559" i="1"/>
  <c r="F560" i="1"/>
  <c r="G560" i="1"/>
  <c r="H560" i="1"/>
  <c r="F561" i="1"/>
  <c r="G561" i="1"/>
  <c r="H561" i="1"/>
  <c r="F562" i="1"/>
  <c r="G562" i="1"/>
  <c r="H562" i="1"/>
  <c r="F563" i="1"/>
  <c r="G563" i="1"/>
  <c r="H563" i="1"/>
  <c r="F564" i="1"/>
  <c r="G564" i="1"/>
  <c r="H564" i="1"/>
  <c r="F565" i="1"/>
  <c r="G565" i="1"/>
  <c r="H565" i="1"/>
  <c r="F566" i="1"/>
  <c r="G566" i="1"/>
  <c r="H566" i="1"/>
  <c r="F567" i="1"/>
  <c r="G567" i="1"/>
  <c r="H567" i="1"/>
  <c r="F568" i="1"/>
  <c r="G568" i="1"/>
  <c r="H568" i="1"/>
  <c r="F569" i="1"/>
  <c r="G569" i="1"/>
  <c r="H569" i="1"/>
  <c r="F570" i="1"/>
  <c r="G570" i="1"/>
  <c r="H570" i="1"/>
  <c r="F571" i="1"/>
  <c r="G571" i="1"/>
  <c r="H571" i="1"/>
  <c r="F572" i="1"/>
  <c r="G572" i="1"/>
  <c r="H572" i="1"/>
  <c r="F573" i="1"/>
  <c r="G573" i="1"/>
  <c r="H573" i="1"/>
  <c r="F574" i="1"/>
  <c r="G574" i="1"/>
  <c r="H574" i="1"/>
  <c r="F575" i="1"/>
  <c r="G575" i="1"/>
  <c r="H575" i="1"/>
  <c r="F576" i="1"/>
  <c r="G576" i="1"/>
  <c r="H576" i="1"/>
  <c r="F577" i="1"/>
  <c r="G577" i="1"/>
  <c r="H577" i="1"/>
  <c r="F578" i="1"/>
  <c r="G578" i="1"/>
  <c r="H578" i="1"/>
  <c r="F579" i="1"/>
  <c r="G579" i="1"/>
  <c r="H579" i="1"/>
  <c r="F580" i="1"/>
  <c r="G580" i="1"/>
  <c r="H580" i="1"/>
  <c r="F581" i="1"/>
  <c r="G581" i="1"/>
  <c r="H581" i="1"/>
  <c r="F582" i="1"/>
  <c r="G582" i="1"/>
  <c r="H582" i="1"/>
  <c r="F583" i="1"/>
  <c r="G583" i="1"/>
  <c r="H583" i="1"/>
  <c r="F584" i="1"/>
  <c r="G584" i="1"/>
  <c r="H584" i="1"/>
  <c r="F585" i="1"/>
  <c r="G585" i="1"/>
  <c r="H585" i="1"/>
  <c r="F586" i="1"/>
  <c r="G586" i="1"/>
  <c r="H586" i="1"/>
  <c r="F587" i="1"/>
  <c r="G587" i="1"/>
  <c r="H587" i="1"/>
  <c r="F588" i="1"/>
  <c r="G588" i="1"/>
  <c r="H588" i="1"/>
  <c r="F589" i="1"/>
  <c r="G589" i="1"/>
  <c r="H589" i="1"/>
  <c r="F590" i="1"/>
  <c r="G590" i="1"/>
  <c r="H590" i="1"/>
  <c r="F591" i="1"/>
  <c r="G591" i="1"/>
  <c r="H591" i="1"/>
  <c r="F592" i="1"/>
  <c r="G592" i="1"/>
  <c r="H592" i="1"/>
  <c r="F593" i="1"/>
  <c r="G593" i="1"/>
  <c r="H593" i="1"/>
  <c r="F594" i="1"/>
  <c r="G594" i="1"/>
  <c r="H594" i="1"/>
  <c r="F595" i="1"/>
  <c r="G595" i="1"/>
  <c r="H595" i="1"/>
  <c r="F596" i="1"/>
  <c r="G596" i="1"/>
  <c r="H596" i="1"/>
  <c r="F597" i="1"/>
  <c r="G597" i="1"/>
  <c r="H597" i="1"/>
  <c r="F598" i="1"/>
  <c r="G598" i="1"/>
  <c r="H598" i="1"/>
  <c r="F599" i="1"/>
  <c r="G599" i="1"/>
  <c r="H599" i="1"/>
  <c r="F600" i="1"/>
  <c r="G600" i="1"/>
  <c r="H600" i="1"/>
  <c r="F601" i="1"/>
  <c r="G601" i="1"/>
  <c r="H601" i="1"/>
  <c r="F602" i="1"/>
  <c r="G602" i="1"/>
  <c r="H602" i="1"/>
  <c r="F603" i="1"/>
  <c r="G603" i="1"/>
  <c r="H603" i="1"/>
  <c r="F604" i="1"/>
  <c r="G604" i="1"/>
  <c r="H604" i="1"/>
  <c r="F605" i="1"/>
  <c r="G605" i="1"/>
  <c r="H605" i="1"/>
  <c r="F606" i="1"/>
  <c r="G606" i="1"/>
  <c r="H606" i="1"/>
  <c r="F607" i="1"/>
  <c r="G607" i="1"/>
  <c r="H607" i="1"/>
  <c r="F608" i="1"/>
  <c r="G608" i="1"/>
  <c r="H608" i="1"/>
  <c r="F609" i="1"/>
  <c r="G609" i="1"/>
  <c r="H609" i="1"/>
  <c r="F610" i="1"/>
  <c r="G610" i="1"/>
  <c r="H610" i="1"/>
  <c r="F611" i="1"/>
  <c r="G611" i="1"/>
  <c r="H611" i="1"/>
  <c r="F612" i="1"/>
  <c r="G612" i="1"/>
  <c r="H612" i="1"/>
  <c r="F613" i="1"/>
  <c r="G613" i="1"/>
  <c r="H613" i="1"/>
  <c r="F614" i="1"/>
  <c r="G614" i="1"/>
  <c r="H614" i="1"/>
  <c r="F615" i="1"/>
  <c r="G615" i="1"/>
  <c r="H615" i="1"/>
  <c r="F616" i="1"/>
  <c r="G616" i="1"/>
  <c r="H616" i="1"/>
  <c r="F617" i="1"/>
  <c r="G617" i="1"/>
  <c r="H617" i="1"/>
  <c r="F618" i="1"/>
  <c r="G618" i="1"/>
  <c r="H618" i="1"/>
  <c r="F619" i="1"/>
  <c r="G619" i="1"/>
  <c r="H619" i="1"/>
  <c r="F620" i="1"/>
  <c r="G620" i="1"/>
  <c r="H620" i="1"/>
  <c r="F621" i="1"/>
  <c r="G621" i="1"/>
  <c r="H621" i="1"/>
  <c r="F622" i="1"/>
  <c r="G622" i="1"/>
  <c r="H622" i="1"/>
  <c r="F623" i="1"/>
  <c r="G623" i="1"/>
  <c r="H623" i="1"/>
  <c r="F624" i="1"/>
  <c r="G624" i="1"/>
  <c r="H624" i="1"/>
  <c r="F625" i="1"/>
  <c r="G625" i="1"/>
  <c r="H625" i="1"/>
  <c r="F626" i="1"/>
  <c r="G626" i="1"/>
  <c r="H626" i="1"/>
  <c r="F627" i="1"/>
  <c r="G627" i="1"/>
  <c r="H627" i="1"/>
  <c r="F628" i="1"/>
  <c r="G628" i="1"/>
  <c r="H628" i="1"/>
  <c r="F629" i="1"/>
  <c r="G629" i="1"/>
  <c r="H629" i="1"/>
  <c r="F630" i="1"/>
  <c r="G630" i="1"/>
  <c r="H630" i="1"/>
  <c r="F631" i="1"/>
  <c r="G631" i="1"/>
  <c r="H631" i="1"/>
  <c r="F632" i="1"/>
  <c r="G632" i="1"/>
  <c r="H632" i="1"/>
  <c r="F633" i="1"/>
  <c r="G633" i="1"/>
  <c r="H633" i="1"/>
  <c r="F634" i="1"/>
  <c r="G634" i="1"/>
  <c r="H634" i="1"/>
  <c r="F635" i="1"/>
  <c r="G635" i="1"/>
  <c r="H635" i="1"/>
  <c r="F636" i="1"/>
  <c r="G636" i="1"/>
  <c r="H636" i="1"/>
  <c r="F637" i="1"/>
  <c r="G637" i="1"/>
  <c r="H637" i="1"/>
  <c r="F638" i="1"/>
  <c r="G638" i="1"/>
  <c r="H638" i="1"/>
  <c r="F639" i="1"/>
  <c r="G639" i="1"/>
  <c r="H639" i="1"/>
  <c r="F640" i="1"/>
  <c r="G640" i="1"/>
  <c r="H640" i="1"/>
  <c r="F641" i="1"/>
  <c r="G641" i="1"/>
  <c r="H641" i="1"/>
  <c r="F642" i="1"/>
  <c r="G642" i="1"/>
  <c r="H642" i="1"/>
  <c r="F643" i="1"/>
  <c r="G643" i="1"/>
  <c r="H643" i="1"/>
  <c r="F644" i="1"/>
  <c r="G644" i="1"/>
  <c r="H644" i="1"/>
  <c r="F645" i="1"/>
  <c r="G645" i="1"/>
  <c r="H645" i="1"/>
  <c r="F646" i="1"/>
  <c r="G646" i="1"/>
  <c r="H646" i="1"/>
  <c r="F647" i="1"/>
  <c r="G647" i="1"/>
  <c r="H647" i="1"/>
  <c r="F648" i="1"/>
  <c r="G648" i="1"/>
  <c r="H648" i="1"/>
  <c r="F649" i="1"/>
  <c r="G649" i="1"/>
  <c r="H649" i="1"/>
  <c r="F650" i="1"/>
  <c r="G650" i="1"/>
  <c r="H650" i="1"/>
  <c r="F651" i="1"/>
  <c r="G651" i="1"/>
  <c r="H651" i="1"/>
  <c r="F652" i="1"/>
  <c r="G652" i="1"/>
  <c r="H652" i="1"/>
  <c r="F653" i="1"/>
  <c r="G653" i="1"/>
  <c r="H653" i="1"/>
  <c r="F654" i="1"/>
  <c r="G654" i="1"/>
  <c r="H654" i="1"/>
  <c r="F655" i="1"/>
  <c r="G655" i="1"/>
  <c r="H655" i="1"/>
  <c r="F656" i="1"/>
  <c r="G656" i="1"/>
  <c r="H656" i="1"/>
  <c r="F657" i="1"/>
  <c r="G657" i="1"/>
  <c r="H657" i="1"/>
  <c r="F658" i="1"/>
  <c r="G658" i="1"/>
  <c r="H658" i="1"/>
  <c r="F659" i="1"/>
  <c r="G659" i="1"/>
  <c r="H659" i="1"/>
  <c r="F660" i="1"/>
  <c r="G660" i="1"/>
  <c r="H660" i="1"/>
  <c r="F661" i="1"/>
  <c r="G661" i="1"/>
  <c r="H661" i="1"/>
  <c r="F662" i="1"/>
  <c r="G662" i="1"/>
  <c r="H662" i="1"/>
  <c r="F663" i="1"/>
  <c r="G663" i="1"/>
  <c r="H663" i="1"/>
  <c r="F664" i="1"/>
  <c r="G664" i="1"/>
  <c r="H664" i="1"/>
  <c r="F665" i="1"/>
  <c r="G665" i="1"/>
  <c r="H665" i="1"/>
  <c r="F666" i="1"/>
  <c r="G666" i="1"/>
  <c r="H666" i="1"/>
  <c r="F667" i="1"/>
  <c r="G667" i="1"/>
  <c r="H667" i="1"/>
  <c r="F668" i="1"/>
  <c r="G668" i="1"/>
  <c r="H668" i="1"/>
  <c r="F669" i="1"/>
  <c r="G669" i="1"/>
  <c r="H669" i="1"/>
  <c r="F670" i="1"/>
  <c r="G670" i="1"/>
  <c r="H670" i="1"/>
  <c r="F671" i="1"/>
  <c r="G671" i="1"/>
  <c r="H671" i="1"/>
  <c r="F672" i="1"/>
  <c r="G672" i="1"/>
  <c r="H672" i="1"/>
  <c r="F673" i="1"/>
  <c r="G673" i="1"/>
  <c r="H673" i="1"/>
  <c r="F674" i="1"/>
  <c r="G674" i="1"/>
  <c r="H674" i="1"/>
  <c r="F675" i="1"/>
  <c r="G675" i="1"/>
  <c r="H675" i="1"/>
  <c r="F676" i="1"/>
  <c r="G676" i="1"/>
  <c r="H676" i="1"/>
  <c r="F677" i="1"/>
  <c r="G677" i="1"/>
  <c r="H677" i="1"/>
  <c r="F678" i="1"/>
  <c r="G678" i="1"/>
  <c r="H678" i="1"/>
  <c r="F679" i="1"/>
  <c r="G679" i="1"/>
  <c r="H679" i="1"/>
  <c r="F680" i="1"/>
  <c r="G680" i="1"/>
  <c r="H680" i="1"/>
  <c r="F681" i="1"/>
  <c r="G681" i="1"/>
  <c r="H681" i="1"/>
  <c r="F682" i="1"/>
  <c r="G682" i="1"/>
  <c r="H682" i="1"/>
  <c r="F683" i="1"/>
  <c r="G683" i="1"/>
  <c r="H683" i="1"/>
  <c r="F684" i="1"/>
  <c r="G684" i="1"/>
  <c r="H684" i="1"/>
  <c r="F685" i="1"/>
  <c r="G685" i="1"/>
  <c r="H685" i="1"/>
  <c r="F686" i="1"/>
  <c r="G686" i="1"/>
  <c r="H686" i="1"/>
  <c r="F687" i="1"/>
  <c r="G687" i="1"/>
  <c r="H687" i="1"/>
  <c r="F688" i="1"/>
  <c r="G688" i="1"/>
  <c r="H688" i="1"/>
  <c r="F689" i="1"/>
  <c r="G689" i="1"/>
  <c r="H689" i="1"/>
  <c r="F690" i="1"/>
  <c r="G690" i="1"/>
  <c r="H690" i="1"/>
  <c r="F691" i="1"/>
  <c r="G691" i="1"/>
  <c r="H691" i="1"/>
  <c r="F692" i="1"/>
  <c r="G692" i="1"/>
  <c r="H692" i="1"/>
  <c r="F693" i="1"/>
  <c r="G693" i="1"/>
  <c r="H693" i="1"/>
  <c r="F694" i="1"/>
  <c r="G694" i="1"/>
  <c r="H694" i="1"/>
  <c r="F695" i="1"/>
  <c r="G695" i="1"/>
  <c r="H695" i="1"/>
  <c r="F696" i="1"/>
  <c r="G696" i="1"/>
  <c r="H696" i="1"/>
  <c r="F697" i="1"/>
  <c r="G697" i="1"/>
  <c r="H697" i="1"/>
  <c r="F698" i="1"/>
  <c r="G698" i="1"/>
  <c r="H698" i="1"/>
  <c r="F699" i="1"/>
  <c r="G699" i="1"/>
  <c r="H699" i="1"/>
  <c r="F700" i="1"/>
  <c r="G700" i="1"/>
  <c r="H700" i="1"/>
  <c r="F701" i="1"/>
  <c r="G701" i="1"/>
  <c r="H701" i="1"/>
  <c r="F702" i="1"/>
  <c r="G702" i="1"/>
  <c r="H702" i="1"/>
  <c r="F703" i="1"/>
  <c r="G703" i="1"/>
  <c r="H703" i="1"/>
  <c r="F704" i="1"/>
  <c r="G704" i="1"/>
  <c r="H704" i="1"/>
  <c r="F705" i="1"/>
  <c r="G705" i="1"/>
  <c r="H705" i="1"/>
  <c r="F706" i="1"/>
  <c r="G706" i="1"/>
  <c r="H706" i="1"/>
  <c r="F707" i="1"/>
  <c r="G707" i="1"/>
  <c r="H707" i="1"/>
  <c r="F708" i="1"/>
  <c r="G708" i="1"/>
  <c r="H708" i="1"/>
  <c r="F709" i="1"/>
  <c r="G709" i="1"/>
  <c r="H709" i="1"/>
  <c r="F710" i="1"/>
  <c r="G710" i="1"/>
  <c r="H710" i="1"/>
  <c r="F711" i="1"/>
  <c r="G711" i="1"/>
  <c r="H711" i="1"/>
  <c r="F712" i="1"/>
  <c r="G712" i="1"/>
  <c r="H712" i="1"/>
  <c r="F713" i="1"/>
  <c r="G713" i="1"/>
  <c r="H713" i="1"/>
  <c r="F714" i="1"/>
  <c r="G714" i="1"/>
  <c r="H714" i="1"/>
  <c r="F715" i="1"/>
  <c r="G715" i="1"/>
  <c r="H715" i="1"/>
  <c r="F716" i="1"/>
  <c r="G716" i="1"/>
  <c r="H716" i="1"/>
  <c r="F717" i="1"/>
  <c r="G717" i="1"/>
  <c r="H717" i="1"/>
  <c r="F718" i="1"/>
  <c r="G718" i="1"/>
  <c r="H718" i="1"/>
  <c r="F719" i="1"/>
  <c r="G719" i="1"/>
  <c r="H719" i="1"/>
  <c r="F720" i="1"/>
  <c r="G720" i="1"/>
  <c r="H720" i="1"/>
  <c r="F721" i="1"/>
  <c r="G721" i="1"/>
  <c r="H721" i="1"/>
  <c r="F722" i="1"/>
  <c r="G722" i="1"/>
  <c r="H722" i="1"/>
  <c r="F723" i="1"/>
  <c r="G723" i="1"/>
  <c r="H723" i="1"/>
  <c r="F724" i="1"/>
  <c r="G724" i="1"/>
  <c r="H724" i="1"/>
  <c r="F725" i="1"/>
  <c r="G725" i="1"/>
  <c r="H725" i="1"/>
  <c r="F726" i="1"/>
  <c r="G726" i="1"/>
  <c r="H726" i="1"/>
  <c r="F727" i="1"/>
  <c r="G727" i="1"/>
  <c r="H727" i="1"/>
  <c r="F728" i="1"/>
  <c r="G728" i="1"/>
  <c r="H728" i="1"/>
  <c r="F729" i="1"/>
  <c r="G729" i="1"/>
  <c r="H729" i="1"/>
  <c r="F730" i="1"/>
  <c r="G730" i="1"/>
  <c r="H730" i="1"/>
  <c r="F731" i="1"/>
  <c r="G731" i="1"/>
  <c r="H731" i="1"/>
  <c r="F732" i="1"/>
  <c r="G732" i="1"/>
  <c r="H732" i="1"/>
  <c r="F733" i="1"/>
  <c r="G733" i="1"/>
  <c r="H733" i="1"/>
  <c r="F734" i="1"/>
  <c r="G734" i="1"/>
  <c r="H734" i="1"/>
  <c r="F735" i="1"/>
  <c r="G735" i="1"/>
  <c r="H735" i="1"/>
  <c r="F736" i="1"/>
  <c r="G736" i="1"/>
  <c r="H736" i="1"/>
  <c r="F737" i="1"/>
  <c r="G737" i="1"/>
  <c r="H737" i="1"/>
  <c r="F738" i="1"/>
  <c r="G738" i="1"/>
  <c r="H738" i="1"/>
  <c r="F739" i="1"/>
  <c r="G739" i="1"/>
  <c r="H739" i="1"/>
  <c r="F740" i="1"/>
  <c r="G740" i="1"/>
  <c r="H740" i="1"/>
  <c r="F741" i="1"/>
  <c r="G741" i="1"/>
  <c r="H741" i="1"/>
  <c r="F742" i="1"/>
  <c r="G742" i="1"/>
  <c r="H742" i="1"/>
  <c r="F743" i="1"/>
  <c r="G743" i="1"/>
  <c r="H743" i="1"/>
  <c r="F744" i="1"/>
  <c r="G744" i="1"/>
  <c r="H744" i="1"/>
  <c r="F745" i="1"/>
  <c r="G745" i="1"/>
  <c r="H745" i="1"/>
  <c r="F746" i="1"/>
  <c r="G746" i="1"/>
  <c r="H746" i="1"/>
  <c r="F747" i="1"/>
  <c r="G747" i="1"/>
  <c r="H747" i="1"/>
  <c r="F748" i="1"/>
  <c r="G748" i="1"/>
  <c r="H748" i="1"/>
  <c r="F749" i="1"/>
  <c r="G749" i="1"/>
  <c r="H749" i="1"/>
  <c r="F750" i="1"/>
  <c r="G750" i="1"/>
  <c r="H750" i="1"/>
  <c r="F751" i="1"/>
  <c r="G751" i="1"/>
  <c r="H751" i="1"/>
  <c r="F752" i="1"/>
  <c r="G752" i="1"/>
  <c r="H752" i="1"/>
  <c r="F753" i="1"/>
  <c r="G753" i="1"/>
  <c r="H753" i="1"/>
  <c r="F754" i="1"/>
  <c r="G754" i="1"/>
  <c r="H754" i="1"/>
  <c r="F755" i="1"/>
  <c r="G755" i="1"/>
  <c r="H755" i="1"/>
  <c r="F756" i="1"/>
  <c r="G756" i="1"/>
  <c r="H756" i="1"/>
  <c r="F757" i="1"/>
  <c r="G757" i="1"/>
  <c r="H757" i="1"/>
  <c r="F758" i="1"/>
  <c r="G758" i="1"/>
  <c r="H758" i="1"/>
  <c r="F759" i="1"/>
  <c r="G759" i="1"/>
  <c r="H759" i="1"/>
  <c r="F760" i="1"/>
  <c r="G760" i="1"/>
  <c r="H760" i="1"/>
  <c r="F761" i="1"/>
  <c r="G761" i="1"/>
  <c r="H761" i="1"/>
  <c r="F762" i="1"/>
  <c r="G762" i="1"/>
  <c r="H762" i="1"/>
  <c r="F763" i="1"/>
  <c r="G763" i="1"/>
  <c r="H763" i="1"/>
  <c r="F764" i="1"/>
  <c r="G764" i="1"/>
  <c r="H764" i="1"/>
  <c r="F765" i="1"/>
  <c r="G765" i="1"/>
  <c r="H765" i="1"/>
  <c r="F766" i="1"/>
  <c r="G766" i="1"/>
  <c r="H766" i="1"/>
  <c r="F767" i="1"/>
  <c r="G767" i="1"/>
  <c r="H767" i="1"/>
  <c r="F768" i="1"/>
  <c r="G768" i="1"/>
  <c r="H768" i="1"/>
  <c r="F769" i="1"/>
  <c r="G769" i="1"/>
  <c r="H769" i="1"/>
  <c r="F770" i="1"/>
  <c r="G770" i="1"/>
  <c r="H770" i="1"/>
  <c r="F771" i="1"/>
  <c r="G771" i="1"/>
  <c r="H771" i="1"/>
  <c r="F772" i="1"/>
  <c r="G772" i="1"/>
  <c r="H772" i="1"/>
  <c r="F773" i="1"/>
  <c r="G773" i="1"/>
  <c r="H773" i="1"/>
  <c r="F774" i="1"/>
  <c r="G774" i="1"/>
  <c r="H774" i="1"/>
  <c r="F775" i="1"/>
  <c r="G775" i="1"/>
  <c r="H775" i="1"/>
  <c r="F776" i="1"/>
  <c r="G776" i="1"/>
  <c r="H776" i="1"/>
  <c r="F777" i="1"/>
  <c r="G777" i="1"/>
  <c r="H777" i="1"/>
  <c r="F778" i="1"/>
  <c r="G778" i="1"/>
  <c r="H778" i="1"/>
  <c r="F779" i="1"/>
  <c r="G779" i="1"/>
  <c r="H779" i="1"/>
  <c r="F780" i="1"/>
  <c r="G780" i="1"/>
  <c r="H780" i="1"/>
  <c r="F781" i="1"/>
  <c r="G781" i="1"/>
  <c r="H781" i="1"/>
  <c r="F782" i="1"/>
  <c r="G782" i="1"/>
  <c r="H782" i="1"/>
  <c r="F783" i="1"/>
  <c r="G783" i="1"/>
  <c r="H783" i="1"/>
  <c r="F784" i="1"/>
  <c r="G784" i="1"/>
  <c r="H784" i="1"/>
  <c r="F785" i="1"/>
  <c r="G785" i="1"/>
  <c r="H785" i="1"/>
  <c r="F786" i="1"/>
  <c r="G786" i="1"/>
  <c r="H786" i="1"/>
  <c r="F787" i="1"/>
  <c r="G787" i="1"/>
  <c r="H787" i="1"/>
  <c r="F788" i="1"/>
  <c r="G788" i="1"/>
  <c r="H788" i="1"/>
  <c r="F789" i="1"/>
  <c r="G789" i="1"/>
  <c r="H789" i="1"/>
  <c r="F790" i="1"/>
  <c r="G790" i="1"/>
  <c r="H790" i="1"/>
  <c r="F791" i="1"/>
  <c r="G791" i="1"/>
  <c r="H791" i="1"/>
  <c r="F792" i="1"/>
  <c r="G792" i="1"/>
  <c r="H792" i="1"/>
  <c r="F793" i="1"/>
  <c r="G793" i="1"/>
  <c r="H793" i="1"/>
  <c r="F794" i="1"/>
  <c r="G794" i="1"/>
  <c r="H794" i="1"/>
  <c r="F795" i="1"/>
  <c r="G795" i="1"/>
  <c r="H795" i="1"/>
  <c r="F796" i="1"/>
  <c r="G796" i="1"/>
  <c r="H796" i="1"/>
  <c r="F797" i="1"/>
  <c r="G797" i="1"/>
  <c r="H797" i="1"/>
  <c r="F798" i="1"/>
  <c r="G798" i="1"/>
  <c r="H798" i="1"/>
  <c r="F799" i="1"/>
  <c r="G799" i="1"/>
  <c r="H799" i="1"/>
  <c r="F800" i="1"/>
  <c r="G800" i="1"/>
  <c r="H800" i="1"/>
  <c r="F801" i="1"/>
  <c r="G801" i="1"/>
  <c r="H801" i="1"/>
  <c r="F802" i="1"/>
  <c r="G802" i="1"/>
  <c r="H802" i="1"/>
  <c r="F803" i="1"/>
  <c r="G803" i="1"/>
  <c r="H803" i="1"/>
  <c r="F804" i="1"/>
  <c r="G804" i="1"/>
  <c r="H804" i="1"/>
  <c r="F805" i="1"/>
  <c r="G805" i="1"/>
  <c r="H805" i="1"/>
  <c r="F806" i="1"/>
  <c r="G806" i="1"/>
  <c r="H806" i="1"/>
  <c r="F807" i="1"/>
  <c r="G807" i="1"/>
  <c r="H807" i="1"/>
  <c r="F808" i="1"/>
  <c r="G808" i="1"/>
  <c r="H808" i="1"/>
  <c r="F809" i="1"/>
  <c r="G809" i="1"/>
  <c r="H809" i="1"/>
  <c r="F810" i="1"/>
  <c r="G810" i="1"/>
  <c r="H810" i="1"/>
  <c r="F811" i="1"/>
  <c r="G811" i="1"/>
  <c r="H811" i="1"/>
  <c r="F812" i="1"/>
  <c r="G812" i="1"/>
  <c r="H812" i="1"/>
  <c r="F813" i="1"/>
  <c r="G813" i="1"/>
  <c r="H813" i="1"/>
  <c r="F814" i="1"/>
  <c r="G814" i="1"/>
  <c r="H814" i="1"/>
  <c r="F815" i="1"/>
  <c r="G815" i="1"/>
  <c r="H815" i="1"/>
  <c r="F816" i="1"/>
  <c r="G816" i="1"/>
  <c r="H816" i="1"/>
  <c r="F817" i="1"/>
  <c r="G817" i="1"/>
  <c r="H817" i="1"/>
  <c r="F818" i="1"/>
  <c r="G818" i="1"/>
  <c r="H818" i="1"/>
  <c r="F819" i="1"/>
  <c r="G819" i="1"/>
  <c r="H819" i="1"/>
  <c r="F820" i="1"/>
  <c r="G820" i="1"/>
  <c r="H820" i="1"/>
  <c r="F821" i="1"/>
  <c r="G821" i="1"/>
  <c r="H821" i="1"/>
  <c r="F822" i="1"/>
  <c r="G822" i="1"/>
  <c r="H822" i="1"/>
  <c r="F823" i="1"/>
  <c r="G823" i="1"/>
  <c r="H823" i="1"/>
  <c r="F824" i="1"/>
  <c r="G824" i="1"/>
  <c r="H824" i="1"/>
  <c r="F825" i="1"/>
  <c r="G825" i="1"/>
  <c r="H825" i="1"/>
  <c r="F826" i="1"/>
  <c r="G826" i="1"/>
  <c r="H826" i="1"/>
  <c r="F827" i="1"/>
  <c r="G827" i="1"/>
  <c r="H827" i="1"/>
  <c r="F828" i="1"/>
  <c r="G828" i="1"/>
  <c r="H828" i="1"/>
  <c r="F829" i="1"/>
  <c r="G829" i="1"/>
  <c r="H829" i="1"/>
  <c r="F830" i="1"/>
  <c r="G830" i="1"/>
  <c r="H830" i="1"/>
  <c r="F831" i="1"/>
  <c r="G831" i="1"/>
  <c r="H831" i="1"/>
  <c r="F832" i="1"/>
  <c r="G832" i="1"/>
  <c r="H832" i="1"/>
  <c r="F833" i="1"/>
  <c r="G833" i="1"/>
  <c r="H833" i="1"/>
  <c r="F834" i="1"/>
  <c r="G834" i="1"/>
  <c r="H834" i="1"/>
  <c r="F835" i="1"/>
  <c r="G835" i="1"/>
  <c r="H835" i="1"/>
  <c r="F836" i="1"/>
  <c r="G836" i="1"/>
  <c r="H836" i="1"/>
  <c r="F837" i="1"/>
  <c r="G837" i="1"/>
  <c r="H837" i="1"/>
  <c r="F838" i="1"/>
  <c r="G838" i="1"/>
  <c r="H838" i="1"/>
  <c r="F839" i="1"/>
  <c r="G839" i="1"/>
  <c r="H839" i="1"/>
  <c r="F840" i="1"/>
  <c r="G840" i="1"/>
  <c r="H840" i="1"/>
  <c r="F841" i="1"/>
  <c r="G841" i="1"/>
  <c r="H841" i="1"/>
  <c r="F842" i="1"/>
  <c r="G842" i="1"/>
  <c r="H842" i="1"/>
  <c r="F843" i="1"/>
  <c r="G843" i="1"/>
  <c r="H843" i="1"/>
  <c r="F844" i="1"/>
  <c r="G844" i="1"/>
  <c r="H844" i="1"/>
  <c r="F845" i="1"/>
  <c r="G845" i="1"/>
  <c r="H845" i="1"/>
  <c r="F846" i="1"/>
  <c r="G846" i="1"/>
  <c r="H846" i="1"/>
  <c r="F847" i="1"/>
  <c r="G847" i="1"/>
  <c r="H847" i="1"/>
  <c r="F848" i="1"/>
  <c r="G848" i="1"/>
  <c r="H848" i="1"/>
  <c r="F849" i="1"/>
  <c r="G849" i="1"/>
  <c r="H849" i="1"/>
  <c r="F850" i="1"/>
  <c r="G850" i="1"/>
  <c r="H850" i="1"/>
  <c r="F851" i="1"/>
  <c r="G851" i="1"/>
  <c r="H851" i="1"/>
  <c r="F852" i="1"/>
  <c r="G852" i="1"/>
  <c r="H852" i="1"/>
  <c r="F853" i="1"/>
  <c r="G853" i="1"/>
  <c r="H853" i="1"/>
  <c r="F854" i="1"/>
  <c r="G854" i="1"/>
  <c r="H854" i="1"/>
  <c r="F855" i="1"/>
  <c r="G855" i="1"/>
  <c r="H855" i="1"/>
  <c r="F856" i="1"/>
  <c r="G856" i="1"/>
  <c r="H856" i="1"/>
  <c r="F857" i="1"/>
  <c r="G857" i="1"/>
  <c r="H857" i="1"/>
  <c r="F858" i="1"/>
  <c r="G858" i="1"/>
  <c r="H858" i="1"/>
  <c r="F859" i="1"/>
  <c r="G859" i="1"/>
  <c r="H859" i="1"/>
  <c r="F860" i="1"/>
  <c r="G860" i="1"/>
  <c r="H860" i="1"/>
  <c r="F861" i="1"/>
  <c r="G861" i="1"/>
  <c r="H861" i="1"/>
  <c r="F862" i="1"/>
  <c r="G862" i="1"/>
  <c r="H862" i="1"/>
  <c r="F863" i="1"/>
  <c r="G863" i="1"/>
  <c r="H863" i="1"/>
  <c r="F864" i="1"/>
  <c r="G864" i="1"/>
  <c r="H864" i="1"/>
  <c r="F865" i="1"/>
  <c r="G865" i="1"/>
  <c r="H865" i="1"/>
  <c r="F866" i="1"/>
  <c r="G866" i="1"/>
  <c r="H866" i="1"/>
  <c r="F867" i="1"/>
  <c r="G867" i="1"/>
  <c r="H867" i="1"/>
  <c r="F868" i="1"/>
  <c r="G868" i="1"/>
  <c r="H868" i="1"/>
  <c r="F869" i="1"/>
  <c r="G869" i="1"/>
  <c r="H869" i="1"/>
  <c r="F870" i="1"/>
  <c r="G870" i="1"/>
  <c r="H870" i="1"/>
  <c r="F871" i="1"/>
  <c r="G871" i="1"/>
  <c r="H871" i="1"/>
  <c r="F872" i="1"/>
  <c r="G872" i="1"/>
  <c r="H872" i="1"/>
  <c r="F873" i="1"/>
  <c r="G873" i="1"/>
  <c r="H873" i="1"/>
  <c r="F874" i="1"/>
  <c r="G874" i="1"/>
  <c r="H874" i="1"/>
  <c r="F875" i="1"/>
  <c r="G875" i="1"/>
  <c r="H875" i="1"/>
  <c r="F876" i="1"/>
  <c r="G876" i="1"/>
  <c r="H876" i="1"/>
  <c r="F877" i="1"/>
  <c r="G877" i="1"/>
  <c r="H877" i="1"/>
  <c r="F878" i="1"/>
  <c r="G878" i="1"/>
  <c r="H878" i="1"/>
  <c r="F879" i="1"/>
  <c r="G879" i="1"/>
  <c r="H879" i="1"/>
  <c r="F880" i="1"/>
  <c r="G880" i="1"/>
  <c r="H880" i="1"/>
  <c r="F881" i="1"/>
  <c r="G881" i="1"/>
  <c r="H881" i="1"/>
  <c r="F882" i="1"/>
  <c r="G882" i="1"/>
  <c r="H882" i="1"/>
  <c r="F883" i="1"/>
  <c r="G883" i="1"/>
  <c r="H883" i="1"/>
  <c r="F884" i="1"/>
  <c r="G884" i="1"/>
  <c r="H884" i="1"/>
  <c r="F885" i="1"/>
  <c r="G885" i="1"/>
  <c r="H885" i="1"/>
  <c r="F886" i="1"/>
  <c r="G886" i="1"/>
  <c r="H886" i="1"/>
  <c r="F887" i="1"/>
  <c r="G887" i="1"/>
  <c r="H887" i="1"/>
  <c r="F888" i="1"/>
  <c r="G888" i="1"/>
  <c r="H888" i="1"/>
  <c r="F889" i="1"/>
  <c r="G889" i="1"/>
  <c r="H889" i="1"/>
  <c r="F890" i="1"/>
  <c r="G890" i="1"/>
  <c r="H890" i="1"/>
  <c r="F891" i="1"/>
  <c r="G891" i="1"/>
  <c r="H891" i="1"/>
  <c r="F892" i="1"/>
  <c r="G892" i="1"/>
  <c r="H892" i="1"/>
  <c r="F893" i="1"/>
  <c r="G893" i="1"/>
  <c r="H893" i="1"/>
  <c r="F894" i="1"/>
  <c r="G894" i="1"/>
  <c r="H894" i="1"/>
  <c r="F895" i="1"/>
  <c r="G895" i="1"/>
  <c r="H895" i="1"/>
  <c r="F896" i="1"/>
  <c r="G896" i="1"/>
  <c r="H896" i="1"/>
  <c r="F897" i="1"/>
  <c r="G897" i="1"/>
  <c r="H897" i="1"/>
  <c r="F898" i="1"/>
  <c r="G898" i="1"/>
  <c r="H898" i="1"/>
  <c r="F899" i="1"/>
  <c r="G899" i="1"/>
  <c r="H899" i="1"/>
  <c r="F900" i="1"/>
  <c r="G900" i="1"/>
  <c r="H900" i="1"/>
  <c r="F901" i="1"/>
  <c r="G901" i="1"/>
  <c r="H901" i="1"/>
  <c r="F902" i="1"/>
  <c r="G902" i="1"/>
  <c r="H902" i="1"/>
  <c r="F903" i="1"/>
  <c r="G903" i="1"/>
  <c r="H903" i="1"/>
  <c r="F904" i="1"/>
  <c r="G904" i="1"/>
  <c r="H904" i="1"/>
  <c r="F905" i="1"/>
  <c r="G905" i="1"/>
  <c r="H905" i="1"/>
  <c r="F906" i="1"/>
  <c r="G906" i="1"/>
  <c r="H906" i="1"/>
  <c r="F907" i="1"/>
  <c r="G907" i="1"/>
  <c r="H907" i="1"/>
  <c r="F908" i="1"/>
  <c r="G908" i="1"/>
  <c r="H908" i="1"/>
  <c r="F909" i="1"/>
  <c r="G909" i="1"/>
  <c r="H909" i="1"/>
  <c r="F910" i="1"/>
  <c r="G910" i="1"/>
  <c r="H910" i="1"/>
  <c r="F911" i="1"/>
  <c r="G911" i="1"/>
  <c r="H911" i="1"/>
  <c r="F912" i="1"/>
  <c r="G912" i="1"/>
  <c r="H912" i="1"/>
  <c r="F913" i="1"/>
  <c r="G913" i="1"/>
  <c r="H913" i="1"/>
  <c r="F914" i="1"/>
  <c r="G914" i="1"/>
  <c r="H914" i="1"/>
  <c r="F915" i="1"/>
  <c r="G915" i="1"/>
  <c r="H915" i="1"/>
  <c r="F916" i="1"/>
  <c r="G916" i="1"/>
  <c r="H916" i="1"/>
  <c r="F917" i="1"/>
  <c r="G917" i="1"/>
  <c r="H917" i="1"/>
  <c r="F918" i="1"/>
  <c r="G918" i="1"/>
  <c r="H918" i="1"/>
  <c r="F919" i="1"/>
  <c r="G919" i="1"/>
  <c r="H919" i="1"/>
  <c r="F920" i="1"/>
  <c r="G920" i="1"/>
  <c r="H920" i="1"/>
  <c r="F921" i="1"/>
  <c r="G921" i="1"/>
  <c r="H921" i="1"/>
  <c r="F922" i="1"/>
  <c r="G922" i="1"/>
  <c r="H922" i="1"/>
  <c r="F923" i="1"/>
  <c r="G923" i="1"/>
  <c r="H923" i="1"/>
  <c r="F924" i="1"/>
  <c r="G924" i="1"/>
  <c r="H924" i="1"/>
  <c r="F925" i="1"/>
  <c r="G925" i="1"/>
  <c r="H925" i="1"/>
  <c r="F926" i="1"/>
  <c r="G926" i="1"/>
  <c r="H926" i="1"/>
  <c r="F927" i="1"/>
  <c r="G927" i="1"/>
  <c r="H927" i="1"/>
  <c r="F928" i="1"/>
  <c r="G928" i="1"/>
  <c r="H928" i="1"/>
  <c r="F929" i="1"/>
  <c r="G929" i="1"/>
  <c r="H929" i="1"/>
  <c r="F930" i="1"/>
  <c r="G930" i="1"/>
  <c r="H930" i="1"/>
  <c r="F931" i="1"/>
  <c r="G931" i="1"/>
  <c r="H931" i="1"/>
  <c r="F932" i="1"/>
  <c r="G932" i="1"/>
  <c r="H932" i="1"/>
  <c r="F933" i="1"/>
  <c r="G933" i="1"/>
  <c r="H933" i="1"/>
  <c r="F934" i="1"/>
  <c r="G934" i="1"/>
  <c r="H934" i="1"/>
  <c r="F935" i="1"/>
  <c r="G935" i="1"/>
  <c r="H935" i="1"/>
  <c r="F936" i="1"/>
  <c r="G936" i="1"/>
  <c r="H936" i="1"/>
  <c r="F937" i="1"/>
  <c r="G937" i="1"/>
  <c r="H937" i="1"/>
  <c r="F938" i="1"/>
  <c r="G938" i="1"/>
  <c r="H938" i="1"/>
  <c r="F939" i="1"/>
  <c r="G939" i="1"/>
  <c r="H939" i="1"/>
  <c r="F940" i="1"/>
  <c r="G940" i="1"/>
  <c r="H940" i="1"/>
  <c r="F941" i="1"/>
  <c r="G941" i="1"/>
  <c r="H941" i="1"/>
  <c r="F942" i="1"/>
  <c r="G942" i="1"/>
  <c r="H942" i="1"/>
  <c r="F943" i="1"/>
  <c r="G943" i="1"/>
  <c r="H943" i="1"/>
  <c r="F944" i="1"/>
  <c r="G944" i="1"/>
  <c r="H944" i="1"/>
  <c r="F945" i="1"/>
  <c r="G945" i="1"/>
  <c r="H945" i="1"/>
  <c r="F946" i="1"/>
  <c r="G946" i="1"/>
  <c r="H946" i="1"/>
  <c r="F947" i="1"/>
  <c r="G947" i="1"/>
  <c r="H947" i="1"/>
  <c r="F948" i="1"/>
  <c r="G948" i="1"/>
  <c r="H948" i="1"/>
  <c r="F949" i="1"/>
  <c r="G949" i="1"/>
  <c r="H949" i="1"/>
  <c r="F950" i="1"/>
  <c r="G950" i="1"/>
  <c r="H950" i="1"/>
  <c r="F951" i="1"/>
  <c r="G951" i="1"/>
  <c r="H951" i="1"/>
  <c r="F952" i="1"/>
  <c r="G952" i="1"/>
  <c r="H952" i="1"/>
  <c r="F953" i="1"/>
  <c r="G953" i="1"/>
  <c r="H953" i="1"/>
  <c r="F954" i="1"/>
  <c r="G954" i="1"/>
  <c r="H954" i="1"/>
  <c r="F955" i="1"/>
  <c r="G955" i="1"/>
  <c r="H955" i="1"/>
  <c r="F956" i="1"/>
  <c r="G956" i="1"/>
  <c r="H956" i="1"/>
  <c r="F957" i="1"/>
  <c r="G957" i="1"/>
  <c r="H957" i="1"/>
  <c r="F958" i="1"/>
  <c r="G958" i="1"/>
  <c r="H958" i="1"/>
  <c r="F959" i="1"/>
  <c r="G959" i="1"/>
  <c r="H959" i="1"/>
  <c r="F960" i="1"/>
  <c r="G960" i="1"/>
  <c r="H960" i="1"/>
  <c r="F961" i="1"/>
  <c r="G961" i="1"/>
  <c r="H961" i="1"/>
  <c r="F962" i="1"/>
  <c r="G962" i="1"/>
  <c r="H962" i="1"/>
  <c r="F963" i="1"/>
  <c r="G963" i="1"/>
  <c r="H963" i="1"/>
  <c r="F964" i="1"/>
  <c r="G964" i="1"/>
  <c r="H964" i="1"/>
  <c r="F965" i="1"/>
  <c r="G965" i="1"/>
  <c r="H965" i="1"/>
  <c r="F966" i="1"/>
  <c r="G966" i="1"/>
  <c r="H966" i="1"/>
  <c r="F967" i="1"/>
  <c r="G967" i="1"/>
  <c r="H967" i="1"/>
  <c r="F968" i="1"/>
  <c r="G968" i="1"/>
  <c r="H968" i="1"/>
  <c r="F969" i="1"/>
  <c r="G969" i="1"/>
  <c r="H969" i="1"/>
  <c r="F970" i="1"/>
  <c r="G970" i="1"/>
  <c r="H970" i="1"/>
  <c r="F971" i="1"/>
  <c r="G971" i="1"/>
  <c r="H971" i="1"/>
  <c r="F972" i="1"/>
  <c r="G972" i="1"/>
  <c r="H972" i="1"/>
  <c r="F973" i="1"/>
  <c r="G973" i="1"/>
  <c r="H973" i="1"/>
  <c r="F974" i="1"/>
  <c r="G974" i="1"/>
  <c r="H974" i="1"/>
  <c r="F975" i="1"/>
  <c r="G975" i="1"/>
  <c r="H975" i="1"/>
  <c r="F976" i="1"/>
  <c r="G976" i="1"/>
  <c r="H976" i="1"/>
  <c r="F977" i="1"/>
  <c r="G977" i="1"/>
  <c r="H977" i="1"/>
  <c r="F978" i="1"/>
  <c r="G978" i="1"/>
  <c r="H978" i="1"/>
  <c r="F979" i="1"/>
  <c r="G979" i="1"/>
  <c r="H979" i="1"/>
  <c r="F980" i="1"/>
  <c r="G980" i="1"/>
  <c r="H980" i="1"/>
  <c r="F981" i="1"/>
  <c r="G981" i="1"/>
  <c r="H981" i="1"/>
  <c r="F982" i="1"/>
  <c r="G982" i="1"/>
  <c r="H982" i="1"/>
  <c r="F983" i="1"/>
  <c r="G983" i="1"/>
  <c r="H983" i="1"/>
  <c r="F984" i="1"/>
  <c r="G984" i="1"/>
  <c r="H984" i="1"/>
  <c r="F985" i="1"/>
  <c r="G985" i="1"/>
  <c r="H985" i="1"/>
  <c r="F986" i="1"/>
  <c r="G986" i="1"/>
  <c r="H986" i="1"/>
  <c r="F987" i="1"/>
  <c r="G987" i="1"/>
  <c r="H987" i="1"/>
  <c r="F988" i="1"/>
  <c r="G988" i="1"/>
  <c r="H988" i="1"/>
  <c r="F989" i="1"/>
  <c r="G989" i="1"/>
  <c r="H989" i="1"/>
  <c r="F990" i="1"/>
  <c r="G990" i="1"/>
  <c r="H990" i="1"/>
  <c r="F991" i="1"/>
  <c r="G991" i="1"/>
  <c r="H991" i="1"/>
  <c r="F992" i="1"/>
  <c r="G992" i="1"/>
  <c r="H992" i="1"/>
  <c r="F993" i="1"/>
  <c r="G993" i="1"/>
  <c r="H993" i="1"/>
  <c r="F994" i="1"/>
  <c r="G994" i="1"/>
  <c r="H994" i="1"/>
  <c r="F995" i="1"/>
  <c r="G995" i="1"/>
  <c r="H995" i="1"/>
  <c r="F996" i="1"/>
  <c r="G996" i="1"/>
  <c r="H996" i="1"/>
  <c r="F997" i="1"/>
  <c r="G997" i="1"/>
  <c r="H997" i="1"/>
  <c r="F998" i="1"/>
  <c r="G998" i="1"/>
  <c r="H998" i="1"/>
  <c r="F999" i="1"/>
  <c r="G999" i="1"/>
  <c r="H999" i="1"/>
  <c r="F1000" i="1"/>
  <c r="G1000" i="1"/>
  <c r="H1000" i="1"/>
  <c r="F1001" i="1"/>
  <c r="G1001" i="1"/>
  <c r="H1001" i="1"/>
  <c r="F1002" i="1"/>
  <c r="G1002" i="1"/>
  <c r="H1002" i="1"/>
  <c r="F1003" i="1"/>
  <c r="G1003" i="1"/>
  <c r="H1003" i="1"/>
  <c r="F1004" i="1"/>
  <c r="G1004" i="1"/>
  <c r="H1004" i="1"/>
  <c r="F1005" i="1"/>
  <c r="G1005" i="1"/>
  <c r="H1005" i="1"/>
  <c r="F1006" i="1"/>
  <c r="G1006" i="1"/>
  <c r="H1006" i="1"/>
  <c r="F1007" i="1"/>
  <c r="G1007" i="1"/>
  <c r="H1007" i="1"/>
  <c r="F1008" i="1"/>
  <c r="G1008" i="1"/>
  <c r="H1008" i="1"/>
  <c r="F1009" i="1"/>
  <c r="G1009" i="1"/>
  <c r="H1009" i="1"/>
  <c r="F1010" i="1"/>
  <c r="G1010" i="1"/>
  <c r="H1010" i="1"/>
  <c r="F1011" i="1"/>
  <c r="G1011" i="1"/>
  <c r="H1011" i="1"/>
  <c r="F1012" i="1"/>
  <c r="G1012" i="1"/>
  <c r="H1012" i="1"/>
  <c r="F1013" i="1"/>
  <c r="G1013" i="1"/>
  <c r="H1013" i="1"/>
  <c r="F1014" i="1"/>
  <c r="G1014" i="1"/>
  <c r="H1014" i="1"/>
  <c r="F1015" i="1"/>
  <c r="G1015" i="1"/>
  <c r="H1015" i="1"/>
  <c r="F1016" i="1"/>
  <c r="G1016" i="1"/>
  <c r="H1016" i="1"/>
  <c r="F1017" i="1"/>
  <c r="G1017" i="1"/>
  <c r="H1017" i="1"/>
  <c r="F1018" i="1"/>
  <c r="G1018" i="1"/>
  <c r="H1018" i="1"/>
  <c r="F1019" i="1"/>
  <c r="G1019" i="1"/>
  <c r="H1019" i="1"/>
  <c r="F1020" i="1"/>
  <c r="G1020" i="1"/>
  <c r="H1020" i="1"/>
  <c r="F1021" i="1"/>
  <c r="G1021" i="1"/>
  <c r="H1021" i="1"/>
  <c r="F1022" i="1"/>
  <c r="G1022" i="1"/>
  <c r="H1022" i="1"/>
  <c r="F1023" i="1"/>
  <c r="G1023" i="1"/>
  <c r="H1023" i="1"/>
  <c r="F1024" i="1"/>
  <c r="G1024" i="1"/>
  <c r="H1024" i="1"/>
  <c r="F1025" i="1"/>
  <c r="G1025" i="1"/>
  <c r="H1025" i="1"/>
  <c r="F1026" i="1"/>
  <c r="G1026" i="1"/>
  <c r="H1026" i="1"/>
  <c r="F1027" i="1"/>
  <c r="G1027" i="1"/>
  <c r="H1027" i="1"/>
  <c r="F1028" i="1"/>
  <c r="G1028" i="1"/>
  <c r="H1028" i="1"/>
  <c r="F1029" i="1"/>
  <c r="G1029" i="1"/>
  <c r="H1029" i="1"/>
  <c r="F1030" i="1"/>
  <c r="G1030" i="1"/>
  <c r="H1030" i="1"/>
  <c r="F1031" i="1"/>
  <c r="G1031" i="1"/>
  <c r="H1031" i="1"/>
  <c r="F1032" i="1"/>
  <c r="G1032" i="1"/>
  <c r="H1032" i="1"/>
  <c r="F1033" i="1"/>
  <c r="G1033" i="1"/>
  <c r="H1033" i="1"/>
  <c r="F1034" i="1"/>
  <c r="G1034" i="1"/>
  <c r="H1034" i="1"/>
  <c r="F1035" i="1"/>
  <c r="G1035" i="1"/>
  <c r="H1035" i="1"/>
  <c r="F1036" i="1"/>
  <c r="G1036" i="1"/>
  <c r="H1036" i="1"/>
  <c r="F1037" i="1"/>
  <c r="G1037" i="1"/>
  <c r="H1037" i="1"/>
  <c r="F1038" i="1"/>
  <c r="G1038" i="1"/>
  <c r="H1038" i="1"/>
  <c r="F1039" i="1"/>
  <c r="G1039" i="1"/>
  <c r="H1039" i="1"/>
  <c r="F1040" i="1"/>
  <c r="G1040" i="1"/>
  <c r="H1040" i="1"/>
  <c r="F1041" i="1"/>
  <c r="G1041" i="1"/>
  <c r="H1041" i="1"/>
  <c r="F1042" i="1"/>
  <c r="G1042" i="1"/>
  <c r="H1042" i="1"/>
  <c r="F1043" i="1"/>
  <c r="G1043" i="1"/>
  <c r="H1043" i="1"/>
  <c r="F1044" i="1"/>
  <c r="G1044" i="1"/>
  <c r="H1044" i="1"/>
  <c r="F1045" i="1"/>
  <c r="G1045" i="1"/>
  <c r="H1045" i="1"/>
  <c r="F1046" i="1"/>
  <c r="G1046" i="1"/>
  <c r="H1046" i="1"/>
  <c r="F1047" i="1"/>
  <c r="G1047" i="1"/>
  <c r="H1047" i="1"/>
  <c r="F1048" i="1"/>
  <c r="G1048" i="1"/>
  <c r="H1048" i="1"/>
  <c r="F1049" i="1"/>
  <c r="G1049" i="1"/>
  <c r="H1049" i="1"/>
  <c r="F1050" i="1"/>
  <c r="G1050" i="1"/>
  <c r="H1050" i="1"/>
  <c r="F1051" i="1"/>
  <c r="G1051" i="1"/>
  <c r="H1051" i="1"/>
  <c r="F1052" i="1"/>
  <c r="G1052" i="1"/>
  <c r="H1052" i="1"/>
  <c r="F1053" i="1"/>
  <c r="G1053" i="1"/>
  <c r="H1053" i="1"/>
  <c r="F1054" i="1"/>
  <c r="G1054" i="1"/>
  <c r="H1054" i="1"/>
  <c r="F1055" i="1"/>
  <c r="G1055" i="1"/>
  <c r="H1055" i="1"/>
  <c r="F1056" i="1"/>
  <c r="G1056" i="1"/>
  <c r="H1056" i="1"/>
  <c r="F1057" i="1"/>
  <c r="G1057" i="1"/>
  <c r="H1057" i="1"/>
  <c r="F1058" i="1"/>
  <c r="G1058" i="1"/>
  <c r="H1058" i="1"/>
  <c r="F1059" i="1"/>
  <c r="G1059" i="1"/>
  <c r="H1059" i="1"/>
  <c r="F1060" i="1"/>
  <c r="G1060" i="1"/>
  <c r="H1060" i="1"/>
  <c r="F1061" i="1"/>
  <c r="G1061" i="1"/>
  <c r="H1061" i="1"/>
  <c r="F1062" i="1"/>
  <c r="G1062" i="1"/>
  <c r="H1062" i="1"/>
  <c r="F1063" i="1"/>
  <c r="G1063" i="1"/>
  <c r="H1063" i="1"/>
  <c r="F1064" i="1"/>
  <c r="G1064" i="1"/>
  <c r="H1064" i="1"/>
  <c r="F1065" i="1"/>
  <c r="G1065" i="1"/>
  <c r="H1065" i="1"/>
  <c r="F1066" i="1"/>
  <c r="G1066" i="1"/>
  <c r="H1066" i="1"/>
  <c r="F1067" i="1"/>
  <c r="G1067" i="1"/>
  <c r="H1067" i="1"/>
  <c r="F1068" i="1"/>
  <c r="G1068" i="1"/>
  <c r="H1068" i="1"/>
  <c r="F1069" i="1"/>
  <c r="G1069" i="1"/>
  <c r="H1069" i="1"/>
  <c r="F1070" i="1"/>
  <c r="G1070" i="1"/>
  <c r="H1070" i="1"/>
  <c r="F1071" i="1"/>
  <c r="G1071" i="1"/>
  <c r="H1071" i="1"/>
  <c r="F1072" i="1"/>
  <c r="G1072" i="1"/>
  <c r="H1072" i="1"/>
  <c r="F1073" i="1"/>
  <c r="G1073" i="1"/>
  <c r="H1073" i="1"/>
  <c r="F1074" i="1"/>
  <c r="G1074" i="1"/>
  <c r="H1074" i="1"/>
  <c r="F1075" i="1"/>
  <c r="G1075" i="1"/>
  <c r="H1075" i="1"/>
  <c r="F1076" i="1"/>
  <c r="G1076" i="1"/>
  <c r="H1076" i="1"/>
  <c r="F1077" i="1"/>
  <c r="G1077" i="1"/>
  <c r="H1077" i="1"/>
  <c r="F1078" i="1"/>
  <c r="G1078" i="1"/>
  <c r="H1078" i="1"/>
  <c r="F1079" i="1"/>
  <c r="G1079" i="1"/>
  <c r="H1079" i="1"/>
  <c r="F1080" i="1"/>
  <c r="G1080" i="1"/>
  <c r="H1080" i="1"/>
  <c r="F1081" i="1"/>
  <c r="G1081" i="1"/>
  <c r="H1081" i="1"/>
  <c r="F1082" i="1"/>
  <c r="G1082" i="1"/>
  <c r="H1082" i="1"/>
  <c r="F1083" i="1"/>
  <c r="G1083" i="1"/>
  <c r="H1083" i="1"/>
  <c r="F1084" i="1"/>
  <c r="G1084" i="1"/>
  <c r="H1084" i="1"/>
  <c r="F1085" i="1"/>
  <c r="G1085" i="1"/>
  <c r="H1085" i="1"/>
  <c r="F1086" i="1"/>
  <c r="G1086" i="1"/>
  <c r="H1086" i="1"/>
  <c r="F1087" i="1"/>
  <c r="G1087" i="1"/>
  <c r="H1087" i="1"/>
  <c r="F1088" i="1"/>
  <c r="G1088" i="1"/>
  <c r="H1088" i="1"/>
  <c r="F1089" i="1"/>
  <c r="G1089" i="1"/>
  <c r="H1089" i="1"/>
  <c r="F1090" i="1"/>
  <c r="G1090" i="1"/>
  <c r="H1090" i="1"/>
  <c r="F1091" i="1"/>
  <c r="G1091" i="1"/>
  <c r="H1091" i="1"/>
  <c r="F1092" i="1"/>
  <c r="G1092" i="1"/>
  <c r="H1092" i="1"/>
  <c r="F1093" i="1"/>
  <c r="G1093" i="1"/>
  <c r="H1093" i="1"/>
  <c r="F1094" i="1"/>
  <c r="G1094" i="1"/>
  <c r="H1094" i="1"/>
  <c r="F1095" i="1"/>
  <c r="G1095" i="1"/>
  <c r="H1095" i="1"/>
  <c r="F1096" i="1"/>
  <c r="G1096" i="1"/>
  <c r="H1096" i="1"/>
  <c r="F1097" i="1"/>
  <c r="G1097" i="1"/>
  <c r="H1097" i="1"/>
  <c r="F1098" i="1"/>
  <c r="G1098" i="1"/>
  <c r="H1098" i="1"/>
  <c r="F1099" i="1"/>
  <c r="G1099" i="1"/>
  <c r="H1099" i="1"/>
  <c r="F1100" i="1"/>
  <c r="G1100" i="1"/>
  <c r="H1100" i="1"/>
  <c r="F1101" i="1"/>
  <c r="G1101" i="1"/>
  <c r="H1101" i="1"/>
  <c r="F1102" i="1"/>
  <c r="G1102" i="1"/>
  <c r="H1102" i="1"/>
  <c r="F1103" i="1"/>
  <c r="G1103" i="1"/>
  <c r="H1103" i="1"/>
  <c r="F1104" i="1"/>
  <c r="G1104" i="1"/>
  <c r="H1104" i="1"/>
  <c r="F1105" i="1"/>
  <c r="G1105" i="1"/>
  <c r="H1105" i="1"/>
  <c r="F1106" i="1"/>
  <c r="G1106" i="1"/>
  <c r="H1106" i="1"/>
  <c r="F1107" i="1"/>
  <c r="G1107" i="1"/>
  <c r="H1107" i="1"/>
  <c r="F1108" i="1"/>
  <c r="G1108" i="1"/>
  <c r="H1108" i="1"/>
  <c r="F1109" i="1"/>
  <c r="G1109" i="1"/>
  <c r="H1109" i="1"/>
  <c r="F1110" i="1"/>
  <c r="G1110" i="1"/>
  <c r="H1110" i="1"/>
  <c r="F1111" i="1"/>
  <c r="G1111" i="1"/>
  <c r="H1111" i="1"/>
  <c r="F1112" i="1"/>
  <c r="G1112" i="1"/>
  <c r="H1112" i="1"/>
  <c r="F1113" i="1"/>
  <c r="G1113" i="1"/>
  <c r="H1113" i="1"/>
  <c r="F1114" i="1"/>
  <c r="G1114" i="1"/>
  <c r="H1114" i="1"/>
  <c r="F1115" i="1"/>
  <c r="G1115" i="1"/>
  <c r="H1115" i="1"/>
  <c r="F1116" i="1"/>
  <c r="G1116" i="1"/>
  <c r="H1116" i="1"/>
  <c r="F1117" i="1"/>
  <c r="G1117" i="1"/>
  <c r="H1117" i="1"/>
  <c r="F1118" i="1"/>
  <c r="G1118" i="1"/>
  <c r="H1118" i="1"/>
  <c r="F1119" i="1"/>
  <c r="G1119" i="1"/>
  <c r="H1119" i="1"/>
  <c r="F1120" i="1"/>
  <c r="G1120" i="1"/>
  <c r="H1120" i="1"/>
  <c r="F1121" i="1"/>
  <c r="G1121" i="1"/>
  <c r="H1121" i="1"/>
  <c r="D3" i="24"/>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34" i="24"/>
  <c r="D35" i="24"/>
  <c r="D36"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76" i="24"/>
  <c r="D77" i="24"/>
  <c r="D78" i="24"/>
  <c r="D79" i="24"/>
  <c r="D80" i="24"/>
  <c r="D81" i="24"/>
  <c r="D82" i="24"/>
  <c r="D83" i="24"/>
  <c r="D84" i="24"/>
  <c r="D85" i="24"/>
  <c r="D86" i="24"/>
  <c r="D87" i="24"/>
  <c r="D88" i="24"/>
  <c r="D89" i="24"/>
  <c r="D90" i="24"/>
  <c r="D91" i="24"/>
  <c r="D92" i="24"/>
  <c r="D93" i="24"/>
  <c r="D94" i="24"/>
  <c r="D95" i="24"/>
  <c r="D96" i="24"/>
  <c r="D97" i="24"/>
  <c r="D98" i="24"/>
  <c r="D99" i="24"/>
  <c r="D100" i="24"/>
  <c r="D101" i="24"/>
  <c r="D102" i="24"/>
  <c r="D103" i="24"/>
  <c r="D104" i="24"/>
  <c r="D105" i="24"/>
  <c r="D106" i="24"/>
  <c r="D107" i="24"/>
  <c r="D108" i="24"/>
  <c r="D109" i="24"/>
  <c r="D110" i="24"/>
  <c r="D111" i="24"/>
  <c r="D112" i="24"/>
  <c r="D113" i="24"/>
  <c r="D114" i="24"/>
  <c r="D115" i="24"/>
  <c r="D116" i="24"/>
  <c r="D117" i="24"/>
  <c r="D118" i="24"/>
  <c r="D119" i="24"/>
  <c r="D120" i="24"/>
  <c r="D121" i="24"/>
  <c r="D122" i="24"/>
  <c r="D123" i="24"/>
  <c r="D124" i="24"/>
  <c r="D125" i="24"/>
  <c r="D126" i="24"/>
  <c r="D127" i="24"/>
  <c r="D128" i="24"/>
  <c r="D129" i="24"/>
  <c r="D130" i="24"/>
  <c r="D131" i="24"/>
  <c r="D132" i="24"/>
  <c r="D133" i="24"/>
  <c r="D134" i="24"/>
  <c r="D135" i="24"/>
  <c r="D136" i="24"/>
  <c r="D137" i="24"/>
  <c r="D138" i="24"/>
  <c r="D139" i="24"/>
  <c r="D140" i="24"/>
  <c r="D141" i="24"/>
  <c r="D142" i="24"/>
  <c r="D143" i="24"/>
  <c r="D144" i="24"/>
  <c r="D145" i="24"/>
  <c r="D146" i="24"/>
  <c r="D147" i="24"/>
  <c r="D148" i="24"/>
  <c r="D149" i="24"/>
  <c r="D150" i="24"/>
  <c r="D151" i="24"/>
  <c r="D152" i="24"/>
  <c r="D153" i="24"/>
  <c r="D154" i="24"/>
  <c r="D155" i="24"/>
  <c r="D156" i="24"/>
  <c r="D157" i="24"/>
  <c r="D158" i="24"/>
  <c r="D159" i="24"/>
  <c r="D160" i="24"/>
  <c r="D161" i="24"/>
  <c r="D162" i="24"/>
  <c r="D163" i="24"/>
  <c r="D164" i="24"/>
  <c r="D165" i="24"/>
  <c r="D166" i="24"/>
  <c r="D167" i="24"/>
  <c r="D168" i="24"/>
  <c r="D169" i="24"/>
  <c r="D170" i="24"/>
  <c r="D171" i="24"/>
  <c r="D172" i="24"/>
  <c r="D173" i="24"/>
  <c r="D174" i="24"/>
  <c r="D175" i="24"/>
  <c r="D176" i="24"/>
  <c r="D177" i="24"/>
  <c r="D178" i="24"/>
  <c r="D179" i="24"/>
  <c r="D180" i="24"/>
  <c r="D181" i="24"/>
  <c r="D182" i="24"/>
  <c r="D183" i="24"/>
  <c r="D184" i="24"/>
  <c r="D185" i="24"/>
  <c r="D186" i="24"/>
  <c r="D187" i="24"/>
  <c r="D188" i="24"/>
  <c r="D189" i="24"/>
  <c r="D190" i="24"/>
  <c r="D191" i="24"/>
  <c r="D192" i="24"/>
  <c r="D193" i="24"/>
  <c r="D194" i="24"/>
  <c r="D195" i="24"/>
  <c r="D196" i="24"/>
  <c r="D197" i="24"/>
  <c r="D198" i="24"/>
  <c r="D199" i="24"/>
  <c r="D200" i="24"/>
  <c r="D201" i="24"/>
  <c r="D202" i="24"/>
  <c r="D203" i="24"/>
  <c r="D204" i="24"/>
  <c r="D205" i="24"/>
  <c r="D206" i="24"/>
  <c r="D207" i="24"/>
  <c r="D208" i="24"/>
  <c r="D209" i="24"/>
  <c r="D210" i="24"/>
  <c r="D211" i="24"/>
  <c r="D212" i="24"/>
  <c r="D213" i="24"/>
  <c r="D214" i="24"/>
  <c r="D215" i="24"/>
  <c r="D216" i="24"/>
  <c r="D217" i="24"/>
  <c r="D218" i="24"/>
  <c r="D219" i="24"/>
  <c r="D220" i="24"/>
  <c r="D221" i="24"/>
  <c r="D222" i="24"/>
  <c r="D223" i="24"/>
  <c r="D224" i="24"/>
  <c r="D225" i="24"/>
  <c r="D226" i="24"/>
  <c r="D227" i="24"/>
  <c r="D228" i="24"/>
  <c r="D229" i="24"/>
  <c r="D230" i="24"/>
  <c r="D231" i="24"/>
  <c r="D232" i="24"/>
  <c r="D233" i="24"/>
  <c r="D234" i="24"/>
  <c r="D235" i="24"/>
  <c r="D236" i="24"/>
  <c r="D237" i="24"/>
  <c r="D238" i="24"/>
  <c r="D239" i="24"/>
  <c r="D240" i="24"/>
  <c r="D241" i="24"/>
  <c r="D242" i="24"/>
  <c r="D243" i="24"/>
  <c r="D244" i="24"/>
  <c r="D245" i="24"/>
  <c r="D246" i="24"/>
  <c r="D247" i="24"/>
  <c r="D248" i="24"/>
  <c r="D249" i="24"/>
  <c r="D250" i="24"/>
  <c r="D251" i="24"/>
  <c r="D252" i="24"/>
  <c r="D253" i="24"/>
  <c r="D254" i="24"/>
  <c r="D255" i="24"/>
  <c r="D256" i="24"/>
  <c r="D257" i="24"/>
  <c r="D258" i="24"/>
  <c r="D259" i="24"/>
  <c r="D260" i="24"/>
  <c r="D261" i="24"/>
  <c r="D262" i="24"/>
  <c r="D263" i="24"/>
  <c r="D264" i="24"/>
  <c r="D265" i="24"/>
  <c r="D266" i="24"/>
  <c r="D267" i="24"/>
  <c r="D268" i="24"/>
  <c r="D269" i="24"/>
  <c r="D270" i="24"/>
  <c r="D271" i="24"/>
  <c r="D272" i="24"/>
  <c r="D273" i="24"/>
  <c r="D274" i="24"/>
  <c r="D275" i="24"/>
  <c r="D276" i="24"/>
  <c r="D277" i="24"/>
  <c r="D278" i="24"/>
  <c r="D279" i="24"/>
  <c r="D280" i="24"/>
  <c r="D281" i="24"/>
  <c r="D282" i="24"/>
  <c r="D283" i="24"/>
  <c r="D284" i="24"/>
  <c r="D285" i="24"/>
  <c r="D286" i="24"/>
  <c r="D287" i="24"/>
  <c r="D288" i="24"/>
  <c r="D289" i="24"/>
  <c r="D290" i="24"/>
  <c r="D291" i="24"/>
  <c r="D292" i="24"/>
  <c r="D293" i="24"/>
  <c r="D294" i="24"/>
  <c r="D295" i="24"/>
  <c r="D296" i="24"/>
  <c r="D297" i="24"/>
  <c r="D298" i="24"/>
  <c r="D299" i="24"/>
  <c r="D300" i="24"/>
  <c r="D301" i="24"/>
  <c r="D302" i="24"/>
  <c r="D303" i="24"/>
  <c r="D304" i="24"/>
  <c r="D305" i="24"/>
  <c r="D306" i="24"/>
  <c r="D307" i="24"/>
  <c r="D308" i="24"/>
  <c r="D309" i="24"/>
  <c r="D310" i="24"/>
  <c r="D311" i="24"/>
  <c r="D312" i="24"/>
  <c r="D313" i="24"/>
  <c r="D314" i="24"/>
  <c r="D315" i="24"/>
  <c r="D316" i="24"/>
  <c r="D317" i="24"/>
  <c r="D318" i="24"/>
  <c r="D319" i="24"/>
  <c r="D320" i="24"/>
  <c r="D321" i="24"/>
  <c r="D322" i="24"/>
  <c r="D323" i="24"/>
  <c r="D324" i="24"/>
  <c r="D325" i="24"/>
  <c r="D326" i="24"/>
  <c r="D327" i="24"/>
  <c r="D328" i="24"/>
  <c r="D329" i="24"/>
  <c r="D330" i="24"/>
  <c r="D331" i="24"/>
  <c r="D332" i="24"/>
  <c r="D333" i="24"/>
  <c r="D334" i="24"/>
  <c r="D335" i="24"/>
  <c r="D336" i="24"/>
  <c r="D337" i="24"/>
  <c r="D338" i="24"/>
  <c r="D339" i="24"/>
  <c r="D340" i="24"/>
  <c r="D341" i="24"/>
  <c r="D342" i="24"/>
  <c r="D343" i="24"/>
  <c r="D344" i="24"/>
  <c r="D345" i="24"/>
  <c r="D346" i="24"/>
  <c r="D347" i="24"/>
  <c r="D348" i="24"/>
  <c r="D349" i="24"/>
  <c r="D350" i="24"/>
  <c r="D351" i="24"/>
  <c r="D352" i="24"/>
  <c r="D353" i="24"/>
  <c r="D354" i="24"/>
  <c r="D355" i="24"/>
  <c r="D356" i="24"/>
  <c r="D357" i="24"/>
  <c r="D358" i="24"/>
  <c r="D359" i="24"/>
  <c r="D360" i="24"/>
  <c r="D361" i="24"/>
  <c r="D362" i="24"/>
  <c r="D363" i="24"/>
  <c r="D364" i="24"/>
  <c r="D365" i="24"/>
  <c r="D366" i="24"/>
  <c r="D367" i="24"/>
  <c r="D368" i="24"/>
  <c r="D369" i="24"/>
  <c r="D370" i="24"/>
  <c r="D371" i="24"/>
  <c r="D372" i="24"/>
  <c r="D373" i="24"/>
  <c r="D374" i="24"/>
  <c r="D375" i="24"/>
  <c r="D376" i="24"/>
  <c r="D377" i="24"/>
  <c r="D378" i="24"/>
  <c r="D379" i="24"/>
  <c r="D380" i="24"/>
  <c r="D381" i="24"/>
  <c r="D382" i="24"/>
  <c r="D383" i="24"/>
  <c r="D384" i="24"/>
  <c r="D385" i="24"/>
  <c r="D386" i="24"/>
  <c r="D387" i="24"/>
  <c r="D388" i="24"/>
  <c r="D389" i="24"/>
  <c r="D390" i="24"/>
  <c r="D391" i="24"/>
  <c r="D392" i="24"/>
  <c r="D393" i="24"/>
  <c r="D394" i="24"/>
  <c r="D395" i="24"/>
  <c r="D396" i="24"/>
  <c r="D397" i="24"/>
  <c r="D398" i="24"/>
  <c r="D399" i="24"/>
  <c r="D400" i="24"/>
  <c r="D401" i="24"/>
  <c r="D402" i="24"/>
  <c r="D403" i="24"/>
  <c r="D404" i="24"/>
  <c r="D405" i="24"/>
  <c r="D406" i="24"/>
  <c r="D407" i="24"/>
  <c r="D408" i="24"/>
  <c r="D409" i="24"/>
  <c r="D410" i="24"/>
  <c r="D411" i="24"/>
  <c r="D412" i="24"/>
  <c r="D413" i="24"/>
  <c r="D414" i="24"/>
  <c r="D415" i="24"/>
  <c r="D416" i="24"/>
  <c r="D417" i="24"/>
  <c r="D418" i="24"/>
  <c r="D419" i="24"/>
  <c r="D420" i="24"/>
  <c r="D421" i="24"/>
  <c r="D422" i="24"/>
  <c r="D423" i="24"/>
  <c r="D424" i="24"/>
  <c r="D425" i="24"/>
  <c r="D426" i="24"/>
  <c r="D427" i="24"/>
  <c r="D428" i="24"/>
  <c r="D429" i="24"/>
  <c r="D430" i="24"/>
  <c r="D431" i="24"/>
  <c r="D432" i="24"/>
  <c r="D433" i="24"/>
  <c r="D434" i="24"/>
  <c r="D435" i="24"/>
  <c r="D436" i="24"/>
  <c r="D437" i="24"/>
  <c r="D438" i="24"/>
  <c r="D439" i="24"/>
  <c r="D440" i="24"/>
  <c r="D441" i="24"/>
  <c r="D442" i="24"/>
  <c r="D443" i="24"/>
  <c r="D444" i="24"/>
  <c r="D445" i="24"/>
  <c r="D446" i="24"/>
  <c r="D447" i="24"/>
  <c r="D448" i="24"/>
  <c r="D449" i="24"/>
  <c r="D450" i="24"/>
  <c r="D451" i="24"/>
  <c r="D452" i="24"/>
  <c r="D453" i="24"/>
  <c r="D454" i="24"/>
  <c r="D455" i="24"/>
  <c r="D456" i="24"/>
  <c r="D457" i="24"/>
  <c r="D458" i="24"/>
  <c r="D459" i="24"/>
  <c r="D460" i="24"/>
  <c r="D461" i="24"/>
  <c r="D462" i="24"/>
  <c r="D463" i="24"/>
  <c r="D464" i="24"/>
  <c r="D465" i="24"/>
  <c r="D466" i="24"/>
  <c r="D467" i="24"/>
  <c r="D468" i="24"/>
  <c r="D469" i="24"/>
  <c r="D470" i="24"/>
  <c r="D471" i="24"/>
  <c r="D472" i="24"/>
  <c r="D473" i="24"/>
  <c r="D474" i="24"/>
  <c r="D475" i="24"/>
  <c r="D476" i="24"/>
  <c r="D477" i="24"/>
  <c r="D478" i="24"/>
  <c r="D479" i="24"/>
  <c r="D480" i="24"/>
  <c r="D481" i="24"/>
  <c r="D482" i="24"/>
  <c r="D483" i="24"/>
  <c r="D484" i="24"/>
  <c r="D485" i="24"/>
  <c r="D486" i="24"/>
  <c r="D487" i="24"/>
  <c r="D488" i="24"/>
  <c r="D489" i="24"/>
  <c r="D490" i="24"/>
  <c r="D491" i="24"/>
  <c r="D492" i="24"/>
  <c r="D493" i="24"/>
  <c r="D494" i="24"/>
  <c r="D495" i="24"/>
  <c r="D496" i="24"/>
  <c r="D497" i="24"/>
  <c r="D498" i="24"/>
  <c r="D499" i="24"/>
  <c r="D500" i="24"/>
  <c r="D501" i="24"/>
  <c r="D502" i="24"/>
  <c r="D503" i="24"/>
  <c r="D504" i="24"/>
  <c r="D505" i="24"/>
  <c r="D506" i="24"/>
  <c r="D507" i="24"/>
  <c r="D508" i="24"/>
  <c r="D509" i="24"/>
  <c r="D510" i="24"/>
  <c r="D511" i="24"/>
  <c r="D512" i="24"/>
  <c r="D513" i="24"/>
  <c r="D514" i="24"/>
  <c r="D515" i="24"/>
  <c r="D516" i="24"/>
  <c r="D517" i="24"/>
  <c r="D518" i="24"/>
  <c r="D519" i="24"/>
  <c r="D520" i="24"/>
  <c r="D521" i="24"/>
  <c r="D522" i="24"/>
  <c r="D523" i="24"/>
  <c r="D524" i="24"/>
  <c r="D525" i="24"/>
  <c r="D526" i="24"/>
  <c r="D527" i="24"/>
  <c r="D528" i="24"/>
  <c r="D529" i="24"/>
  <c r="D530" i="24"/>
  <c r="D531" i="24"/>
  <c r="D532" i="24"/>
  <c r="D533" i="24"/>
  <c r="D534" i="24"/>
  <c r="D535" i="24"/>
  <c r="D536" i="24"/>
  <c r="D537" i="24"/>
  <c r="D538" i="24"/>
  <c r="D539" i="24"/>
  <c r="D540" i="24"/>
  <c r="D541" i="24"/>
  <c r="D542" i="24"/>
  <c r="D543" i="24"/>
  <c r="D544" i="24"/>
  <c r="D545" i="24"/>
  <c r="D546" i="24"/>
  <c r="D547" i="24"/>
  <c r="D548" i="24"/>
  <c r="D549" i="24"/>
  <c r="D550" i="24"/>
  <c r="D551" i="24"/>
  <c r="D552" i="24"/>
  <c r="D553" i="24"/>
  <c r="D554" i="24"/>
  <c r="D555" i="24"/>
  <c r="D556" i="24"/>
  <c r="D557" i="24"/>
  <c r="D558" i="24"/>
  <c r="D559" i="24"/>
  <c r="D560" i="24"/>
  <c r="D561" i="24"/>
  <c r="D562" i="24"/>
  <c r="D563" i="24"/>
  <c r="D564" i="24"/>
  <c r="D565" i="24"/>
  <c r="D566" i="24"/>
  <c r="D567" i="24"/>
  <c r="D568" i="24"/>
  <c r="D569" i="24"/>
  <c r="D570" i="24"/>
  <c r="D571" i="24"/>
  <c r="D572" i="24"/>
  <c r="D573" i="24"/>
  <c r="D574" i="24"/>
  <c r="D575" i="24"/>
  <c r="D576" i="24"/>
  <c r="D577" i="24"/>
  <c r="D578" i="24"/>
  <c r="D579" i="24"/>
  <c r="D580" i="24"/>
  <c r="D581" i="24"/>
  <c r="D582" i="24"/>
  <c r="D583" i="24"/>
  <c r="D584" i="24"/>
  <c r="D585" i="24"/>
  <c r="D586" i="24"/>
  <c r="D587" i="24"/>
  <c r="D588" i="24"/>
  <c r="D589" i="24"/>
  <c r="D590" i="24"/>
  <c r="D591" i="24"/>
  <c r="D592" i="24"/>
  <c r="D593" i="24"/>
  <c r="D594" i="24"/>
  <c r="D595" i="24"/>
  <c r="D596" i="24"/>
  <c r="D597" i="24"/>
  <c r="D598" i="24"/>
  <c r="D599" i="24"/>
  <c r="D600" i="24"/>
  <c r="D601" i="24"/>
  <c r="D602" i="24"/>
  <c r="D603" i="24"/>
  <c r="D604" i="24"/>
  <c r="D605" i="24"/>
  <c r="D606" i="24"/>
  <c r="D607" i="24"/>
  <c r="D608" i="24"/>
  <c r="D609" i="24"/>
  <c r="D610" i="24"/>
  <c r="D611" i="24"/>
  <c r="D612" i="24"/>
  <c r="D613" i="24"/>
  <c r="D614" i="24"/>
  <c r="D615" i="24"/>
  <c r="D616" i="24"/>
  <c r="D617" i="24"/>
  <c r="D618" i="24"/>
  <c r="D619" i="24"/>
  <c r="D620" i="24"/>
  <c r="D2" i="24"/>
  <c r="E2" i="24" s="1"/>
  <c r="W5" i="1"/>
  <c r="W6" i="1"/>
  <c r="W7" i="1"/>
  <c r="W10" i="1"/>
  <c r="W11" i="1"/>
  <c r="W12" i="1"/>
  <c r="W13" i="1"/>
  <c r="W15" i="1"/>
  <c r="W16" i="1"/>
  <c r="W17" i="1"/>
  <c r="W18" i="1"/>
  <c r="W19" i="1"/>
  <c r="W20" i="1"/>
  <c r="W21" i="1"/>
  <c r="W23" i="1"/>
  <c r="W24" i="1"/>
  <c r="W25" i="1"/>
  <c r="W26" i="1"/>
  <c r="W27" i="1"/>
  <c r="W28" i="1"/>
  <c r="W29" i="1"/>
  <c r="W30" i="1"/>
  <c r="W31" i="1"/>
  <c r="W32" i="1"/>
  <c r="W33" i="1"/>
  <c r="W36" i="1"/>
  <c r="W37" i="1"/>
  <c r="W38" i="1"/>
  <c r="W39" i="1"/>
  <c r="W40" i="1"/>
  <c r="W41" i="1"/>
  <c r="W42" i="1"/>
  <c r="W43" i="1"/>
  <c r="W45" i="1"/>
  <c r="W44" i="1"/>
  <c r="W46" i="1"/>
  <c r="W47" i="1"/>
  <c r="W48" i="1"/>
  <c r="W49" i="1"/>
  <c r="W50" i="1"/>
  <c r="W51" i="1"/>
  <c r="W52" i="1"/>
  <c r="W53" i="1"/>
  <c r="W54" i="1"/>
  <c r="W55" i="1"/>
  <c r="W56" i="1"/>
  <c r="W57" i="1"/>
  <c r="W58" i="1"/>
  <c r="W59" i="1"/>
  <c r="W61" i="1"/>
  <c r="W60" i="1"/>
  <c r="W62" i="1"/>
  <c r="W63" i="1"/>
  <c r="W64" i="1"/>
  <c r="W65" i="1"/>
  <c r="W67" i="1"/>
  <c r="W66" i="1"/>
  <c r="W69" i="1"/>
  <c r="W70" i="1"/>
  <c r="W72" i="1"/>
  <c r="W71" i="1"/>
  <c r="W73" i="1"/>
  <c r="W74" i="1"/>
  <c r="W76" i="1"/>
  <c r="W75" i="1"/>
  <c r="W77" i="1"/>
  <c r="W78" i="1"/>
  <c r="W79" i="1"/>
  <c r="W80" i="1"/>
  <c r="W81" i="1"/>
  <c r="W82" i="1"/>
  <c r="W83" i="1"/>
  <c r="W85" i="1"/>
  <c r="W84" i="1"/>
  <c r="W86" i="1"/>
  <c r="W87" i="1"/>
  <c r="W88" i="1"/>
  <c r="W89" i="1"/>
  <c r="W90" i="1"/>
  <c r="W93" i="1"/>
  <c r="W92" i="1"/>
  <c r="W91" i="1"/>
  <c r="W95" i="1"/>
  <c r="W94" i="1"/>
  <c r="W96" i="1"/>
  <c r="W98" i="1"/>
  <c r="W100" i="1"/>
  <c r="W99" i="1"/>
  <c r="W102" i="1"/>
  <c r="W103" i="1"/>
  <c r="W104" i="1"/>
  <c r="W101" i="1"/>
  <c r="W106" i="1"/>
  <c r="W107" i="1"/>
  <c r="W108" i="1"/>
  <c r="W109" i="1"/>
  <c r="W110" i="1"/>
  <c r="W111" i="1"/>
  <c r="W113" i="1"/>
  <c r="W112" i="1"/>
  <c r="W114" i="1"/>
  <c r="W115" i="1"/>
  <c r="W116" i="1"/>
  <c r="W117" i="1"/>
  <c r="W118" i="1"/>
  <c r="W120" i="1"/>
  <c r="W119" i="1"/>
  <c r="W121" i="1"/>
  <c r="W123" i="1"/>
  <c r="W122" i="1"/>
  <c r="W124" i="1"/>
  <c r="W125" i="1"/>
  <c r="W126" i="1"/>
  <c r="W127" i="1"/>
  <c r="W128" i="1"/>
  <c r="W129" i="1"/>
  <c r="W130" i="1"/>
  <c r="W131" i="1"/>
  <c r="W133" i="1"/>
  <c r="W132" i="1"/>
  <c r="W134" i="1"/>
  <c r="W135" i="1"/>
  <c r="W136" i="1"/>
  <c r="W137" i="1"/>
  <c r="W138" i="1"/>
  <c r="W139" i="1"/>
  <c r="W140" i="1"/>
  <c r="W142" i="1"/>
  <c r="W141" i="1"/>
  <c r="W143" i="1"/>
  <c r="W145" i="1"/>
  <c r="W144" i="1"/>
  <c r="W146" i="1"/>
  <c r="W147" i="1"/>
  <c r="W148" i="1"/>
  <c r="W149" i="1"/>
  <c r="W150" i="1"/>
  <c r="W151" i="1"/>
  <c r="W152" i="1"/>
  <c r="W153" i="1"/>
  <c r="W154" i="1"/>
  <c r="W156" i="1"/>
  <c r="W155" i="1"/>
  <c r="W157" i="1"/>
  <c r="W158" i="1"/>
  <c r="W159" i="1"/>
  <c r="W160" i="1"/>
  <c r="W161" i="1"/>
  <c r="W162" i="1"/>
  <c r="W164" i="1"/>
  <c r="W165" i="1"/>
  <c r="W163" i="1"/>
  <c r="W166" i="1"/>
  <c r="W167" i="1"/>
  <c r="W168" i="1"/>
  <c r="W169" i="1"/>
  <c r="W170" i="1"/>
  <c r="W171" i="1"/>
  <c r="W172" i="1"/>
  <c r="W173" i="1"/>
  <c r="W174" i="1"/>
  <c r="W175" i="1"/>
  <c r="W177" i="1"/>
  <c r="W178" i="1"/>
  <c r="W179" i="1"/>
  <c r="W176" i="1"/>
  <c r="W180" i="1"/>
  <c r="W182" i="1"/>
  <c r="W183" i="1"/>
  <c r="W181" i="1"/>
  <c r="W184" i="1"/>
  <c r="W185" i="1"/>
  <c r="W186" i="1"/>
  <c r="W187" i="1"/>
  <c r="W189" i="1"/>
  <c r="W190" i="1"/>
  <c r="W191" i="1"/>
  <c r="W188" i="1"/>
  <c r="W194" i="1"/>
  <c r="W192" i="1"/>
  <c r="W193" i="1"/>
  <c r="W195" i="1"/>
  <c r="W196" i="1"/>
  <c r="W197" i="1"/>
  <c r="W198" i="1"/>
  <c r="W199" i="1"/>
  <c r="W200" i="1"/>
  <c r="W201" i="1"/>
  <c r="W203" i="1"/>
  <c r="W204" i="1"/>
  <c r="W202" i="1"/>
  <c r="W205" i="1"/>
  <c r="W206" i="1"/>
  <c r="W207" i="1"/>
  <c r="W208" i="1"/>
  <c r="W209" i="1"/>
  <c r="W210" i="1"/>
  <c r="W211" i="1"/>
  <c r="W212" i="1"/>
  <c r="W213" i="1"/>
  <c r="W214" i="1"/>
  <c r="W215" i="1"/>
  <c r="W216" i="1"/>
  <c r="W217" i="1"/>
  <c r="W218" i="1"/>
  <c r="W219" i="1"/>
  <c r="W220" i="1"/>
  <c r="W221" i="1"/>
  <c r="W222" i="1"/>
  <c r="W223" i="1"/>
  <c r="W224" i="1"/>
  <c r="W227" i="1"/>
  <c r="W228" i="1"/>
  <c r="W229" i="1"/>
  <c r="W230" i="1"/>
  <c r="W231" i="1"/>
  <c r="W225" i="1"/>
  <c r="W226" i="1"/>
  <c r="W232" i="1"/>
  <c r="W233" i="1"/>
  <c r="W234" i="1"/>
  <c r="W235" i="1"/>
  <c r="W236" i="1"/>
  <c r="W237" i="1"/>
  <c r="W238" i="1"/>
  <c r="W239" i="1"/>
  <c r="W241" i="1"/>
  <c r="W242" i="1"/>
  <c r="W240" i="1"/>
  <c r="W243" i="1"/>
  <c r="W245" i="1"/>
  <c r="W246" i="1"/>
  <c r="W247" i="1"/>
  <c r="W244" i="1"/>
  <c r="W248" i="1"/>
  <c r="W249" i="1"/>
  <c r="W252" i="1"/>
  <c r="W253" i="1"/>
  <c r="W250" i="1"/>
  <c r="W254" i="1"/>
  <c r="W255" i="1"/>
  <c r="W256" i="1"/>
  <c r="W251" i="1"/>
  <c r="W257" i="1"/>
  <c r="W258" i="1"/>
  <c r="W259" i="1"/>
  <c r="W260" i="1"/>
  <c r="W261" i="1"/>
  <c r="W262" i="1"/>
  <c r="W263" i="1"/>
  <c r="W264" i="1"/>
  <c r="W265" i="1"/>
  <c r="W266" i="1"/>
  <c r="W268" i="1"/>
  <c r="W269" i="1"/>
  <c r="W267" i="1"/>
  <c r="W270" i="1"/>
  <c r="W271" i="1"/>
  <c r="W272" i="1"/>
  <c r="W273" i="1"/>
  <c r="W274" i="1"/>
  <c r="W275" i="1"/>
  <c r="W276" i="1"/>
  <c r="W277" i="1"/>
  <c r="W280" i="1"/>
  <c r="W281" i="1"/>
  <c r="W282" i="1"/>
  <c r="W283" i="1"/>
  <c r="W284" i="1"/>
  <c r="W285" i="1"/>
  <c r="W279" i="1"/>
  <c r="W286" i="1"/>
  <c r="W288" i="1"/>
  <c r="W289" i="1"/>
  <c r="W287" i="1"/>
  <c r="W290" i="1"/>
  <c r="W291" i="1"/>
  <c r="W293" i="1"/>
  <c r="W294" i="1"/>
  <c r="W295" i="1"/>
  <c r="W296" i="1"/>
  <c r="W292" i="1"/>
  <c r="W297" i="1"/>
  <c r="W298" i="1"/>
  <c r="W300" i="1"/>
  <c r="W301" i="1"/>
  <c r="W302" i="1"/>
  <c r="W299"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6" i="1"/>
  <c r="W335" i="1"/>
  <c r="W337" i="1"/>
  <c r="W338" i="1"/>
  <c r="W339" i="1"/>
  <c r="W340" i="1"/>
  <c r="W341" i="1"/>
  <c r="W342" i="1"/>
  <c r="W343" i="1"/>
  <c r="W344" i="1"/>
  <c r="W345" i="1"/>
  <c r="W346" i="1"/>
  <c r="W347" i="1"/>
  <c r="W348" i="1"/>
  <c r="W349" i="1"/>
  <c r="W350" i="1"/>
  <c r="W351" i="1"/>
  <c r="W352" i="1"/>
  <c r="W353" i="1"/>
  <c r="W355" i="1"/>
  <c r="W356" i="1"/>
  <c r="W357" i="1"/>
  <c r="W358" i="1"/>
  <c r="W359" i="1"/>
  <c r="W360" i="1"/>
  <c r="W361" i="1"/>
  <c r="W362" i="1"/>
  <c r="W354" i="1"/>
  <c r="W363" i="1"/>
  <c r="W364" i="1"/>
  <c r="W365" i="1"/>
  <c r="W366" i="1"/>
  <c r="W367" i="1"/>
  <c r="W368" i="1"/>
  <c r="W369" i="1"/>
  <c r="W370" i="1"/>
  <c r="W371" i="1"/>
  <c r="W372" i="1"/>
  <c r="W373" i="1"/>
  <c r="W374" i="1"/>
  <c r="W375" i="1"/>
  <c r="W376" i="1"/>
  <c r="W378" i="1"/>
  <c r="W379" i="1"/>
  <c r="W380" i="1"/>
  <c r="W381" i="1"/>
  <c r="W382" i="1"/>
  <c r="W377" i="1"/>
  <c r="W383" i="1"/>
  <c r="W384" i="1"/>
  <c r="W385" i="1"/>
  <c r="W386" i="1"/>
  <c r="W387" i="1"/>
  <c r="W388" i="1"/>
  <c r="W389" i="1"/>
  <c r="W390" i="1"/>
  <c r="W391" i="1"/>
  <c r="W392" i="1"/>
  <c r="W393" i="1"/>
  <c r="W394" i="1"/>
  <c r="W395" i="1"/>
  <c r="W396" i="1"/>
  <c r="W397" i="1"/>
  <c r="W398" i="1"/>
  <c r="W399" i="1"/>
  <c r="W401" i="1"/>
  <c r="W400" i="1"/>
  <c r="W402" i="1"/>
  <c r="W403" i="1"/>
  <c r="W404" i="1"/>
  <c r="W405" i="1"/>
  <c r="W406" i="1"/>
  <c r="W407" i="1"/>
  <c r="W408" i="1"/>
  <c r="W409" i="1"/>
  <c r="W410" i="1"/>
  <c r="W411" i="1"/>
  <c r="W412" i="1"/>
  <c r="W414" i="1"/>
  <c r="W415" i="1"/>
  <c r="W416" i="1"/>
  <c r="W417" i="1"/>
  <c r="W418" i="1"/>
  <c r="W419" i="1"/>
  <c r="W420" i="1"/>
  <c r="W421" i="1"/>
  <c r="W422" i="1"/>
  <c r="W413" i="1"/>
  <c r="W423" i="1"/>
  <c r="W424" i="1"/>
  <c r="W425" i="1"/>
  <c r="W426" i="1"/>
  <c r="W427" i="1"/>
  <c r="W428" i="1"/>
  <c r="W429" i="1"/>
  <c r="W430" i="1"/>
  <c r="W431" i="1"/>
  <c r="W432" i="1"/>
  <c r="W433" i="1"/>
  <c r="W434" i="1"/>
  <c r="W435" i="1"/>
  <c r="W436" i="1"/>
  <c r="W437" i="1"/>
  <c r="W438" i="1"/>
  <c r="W439" i="1"/>
  <c r="W440" i="1"/>
  <c r="W442" i="1"/>
  <c r="W443" i="1"/>
  <c r="W444" i="1"/>
  <c r="W441" i="1"/>
  <c r="W445" i="1"/>
  <c r="W446" i="1"/>
  <c r="W447" i="1"/>
  <c r="W448" i="1"/>
  <c r="W449" i="1"/>
  <c r="W450" i="1"/>
  <c r="W451" i="1"/>
  <c r="W453" i="1"/>
  <c r="W454" i="1"/>
  <c r="W455" i="1"/>
  <c r="W456" i="1"/>
  <c r="W452"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7" i="1"/>
  <c r="W496" i="1"/>
  <c r="W498" i="1"/>
  <c r="W499" i="1"/>
  <c r="W500" i="1"/>
  <c r="W501" i="1"/>
  <c r="W502" i="1"/>
  <c r="W503" i="1"/>
  <c r="W504" i="1"/>
  <c r="W505" i="1"/>
  <c r="W508" i="1"/>
  <c r="W509" i="1"/>
  <c r="W510" i="1"/>
  <c r="W511" i="1"/>
  <c r="W507" i="1"/>
  <c r="W512" i="1"/>
  <c r="W513" i="1"/>
  <c r="W514" i="1"/>
  <c r="W506" i="1"/>
  <c r="W515" i="1"/>
  <c r="W516" i="1"/>
  <c r="W517" i="1"/>
  <c r="W518" i="1"/>
  <c r="W519" i="1"/>
  <c r="W521" i="1"/>
  <c r="W522" i="1"/>
  <c r="W523" i="1"/>
  <c r="W524" i="1"/>
  <c r="W525" i="1"/>
  <c r="W526" i="1"/>
  <c r="W527" i="1"/>
  <c r="W520" i="1"/>
  <c r="W528" i="1"/>
  <c r="W529" i="1"/>
  <c r="W530" i="1"/>
  <c r="W531" i="1"/>
  <c r="W532" i="1"/>
  <c r="W534" i="1"/>
  <c r="W535" i="1"/>
  <c r="W536" i="1"/>
  <c r="W537" i="1"/>
  <c r="W538" i="1"/>
  <c r="W539" i="1"/>
  <c r="W540" i="1"/>
  <c r="W541" i="1"/>
  <c r="W542" i="1"/>
  <c r="W533" i="1"/>
  <c r="W543" i="1"/>
  <c r="W544" i="1"/>
  <c r="W547" i="1"/>
  <c r="W548" i="1"/>
  <c r="W549" i="1"/>
  <c r="W546" i="1"/>
  <c r="W545" i="1"/>
  <c r="W550" i="1"/>
  <c r="W551" i="1"/>
  <c r="W552" i="1"/>
  <c r="W553" i="1"/>
  <c r="W554" i="1"/>
  <c r="W555" i="1"/>
  <c r="W556" i="1"/>
  <c r="W557" i="1"/>
  <c r="W558" i="1"/>
  <c r="W559" i="1"/>
  <c r="W560" i="1"/>
  <c r="W561" i="1"/>
  <c r="W562" i="1"/>
  <c r="W563" i="1"/>
  <c r="W564" i="1"/>
  <c r="W565" i="1"/>
  <c r="W566" i="1"/>
  <c r="W567" i="1"/>
  <c r="W568" i="1"/>
  <c r="W569" i="1"/>
  <c r="W570" i="1"/>
  <c r="W571" i="1"/>
  <c r="W572" i="1"/>
  <c r="W573" i="1"/>
  <c r="W575" i="1"/>
  <c r="W576" i="1"/>
  <c r="W577" i="1"/>
  <c r="W578" i="1"/>
  <c r="W579" i="1"/>
  <c r="W580" i="1"/>
  <c r="W581" i="1"/>
  <c r="W582" i="1"/>
  <c r="W583" i="1"/>
  <c r="W584" i="1"/>
  <c r="W585" i="1"/>
  <c r="W574"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34" i="1"/>
  <c r="W635" i="1"/>
  <c r="W636" i="1"/>
  <c r="W637" i="1"/>
  <c r="W638" i="1"/>
  <c r="W639" i="1"/>
  <c r="W640" i="1"/>
  <c r="W641" i="1"/>
  <c r="W642" i="1"/>
  <c r="W643" i="1"/>
  <c r="W644" i="1"/>
  <c r="W645" i="1"/>
  <c r="W646" i="1"/>
  <c r="W647" i="1"/>
  <c r="W648" i="1"/>
  <c r="W649" i="1"/>
  <c r="W650" i="1"/>
  <c r="W651" i="1"/>
  <c r="W624"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28" i="1"/>
  <c r="W631"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625" i="1"/>
  <c r="W739" i="1"/>
  <c r="W740" i="1"/>
  <c r="W741" i="1"/>
  <c r="W742" i="1"/>
  <c r="W743" i="1"/>
  <c r="W744" i="1"/>
  <c r="W745" i="1"/>
  <c r="W746" i="1"/>
  <c r="W747" i="1"/>
  <c r="W748" i="1"/>
  <c r="W749" i="1"/>
  <c r="W750" i="1"/>
  <c r="W751" i="1"/>
  <c r="W752" i="1"/>
  <c r="W753" i="1"/>
  <c r="W754" i="1"/>
  <c r="W627" i="1"/>
  <c r="W755" i="1"/>
  <c r="W756" i="1"/>
  <c r="W757" i="1"/>
  <c r="W758" i="1"/>
  <c r="W759" i="1"/>
  <c r="W760" i="1"/>
  <c r="W761" i="1"/>
  <c r="W762" i="1"/>
  <c r="W763" i="1"/>
  <c r="W764" i="1"/>
  <c r="W765" i="1"/>
  <c r="W766" i="1"/>
  <c r="W767" i="1"/>
  <c r="W768" i="1"/>
  <c r="W769" i="1"/>
  <c r="W770" i="1"/>
  <c r="W771" i="1"/>
  <c r="W626" i="1"/>
  <c r="W772" i="1"/>
  <c r="W773" i="1"/>
  <c r="W774" i="1"/>
  <c r="W775" i="1"/>
  <c r="W776" i="1"/>
  <c r="W777" i="1"/>
  <c r="W778" i="1"/>
  <c r="W779" i="1"/>
  <c r="W780" i="1"/>
  <c r="W781" i="1"/>
  <c r="W782" i="1"/>
  <c r="W783" i="1"/>
  <c r="W784" i="1"/>
  <c r="W785" i="1"/>
  <c r="W633" i="1"/>
  <c r="W786" i="1"/>
  <c r="W787" i="1"/>
  <c r="W788" i="1"/>
  <c r="W789" i="1"/>
  <c r="W790" i="1"/>
  <c r="W791" i="1"/>
  <c r="W632"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629" i="1"/>
  <c r="W875" i="1"/>
  <c r="W876" i="1"/>
  <c r="W877" i="1"/>
  <c r="W878" i="1"/>
  <c r="W630"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623"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21" i="1"/>
  <c r="W1115" i="1"/>
  <c r="W1117" i="1"/>
  <c r="W1118" i="1"/>
  <c r="W1119" i="1"/>
  <c r="W1120" i="1"/>
  <c r="W1114" i="1"/>
  <c r="W1116" i="1"/>
  <c r="H4" i="1"/>
  <c r="G4" i="1"/>
  <c r="F4" i="1"/>
  <c r="B555" i="4"/>
  <c r="B554" i="4"/>
  <c r="B23" i="4"/>
  <c r="B709" i="4"/>
  <c r="B4" i="4"/>
  <c r="B5" i="4"/>
  <c r="B6" i="4"/>
  <c r="B7" i="4"/>
  <c r="B8" i="4"/>
  <c r="B9" i="4"/>
  <c r="B10" i="4"/>
  <c r="B11" i="4"/>
  <c r="B12" i="4"/>
  <c r="B13" i="4"/>
  <c r="B14" i="4"/>
  <c r="B15" i="4"/>
  <c r="B16" i="4"/>
  <c r="B17" i="4"/>
  <c r="B18" i="4"/>
  <c r="B19" i="4"/>
  <c r="B20" i="4"/>
  <c r="B21" i="4"/>
  <c r="B22"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311" i="4"/>
  <c r="B142" i="4"/>
  <c r="B143" i="4"/>
  <c r="B144" i="4"/>
  <c r="B145" i="4"/>
  <c r="B146" i="4"/>
  <c r="B147" i="4"/>
  <c r="B148" i="4"/>
  <c r="B149" i="4"/>
  <c r="B150" i="4"/>
  <c r="B151"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80" i="4"/>
  <c r="B181" i="4"/>
  <c r="B182" i="4"/>
  <c r="B183" i="4"/>
  <c r="B184" i="4"/>
  <c r="B185" i="4"/>
  <c r="B186" i="4"/>
  <c r="B187" i="4"/>
  <c r="B188" i="4"/>
  <c r="B189" i="4"/>
  <c r="B190" i="4"/>
  <c r="B191" i="4"/>
  <c r="B178" i="4"/>
  <c r="B192" i="4"/>
  <c r="B179" i="4"/>
  <c r="B196" i="4"/>
  <c r="B197" i="4"/>
  <c r="B198" i="4"/>
  <c r="B199" i="4"/>
  <c r="B200" i="4"/>
  <c r="B201" i="4"/>
  <c r="B202" i="4"/>
  <c r="B203" i="4"/>
  <c r="B204" i="4"/>
  <c r="B205"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2" i="4"/>
  <c r="B303" i="4"/>
  <c r="B304" i="4"/>
  <c r="B305" i="4"/>
  <c r="B306" i="4"/>
  <c r="B307" i="4"/>
  <c r="B308" i="4"/>
  <c r="B309" i="4"/>
  <c r="B310"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2" i="4"/>
  <c r="B343" i="4"/>
  <c r="B344" i="4"/>
  <c r="B345" i="4"/>
  <c r="B346" i="4"/>
  <c r="B347" i="4"/>
  <c r="B348" i="4"/>
  <c r="B349" i="4"/>
  <c r="B350" i="4"/>
  <c r="B351" i="4"/>
  <c r="B352" i="4"/>
  <c r="B353" i="4"/>
  <c r="B354" i="4"/>
  <c r="B355" i="4"/>
  <c r="B356" i="4"/>
  <c r="B238" i="4"/>
  <c r="B239"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1" i="4"/>
  <c r="B442" i="4"/>
  <c r="B443" i="4"/>
  <c r="B444" i="4"/>
  <c r="B445" i="4"/>
  <c r="B446" i="4"/>
  <c r="B447" i="4"/>
  <c r="B448" i="4"/>
  <c r="B449" i="4"/>
  <c r="B450" i="4"/>
  <c r="B451" i="4"/>
  <c r="B452" i="4"/>
  <c r="B453" i="4"/>
  <c r="B454" i="4"/>
  <c r="B455" i="4"/>
  <c r="B456" i="4"/>
  <c r="B457" i="4"/>
  <c r="B458" i="4"/>
  <c r="B459" i="4"/>
  <c r="B460" i="4"/>
  <c r="B461"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6" i="4"/>
  <c r="B557" i="4"/>
  <c r="B558" i="4"/>
  <c r="B559" i="4"/>
  <c r="B560" i="4"/>
  <c r="B561" i="4"/>
  <c r="B562" i="4"/>
  <c r="B563" i="4"/>
  <c r="B564" i="4"/>
  <c r="B565" i="4"/>
  <c r="B566" i="4"/>
  <c r="B567" i="4"/>
  <c r="B568" i="4"/>
  <c r="B569" i="4"/>
  <c r="B570" i="4"/>
  <c r="B571"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80" i="4"/>
  <c r="B676" i="4"/>
  <c r="B681" i="4"/>
  <c r="B682" i="4"/>
  <c r="B677" i="4"/>
  <c r="B678" i="4"/>
  <c r="B679"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341" i="4"/>
  <c r="B462" i="4"/>
  <c r="B572" i="4"/>
  <c r="B440" i="4"/>
  <c r="B301" i="4"/>
  <c r="B3" i="4"/>
  <c r="K2261" i="8" a="1"/>
  <c r="L2261" i="8" a="1"/>
  <c r="M2563" i="8" a="1"/>
  <c r="I2261" i="8" a="1"/>
  <c r="H2563" i="8" a="1"/>
  <c r="K2563" i="8" a="1"/>
  <c r="G2563" i="8" a="1"/>
  <c r="L2563" i="8" a="1"/>
  <c r="I2563" i="8" a="1"/>
  <c r="M2261" i="8" a="1"/>
  <c r="L2238" i="8" a="1"/>
  <c r="K2239" i="8" a="1"/>
  <c r="K2242" i="8" a="1"/>
  <c r="H2261" i="8" a="1"/>
  <c r="L2239" i="8" a="1"/>
  <c r="H2238" i="8" a="1"/>
  <c r="I2238" i="8" a="1"/>
  <c r="H2239" i="8" a="1"/>
  <c r="G2239" i="8" a="1"/>
  <c r="I2242" i="8" a="1"/>
  <c r="K2238" i="8" a="1"/>
  <c r="G2237" i="8" a="1"/>
  <c r="G2241" i="8" a="1"/>
  <c r="L2237" i="8" a="1"/>
  <c r="M2241" i="8" a="1"/>
  <c r="K2241" i="8" a="1"/>
  <c r="M2237" i="8" a="1"/>
  <c r="M2242" i="8" a="1"/>
  <c r="L2241" i="8" a="1"/>
  <c r="M2239" i="8" a="1"/>
  <c r="G2242" i="8" a="1"/>
  <c r="G2261" i="8" a="1"/>
  <c r="H2241" i="8" a="1"/>
  <c r="H2237" i="8" a="1"/>
  <c r="I2237" i="8" a="1"/>
  <c r="I2239" i="8" a="1"/>
  <c r="M2238" i="8" a="1"/>
  <c r="K2237" i="8" a="1"/>
  <c r="G2238" i="8" a="1"/>
  <c r="H2242" i="8" a="1"/>
  <c r="L2242" i="8" a="1"/>
  <c r="I2241" i="8" a="1"/>
  <c r="M2122" i="8" a="1"/>
  <c r="L2124" i="8" a="1"/>
  <c r="G2123" i="8" a="1"/>
  <c r="H2131" i="8" a="1"/>
  <c r="H2124" i="8" a="1"/>
  <c r="L2119" i="8" a="1"/>
  <c r="H2084" i="8" a="1"/>
  <c r="K2122" i="8" a="1"/>
  <c r="K2124" i="8" a="1"/>
  <c r="I2124" i="8" a="1"/>
  <c r="L2122" i="8" a="1"/>
  <c r="M2123" i="8" a="1"/>
  <c r="L2084" i="8" a="1"/>
  <c r="L2131" i="8" a="1"/>
  <c r="K2123" i="8" a="1"/>
  <c r="G2122" i="8" a="1"/>
  <c r="G2119" i="8" a="1"/>
  <c r="I2122" i="8" a="1"/>
  <c r="L2123" i="8" a="1"/>
  <c r="M2131" i="8" a="1"/>
  <c r="K2119" i="8" a="1"/>
  <c r="I2084" i="8" a="1"/>
  <c r="G2131" i="8" a="1"/>
  <c r="I2131" i="8" a="1"/>
  <c r="H2122" i="8" a="1"/>
  <c r="G2124" i="8" a="1"/>
  <c r="I2123" i="8" a="1"/>
  <c r="H2123" i="8" a="1"/>
  <c r="M2084" i="8" a="1"/>
  <c r="K2131" i="8" a="1"/>
  <c r="K2084" i="8" a="1"/>
  <c r="M2124" i="8" a="1"/>
  <c r="K2058" i="8" a="1"/>
  <c r="I2083" i="8" a="1"/>
  <c r="L2083" i="8" a="1"/>
  <c r="M2057" i="8" a="1"/>
  <c r="L2082" i="8" a="1"/>
  <c r="M2058" i="8" a="1"/>
  <c r="G2082" i="8" a="1"/>
  <c r="H2083" i="8" a="1"/>
  <c r="G2083" i="8" a="1"/>
  <c r="H2058" i="8" a="1"/>
  <c r="L2058" i="8" a="1"/>
  <c r="H2057" i="8" a="1"/>
  <c r="H2082" i="8" a="1"/>
  <c r="I2082" i="8" a="1"/>
  <c r="K2082" i="8" a="1"/>
  <c r="L2057" i="8" a="1"/>
  <c r="K2083" i="8" a="1"/>
  <c r="I2055" i="8" a="1"/>
  <c r="M2082" i="8" a="1"/>
  <c r="G2084" i="8" a="1"/>
  <c r="G2057" i="8" a="1"/>
  <c r="I2057" i="8" a="1"/>
  <c r="K2057" i="8" a="1"/>
  <c r="G2058" i="8" a="1"/>
  <c r="L2055" i="8" a="1"/>
  <c r="I2058" i="8" a="1"/>
  <c r="H2055" i="8" a="1"/>
  <c r="M2054" i="8" a="1"/>
  <c r="G2055" i="8" a="1"/>
  <c r="M2055" i="8" a="1"/>
  <c r="K2055" i="8" a="1"/>
  <c r="M2083" i="8" a="1"/>
  <c r="M1882" i="8" a="1"/>
  <c r="G1747" i="8" a="1"/>
  <c r="K2054" i="8" a="1"/>
  <c r="I1757" i="8" a="1"/>
  <c r="I2054" i="8" a="1"/>
  <c r="G1757" i="8" a="1"/>
  <c r="I2044" i="8" a="1"/>
  <c r="L1882" i="8" a="1"/>
  <c r="G2054" i="8" a="1"/>
  <c r="M2043" i="8" a="1"/>
  <c r="K1747" i="8" a="1"/>
  <c r="H2054" i="8" a="1"/>
  <c r="M2044" i="8" a="1"/>
  <c r="H1757" i="8" a="1"/>
  <c r="K1757" i="8" a="1"/>
  <c r="G2044" i="8" a="1"/>
  <c r="H2044" i="8" a="1"/>
  <c r="G1882" i="8" a="1"/>
  <c r="L2044" i="8" a="1"/>
  <c r="L1747" i="8" a="1"/>
  <c r="M1757" i="8" a="1"/>
  <c r="L2054" i="8" a="1"/>
  <c r="K2043" i="8" a="1"/>
  <c r="G2043" i="8" a="1"/>
  <c r="H1882" i="8" a="1"/>
  <c r="I2043" i="8" a="1"/>
  <c r="K1882" i="8" a="1"/>
  <c r="L2043" i="8" a="1"/>
  <c r="I1882" i="8" a="1"/>
  <c r="K2044" i="8" a="1"/>
  <c r="H2043" i="8" a="1"/>
  <c r="L1757" i="8" a="1"/>
  <c r="M623" i="8" a="1"/>
  <c r="G623" i="8" a="1"/>
  <c r="K1290" i="8" a="1"/>
  <c r="M423" i="8" a="1"/>
  <c r="I1290" i="8" a="1"/>
  <c r="H1290" i="8" a="1"/>
  <c r="M619" i="8" a="1"/>
  <c r="M1329" i="8" a="1"/>
  <c r="L1329" i="8" a="1"/>
  <c r="G1329" i="8" a="1"/>
  <c r="I623" i="8" a="1"/>
  <c r="H622" i="8" a="1"/>
  <c r="L623" i="8" a="1"/>
  <c r="K622" i="8" a="1"/>
  <c r="L619" i="8" a="1"/>
  <c r="L1290" i="8" a="1"/>
  <c r="I622" i="8" a="1"/>
  <c r="K619" i="8" a="1"/>
  <c r="L423" i="8" a="1"/>
  <c r="K623" i="8" a="1"/>
  <c r="H623" i="8" a="1"/>
  <c r="G622" i="8" a="1"/>
  <c r="K1329" i="8" a="1"/>
  <c r="M622" i="8" a="1"/>
  <c r="I1329" i="8" a="1"/>
  <c r="M1290" i="8" a="1"/>
  <c r="H619" i="8" a="1"/>
  <c r="L622" i="8" a="1"/>
  <c r="G619" i="8" a="1"/>
  <c r="H1329" i="8" a="1"/>
  <c r="I619" i="8" a="1"/>
  <c r="G1290" i="8" a="1"/>
  <c r="M43" i="8" a="1"/>
  <c r="I46" i="8" a="1"/>
  <c r="I423" i="8" a="1"/>
  <c r="G46" i="8" a="1"/>
  <c r="L69" i="8" a="1"/>
  <c r="K69" i="8" a="1"/>
  <c r="L43" i="8" a="1"/>
  <c r="M46" i="8" a="1"/>
  <c r="G53" i="8" a="1"/>
  <c r="M53" i="8" a="1"/>
  <c r="H423" i="8" a="1"/>
  <c r="I69" i="8" a="1"/>
  <c r="I72" i="8" a="1"/>
  <c r="G423" i="8" a="1"/>
  <c r="I43" i="8" a="1"/>
  <c r="L72" i="8" a="1"/>
  <c r="K72" i="8" a="1"/>
  <c r="K423" i="8" a="1"/>
  <c r="L53" i="8" a="1"/>
  <c r="K43" i="8" a="1"/>
  <c r="K46" i="8" a="1"/>
  <c r="H69" i="8" a="1"/>
  <c r="H53" i="8" a="1"/>
  <c r="M72" i="8" a="1"/>
  <c r="I53" i="8" a="1"/>
  <c r="L46" i="8" a="1"/>
  <c r="G72" i="8" a="1"/>
  <c r="G69" i="8" a="1"/>
  <c r="H72" i="8" a="1"/>
  <c r="H46" i="8" a="1"/>
  <c r="K53" i="8" a="1"/>
  <c r="M69" i="8" a="1"/>
  <c r="K32" i="8" a="1"/>
  <c r="M42" i="8" a="1"/>
  <c r="M32" i="8" a="1"/>
  <c r="K30" i="8" a="1"/>
  <c r="H43" i="8" a="1"/>
  <c r="H41" i="8" a="1"/>
  <c r="G32" i="8" a="1"/>
  <c r="I42" i="8" a="1"/>
  <c r="H42" i="8" a="1"/>
  <c r="I32" i="8" a="1"/>
  <c r="H32" i="8" a="1"/>
  <c r="L32" i="8" a="1"/>
  <c r="M41" i="8" a="1"/>
  <c r="M30" i="8" a="1"/>
  <c r="I30" i="8" a="1"/>
  <c r="L41" i="8" a="1"/>
  <c r="L42" i="8" a="1"/>
  <c r="L30" i="8" a="1"/>
  <c r="G43" i="8" a="1"/>
  <c r="I41" i="8" a="1"/>
  <c r="K41" i="8" a="1"/>
  <c r="G42" i="8" a="1"/>
  <c r="G30" i="8" a="1"/>
  <c r="G41" i="8" a="1"/>
  <c r="K42" i="8" a="1"/>
  <c r="H30" i="8" a="1"/>
  <c r="D2563" i="8"/>
  <c r="D2261" i="8"/>
  <c r="W9" i="1" s="1"/>
  <c r="D2242" i="8"/>
  <c r="W35" i="1" s="1"/>
  <c r="D2241" i="8"/>
  <c r="D2239" i="8"/>
  <c r="D2238" i="8"/>
  <c r="D2237" i="8"/>
  <c r="D2131" i="8"/>
  <c r="D2124" i="8"/>
  <c r="D2123" i="8"/>
  <c r="D2122" i="8"/>
  <c r="D2084" i="8"/>
  <c r="D2083" i="8"/>
  <c r="D2082" i="8"/>
  <c r="W68" i="1" s="1"/>
  <c r="D2058" i="8"/>
  <c r="D2057" i="8"/>
  <c r="D2055" i="8"/>
  <c r="D2054" i="8"/>
  <c r="D2044" i="8"/>
  <c r="D2043" i="8"/>
  <c r="D1882" i="8"/>
  <c r="W97" i="1" s="1"/>
  <c r="D1757" i="8"/>
  <c r="D1329" i="8"/>
  <c r="D1290" i="8"/>
  <c r="D623" i="8"/>
  <c r="D622" i="8"/>
  <c r="W105" i="1" s="1"/>
  <c r="D619" i="8"/>
  <c r="D423" i="8"/>
  <c r="W1113" i="1" s="1"/>
  <c r="D72" i="8"/>
  <c r="D69" i="8"/>
  <c r="D53" i="8"/>
  <c r="D46" i="8"/>
  <c r="D43" i="8"/>
  <c r="D42" i="8"/>
  <c r="D41" i="8"/>
  <c r="D32" i="8"/>
  <c r="D30" i="8"/>
  <c r="Q614" i="3"/>
  <c r="Q613" i="3"/>
  <c r="Q612" i="3"/>
  <c r="Q611" i="3"/>
  <c r="Q610" i="3"/>
  <c r="Q609" i="3"/>
  <c r="Q608" i="3"/>
  <c r="Q607" i="3"/>
  <c r="Q606" i="3"/>
  <c r="Q605" i="3"/>
  <c r="Q604" i="3"/>
  <c r="Q603" i="3"/>
  <c r="Q602" i="3"/>
  <c r="Q601" i="3"/>
  <c r="Q600" i="3"/>
  <c r="Q599" i="3"/>
  <c r="Q598" i="3"/>
  <c r="Q597" i="3"/>
  <c r="Q596" i="3"/>
  <c r="Q595" i="3"/>
  <c r="Q592" i="3"/>
  <c r="Q591" i="3"/>
  <c r="Q590" i="3"/>
  <c r="Q589" i="3"/>
  <c r="Q588" i="3"/>
  <c r="Q587" i="3"/>
  <c r="Q586" i="3"/>
  <c r="Q585" i="3"/>
  <c r="Q584" i="3"/>
  <c r="Q583" i="3"/>
  <c r="Q582" i="3"/>
  <c r="Q581" i="3"/>
  <c r="Q580" i="3"/>
  <c r="Q579" i="3"/>
  <c r="Q578" i="3"/>
  <c r="Q577" i="3"/>
  <c r="Q576" i="3"/>
  <c r="Q575" i="3"/>
  <c r="Q574" i="3"/>
  <c r="Q573" i="3"/>
  <c r="Q572" i="3"/>
  <c r="Q571" i="3"/>
  <c r="Q570" i="3"/>
  <c r="Q569" i="3"/>
  <c r="Q567" i="3"/>
  <c r="Q566" i="3"/>
  <c r="Q565" i="3"/>
  <c r="Q564" i="3"/>
  <c r="Q563" i="3"/>
  <c r="Q562" i="3"/>
  <c r="Q561" i="3"/>
  <c r="Q560" i="3"/>
  <c r="Q559" i="3"/>
  <c r="Q558" i="3"/>
  <c r="Q557" i="3"/>
  <c r="Q556" i="3"/>
  <c r="Q555" i="3"/>
  <c r="Q554" i="3"/>
  <c r="Q553" i="3"/>
  <c r="Q552" i="3"/>
  <c r="Q551" i="3"/>
  <c r="Q550" i="3"/>
  <c r="Q549" i="3"/>
  <c r="Q548" i="3"/>
  <c r="Q547" i="3"/>
  <c r="Q546" i="3"/>
  <c r="Q545" i="3"/>
  <c r="Q544" i="3"/>
  <c r="Q543" i="3"/>
  <c r="Q542" i="3"/>
  <c r="Q518" i="3"/>
  <c r="Q517" i="3"/>
  <c r="Q516" i="3"/>
  <c r="Q515" i="3"/>
  <c r="Q514" i="3"/>
  <c r="Q513" i="3"/>
  <c r="Q512" i="3"/>
  <c r="Q511" i="3"/>
  <c r="Q510" i="3"/>
  <c r="Q509" i="3"/>
  <c r="Q508" i="3"/>
  <c r="Q507" i="3"/>
  <c r="Q506" i="3"/>
  <c r="Q505" i="3"/>
  <c r="Q504" i="3"/>
  <c r="Q503" i="3"/>
  <c r="Q502" i="3"/>
  <c r="Q501" i="3"/>
  <c r="Q500" i="3"/>
  <c r="Q499" i="3"/>
  <c r="Q498" i="3"/>
  <c r="Q497" i="3"/>
  <c r="Q496" i="3"/>
  <c r="Q495" i="3"/>
  <c r="Q494" i="3"/>
  <c r="Q493" i="3"/>
  <c r="Q492" i="3"/>
  <c r="Q491" i="3"/>
  <c r="Q490" i="3"/>
  <c r="Q489" i="3"/>
  <c r="Q488" i="3"/>
  <c r="Q487" i="3"/>
  <c r="Q486" i="3"/>
  <c r="Q485" i="3"/>
  <c r="Q484" i="3"/>
  <c r="Q483" i="3"/>
  <c r="Q482" i="3"/>
  <c r="Q481" i="3"/>
  <c r="Q480" i="3"/>
  <c r="Q479" i="3"/>
  <c r="Q478" i="3"/>
  <c r="Q477" i="3"/>
  <c r="Q476" i="3"/>
  <c r="Q475" i="3"/>
  <c r="Q474" i="3"/>
  <c r="Q473" i="3"/>
  <c r="Q472" i="3"/>
  <c r="Q471" i="3"/>
  <c r="Q470" i="3"/>
  <c r="Q469" i="3"/>
  <c r="Q468" i="3"/>
  <c r="Q467" i="3"/>
  <c r="Q466" i="3"/>
  <c r="Q465" i="3"/>
  <c r="Q464" i="3"/>
  <c r="Q463" i="3"/>
  <c r="Q462" i="3"/>
  <c r="Q461" i="3"/>
  <c r="Q460" i="3"/>
  <c r="Q459" i="3"/>
  <c r="Q458" i="3"/>
  <c r="Q457" i="3"/>
  <c r="Q456" i="3"/>
  <c r="Q455" i="3"/>
  <c r="Q454" i="3"/>
  <c r="Q453" i="3"/>
  <c r="Q452" i="3"/>
  <c r="Q451" i="3"/>
  <c r="Q450" i="3"/>
  <c r="Q449" i="3"/>
  <c r="Q448" i="3"/>
  <c r="Q447" i="3"/>
  <c r="Q446" i="3"/>
  <c r="Q445" i="3"/>
  <c r="Q444" i="3"/>
  <c r="Q443" i="3"/>
  <c r="Q442" i="3"/>
  <c r="Q441" i="3"/>
  <c r="Q440" i="3"/>
  <c r="Q439" i="3"/>
  <c r="Q438" i="3"/>
  <c r="Q437" i="3"/>
  <c r="Q436" i="3"/>
  <c r="Q435" i="3"/>
  <c r="Q434" i="3"/>
  <c r="Q433" i="3"/>
  <c r="Q432" i="3"/>
  <c r="Q431" i="3"/>
  <c r="Q430" i="3"/>
  <c r="Q429" i="3"/>
  <c r="Q428" i="3"/>
  <c r="Q427" i="3"/>
  <c r="Q426" i="3"/>
  <c r="Q425" i="3"/>
  <c r="Q424" i="3"/>
  <c r="Q423" i="3"/>
  <c r="Q422" i="3"/>
  <c r="Q421" i="3"/>
  <c r="Q420" i="3"/>
  <c r="Q419" i="3"/>
  <c r="Q418" i="3"/>
  <c r="Q417" i="3"/>
  <c r="Q416" i="3"/>
  <c r="Q415" i="3"/>
  <c r="Q414" i="3"/>
  <c r="Q413" i="3"/>
  <c r="Q412" i="3"/>
  <c r="Q411" i="3"/>
  <c r="Q410" i="3"/>
  <c r="Q409" i="3"/>
  <c r="Q408" i="3"/>
  <c r="Q407" i="3"/>
  <c r="Q406" i="3"/>
  <c r="Q405" i="3"/>
  <c r="Q404" i="3"/>
  <c r="Q403" i="3"/>
  <c r="Q402" i="3"/>
  <c r="Q401" i="3"/>
  <c r="Q400" i="3"/>
  <c r="Q399" i="3"/>
  <c r="Q398" i="3"/>
  <c r="Q397" i="3"/>
  <c r="Q396" i="3"/>
  <c r="Q395" i="3"/>
  <c r="Q394" i="3"/>
  <c r="Q393" i="3"/>
  <c r="Q392" i="3"/>
  <c r="Q391" i="3"/>
  <c r="Q390" i="3"/>
  <c r="Q389" i="3"/>
  <c r="Q388" i="3"/>
  <c r="Q387" i="3"/>
  <c r="Q386" i="3"/>
  <c r="Q385" i="3"/>
  <c r="Q384" i="3"/>
  <c r="Q383" i="3"/>
  <c r="Q382" i="3"/>
  <c r="Q381" i="3"/>
  <c r="Q380" i="3"/>
  <c r="Q379" i="3"/>
  <c r="Q378" i="3"/>
  <c r="Q377" i="3"/>
  <c r="Q376" i="3"/>
  <c r="Q375" i="3"/>
  <c r="Q374" i="3"/>
  <c r="Q373" i="3"/>
  <c r="Q372" i="3"/>
  <c r="Q371" i="3"/>
  <c r="Q370" i="3"/>
  <c r="Q369" i="3"/>
  <c r="Q368" i="3"/>
  <c r="Q367" i="3"/>
  <c r="Q366" i="3"/>
  <c r="Q365" i="3"/>
  <c r="Q364" i="3"/>
  <c r="Q363" i="3"/>
  <c r="Q362" i="3"/>
  <c r="Q361" i="3"/>
  <c r="Q360" i="3"/>
  <c r="Q359" i="3"/>
  <c r="Q358" i="3"/>
  <c r="Q357" i="3"/>
  <c r="Q356" i="3"/>
  <c r="Q355" i="3"/>
  <c r="Q354" i="3"/>
  <c r="Q632" i="3"/>
  <c r="Q631" i="3"/>
  <c r="Q630" i="3"/>
  <c r="Q629" i="3"/>
  <c r="Q628" i="3"/>
  <c r="Q627" i="3"/>
  <c r="Q626" i="3"/>
  <c r="Q625" i="3"/>
  <c r="Q624" i="3"/>
  <c r="Q623" i="3"/>
  <c r="Q622" i="3"/>
  <c r="Q621" i="3"/>
  <c r="Q620" i="3"/>
  <c r="Q619" i="3"/>
  <c r="Q618" i="3"/>
  <c r="Q617" i="3"/>
  <c r="Q616" i="3"/>
  <c r="Q615" i="3"/>
  <c r="Q594" i="3"/>
  <c r="Q593" i="3"/>
  <c r="Q706" i="3"/>
  <c r="Q705" i="3"/>
  <c r="Q704" i="3"/>
  <c r="Q703" i="3"/>
  <c r="Q702" i="3"/>
  <c r="Q701" i="3"/>
  <c r="Q700" i="3"/>
  <c r="Q699" i="3"/>
  <c r="Q698" i="3"/>
  <c r="Q697" i="3"/>
  <c r="Q696" i="3"/>
  <c r="Q695" i="3"/>
  <c r="Q694" i="3"/>
  <c r="Q693" i="3"/>
  <c r="Q692" i="3"/>
  <c r="Q691" i="3"/>
  <c r="Q690" i="3"/>
  <c r="Q689" i="3"/>
  <c r="Q688" i="3"/>
  <c r="Q687" i="3"/>
  <c r="Q686" i="3"/>
  <c r="Q685" i="3"/>
  <c r="Q684" i="3"/>
  <c r="Q683" i="3"/>
  <c r="Q682" i="3"/>
  <c r="Q681" i="3"/>
  <c r="Q680" i="3"/>
  <c r="Q679" i="3"/>
  <c r="Q678" i="3"/>
  <c r="Q677" i="3"/>
  <c r="Q676" i="3"/>
  <c r="Q675" i="3"/>
  <c r="Q674" i="3"/>
  <c r="Q673" i="3"/>
  <c r="Q672" i="3"/>
  <c r="Q671" i="3"/>
  <c r="Q670" i="3"/>
  <c r="Q669" i="3"/>
  <c r="Q668" i="3"/>
  <c r="Q667" i="3"/>
  <c r="Q666" i="3"/>
  <c r="Q665" i="3"/>
  <c r="Q664" i="3"/>
  <c r="Q663" i="3"/>
  <c r="Q662" i="3"/>
  <c r="Q661" i="3"/>
  <c r="Q660" i="3"/>
  <c r="Q659" i="3"/>
  <c r="Q658" i="3"/>
  <c r="Q657" i="3"/>
  <c r="Q654" i="3"/>
  <c r="Q653" i="3"/>
  <c r="Q652" i="3"/>
  <c r="Q651" i="3"/>
  <c r="Q650" i="3"/>
  <c r="Q649" i="3"/>
  <c r="Q648" i="3"/>
  <c r="Q647" i="3"/>
  <c r="Q646" i="3"/>
  <c r="Q645" i="3"/>
  <c r="Q656" i="3"/>
  <c r="Q655" i="3"/>
  <c r="Q541" i="3"/>
  <c r="Q540" i="3"/>
  <c r="Q539" i="3"/>
  <c r="Q538" i="3"/>
  <c r="Q537" i="3"/>
  <c r="Q536" i="3"/>
  <c r="Q535" i="3"/>
  <c r="Q534" i="3"/>
  <c r="Q533" i="3"/>
  <c r="Q532" i="3"/>
  <c r="Q531" i="3"/>
  <c r="Q530" i="3"/>
  <c r="Q529" i="3"/>
  <c r="Q528" i="3"/>
  <c r="Q527" i="3"/>
  <c r="Q526" i="3"/>
  <c r="Q525" i="3"/>
  <c r="Q524" i="3"/>
  <c r="Q523" i="3"/>
  <c r="Q522" i="3"/>
  <c r="Q521" i="3"/>
  <c r="Q520" i="3"/>
  <c r="Q519" i="3"/>
  <c r="Q644" i="3"/>
  <c r="Q643" i="3"/>
  <c r="Q642" i="3"/>
  <c r="Q641" i="3"/>
  <c r="Q640" i="3"/>
  <c r="Q639" i="3"/>
  <c r="Q638" i="3"/>
  <c r="Q637" i="3"/>
  <c r="Q636" i="3"/>
  <c r="Q635" i="3"/>
  <c r="Q634" i="3"/>
  <c r="Q633" i="3"/>
  <c r="Q568" i="3"/>
  <c r="AW512" i="3"/>
  <c r="AW511" i="3"/>
  <c r="AW510" i="3"/>
  <c r="AW509" i="3"/>
  <c r="AW508" i="3"/>
  <c r="AW507" i="3"/>
  <c r="AW506" i="3"/>
  <c r="AW505" i="3"/>
  <c r="AW504" i="3"/>
  <c r="AW503" i="3"/>
  <c r="AW502" i="3"/>
  <c r="AW501" i="3"/>
  <c r="AW500" i="3"/>
  <c r="AW499" i="3"/>
  <c r="AW498" i="3"/>
  <c r="AW497" i="3"/>
  <c r="AW496" i="3"/>
  <c r="AW495" i="3"/>
  <c r="AW494" i="3"/>
  <c r="AW493" i="3"/>
  <c r="AW492" i="3"/>
  <c r="AW491" i="3"/>
  <c r="AW490" i="3"/>
  <c r="AW489" i="3"/>
  <c r="AW488" i="3"/>
  <c r="AW487" i="3"/>
  <c r="AW486" i="3"/>
  <c r="AW485" i="3"/>
  <c r="AW484" i="3"/>
  <c r="AW483" i="3"/>
  <c r="AW482" i="3"/>
  <c r="AW481" i="3"/>
  <c r="AW480" i="3"/>
  <c r="AW479" i="3"/>
  <c r="AW478" i="3"/>
  <c r="AW477" i="3"/>
  <c r="AW476" i="3"/>
  <c r="AW475" i="3"/>
  <c r="AW474" i="3"/>
  <c r="AW473" i="3"/>
  <c r="AW472" i="3"/>
  <c r="AW471" i="3"/>
  <c r="AW470" i="3"/>
  <c r="AW469" i="3"/>
  <c r="AW468" i="3"/>
  <c r="AW467" i="3"/>
  <c r="AW466" i="3"/>
  <c r="AW465" i="3"/>
  <c r="AW464" i="3"/>
  <c r="AW463" i="3"/>
  <c r="AW462" i="3"/>
  <c r="AW461" i="3"/>
  <c r="AW460" i="3"/>
  <c r="AW459" i="3"/>
  <c r="AW458" i="3"/>
  <c r="AW457" i="3"/>
  <c r="AW456" i="3"/>
  <c r="AW455" i="3"/>
  <c r="AW454" i="3"/>
  <c r="AW453" i="3"/>
  <c r="AW452" i="3"/>
  <c r="AW451" i="3"/>
  <c r="AW450" i="3"/>
  <c r="AW449" i="3"/>
  <c r="AW448" i="3"/>
  <c r="AW447" i="3"/>
  <c r="AW446" i="3"/>
  <c r="AW445" i="3"/>
  <c r="AW444" i="3"/>
  <c r="AW443" i="3"/>
  <c r="AW442" i="3"/>
  <c r="AW441" i="3"/>
  <c r="AW440" i="3"/>
  <c r="AW439" i="3"/>
  <c r="AW438" i="3"/>
  <c r="AW437" i="3"/>
  <c r="AW436" i="3"/>
  <c r="AW435" i="3"/>
  <c r="AW434" i="3"/>
  <c r="AW433" i="3"/>
  <c r="AW432" i="3"/>
  <c r="AW431" i="3"/>
  <c r="AW430" i="3"/>
  <c r="AW429" i="3"/>
  <c r="AW428" i="3"/>
  <c r="AW427" i="3"/>
  <c r="AW426" i="3"/>
  <c r="AW425" i="3"/>
  <c r="AW424" i="3"/>
  <c r="AW423" i="3"/>
  <c r="AW422" i="3"/>
  <c r="AW421" i="3"/>
  <c r="AW420" i="3"/>
  <c r="AW419" i="3"/>
  <c r="AW418" i="3"/>
  <c r="AW417" i="3"/>
  <c r="AW416" i="3"/>
  <c r="AW415" i="3"/>
  <c r="AW414" i="3"/>
  <c r="AW413" i="3"/>
  <c r="AW412" i="3"/>
  <c r="AW411" i="3"/>
  <c r="AW410" i="3"/>
  <c r="AW409" i="3"/>
  <c r="AW408" i="3"/>
  <c r="AW407" i="3"/>
  <c r="AW406" i="3"/>
  <c r="AW405" i="3"/>
  <c r="AW404" i="3"/>
  <c r="AW403" i="3"/>
  <c r="AW402" i="3"/>
  <c r="AW401" i="3"/>
  <c r="AW400" i="3"/>
  <c r="AW399" i="3"/>
  <c r="AW398" i="3"/>
  <c r="AW397" i="3"/>
  <c r="AW396" i="3"/>
  <c r="AW395" i="3"/>
  <c r="AW394" i="3"/>
  <c r="AW393" i="3"/>
  <c r="AW392" i="3"/>
  <c r="AW391" i="3"/>
  <c r="AW390" i="3"/>
  <c r="AW389" i="3"/>
  <c r="AW388" i="3"/>
  <c r="AW387" i="3"/>
  <c r="AW386" i="3"/>
  <c r="AW385" i="3"/>
  <c r="AW384" i="3"/>
  <c r="AW383" i="3"/>
  <c r="AW382" i="3"/>
  <c r="AW381" i="3"/>
  <c r="AW380" i="3"/>
  <c r="AW379" i="3"/>
  <c r="AW378" i="3"/>
  <c r="AW377" i="3"/>
  <c r="AW376" i="3"/>
  <c r="AW375" i="3"/>
  <c r="AW374" i="3"/>
  <c r="AW373" i="3"/>
  <c r="AW372" i="3"/>
  <c r="AW371" i="3"/>
  <c r="AW370" i="3"/>
  <c r="AW369" i="3"/>
  <c r="AW368" i="3"/>
  <c r="AW367" i="3"/>
  <c r="AW366" i="3"/>
  <c r="AW365" i="3"/>
  <c r="AW364" i="3"/>
  <c r="AW363" i="3"/>
  <c r="AW362" i="3"/>
  <c r="AW361" i="3"/>
  <c r="AW360" i="3"/>
  <c r="AW359" i="3"/>
  <c r="AW358" i="3"/>
  <c r="AW357" i="3"/>
  <c r="AW356" i="3"/>
  <c r="AW355" i="3"/>
  <c r="AW354" i="3"/>
  <c r="Q722" i="3"/>
  <c r="Q721" i="3"/>
  <c r="Q720" i="3"/>
  <c r="Q719" i="3"/>
  <c r="Q718" i="3"/>
  <c r="Q717" i="3"/>
  <c r="Q716" i="3"/>
  <c r="Q715" i="3"/>
  <c r="Q714" i="3"/>
  <c r="Q713" i="3"/>
  <c r="Q712" i="3"/>
  <c r="Q711" i="3"/>
  <c r="Q710" i="3"/>
  <c r="Q709" i="3"/>
  <c r="Q708" i="3"/>
  <c r="Q707" i="3"/>
  <c r="AW347" i="3"/>
  <c r="Q347" i="3"/>
  <c r="AW333" i="3"/>
  <c r="AW331" i="3"/>
  <c r="AW313" i="3"/>
  <c r="AW312" i="3"/>
  <c r="AW311" i="3"/>
  <c r="Q333" i="3"/>
  <c r="Q332" i="3"/>
  <c r="Q331" i="3"/>
  <c r="Q328" i="3"/>
  <c r="Q327" i="3"/>
  <c r="Q326" i="3"/>
  <c r="Q325" i="3"/>
  <c r="Q324" i="3"/>
  <c r="Q323" i="3"/>
  <c r="Q322" i="3"/>
  <c r="Q321" i="3"/>
  <c r="Q320" i="3"/>
  <c r="Q319" i="3"/>
  <c r="Q318" i="3"/>
  <c r="Q316" i="3"/>
  <c r="Q315" i="3"/>
  <c r="Q313" i="3"/>
  <c r="Q312" i="3"/>
  <c r="Q311" i="3"/>
  <c r="AW283" i="3"/>
  <c r="AW277" i="3"/>
  <c r="AW274" i="3"/>
  <c r="AW262" i="3"/>
  <c r="AW257" i="3"/>
  <c r="AW253" i="3"/>
  <c r="AW252" i="3"/>
  <c r="AW251" i="3"/>
  <c r="AW243" i="3"/>
  <c r="AW242" i="3"/>
  <c r="AW224" i="3"/>
  <c r="AW213" i="3"/>
  <c r="AW212" i="3"/>
  <c r="AW211" i="3"/>
  <c r="AW210" i="3"/>
  <c r="AW209" i="3"/>
  <c r="AW208" i="3"/>
  <c r="AW204" i="3"/>
  <c r="AW203" i="3"/>
  <c r="AW201" i="3"/>
  <c r="AW200" i="3"/>
  <c r="AW198" i="3"/>
  <c r="AW197" i="3"/>
  <c r="AW195" i="3"/>
  <c r="AW194" i="3"/>
  <c r="AW192" i="3"/>
  <c r="AW191" i="3"/>
  <c r="AW190" i="3"/>
  <c r="AW189" i="3"/>
  <c r="AW188" i="3"/>
  <c r="AW186" i="3"/>
  <c r="AW185" i="3"/>
  <c r="AW184" i="3"/>
  <c r="AW183" i="3"/>
  <c r="AW179" i="3"/>
  <c r="AW175" i="3"/>
  <c r="AW174" i="3"/>
  <c r="AW173" i="3"/>
  <c r="AW172" i="3"/>
  <c r="AW170" i="3"/>
  <c r="AW167" i="3"/>
  <c r="AW163" i="3"/>
  <c r="AW162" i="3"/>
  <c r="AW161" i="3"/>
  <c r="AW158" i="3"/>
  <c r="AW157" i="3"/>
  <c r="AW155" i="3"/>
  <c r="AW154" i="3"/>
  <c r="AW153" i="3"/>
  <c r="AW152" i="3"/>
  <c r="Q307" i="3"/>
  <c r="Q306" i="3"/>
  <c r="Q305" i="3"/>
  <c r="Q304" i="3"/>
  <c r="Q302" i="3"/>
  <c r="Q301" i="3"/>
  <c r="Q300" i="3"/>
  <c r="Q299" i="3"/>
  <c r="Q298" i="3"/>
  <c r="Q297" i="3"/>
  <c r="Q296" i="3"/>
  <c r="Q295" i="3"/>
  <c r="Q294" i="3"/>
  <c r="Q293" i="3"/>
  <c r="Q292" i="3"/>
  <c r="Q291" i="3"/>
  <c r="Q290" i="3"/>
  <c r="Q289" i="3"/>
  <c r="Q288" i="3"/>
  <c r="Q287" i="3"/>
  <c r="Q286" i="3"/>
  <c r="Q285" i="3"/>
  <c r="Q283" i="3"/>
  <c r="Q281" i="3"/>
  <c r="Q278" i="3"/>
  <c r="Q277" i="3"/>
  <c r="Q274" i="3"/>
  <c r="Q273" i="3"/>
  <c r="Q272" i="3"/>
  <c r="Q271" i="3"/>
  <c r="Q270" i="3"/>
  <c r="Q269" i="3"/>
  <c r="Q268" i="3"/>
  <c r="Q267" i="3"/>
  <c r="Q266" i="3"/>
  <c r="Q265" i="3"/>
  <c r="Q264" i="3"/>
  <c r="Q263" i="3"/>
  <c r="Q262" i="3"/>
  <c r="Q261" i="3"/>
  <c r="Q259" i="3"/>
  <c r="Q258" i="3"/>
  <c r="Q257" i="3"/>
  <c r="Q256" i="3"/>
  <c r="Q255"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0" i="3"/>
  <c r="Q219" i="3"/>
  <c r="Q218" i="3"/>
  <c r="Q217" i="3"/>
  <c r="Q216" i="3"/>
  <c r="Q215" i="3"/>
  <c r="Q214" i="3"/>
  <c r="Q213" i="3"/>
  <c r="Q212" i="3"/>
  <c r="Q211" i="3"/>
  <c r="Q210" i="3"/>
  <c r="Q209" i="3"/>
  <c r="Q208" i="3"/>
  <c r="Q207" i="3"/>
  <c r="Q206" i="3"/>
  <c r="Q205" i="3"/>
  <c r="Q204" i="3"/>
  <c r="Q203" i="3"/>
  <c r="Q201" i="3"/>
  <c r="Q200" i="3"/>
  <c r="Q199" i="3"/>
  <c r="Q198" i="3"/>
  <c r="Q197" i="3"/>
  <c r="Q195" i="3"/>
  <c r="Q194" i="3"/>
  <c r="Q193" i="3"/>
  <c r="Q192" i="3"/>
  <c r="Q191" i="3"/>
  <c r="Q190" i="3"/>
  <c r="Q189" i="3"/>
  <c r="Q188" i="3"/>
  <c r="Q187" i="3"/>
  <c r="Q186" i="3"/>
  <c r="Q185" i="3"/>
  <c r="Q184" i="3"/>
  <c r="Q183" i="3"/>
  <c r="Q181" i="3"/>
  <c r="Q180" i="3"/>
  <c r="Q179" i="3"/>
  <c r="Q178" i="3"/>
  <c r="Q177" i="3"/>
  <c r="Q176" i="3"/>
  <c r="Q175" i="3"/>
  <c r="Q174" i="3"/>
  <c r="Q173" i="3"/>
  <c r="Q172" i="3"/>
  <c r="Q170" i="3"/>
  <c r="Q169" i="3"/>
  <c r="Q168" i="3"/>
  <c r="Q167" i="3"/>
  <c r="Q166" i="3"/>
  <c r="Q165" i="3"/>
  <c r="Q164" i="3"/>
  <c r="Q163" i="3"/>
  <c r="Q162" i="3"/>
  <c r="Q161" i="3"/>
  <c r="Q160" i="3"/>
  <c r="Q159" i="3"/>
  <c r="Q158" i="3"/>
  <c r="Q157" i="3"/>
  <c r="Q156" i="3"/>
  <c r="Q155" i="3"/>
  <c r="Q154" i="3"/>
  <c r="Q153" i="3"/>
  <c r="Q152" i="3"/>
  <c r="AW149" i="3"/>
  <c r="AW148" i="3"/>
  <c r="AW147" i="3"/>
  <c r="AW146" i="3"/>
  <c r="AW143" i="3"/>
  <c r="AW142" i="3"/>
  <c r="AW139" i="3"/>
  <c r="AW138" i="3"/>
  <c r="AW137" i="3"/>
  <c r="AW136" i="3"/>
  <c r="AW135" i="3"/>
  <c r="AW134" i="3"/>
  <c r="AW133" i="3"/>
  <c r="AW132" i="3"/>
  <c r="AW131" i="3"/>
  <c r="AW130" i="3"/>
  <c r="AW129" i="3"/>
  <c r="AW128" i="3"/>
  <c r="AW127" i="3"/>
  <c r="AW126" i="3"/>
  <c r="AW125" i="3"/>
  <c r="AW124" i="3"/>
  <c r="AW123" i="3"/>
  <c r="AW121" i="3"/>
  <c r="AW119" i="3"/>
  <c r="AW118" i="3"/>
  <c r="AW115" i="3"/>
  <c r="AW113" i="3"/>
  <c r="AW112" i="3"/>
  <c r="AW111" i="3"/>
  <c r="AW110" i="3"/>
  <c r="AW108" i="3"/>
  <c r="AW107" i="3"/>
  <c r="AW106" i="3"/>
  <c r="AW102" i="3"/>
  <c r="AW92" i="3"/>
  <c r="AW91" i="3"/>
  <c r="AW90" i="3"/>
  <c r="AW89" i="3"/>
  <c r="AW88" i="3"/>
  <c r="Q149" i="3"/>
  <c r="Q148" i="3"/>
  <c r="Q147" i="3"/>
  <c r="Q146" i="3"/>
  <c r="Q145" i="3"/>
  <c r="Q144" i="3"/>
  <c r="Q143" i="3"/>
  <c r="Q142" i="3"/>
  <c r="Q140" i="3"/>
  <c r="Q139" i="3"/>
  <c r="Q138" i="3"/>
  <c r="Q137" i="3"/>
  <c r="Q136" i="3"/>
  <c r="Q135" i="3"/>
  <c r="Q134" i="3"/>
  <c r="Q133" i="3"/>
  <c r="Q132" i="3"/>
  <c r="Q131" i="3"/>
  <c r="Q130" i="3"/>
  <c r="Q129" i="3"/>
  <c r="Q128" i="3"/>
  <c r="Q127" i="3"/>
  <c r="Q126" i="3"/>
  <c r="Q125" i="3"/>
  <c r="Q124" i="3"/>
  <c r="Q123" i="3"/>
  <c r="Q121" i="3"/>
  <c r="Q119" i="3"/>
  <c r="Q118" i="3"/>
  <c r="Q117" i="3"/>
  <c r="Q116" i="3"/>
  <c r="Q115" i="3"/>
  <c r="Q114" i="3"/>
  <c r="Q113" i="3"/>
  <c r="Q112" i="3"/>
  <c r="Q111" i="3"/>
  <c r="Q110" i="3"/>
  <c r="Q109" i="3"/>
  <c r="Q108" i="3"/>
  <c r="Q107" i="3"/>
  <c r="Q106" i="3"/>
  <c r="Q103" i="3"/>
  <c r="Q102" i="3"/>
  <c r="Q101" i="3"/>
  <c r="Q100" i="3"/>
  <c r="Q99" i="3"/>
  <c r="Q98" i="3"/>
  <c r="Q97" i="3"/>
  <c r="Q96" i="3"/>
  <c r="Q94" i="3"/>
  <c r="Q93" i="3"/>
  <c r="Q92" i="3"/>
  <c r="Q91" i="3"/>
  <c r="Q90" i="3"/>
  <c r="Q89" i="3"/>
  <c r="Q88" i="3"/>
  <c r="AW81" i="3"/>
  <c r="AW76" i="3"/>
  <c r="AW66" i="3"/>
  <c r="Q83" i="3"/>
  <c r="Q82" i="3"/>
  <c r="Q81" i="3"/>
  <c r="Q80" i="3"/>
  <c r="Q79" i="3"/>
  <c r="Q78" i="3"/>
  <c r="Q77" i="3"/>
  <c r="Q76" i="3"/>
  <c r="Q75" i="3"/>
  <c r="Q74" i="3"/>
  <c r="Q73" i="3"/>
  <c r="Q72" i="3"/>
  <c r="Q71" i="3"/>
  <c r="Q70" i="3"/>
  <c r="Q69" i="3"/>
  <c r="Q68" i="3"/>
  <c r="Q67" i="3"/>
  <c r="Q66" i="3"/>
  <c r="AW58" i="3"/>
  <c r="AW56" i="3"/>
  <c r="AW55" i="3"/>
  <c r="AW53" i="3"/>
  <c r="AW52" i="3"/>
  <c r="AW45" i="3"/>
  <c r="AW44" i="3"/>
  <c r="AW43" i="3"/>
  <c r="AW41" i="3"/>
  <c r="AW39" i="3"/>
  <c r="AW38" i="3"/>
  <c r="AW37" i="3"/>
  <c r="AW33" i="3"/>
  <c r="AW29" i="3"/>
  <c r="AW28" i="3"/>
  <c r="AW27" i="3"/>
  <c r="AW26" i="3"/>
  <c r="AW25" i="3"/>
  <c r="AW18" i="3"/>
  <c r="AW15" i="3"/>
  <c r="AW11" i="3"/>
  <c r="AW9" i="3"/>
  <c r="AW6" i="3"/>
  <c r="AW5" i="3"/>
  <c r="Q59" i="3"/>
  <c r="Q58" i="3"/>
  <c r="Q57" i="3"/>
  <c r="Q56" i="3"/>
  <c r="Q55" i="3"/>
  <c r="Q54" i="3"/>
  <c r="Q53" i="3"/>
  <c r="Q52" i="3"/>
  <c r="Q50" i="3"/>
  <c r="Q49" i="3"/>
  <c r="Q48" i="3"/>
  <c r="Q47" i="3"/>
  <c r="Q46" i="3"/>
  <c r="Q45" i="3"/>
  <c r="Q44" i="3"/>
  <c r="Q43" i="3"/>
  <c r="Q42" i="3"/>
  <c r="Q41" i="3"/>
  <c r="Q40" i="3"/>
  <c r="Q39" i="3"/>
  <c r="Q38" i="3"/>
  <c r="Q37" i="3"/>
  <c r="Q36" i="3"/>
  <c r="Q35" i="3"/>
  <c r="Q34" i="3"/>
  <c r="Q33" i="3"/>
  <c r="Q31" i="3"/>
  <c r="Q30" i="3"/>
  <c r="Q29" i="3"/>
  <c r="Q28" i="3"/>
  <c r="Q27" i="3"/>
  <c r="Q26" i="3"/>
  <c r="Q25" i="3"/>
  <c r="Q24" i="3"/>
  <c r="Q23" i="3"/>
  <c r="Q22" i="3"/>
  <c r="Q21" i="3"/>
  <c r="Q19" i="3"/>
  <c r="Q18" i="3"/>
  <c r="Q17" i="3"/>
  <c r="Q16" i="3"/>
  <c r="Q15" i="3"/>
  <c r="Q14" i="3"/>
  <c r="Q13" i="3"/>
  <c r="Q12" i="3"/>
  <c r="Q11" i="3"/>
  <c r="Q10" i="3"/>
  <c r="Q9" i="3"/>
  <c r="Q8" i="3"/>
  <c r="Q7" i="3"/>
  <c r="Q6" i="3"/>
  <c r="Q5" i="3"/>
  <c r="Q4" i="3"/>
  <c r="X510" i="3"/>
  <c r="X512" i="3"/>
  <c r="X513" i="3"/>
  <c r="X515" i="3"/>
  <c r="X516" i="3"/>
  <c r="X518" i="3"/>
  <c r="X519" i="3"/>
  <c r="X520" i="3"/>
  <c r="X521" i="3"/>
  <c r="X522" i="3"/>
  <c r="X523" i="3"/>
  <c r="X524" i="3"/>
  <c r="X525" i="3"/>
  <c r="X526" i="3"/>
  <c r="X527" i="3"/>
  <c r="X528" i="3"/>
  <c r="X529" i="3"/>
  <c r="X531" i="3"/>
  <c r="X532" i="3"/>
  <c r="X533" i="3"/>
  <c r="X534" i="3"/>
  <c r="X535" i="3"/>
  <c r="X536" i="3"/>
  <c r="X537" i="3"/>
  <c r="X538" i="3"/>
  <c r="X539" i="3"/>
  <c r="X540" i="3"/>
  <c r="X541" i="3"/>
  <c r="X542" i="3"/>
  <c r="X543" i="3"/>
  <c r="X544" i="3"/>
  <c r="X545" i="3"/>
  <c r="X546" i="3"/>
  <c r="X547" i="3"/>
  <c r="X550" i="3"/>
  <c r="X552" i="3"/>
  <c r="X553" i="3"/>
  <c r="X554" i="3"/>
  <c r="X555" i="3"/>
  <c r="X558" i="3"/>
  <c r="X559" i="3"/>
  <c r="X560" i="3"/>
  <c r="X561" i="3"/>
  <c r="X562" i="3"/>
  <c r="X563" i="3"/>
  <c r="X564" i="3"/>
  <c r="X569" i="3"/>
  <c r="X570" i="3"/>
  <c r="X571" i="3"/>
  <c r="X572" i="3"/>
  <c r="X573" i="3"/>
  <c r="X574" i="3"/>
  <c r="X575" i="3"/>
  <c r="X576" i="3"/>
  <c r="X577" i="3"/>
  <c r="X578" i="3"/>
  <c r="X579" i="3"/>
  <c r="X580" i="3"/>
  <c r="X581" i="3"/>
  <c r="X583" i="3"/>
  <c r="X584" i="3"/>
  <c r="X585" i="3"/>
  <c r="X586" i="3"/>
  <c r="X587" i="3"/>
  <c r="X589" i="3"/>
  <c r="X590" i="3"/>
  <c r="X591" i="3"/>
  <c r="X593" i="3"/>
  <c r="X594" i="3"/>
  <c r="X597" i="3"/>
  <c r="X599" i="3"/>
  <c r="X600" i="3"/>
  <c r="X601" i="3"/>
  <c r="X602" i="3"/>
  <c r="X603" i="3"/>
  <c r="X604" i="3"/>
  <c r="X605" i="3"/>
  <c r="X606" i="3"/>
  <c r="X607" i="3"/>
  <c r="X608" i="3"/>
  <c r="X610" i="3"/>
  <c r="X611" i="3"/>
  <c r="X612" i="3"/>
  <c r="X613" i="3"/>
  <c r="X614" i="3"/>
  <c r="X615" i="3"/>
  <c r="X616" i="3"/>
  <c r="X617" i="3"/>
  <c r="X618" i="3"/>
  <c r="X619" i="3"/>
  <c r="X620" i="3"/>
  <c r="X621" i="3"/>
  <c r="X622" i="3"/>
  <c r="X623" i="3"/>
  <c r="X624" i="3"/>
  <c r="X625" i="3"/>
  <c r="X626" i="3"/>
  <c r="X628" i="3"/>
  <c r="X629" i="3"/>
  <c r="X630" i="3"/>
  <c r="X631" i="3"/>
  <c r="X632" i="3"/>
  <c r="X633" i="3"/>
  <c r="X634" i="3"/>
  <c r="X635" i="3"/>
  <c r="X636" i="3"/>
  <c r="X637" i="3"/>
  <c r="X638" i="3"/>
  <c r="X639" i="3"/>
  <c r="X640" i="3"/>
  <c r="X641" i="3"/>
  <c r="X642" i="3"/>
  <c r="X643" i="3"/>
  <c r="X645" i="3"/>
  <c r="X646" i="3"/>
  <c r="X647" i="3"/>
  <c r="X648" i="3"/>
  <c r="X650" i="3"/>
  <c r="X651" i="3"/>
  <c r="X652" i="3"/>
  <c r="X653" i="3"/>
  <c r="X654" i="3"/>
  <c r="X655" i="3"/>
  <c r="X656" i="3"/>
  <c r="X657" i="3"/>
  <c r="X658" i="3"/>
  <c r="X661" i="3"/>
  <c r="X662" i="3"/>
  <c r="X663" i="3"/>
  <c r="X664" i="3"/>
  <c r="X665" i="3"/>
  <c r="X666" i="3"/>
  <c r="X669" i="3"/>
  <c r="X670" i="3"/>
  <c r="X671" i="3"/>
  <c r="X672" i="3"/>
  <c r="X673" i="3"/>
  <c r="X674" i="3"/>
  <c r="X675" i="3"/>
  <c r="X676" i="3"/>
  <c r="X677" i="3"/>
  <c r="X678" i="3"/>
  <c r="X679" i="3"/>
  <c r="X680" i="3"/>
  <c r="X682" i="3"/>
  <c r="X683" i="3"/>
  <c r="X684" i="3"/>
  <c r="X507" i="3"/>
  <c r="X508" i="3"/>
  <c r="X509" i="3"/>
  <c r="X506" i="3"/>
  <c r="W14" i="1" l="1"/>
  <c r="W22" i="1"/>
  <c r="W8" i="1"/>
  <c r="W278" i="1"/>
  <c r="W4" i="1"/>
  <c r="E594" i="24"/>
  <c r="E598" i="24"/>
  <c r="E602" i="24"/>
  <c r="E605" i="24"/>
  <c r="E608" i="24"/>
  <c r="E613" i="24"/>
  <c r="E617" i="24"/>
  <c r="E619" i="24"/>
  <c r="E497" i="24"/>
  <c r="E415" i="24"/>
  <c r="E577" i="24"/>
  <c r="E396" i="24"/>
  <c r="E397" i="24"/>
  <c r="E398" i="24"/>
  <c r="E399" i="24"/>
  <c r="E400" i="24"/>
  <c r="E401" i="24"/>
  <c r="E402" i="24"/>
  <c r="E403" i="24"/>
  <c r="E404" i="24"/>
  <c r="E405" i="24"/>
  <c r="E406" i="24"/>
  <c r="E407" i="24"/>
  <c r="E408" i="24"/>
  <c r="E409" i="24"/>
  <c r="E410" i="24"/>
  <c r="E411" i="24"/>
  <c r="E413" i="24"/>
  <c r="E416" i="24"/>
  <c r="E419" i="24"/>
  <c r="E420" i="24"/>
  <c r="E423" i="24"/>
  <c r="E425" i="24"/>
  <c r="E428" i="24"/>
  <c r="E431" i="24"/>
  <c r="E433" i="24"/>
  <c r="E436" i="24"/>
  <c r="E439" i="24"/>
  <c r="E442" i="24"/>
  <c r="E445" i="24"/>
  <c r="E447" i="24"/>
  <c r="E450" i="24"/>
  <c r="E453" i="24"/>
  <c r="E455" i="24"/>
  <c r="E459" i="24"/>
  <c r="E462" i="24"/>
  <c r="E466" i="24"/>
  <c r="E468" i="24"/>
  <c r="E470" i="24"/>
  <c r="E473" i="24"/>
  <c r="E475" i="24"/>
  <c r="E478" i="24"/>
  <c r="E480" i="24"/>
  <c r="E483" i="24"/>
  <c r="E486" i="24"/>
  <c r="E487" i="24"/>
  <c r="E488" i="24"/>
  <c r="E490" i="24"/>
  <c r="E493" i="24"/>
  <c r="E496" i="24"/>
  <c r="E499" i="24"/>
  <c r="E503" i="24"/>
  <c r="E508" i="24"/>
  <c r="E512" i="24"/>
  <c r="E516" i="24"/>
  <c r="E519" i="24"/>
  <c r="E523" i="24"/>
  <c r="E526" i="24"/>
  <c r="E529" i="24"/>
  <c r="E532" i="24"/>
  <c r="E536" i="24"/>
  <c r="E538" i="24"/>
  <c r="E540" i="24"/>
  <c r="E544" i="24"/>
  <c r="E546" i="24"/>
  <c r="E547" i="24"/>
  <c r="E548" i="24"/>
  <c r="E549" i="24"/>
  <c r="E550" i="24"/>
  <c r="E553" i="24"/>
  <c r="E555" i="24"/>
  <c r="E559" i="24"/>
  <c r="E562" i="24"/>
  <c r="E565" i="24"/>
  <c r="E569" i="24"/>
  <c r="E573" i="24"/>
  <c r="E576" i="24"/>
  <c r="E581" i="24"/>
  <c r="E584" i="24"/>
  <c r="E588" i="24"/>
  <c r="E591" i="24"/>
  <c r="E593" i="24"/>
  <c r="E596" i="24"/>
  <c r="E600" i="24"/>
  <c r="E607" i="24"/>
  <c r="E612" i="24"/>
  <c r="E615" i="24"/>
  <c r="E618" i="24"/>
  <c r="E394" i="24"/>
  <c r="E412" i="24"/>
  <c r="E414" i="24"/>
  <c r="E417" i="24"/>
  <c r="E418" i="24"/>
  <c r="E421" i="24"/>
  <c r="E422" i="24"/>
  <c r="E424" i="24"/>
  <c r="E426" i="24"/>
  <c r="E427" i="24"/>
  <c r="E429" i="24"/>
  <c r="E430" i="24"/>
  <c r="E432" i="24"/>
  <c r="E434" i="24"/>
  <c r="E435" i="24"/>
  <c r="E437" i="24"/>
  <c r="E438" i="24"/>
  <c r="E440" i="24"/>
  <c r="E441" i="24"/>
  <c r="E443" i="24"/>
  <c r="E444" i="24"/>
  <c r="E446" i="24"/>
  <c r="E448" i="24"/>
  <c r="E449" i="24"/>
  <c r="E451" i="24"/>
  <c r="E452" i="24"/>
  <c r="E454" i="24"/>
  <c r="E456" i="24"/>
  <c r="E457" i="24"/>
  <c r="E458" i="24"/>
  <c r="E460" i="24"/>
  <c r="E461" i="24"/>
  <c r="E463" i="24"/>
  <c r="E464" i="24"/>
  <c r="E465" i="24"/>
  <c r="E467" i="24"/>
  <c r="E469" i="24"/>
  <c r="E471" i="24"/>
  <c r="E472" i="24"/>
  <c r="E474" i="24"/>
  <c r="E476" i="24"/>
  <c r="E477" i="24"/>
  <c r="E479" i="24"/>
  <c r="E481" i="24"/>
  <c r="E482" i="24"/>
  <c r="E484" i="24"/>
  <c r="E485" i="24"/>
  <c r="E489" i="24"/>
  <c r="E491" i="24"/>
  <c r="E492" i="24"/>
  <c r="E494" i="24"/>
  <c r="E495" i="24"/>
  <c r="E498" i="24"/>
  <c r="E500" i="24"/>
  <c r="E501" i="24"/>
  <c r="E502" i="24"/>
  <c r="E504" i="24"/>
  <c r="E505" i="24"/>
  <c r="E506" i="24"/>
  <c r="E507" i="24"/>
  <c r="E509" i="24"/>
  <c r="E510" i="24"/>
  <c r="E511" i="24"/>
  <c r="E513" i="24"/>
  <c r="E514" i="24"/>
  <c r="E515" i="24"/>
  <c r="E517" i="24"/>
  <c r="E520" i="24"/>
  <c r="E521" i="24"/>
  <c r="E522" i="24"/>
  <c r="E524" i="24"/>
  <c r="E525" i="24"/>
  <c r="E527" i="24"/>
  <c r="E528" i="24"/>
  <c r="E530" i="24"/>
  <c r="E531" i="24"/>
  <c r="E533" i="24"/>
  <c r="E534" i="24"/>
  <c r="E535" i="24"/>
  <c r="E537" i="24"/>
  <c r="E539" i="24"/>
  <c r="E541" i="24"/>
  <c r="E542" i="24"/>
  <c r="E543" i="24"/>
  <c r="E545" i="24"/>
  <c r="E551" i="24"/>
  <c r="E552" i="24"/>
  <c r="E554" i="24"/>
  <c r="E556" i="24"/>
  <c r="E557" i="24"/>
  <c r="E558" i="24"/>
  <c r="E560" i="24"/>
  <c r="E561" i="24"/>
  <c r="E563" i="24"/>
  <c r="E564" i="24"/>
  <c r="E566" i="24"/>
  <c r="E567" i="24"/>
  <c r="E568" i="24"/>
  <c r="E570" i="24"/>
  <c r="E571" i="24"/>
  <c r="E572" i="24"/>
  <c r="E574" i="24"/>
  <c r="E575" i="24"/>
  <c r="E578" i="24"/>
  <c r="E579" i="24"/>
  <c r="E580" i="24"/>
  <c r="E582" i="24"/>
  <c r="E583" i="24"/>
  <c r="E585" i="24"/>
  <c r="E586" i="24"/>
  <c r="E587" i="24"/>
  <c r="E589" i="24"/>
  <c r="E590" i="24"/>
  <c r="E592" i="24"/>
  <c r="E595" i="24"/>
  <c r="E597" i="24"/>
  <c r="E599" i="24"/>
  <c r="E601" i="24"/>
  <c r="E603" i="24"/>
  <c r="E604" i="24"/>
  <c r="E606" i="24"/>
  <c r="E609" i="24"/>
  <c r="E611" i="24"/>
  <c r="E614" i="24"/>
  <c r="E616" i="24"/>
  <c r="E620" i="24"/>
  <c r="E518" i="24"/>
  <c r="E610" i="24"/>
  <c r="E221" i="24"/>
  <c r="E222" i="24"/>
  <c r="E223" i="24"/>
  <c r="E224" i="24"/>
  <c r="E225" i="24"/>
  <c r="E226" i="24"/>
  <c r="E227" i="24"/>
  <c r="E228" i="24"/>
  <c r="E229" i="24"/>
  <c r="E230" i="24"/>
  <c r="E231" i="24"/>
  <c r="E232" i="24"/>
  <c r="E233" i="24"/>
  <c r="E234" i="24"/>
  <c r="E235" i="24"/>
  <c r="E236" i="24"/>
  <c r="E237" i="24"/>
  <c r="E238" i="24"/>
  <c r="E239" i="24"/>
  <c r="E240" i="24"/>
  <c r="E242" i="24"/>
  <c r="E243" i="24"/>
  <c r="E244" i="24"/>
  <c r="E245" i="24"/>
  <c r="E246" i="24"/>
  <c r="E247" i="24"/>
  <c r="E248" i="24"/>
  <c r="E249" i="24"/>
  <c r="E250" i="24"/>
  <c r="E251" i="24"/>
  <c r="E252" i="24"/>
  <c r="E253" i="24"/>
  <c r="E254" i="24"/>
  <c r="E255" i="24"/>
  <c r="E256" i="24"/>
  <c r="E257" i="24"/>
  <c r="E258" i="24"/>
  <c r="E259" i="24"/>
  <c r="E260" i="24"/>
  <c r="E261" i="24"/>
  <c r="E262" i="24"/>
  <c r="E263" i="24"/>
  <c r="E264" i="24"/>
  <c r="E265" i="24"/>
  <c r="E266" i="24"/>
  <c r="E267" i="24"/>
  <c r="E268" i="24"/>
  <c r="E269" i="24"/>
  <c r="E270" i="24"/>
  <c r="E271" i="24"/>
  <c r="E272" i="24"/>
  <c r="E273" i="24"/>
  <c r="E274" i="24"/>
  <c r="E275" i="24"/>
  <c r="E276" i="24"/>
  <c r="E277" i="24"/>
  <c r="E278" i="24"/>
  <c r="E279" i="24"/>
  <c r="E280" i="24"/>
  <c r="E281" i="24"/>
  <c r="E282" i="24"/>
  <c r="E283" i="24"/>
  <c r="E284" i="24"/>
  <c r="E285" i="24"/>
  <c r="E286" i="24"/>
  <c r="E287" i="24"/>
  <c r="E288" i="24"/>
  <c r="E289" i="24"/>
  <c r="E290" i="24"/>
  <c r="E291" i="24"/>
  <c r="E292" i="24"/>
  <c r="E293" i="24"/>
  <c r="E294" i="24"/>
  <c r="E295" i="24"/>
  <c r="E296" i="24"/>
  <c r="E297" i="24"/>
  <c r="E298" i="24"/>
  <c r="E299" i="24"/>
  <c r="E300" i="24"/>
  <c r="E301" i="24"/>
  <c r="E302" i="24"/>
  <c r="E303" i="24"/>
  <c r="E304" i="24"/>
  <c r="E71" i="24"/>
  <c r="E306" i="24"/>
  <c r="E307" i="24"/>
  <c r="E308" i="24"/>
  <c r="E309" i="24"/>
  <c r="E310" i="24"/>
  <c r="E311" i="24"/>
  <c r="E312" i="24"/>
  <c r="E313" i="24"/>
  <c r="E314" i="24"/>
  <c r="E315" i="24"/>
  <c r="E316" i="24"/>
  <c r="E317" i="24"/>
  <c r="E318" i="24"/>
  <c r="E319" i="24"/>
  <c r="E320" i="24"/>
  <c r="E321" i="24"/>
  <c r="E322" i="24"/>
  <c r="E323" i="24"/>
  <c r="E324" i="24"/>
  <c r="E325" i="24"/>
  <c r="E326" i="24"/>
  <c r="E327" i="24"/>
  <c r="E328" i="24"/>
  <c r="E329" i="24"/>
  <c r="E330" i="24"/>
  <c r="E331" i="24"/>
  <c r="E332" i="24"/>
  <c r="E333" i="24"/>
  <c r="E334" i="24"/>
  <c r="E335" i="24"/>
  <c r="E336" i="24"/>
  <c r="E337" i="24"/>
  <c r="E338" i="24"/>
  <c r="E339" i="24"/>
  <c r="E340" i="24"/>
  <c r="E341" i="24"/>
  <c r="E342" i="24"/>
  <c r="E343" i="24"/>
  <c r="E344" i="24"/>
  <c r="E345" i="24"/>
  <c r="E346" i="24"/>
  <c r="E347" i="24"/>
  <c r="E348" i="24"/>
  <c r="E349" i="24"/>
  <c r="E350" i="24"/>
  <c r="E351" i="24"/>
  <c r="E352" i="24"/>
  <c r="E353" i="24"/>
  <c r="E354" i="24"/>
  <c r="E355" i="24"/>
  <c r="E356" i="24"/>
  <c r="E357" i="24"/>
  <c r="E358" i="24"/>
  <c r="E359" i="24"/>
  <c r="E360" i="24"/>
  <c r="E361" i="24"/>
  <c r="E362" i="24"/>
  <c r="E363" i="24"/>
  <c r="E364" i="24"/>
  <c r="E365" i="24"/>
  <c r="E366" i="24"/>
  <c r="E367" i="24"/>
  <c r="E368" i="24"/>
  <c r="E369" i="24"/>
  <c r="E370" i="24"/>
  <c r="E371" i="24"/>
  <c r="E372" i="24"/>
  <c r="E373" i="24"/>
  <c r="E374" i="24"/>
  <c r="E375" i="24"/>
  <c r="E376" i="24"/>
  <c r="E377" i="24"/>
  <c r="E378" i="24"/>
  <c r="E379" i="24"/>
  <c r="E380" i="24"/>
  <c r="E381" i="24"/>
  <c r="E382" i="24"/>
  <c r="E383" i="24"/>
  <c r="E384" i="24"/>
  <c r="E385" i="24"/>
  <c r="E386" i="24"/>
  <c r="E387" i="24"/>
  <c r="E388" i="24"/>
  <c r="E389" i="24"/>
  <c r="E390" i="24"/>
  <c r="E391" i="24"/>
  <c r="E392" i="24"/>
  <c r="E393" i="24"/>
  <c r="E395" i="24"/>
  <c r="E6" i="24"/>
  <c r="E11" i="24"/>
  <c r="E19" i="24"/>
  <c r="E21" i="24"/>
  <c r="E23" i="24"/>
  <c r="E25" i="24"/>
  <c r="E27" i="24"/>
  <c r="E30" i="24"/>
  <c r="E32" i="24"/>
  <c r="E4" i="24"/>
  <c r="E5" i="24"/>
  <c r="E7" i="24"/>
  <c r="E8" i="24"/>
  <c r="E9" i="24"/>
  <c r="E10" i="24"/>
  <c r="E12" i="24"/>
  <c r="E13" i="24"/>
  <c r="E14" i="24"/>
  <c r="E15" i="24"/>
  <c r="E16" i="24"/>
  <c r="E17" i="24"/>
  <c r="E18" i="24"/>
  <c r="E20" i="24"/>
  <c r="E22" i="24"/>
  <c r="E24" i="24"/>
  <c r="E26" i="24"/>
  <c r="E28" i="24"/>
  <c r="E29" i="24"/>
  <c r="E31" i="24"/>
  <c r="E33" i="24"/>
  <c r="E34" i="24"/>
  <c r="E35" i="24"/>
  <c r="E36" i="24"/>
  <c r="E37" i="24"/>
  <c r="E38" i="24"/>
  <c r="E39" i="24"/>
  <c r="E40" i="24"/>
  <c r="E41" i="24"/>
  <c r="E42" i="24"/>
  <c r="E43" i="24"/>
  <c r="E44" i="24"/>
  <c r="E45" i="24"/>
  <c r="E46" i="24"/>
  <c r="E47" i="24"/>
  <c r="E48" i="24"/>
  <c r="E49" i="24"/>
  <c r="E50" i="24"/>
  <c r="E51" i="24"/>
  <c r="E52" i="24"/>
  <c r="E53" i="24"/>
  <c r="E54" i="24"/>
  <c r="E55" i="24"/>
  <c r="E56" i="24"/>
  <c r="E57" i="24"/>
  <c r="E58" i="24"/>
  <c r="E59" i="24"/>
  <c r="E60" i="24"/>
  <c r="E61" i="24"/>
  <c r="E62" i="24"/>
  <c r="E63" i="24"/>
  <c r="E64" i="24"/>
  <c r="E65" i="24"/>
  <c r="E66" i="24"/>
  <c r="E67" i="24"/>
  <c r="E68" i="24"/>
  <c r="E69" i="24"/>
  <c r="E70" i="24"/>
  <c r="E72" i="24"/>
  <c r="E73" i="24"/>
  <c r="E74" i="24"/>
  <c r="E75" i="24"/>
  <c r="E76" i="24"/>
  <c r="E77" i="24"/>
  <c r="E78" i="24"/>
  <c r="E79" i="24"/>
  <c r="E80" i="24"/>
  <c r="E81" i="24"/>
  <c r="E82" i="24"/>
  <c r="E83" i="24"/>
  <c r="E84" i="24"/>
  <c r="E85" i="24"/>
  <c r="E86" i="24"/>
  <c r="E87" i="24"/>
  <c r="E88" i="24"/>
  <c r="E89" i="24"/>
  <c r="E90" i="24"/>
  <c r="E91" i="24"/>
  <c r="E3" i="24"/>
  <c r="E185" i="24"/>
  <c r="E92" i="24"/>
  <c r="E93" i="24"/>
  <c r="E94" i="24"/>
  <c r="E95" i="24"/>
  <c r="E96" i="24"/>
  <c r="E97" i="24"/>
  <c r="E98" i="24"/>
  <c r="E99" i="24"/>
  <c r="E100" i="24"/>
  <c r="E101" i="24"/>
  <c r="E102" i="24"/>
  <c r="E103" i="24"/>
  <c r="E104" i="24"/>
  <c r="E105" i="24"/>
  <c r="E106" i="24"/>
  <c r="E107" i="24"/>
  <c r="E108" i="24"/>
  <c r="E109" i="24"/>
  <c r="E110" i="24"/>
  <c r="E111" i="24"/>
  <c r="E112" i="24"/>
  <c r="E113" i="24"/>
  <c r="E114" i="24"/>
  <c r="E115" i="24"/>
  <c r="E116" i="24"/>
  <c r="E117" i="24"/>
  <c r="E118" i="24"/>
  <c r="E119" i="24"/>
  <c r="E120" i="24"/>
  <c r="E121" i="24"/>
  <c r="E122" i="24"/>
  <c r="E123" i="24"/>
  <c r="E124" i="24"/>
  <c r="E125" i="24"/>
  <c r="E126" i="24"/>
  <c r="E127" i="24"/>
  <c r="E128" i="24"/>
  <c r="E129" i="24"/>
  <c r="E130" i="24"/>
  <c r="E131" i="24"/>
  <c r="E132" i="24"/>
  <c r="E133" i="24"/>
  <c r="E134" i="24"/>
  <c r="E135" i="24"/>
  <c r="E136" i="24"/>
  <c r="E137" i="24"/>
  <c r="E138" i="24"/>
  <c r="E139" i="24"/>
  <c r="E140" i="24"/>
  <c r="E141" i="24"/>
  <c r="E142" i="24"/>
  <c r="E143" i="24"/>
  <c r="E305" i="24"/>
  <c r="E144" i="24"/>
  <c r="E145" i="24"/>
  <c r="E146" i="24"/>
  <c r="E147" i="24"/>
  <c r="E148" i="24"/>
  <c r="E149" i="24"/>
  <c r="E150" i="24"/>
  <c r="E151" i="24"/>
  <c r="E152" i="24"/>
  <c r="E153" i="24"/>
  <c r="E154" i="24"/>
  <c r="E155" i="24"/>
  <c r="E156" i="24"/>
  <c r="E157" i="24"/>
  <c r="E158" i="24"/>
  <c r="E159" i="24"/>
  <c r="E160" i="24"/>
  <c r="E161" i="24"/>
  <c r="E162" i="24"/>
  <c r="E163" i="24"/>
  <c r="E164" i="24"/>
  <c r="E165" i="24"/>
  <c r="E166" i="24"/>
  <c r="E167" i="24"/>
  <c r="E168" i="24"/>
  <c r="E169" i="24"/>
  <c r="E170" i="24"/>
  <c r="E171" i="24"/>
  <c r="E172" i="24"/>
  <c r="E173" i="24"/>
  <c r="E174" i="24"/>
  <c r="E175" i="24"/>
  <c r="E176" i="24"/>
  <c r="E177" i="24"/>
  <c r="E178" i="24"/>
  <c r="E179" i="24"/>
  <c r="E180" i="24"/>
  <c r="E181" i="24"/>
  <c r="E182" i="24"/>
  <c r="E183" i="24"/>
  <c r="E184" i="24"/>
  <c r="E186" i="24"/>
  <c r="E187" i="24"/>
  <c r="E188" i="24"/>
  <c r="E189" i="24"/>
  <c r="E190" i="24"/>
  <c r="E191" i="24"/>
  <c r="E192" i="24"/>
  <c r="E193" i="24"/>
  <c r="E194" i="24"/>
  <c r="E195" i="24"/>
  <c r="E196" i="24"/>
  <c r="E197" i="24"/>
  <c r="E198" i="24"/>
  <c r="E199" i="24"/>
  <c r="E200" i="24"/>
  <c r="E201" i="24"/>
  <c r="E202" i="24"/>
  <c r="E203" i="24"/>
  <c r="E204" i="24"/>
  <c r="E205" i="24"/>
  <c r="E206" i="24"/>
  <c r="E207" i="24"/>
  <c r="E208" i="24"/>
  <c r="E209" i="24"/>
  <c r="E210" i="24"/>
  <c r="E211" i="24"/>
  <c r="E212" i="24"/>
  <c r="E213" i="24"/>
  <c r="E214" i="24"/>
  <c r="E215" i="24"/>
  <c r="E216" i="24"/>
  <c r="E217" i="24"/>
  <c r="E218" i="24"/>
  <c r="E241" i="24"/>
  <c r="E219" i="24"/>
  <c r="E220" i="24"/>
  <c r="W34" i="1"/>
  <c r="A2" i="14"/>
  <c r="A3" i="14"/>
  <c r="A7" i="14"/>
  <c r="A9" i="14"/>
  <c r="A10" i="14"/>
  <c r="A12" i="14"/>
  <c r="A162" i="14"/>
  <c r="A11" i="14"/>
  <c r="A13" i="14"/>
  <c r="A2" i="13" l="1"/>
  <c r="H36" i="9" l="1"/>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5" i="9"/>
  <c r="H6" i="9"/>
  <c r="H7" i="9"/>
  <c r="H8" i="9"/>
  <c r="H9" i="9"/>
  <c r="H10" i="9"/>
  <c r="H11" i="9"/>
  <c r="H12" i="9"/>
  <c r="H13" i="9"/>
  <c r="H14" i="9"/>
  <c r="H15" i="9"/>
  <c r="H16" i="9"/>
  <c r="H17" i="9"/>
  <c r="H18" i="9"/>
  <c r="H19" i="9"/>
  <c r="H20" i="9"/>
  <c r="H21" i="9"/>
  <c r="H22" i="9"/>
  <c r="H23" i="9"/>
  <c r="H24" i="9"/>
  <c r="H25" i="9"/>
  <c r="H26" i="9"/>
  <c r="H27" i="9"/>
  <c r="H28" i="9"/>
  <c r="H29" i="9"/>
  <c r="H4" i="9"/>
  <c r="E2" i="6"/>
  <c r="J1747" i="8" l="1"/>
  <c r="J2239" i="8"/>
  <c r="J2237" i="8" s="1"/>
  <c r="J619" i="8"/>
  <c r="J41" i="8"/>
  <c r="J2057" i="8"/>
  <c r="J43" i="8"/>
  <c r="J1290" i="8"/>
  <c r="J2124" i="8"/>
  <c r="J2242" i="8"/>
  <c r="J1882" i="8"/>
  <c r="J2131" i="8" s="1"/>
  <c r="J2238" i="8"/>
  <c r="J2119" i="8"/>
  <c r="J2055" i="8"/>
  <c r="J69" i="8"/>
  <c r="J2241" i="8"/>
  <c r="J2058" i="8"/>
  <c r="J2054" i="8"/>
  <c r="J53" i="8"/>
  <c r="J32" i="8" s="1"/>
  <c r="J2122" i="8"/>
  <c r="J622" i="8" s="1"/>
  <c r="J42" i="8" s="1"/>
  <c r="J2261" i="8" s="1"/>
  <c r="J1757" i="8" s="1"/>
  <c r="J2563" i="8" s="1"/>
  <c r="J72" i="8" s="1"/>
  <c r="J1329" i="8" s="1"/>
  <c r="J2043" i="8" s="1"/>
  <c r="J30" i="8" s="1"/>
  <c r="J423" i="8"/>
  <c r="J2123" i="8"/>
  <c r="J2084" i="8" s="1"/>
  <c r="J2083" i="8" s="1"/>
  <c r="J2082" i="8" s="1"/>
  <c r="J2044" i="8" s="1"/>
  <c r="J623" i="8"/>
  <c r="J46"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Catarina Ricardo</author>
  </authors>
  <commentList>
    <comment ref="AS2" authorId="0" shapeId="0" xr:uid="{4D3B28F2-C4BC-4782-9547-35459730B7D4}">
      <text>
        <r>
          <rPr>
            <b/>
            <sz val="9"/>
            <color indexed="81"/>
            <rFont val="Tahoma"/>
            <family val="2"/>
          </rPr>
          <t>Catarina Ricardo:</t>
        </r>
        <r>
          <rPr>
            <sz val="9"/>
            <color indexed="81"/>
            <rFont val="Tahoma"/>
            <family val="2"/>
          </rPr>
          <t xml:space="preserve">
BACAP is a prospective multicenter cohort of patients with pancreatic adenocarcinoma (PDAC), collecting clinical information and biological samples. The goal is to provide high-quality materials for research, including the identification of novel prognostic biomarkers.</t>
        </r>
      </text>
    </comment>
    <comment ref="X431" authorId="0" shapeId="0" xr:uid="{23D9BCA0-7511-430E-AEA1-D55640BBD23D}">
      <text>
        <r>
          <rPr>
            <b/>
            <sz val="9"/>
            <color indexed="81"/>
            <rFont val="Tahoma"/>
            <family val="2"/>
          </rPr>
          <t>Catarina Ricardo:</t>
        </r>
        <r>
          <rPr>
            <sz val="9"/>
            <color indexed="81"/>
            <rFont val="Tahoma"/>
            <family val="2"/>
          </rPr>
          <t xml:space="preserve">
NRAS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Catarina Ricardo</author>
  </authors>
  <commentList>
    <comment ref="E153" authorId="0" shapeId="0" xr:uid="{C5A06993-E5E3-4F46-A8C2-5CE81C18BFC6}">
      <text>
        <r>
          <rPr>
            <b/>
            <sz val="9"/>
            <color indexed="81"/>
            <rFont val="Tahoma"/>
            <family val="2"/>
          </rPr>
          <t>Catarina Ricardo:</t>
        </r>
        <r>
          <rPr>
            <sz val="9"/>
            <color indexed="81"/>
            <rFont val="Tahoma"/>
            <family val="2"/>
          </rPr>
          <t xml:space="preserve">
NRAS Only</t>
        </r>
      </text>
    </comment>
    <comment ref="H153" authorId="0" shapeId="0" xr:uid="{370672FF-87FC-4402-89D2-DD20EB8333B3}">
      <text>
        <r>
          <rPr>
            <b/>
            <sz val="9"/>
            <color indexed="81"/>
            <rFont val="Tahoma"/>
            <family val="2"/>
          </rPr>
          <t>Catarina Ricardo:</t>
        </r>
        <r>
          <rPr>
            <sz val="9"/>
            <color indexed="81"/>
            <rFont val="Tahoma"/>
            <family val="2"/>
          </rPr>
          <t xml:space="preserve">
NRAS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Catarina Ricardo</author>
  </authors>
  <commentList>
    <comment ref="C20" authorId="0" shapeId="0" xr:uid="{A8344636-905D-45CD-A5A8-6515679005D2}">
      <text>
        <r>
          <rPr>
            <b/>
            <sz val="9"/>
            <color indexed="81"/>
            <rFont val="Tahoma"/>
            <family val="2"/>
          </rPr>
          <t>Catarina Ricardo:</t>
        </r>
        <r>
          <rPr>
            <sz val="9"/>
            <color indexed="81"/>
            <rFont val="Tahoma"/>
            <family val="2"/>
          </rPr>
          <t xml:space="preserve">
NRAS Only</t>
        </r>
      </text>
    </comment>
    <comment ref="F20" authorId="0" shapeId="0" xr:uid="{F325772A-A03F-4A3E-9F97-A151845DBD34}">
      <text>
        <r>
          <rPr>
            <b/>
            <sz val="9"/>
            <color indexed="81"/>
            <rFont val="Tahoma"/>
            <family val="2"/>
          </rPr>
          <t>Catarina Ricardo:</t>
        </r>
        <r>
          <rPr>
            <sz val="9"/>
            <color indexed="81"/>
            <rFont val="Tahoma"/>
            <family val="2"/>
          </rPr>
          <t xml:space="preserve">
NRAS Only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<sst xmlns="http://schemas.openxmlformats.org/spreadsheetml/2006/main" count="50249" uniqueCount="11579">
  <si>
    <t>HCO Information</t>
  </si>
  <si>
    <t>HCO Details</t>
  </si>
  <si>
    <t>HCO Claims</t>
  </si>
  <si>
    <t>HCO Comments</t>
  </si>
  <si>
    <t>Expert Centre</t>
  </si>
  <si>
    <t>HCO name</t>
  </si>
  <si>
    <t>Address</t>
  </si>
  <si>
    <t>Zipcode</t>
  </si>
  <si>
    <t>City</t>
  </si>
  <si>
    <t>Country</t>
  </si>
  <si>
    <t>C25</t>
  </si>
  <si>
    <t>filter</t>
  </si>
  <si>
    <t>Clinical trial</t>
  </si>
  <si>
    <t>Sponsor</t>
  </si>
  <si>
    <t>Link</t>
  </si>
  <si>
    <t>HCP Information + Bio</t>
  </si>
  <si>
    <t>HCP Details</t>
  </si>
  <si>
    <t>Associations, Key Centers/Departments</t>
  </si>
  <si>
    <t>HCP Tier</t>
  </si>
  <si>
    <t>Pancreatic Cancer</t>
  </si>
  <si>
    <t>Tumour board participation</t>
  </si>
  <si>
    <t>Rationale</t>
  </si>
  <si>
    <t>Full name</t>
  </si>
  <si>
    <t>Spec 1</t>
  </si>
  <si>
    <t>Spec 2</t>
  </si>
  <si>
    <t>Spec 3</t>
  </si>
  <si>
    <t>A Study of PF-08046054/​SGN-PDL1V in Advanced Solid Tumors</t>
  </si>
  <si>
    <t>Seagen, a wholly owned subsidiary of Pfizer</t>
  </si>
  <si>
    <t>https://clinicaltrials.gov/study/NCT05208762</t>
  </si>
  <si>
    <t>Hôpital Saint André - CHU Bordeaux</t>
  </si>
  <si>
    <t>Clinique Ambroise Pare</t>
  </si>
  <si>
    <t>Institut Curie</t>
  </si>
  <si>
    <t>Gustave Roussy Institute</t>
  </si>
  <si>
    <t>Institut Gustave Roussy</t>
  </si>
  <si>
    <t>A Study of SGN-CEACAM5C in Adults With Advanced Solid Tumors</t>
  </si>
  <si>
    <t>https://clinicaltrials.gov/study/NCT06131840</t>
  </si>
  <si>
    <t>CHU de Clermont Ferrand</t>
  </si>
  <si>
    <t>Hôpital Estaing</t>
  </si>
  <si>
    <t>Serviced' anatomie et de cytologie pathologique</t>
  </si>
  <si>
    <t>Dr. Claude Darcha</t>
  </si>
  <si>
    <t>Dr. Anne-Sophie Jarrousse</t>
  </si>
  <si>
    <t>AUVERGNE-RHONE-ALPES</t>
  </si>
  <si>
    <t>Centre Jean Perrin</t>
  </si>
  <si>
    <t>Plateforme de Clermont-Ferrand</t>
  </si>
  <si>
    <t>LBM OncoGènAuvergne UF de Pathologie</t>
  </si>
  <si>
    <t>Pr. Frédérique PENAULT-LLORCA</t>
  </si>
  <si>
    <t>Dr. Marie-Céleste FERREIRA</t>
  </si>
  <si>
    <t>Dr. Anne CAYRE</t>
  </si>
  <si>
    <t>Pôle Morphologie</t>
  </si>
  <si>
    <t>BP392</t>
  </si>
  <si>
    <t>58 Rue Montalembert</t>
  </si>
  <si>
    <t>Plateforme de Grenoble</t>
  </si>
  <si>
    <t>CHU de Grenoble</t>
  </si>
  <si>
    <t>Unité de Génétique Moléculaire: Maladies Héréditaires et Oncologie</t>
  </si>
  <si>
    <t>CS10217</t>
  </si>
  <si>
    <t>Grenoble cedex 9</t>
  </si>
  <si>
    <t>Clermont-Ferrand Cédex 1</t>
  </si>
  <si>
    <t>Dr. Florence DE FRAIPONT</t>
  </si>
  <si>
    <t>Dr. Marie BIDART</t>
  </si>
  <si>
    <t>Plateforme de Lyon</t>
  </si>
  <si>
    <t>Hospices Civils de Lyon</t>
  </si>
  <si>
    <t>Laboratoired' Anatomie Pathologique - UF biologie des tumeurs</t>
  </si>
  <si>
    <t>Hôpital Edouard Herriot</t>
  </si>
  <si>
    <t>Dr. Pierre-Paul BRINGUIER</t>
  </si>
  <si>
    <t>Dr. Marie-Odile JOLY</t>
  </si>
  <si>
    <t>5 place d'Arsonval</t>
  </si>
  <si>
    <t>Lyon Cedex 03</t>
  </si>
  <si>
    <t>KRAS/NRAS Mutations</t>
  </si>
  <si>
    <t>Centre Léon Bérard</t>
  </si>
  <si>
    <t>Dr.Catherine CHASSAGNE CLEMENT</t>
  </si>
  <si>
    <t>Dr. Véronique HADDAD</t>
  </si>
  <si>
    <t>Dr. Qing WANG</t>
  </si>
  <si>
    <t>Laboratoired' anatomopathologie et de biologie moléculaire</t>
  </si>
  <si>
    <t>Département de biopathologies</t>
  </si>
  <si>
    <t>28 rue Laënnec</t>
  </si>
  <si>
    <t>Lyon cedex 08</t>
  </si>
  <si>
    <t>Plateforme de Saint-Etienne</t>
  </si>
  <si>
    <t>CHU de Saint Etienne</t>
  </si>
  <si>
    <t>Laboratoire d'anatomopathologie et de génétique moléculaire</t>
  </si>
  <si>
    <t xml:space="preserve">Hôpital Nord (Bat C/ niveau-1) </t>
  </si>
  <si>
    <t>Saint-Etienne Cedex 02</t>
  </si>
  <si>
    <t>Hôpital Nord - Service d'anatomie et de cytologie
pathologiques</t>
  </si>
  <si>
    <t>Pr. Michel PEOC'H</t>
  </si>
  <si>
    <t>BOURGOGNE-FRANCHE-COMTE</t>
  </si>
  <si>
    <t>Plateforme de Besançon</t>
  </si>
  <si>
    <t>CHU de Besançon</t>
  </si>
  <si>
    <t>CHRU Besançon-Bâtiment bleu niv +2</t>
  </si>
  <si>
    <t>Laboratoire de Biologie Médicale - Biologie cellulaire et moléculaire Plateforme de génétique moléculaire des cancers</t>
  </si>
  <si>
    <t>3 boulevard Alexandre Fleming</t>
  </si>
  <si>
    <t>Besançon</t>
  </si>
  <si>
    <t>Pr. Jean-Paul FEUGEAS</t>
  </si>
  <si>
    <t>Pr. Jean-Luc PRETET</t>
  </si>
  <si>
    <t>Dr. Laurent Bermont</t>
  </si>
  <si>
    <t>Plateforme de Dijon</t>
  </si>
  <si>
    <t>CHU de Dijon</t>
  </si>
  <si>
    <t>Laboratoire d'anatomopathologie et de biologie moléculaire</t>
  </si>
  <si>
    <t>Hôpital du Bocage - Plateau technique de Biologie Service de pathologie</t>
  </si>
  <si>
    <t>Pr. Laurent MARTIN</t>
  </si>
  <si>
    <t>Mme. Caroline CHAPUSOT</t>
  </si>
  <si>
    <t xml:space="preserve">2 rue Angélique Ducoudray BP  </t>
  </si>
  <si>
    <t>Dijon</t>
  </si>
  <si>
    <t>Centre Georges François Leclerc</t>
  </si>
  <si>
    <t>Laboratoire de Biologie Moléculaire</t>
  </si>
  <si>
    <t>Centre Georges-François Leclerc - Unité de biologie moléculaire</t>
  </si>
  <si>
    <t>Dr. Sarab LIZARD</t>
  </si>
  <si>
    <t>Plateforme de Brest</t>
  </si>
  <si>
    <t>Laboratoire d'anatomopathologie</t>
  </si>
  <si>
    <t>Hôpital Morvan</t>
  </si>
  <si>
    <t>2 avenue Foch</t>
  </si>
  <si>
    <t>Brest Cedex</t>
  </si>
  <si>
    <t>Dr. Isabelle QUINTIN-ROUE</t>
  </si>
  <si>
    <t>Dr. Laurent DOUCET</t>
  </si>
  <si>
    <t>Dr. Arnaud Uguen</t>
  </si>
  <si>
    <t>Hôpital Morvan - Laboratoire de Génétique Moléculaire et d'Histocompatibilité</t>
  </si>
  <si>
    <t>CHU de Brest</t>
  </si>
  <si>
    <t>BRETAGNE</t>
  </si>
  <si>
    <t>Laboratoire de Biologie Moléculaire et d'Histocompatibilité</t>
  </si>
  <si>
    <t>Dijon Cedex</t>
  </si>
  <si>
    <t>1 rue du Professeur Marion BP 77980</t>
  </si>
  <si>
    <t>Plateforme de Rennes</t>
  </si>
  <si>
    <t>CHU de Rennes</t>
  </si>
  <si>
    <t>Hôpital Pontchaillou - Service de Génétique Moléculaire et Génomique</t>
  </si>
  <si>
    <t>Pr. Marie-Dominique GALIBERT</t>
  </si>
  <si>
    <t>2 rue Henri Le Guilloux</t>
  </si>
  <si>
    <t>Rennes cedex 09</t>
  </si>
  <si>
    <t>CENTREVAL-DE-LOIRE</t>
  </si>
  <si>
    <t>Plateforme de Tours-Orléans</t>
  </si>
  <si>
    <t>CHU de Tours</t>
  </si>
  <si>
    <t>Hôpital Trousseau - Service de biochimieet biologie moléculaire</t>
  </si>
  <si>
    <t>Dr. Anne TALLET</t>
  </si>
  <si>
    <t>Dr. Christian Andrès</t>
  </si>
  <si>
    <t>Chambray-lès-tours</t>
  </si>
  <si>
    <t xml:space="preserve">Avenue de la République </t>
  </si>
  <si>
    <t>CHR d'Orléans</t>
  </si>
  <si>
    <t>Dr. Sylvain BRIAULT</t>
  </si>
  <si>
    <t>Hôpital La Source - Pôle de biopathologies Unité fonctionnelle de biologie moléculaire</t>
  </si>
  <si>
    <t>Plateforme de Nancy</t>
  </si>
  <si>
    <t>Service de Biologie Moléculaire des Tumeurs</t>
  </si>
  <si>
    <t>Institut de Cancérologie de Lorraine - CHRU de Nancy</t>
  </si>
  <si>
    <t>Institut de Cancérologie de Lorraine-CHRU Nancy - Département de Biopathologie</t>
  </si>
  <si>
    <t>Avenue de bourgogne CS 30519</t>
  </si>
  <si>
    <t xml:space="preserve"> Vandoeuvre-lès-Nancy</t>
  </si>
  <si>
    <t>Pr. Jean-Louis MERLIN</t>
  </si>
  <si>
    <t>GRANDEST</t>
  </si>
  <si>
    <t>CHU de Reims</t>
  </si>
  <si>
    <t>Laboratoire de Biologie moléculaire: Service de Biopathologie-HMB</t>
  </si>
  <si>
    <t>45 rue Cognacq-Jay</t>
  </si>
  <si>
    <t>Reims cedex</t>
  </si>
  <si>
    <t>Dr. Véronique DALSTEIN</t>
  </si>
  <si>
    <t>Pr. Christine CLAVEL</t>
  </si>
  <si>
    <t>CHU Pôle de Biologie Médicale et Pathologie - UF de Biologie Cellulaire</t>
  </si>
  <si>
    <t>Institut Jean Godinot, CLCC Reims</t>
  </si>
  <si>
    <t>Laboratoire de Biopathologie: Laboratoire d'Anatomie et de Cytologie pathologiques, Laboratoire d'Oncogénétique moléculaire</t>
  </si>
  <si>
    <t>Dr. Christian GARBAR</t>
  </si>
  <si>
    <t>Dr. Fanny BRAYOTEL</t>
  </si>
  <si>
    <t>Dr. Hélène LARBRE</t>
  </si>
  <si>
    <t>1 rue du Général Koenig BP171</t>
  </si>
  <si>
    <t>Reims Cedex</t>
  </si>
  <si>
    <t>Plateforme de Reims</t>
  </si>
  <si>
    <t>Plateforme de Strasbourg-Colmar-Mulhouse</t>
  </si>
  <si>
    <t>Hôpitaux Civils de Colmar</t>
  </si>
  <si>
    <t>Dr. Rémy HELLER</t>
  </si>
  <si>
    <t>Colmar Cedex</t>
  </si>
  <si>
    <t>39 avenue de la liberté</t>
  </si>
  <si>
    <t>CH de Colmar</t>
  </si>
  <si>
    <t>HAUTS DE FRANCE</t>
  </si>
  <si>
    <t>Plateforme d'Amiens</t>
  </si>
  <si>
    <t>CHU d'Amiens Picardie</t>
  </si>
  <si>
    <t>Hôpital Sud</t>
  </si>
  <si>
    <t>Laboratoire d'oncobiologie moléculaire - Centre de biologie humaine</t>
  </si>
  <si>
    <t>Amiens Cedex1</t>
  </si>
  <si>
    <t>Pr. Brigitte GUBLER</t>
  </si>
  <si>
    <t>Dr. Julie DREMAUX</t>
  </si>
  <si>
    <t>Plateforme de Lille</t>
  </si>
  <si>
    <t>CHRU de Lille</t>
  </si>
  <si>
    <t>Unité oncologie et génétique moléculaire - CHRU de Lille</t>
  </si>
  <si>
    <t>Laboratoire de Biologie Moléculaire - Centre de biologie et de pathologie - Laboratoire de biochimie et biologie moléculai</t>
  </si>
  <si>
    <t>Dr. Marie-Pierre BUISINE</t>
  </si>
  <si>
    <t>Dr. Fabienne ESCANDE</t>
  </si>
  <si>
    <t>Dr. Clotilde DESCARPENTRIES</t>
  </si>
  <si>
    <t>2 avenue Oscar Lambret</t>
  </si>
  <si>
    <t>Lille Cedex</t>
  </si>
  <si>
    <t>ILE-DE-FRANCE</t>
  </si>
  <si>
    <t>Plateforme de l'AP-HP</t>
  </si>
  <si>
    <t>APHP HUPSSD Avicenne - Territoire Nord</t>
  </si>
  <si>
    <t>Hôpital Avicenne</t>
  </si>
  <si>
    <t>Laboratoire de Biologie Moléculaire - Service de Biochimie et de biologie moléculaire</t>
  </si>
  <si>
    <t>Dr.Cédric DESBENE</t>
  </si>
  <si>
    <t>Dr. Emmanuelle FABRE</t>
  </si>
  <si>
    <t>Pr. Olivier SCHISCHMANOFF</t>
  </si>
  <si>
    <t>125 rue de Stalingrad</t>
  </si>
  <si>
    <t>Bobigny Cedex</t>
  </si>
  <si>
    <t>APHP Nord Université de Paris HUPNVS (Bichat Beaujon Louis Mourier)</t>
  </si>
  <si>
    <t>Site Hôpital Bichat</t>
  </si>
  <si>
    <t>Laboratoire de Biologie Moléculaire - Département de Génétique</t>
  </si>
  <si>
    <t>Dr. Nathalie THEOU-ANTON</t>
  </si>
  <si>
    <t>Dr. Jérôme LAMORIL</t>
  </si>
  <si>
    <t>Dr. Emmanuelle DE RAUCOURT</t>
  </si>
  <si>
    <t>APHP Nord Université de Paris HUSLS LRB Saint Louis</t>
  </si>
  <si>
    <t>UF d'oncologie moléculaire</t>
  </si>
  <si>
    <t>Pr. Jacqueline LEHMANN-CHE</t>
  </si>
  <si>
    <t>Hôpital Saint-Louis - UF de Pharmacogénomique</t>
  </si>
  <si>
    <t>Departement de genomique des Tumeurs Solides</t>
  </si>
  <si>
    <t>Dr. Marie BOISSON</t>
  </si>
  <si>
    <t>Dr. Fanelie Jouenne</t>
  </si>
  <si>
    <t>Pr. Samia MOURAH</t>
  </si>
  <si>
    <t>APHP Sud Université Paris Saclay HUPIFO Ambroise Paré</t>
  </si>
  <si>
    <t>Hôpital Ambroise Paré - Service de pathologique</t>
  </si>
  <si>
    <t>Dr. Catherine JULIE</t>
  </si>
  <si>
    <t>Laboratoire d'histopathologie  et de pathologie moléculaire</t>
  </si>
  <si>
    <t>Pr. Jean-François EMILE</t>
  </si>
  <si>
    <t>Dr. Zofia HELIAS-RODZEWICZ</t>
  </si>
  <si>
    <t>APHP Université Henri Mondor Université Paris HUHMN</t>
  </si>
  <si>
    <t>Hôpital Henri Mondor - Département de pathologie</t>
  </si>
  <si>
    <t>51 avenue du Maréchal de Lattre de Tassigny</t>
  </si>
  <si>
    <t>Creteil cedex</t>
  </si>
  <si>
    <t>Dr. Julien CALDERARO</t>
  </si>
  <si>
    <t>Pr. Christiane COPIE</t>
  </si>
  <si>
    <t>Dr. Cecile CHARPY</t>
  </si>
  <si>
    <t>Dr. Anaïs PUJALS</t>
  </si>
  <si>
    <t>Dr. Nicolas ORTONE</t>
  </si>
  <si>
    <t>Dr. Jeanne TRANVANNHIEU</t>
  </si>
  <si>
    <t>Pr. Philippe Gaulard</t>
  </si>
  <si>
    <t>APHP Sorbonne Université Pitié Salpêtrière</t>
  </si>
  <si>
    <t>Unité Fonctionelle d'oncogénétique et d'angiogénétique moléculaire Pitié Salpêtrière - Département de génétique</t>
  </si>
  <si>
    <t>Dr. Noémie BASSET</t>
  </si>
  <si>
    <t>Dr. Florence COULET</t>
  </si>
  <si>
    <t>Dr. Erell GUILLERM</t>
  </si>
  <si>
    <t>47-83 Boulevard de l'Hôpital</t>
  </si>
  <si>
    <t>Paris cedex 13</t>
  </si>
  <si>
    <t>APHP Sorbonne Université Saint-Antoine</t>
  </si>
  <si>
    <t>Hôpital Saint-Antoine - Laboratoire commun de biologie et de génétique moléculaires</t>
  </si>
  <si>
    <t>Hôpital Saint-Antoine - Service d'anatomie et de Cytologie pathologiques</t>
  </si>
  <si>
    <t>Dr. Pascale CERVERA-PIEROT</t>
  </si>
  <si>
    <t>Pr. Jean-François FLEJOU</t>
  </si>
  <si>
    <t>Dr. Olivier LASCOLS</t>
  </si>
  <si>
    <t>184 rue du Faubourg Saint Antoine</t>
  </si>
  <si>
    <t>Paris cedex 12</t>
  </si>
  <si>
    <t>APHP Sorbonne Université Tenon</t>
  </si>
  <si>
    <t>Unité de génomique des Tumeurs Solides</t>
  </si>
  <si>
    <t>Hôpital Tenon</t>
  </si>
  <si>
    <t>Pr. Roger LACAVE</t>
  </si>
  <si>
    <t>Paris cedex 20</t>
  </si>
  <si>
    <t>APHP Centre Université de Paris HEGP</t>
  </si>
  <si>
    <t>Laboratoire de Biochimie</t>
  </si>
  <si>
    <t>UF de Pharmacogénétique et Oncologie Moléculaire HEGP</t>
  </si>
  <si>
    <t>20 rue Leblanc</t>
  </si>
  <si>
    <t>Paris cedex 15</t>
  </si>
  <si>
    <t>Pr. Pierre LAURENT-PUIG</t>
  </si>
  <si>
    <t>Dr. Hélène BLONS</t>
  </si>
  <si>
    <t>Dr. Céline NARJOZ</t>
  </si>
  <si>
    <t>APHP Centre Université de Paris Cochin</t>
  </si>
  <si>
    <t>Service de génétique et biologie moléculaires</t>
  </si>
  <si>
    <t>Pr. Karen LEROY</t>
  </si>
  <si>
    <t>Dr. Cyril BURIN DES ROZIERS</t>
  </si>
  <si>
    <t>27 rue du Faubourg Saint Jacques</t>
  </si>
  <si>
    <t>Paris cedex 14</t>
  </si>
  <si>
    <t>Plateforme de l'Institut Curie</t>
  </si>
  <si>
    <t>Laboratoire de Génétique Somatique</t>
  </si>
  <si>
    <t>Département Biologie des tumeurs</t>
  </si>
  <si>
    <t>Institut Curie - Site de Paris - Service de Génétique</t>
  </si>
  <si>
    <t>26 rue d'Ulm</t>
  </si>
  <si>
    <t>Paris</t>
  </si>
  <si>
    <t>Pr. Ivan BIECHE</t>
  </si>
  <si>
    <t>Dr. Gaelle PIERRON</t>
  </si>
  <si>
    <t>Dr. Celine CALLENS</t>
  </si>
  <si>
    <t>Dr. Julien MASLIAH PLANCHON</t>
  </si>
  <si>
    <t>Plateforme de Gustave Roussy</t>
  </si>
  <si>
    <t>Gustave Roussy</t>
  </si>
  <si>
    <t>Méeicales - Service de Pathologie Moléculaire</t>
  </si>
  <si>
    <t>Pr. Jean-yves SCOAZEC</t>
  </si>
  <si>
    <t>Dr. Ludovic LACROIX</t>
  </si>
  <si>
    <t>Dr. Etienne Rouleau</t>
  </si>
  <si>
    <t>114 rue Edouard Vaillant</t>
  </si>
  <si>
    <t>Villejuif Cedex</t>
  </si>
  <si>
    <t>NORMANDIE</t>
  </si>
  <si>
    <t>Plateforme de Caen</t>
  </si>
  <si>
    <t>CHU de Caen</t>
  </si>
  <si>
    <t>Dr. Nicolas RICHARD</t>
  </si>
  <si>
    <t>Avenue Georges Clémenceau</t>
  </si>
  <si>
    <t>Centre François Baclesse</t>
  </si>
  <si>
    <t xml:space="preserve">Laboratoire de Biologie Moléculaire </t>
  </si>
  <si>
    <t>Hôpital clémenceau - Service de génétique</t>
  </si>
  <si>
    <t>Centre François Baclesse - Département de Biopathologie oncologique</t>
  </si>
  <si>
    <t>Dr. Dominique VAUR</t>
  </si>
  <si>
    <t>3 avenue du Général Harris</t>
  </si>
  <si>
    <t>Caen Cedex 05</t>
  </si>
  <si>
    <t>Plateforme de Rouen</t>
  </si>
  <si>
    <t>Laboratoire de génétique somatique des tumeurs</t>
  </si>
  <si>
    <t>Pr. Jean-Christophe SABOURIN</t>
  </si>
  <si>
    <t>Mme. Aude LAMY</t>
  </si>
  <si>
    <t>CHU de Rouen - Hôpital Charles Nicolle</t>
  </si>
  <si>
    <t>1 rue de Germont</t>
  </si>
  <si>
    <t>Rouen Cedex</t>
  </si>
  <si>
    <t>Plateforme de Bordeaux-La-Réunion</t>
  </si>
  <si>
    <t>CHU de Bordeaux</t>
  </si>
  <si>
    <t>Hôpital Haut-Lévêque</t>
  </si>
  <si>
    <t>Pr. Jean-Philippe MERLIO</t>
  </si>
  <si>
    <t>Service de Biologie des tumeurs</t>
  </si>
  <si>
    <t>Avenue Magellan</t>
  </si>
  <si>
    <t>Pessac Cedex</t>
  </si>
  <si>
    <t>Institut Bergonié</t>
  </si>
  <si>
    <t>Département de Biopathologie</t>
  </si>
  <si>
    <t>Unité de Pathologie Moléculaire - Département de Biopathologie</t>
  </si>
  <si>
    <t>229 cours de l'Argonne</t>
  </si>
  <si>
    <t>Bordeaux</t>
  </si>
  <si>
    <t>Dr. Isabelle SOUBEYRAN</t>
  </si>
  <si>
    <t>NOUVELLE AQUITAINE</t>
  </si>
  <si>
    <t>Plateforme de Limoges</t>
  </si>
  <si>
    <t>CHU de Limoges</t>
  </si>
  <si>
    <t>Plateforme de Génétique Moléculaire des Cancers</t>
  </si>
  <si>
    <t>Hôpital Universitaire Dupuytren CRBS - Anatomie Pathologique</t>
  </si>
  <si>
    <t>Pr. François LABROUSSE</t>
  </si>
  <si>
    <t>Dr. Karine FAUCHER</t>
  </si>
  <si>
    <t>Rue du Professeur Bernard DESCOTTES</t>
  </si>
  <si>
    <t>Limoges Cedex</t>
  </si>
  <si>
    <t>Plateforme de Poitiers</t>
  </si>
  <si>
    <t>CHU de Poitiers</t>
  </si>
  <si>
    <t>CHU de Poitiers - Service de cancérologie biologique</t>
  </si>
  <si>
    <t>2 rue de la Milétrie</t>
  </si>
  <si>
    <t>Poitiers Cedex</t>
  </si>
  <si>
    <t>Pr. Lucie KARAYAN-TAPON</t>
  </si>
  <si>
    <t>OCCITANIE</t>
  </si>
  <si>
    <t>Plateforme de Montpellier-Nîmes</t>
  </si>
  <si>
    <t>CHU de Montpellier</t>
  </si>
  <si>
    <t>Laboratoire de biologie cellulaire et tumorale</t>
  </si>
  <si>
    <t>Hôpital Arnaud de villeneuve</t>
  </si>
  <si>
    <t>J Solassol</t>
  </si>
  <si>
    <t>371 avenue du doyen Gaston Giraud</t>
  </si>
  <si>
    <t>Montpellier Cedex 05</t>
  </si>
  <si>
    <t>Institut Régional du Cancer de Montpellier - Laboratoire de biologié spécialisée et oncogénétique</t>
  </si>
  <si>
    <t>Pr. Jérôme SOLASSOL</t>
  </si>
  <si>
    <t>208 rue des apothicaires</t>
  </si>
  <si>
    <t>CHU de Nîmes</t>
  </si>
  <si>
    <t>Laboratoire de biochimie et biologie Moléculaire</t>
  </si>
  <si>
    <t>Hôpital Carémeau</t>
  </si>
  <si>
    <t>Pr. Serge LUMBROSO</t>
  </si>
  <si>
    <t>Pr. Jean-Paul Brouillet</t>
  </si>
  <si>
    <t>Pr. Alexandre Evrard</t>
  </si>
  <si>
    <t>Place du Professeur Robert Debré</t>
  </si>
  <si>
    <t>Nîmes cedex 09</t>
  </si>
  <si>
    <t>Plateforme de Toulouse</t>
  </si>
  <si>
    <t>IUCT Oncopole</t>
  </si>
  <si>
    <t>IUCT Oncopole - Pathologique</t>
  </si>
  <si>
    <t>Département d'Anatomie</t>
  </si>
  <si>
    <t>1 Avenue Irène Joliot-Curie</t>
  </si>
  <si>
    <t>Toulouse Cedex 9</t>
  </si>
  <si>
    <t>Pr. Janick SELVES</t>
  </si>
  <si>
    <t>Dr. Isabelle ROUQUETTE</t>
  </si>
  <si>
    <t>Pr. Pierre BROUSSET</t>
  </si>
  <si>
    <t>Pr. Laurence LAMANT</t>
  </si>
  <si>
    <t>Dr. Emilie TOURNIER</t>
  </si>
  <si>
    <t>Dr. Solène EVRARD</t>
  </si>
  <si>
    <t>Mr. Grand David</t>
  </si>
  <si>
    <t>Plateforme d'Angers</t>
  </si>
  <si>
    <t>PAYS DE LA LOIRE</t>
  </si>
  <si>
    <t>Institut de Cancérologie de l'Ouest Paul Papin</t>
  </si>
  <si>
    <t>Institut de cancérologie de l'Ouest Angers - Département de biopathologie du cancer Oncopharmacologie et pharmacogénétique</t>
  </si>
  <si>
    <t>Pr. Alain MOREL</t>
  </si>
  <si>
    <t>Dr. Michèle BOISDRON-CELLE</t>
  </si>
  <si>
    <t>15 rue Boquel</t>
  </si>
  <si>
    <t>Angers Cedex 02</t>
  </si>
  <si>
    <t>CHU d'Angers</t>
  </si>
  <si>
    <t>Plateforme SNP, Transcriptome et Epigénomique</t>
  </si>
  <si>
    <t>4 rue Larrey</t>
  </si>
  <si>
    <t>Angers Cedex 09</t>
  </si>
  <si>
    <t>Pr. Philippe GUARDIOLA</t>
  </si>
  <si>
    <t>CHU de Nantes</t>
  </si>
  <si>
    <t>Plateforme de Nantes</t>
  </si>
  <si>
    <t>CHU-Hôtel Dieu</t>
  </si>
  <si>
    <t>Pr. Marc DENIS</t>
  </si>
  <si>
    <t xml:space="preserve"> Nantes cedex 01</t>
  </si>
  <si>
    <t>Dr. Guillaume HERBRETEAU</t>
  </si>
  <si>
    <t>AP-HM</t>
  </si>
  <si>
    <t>PROVENCE-ALPES-COTE-D'AZUR</t>
  </si>
  <si>
    <t>Plateforme de Marseille (ONCOPACAOuest)</t>
  </si>
  <si>
    <t>Faculté de Médecine Nord - Laboratoire de transfert d'oncologie biologique</t>
  </si>
  <si>
    <t>Boulevard Pierre Dramard</t>
  </si>
  <si>
    <t>Marseille Cedex 20</t>
  </si>
  <si>
    <t>Plateforme de Marseille</t>
  </si>
  <si>
    <t>Institut Paoli Calmettes</t>
  </si>
  <si>
    <t>Institut Paoli Calmettes - Département de Biologie Du Cancer</t>
  </si>
  <si>
    <t>Laboratoires d'Anatomopathologie et d'Oncogénétique Moléculaire</t>
  </si>
  <si>
    <t>Pr. Hagay Sobol</t>
  </si>
  <si>
    <t>Pr. Luc XERRI</t>
  </si>
  <si>
    <t>Plateforme de Nice</t>
  </si>
  <si>
    <t>CHU de Nice</t>
  </si>
  <si>
    <t>CHU de Nice - Faculté de Nice - Laboratoire de Génétique des tumeurs solides</t>
  </si>
  <si>
    <t>Dr. Florence PEDEUTOUR</t>
  </si>
  <si>
    <t>28 avenue de Valombrose</t>
  </si>
  <si>
    <t>Nice 02</t>
  </si>
  <si>
    <t>Hôpital Pasteur</t>
  </si>
  <si>
    <t>Nice Cedex 01</t>
  </si>
  <si>
    <t>30 avenue de la voie romaine, Pavillon J BL69</t>
  </si>
  <si>
    <t>Hofman P</t>
  </si>
  <si>
    <t>Centre Antoine Lacassagne</t>
  </si>
  <si>
    <t>Laboratoire de pathologie clinique et expérimentale</t>
  </si>
  <si>
    <t>Centre Antoine Lacassagne - Laboratoire d'oncopharmacologie</t>
  </si>
  <si>
    <t>33 avenue de Valombrose</t>
  </si>
  <si>
    <t>Nice Cedex 02</t>
  </si>
  <si>
    <t>Dr. Marie-Christine ETIENNE-GRIMALDI</t>
  </si>
  <si>
    <t>Postal Code</t>
  </si>
  <si>
    <t>HCP1</t>
  </si>
  <si>
    <t>HCP2</t>
  </si>
  <si>
    <t>HCP3</t>
  </si>
  <si>
    <t>HCP4</t>
  </si>
  <si>
    <t>HCP5</t>
  </si>
  <si>
    <t>HCP6</t>
  </si>
  <si>
    <t>HCP7</t>
  </si>
  <si>
    <t>Region</t>
  </si>
  <si>
    <t>HCO</t>
  </si>
  <si>
    <t>Platform</t>
  </si>
  <si>
    <t>BACAP Partner</t>
  </si>
  <si>
    <t>Barbara Bournet</t>
  </si>
  <si>
    <t>Yes</t>
  </si>
  <si>
    <t>Gastroenterologist</t>
  </si>
  <si>
    <t>BACAP</t>
  </si>
  <si>
    <t>Regional Cancer Institute of Montpellier</t>
  </si>
  <si>
    <t>Trocadero Clinic</t>
  </si>
  <si>
    <t>Louis Buscail</t>
  </si>
  <si>
    <t>Adrian Culetto</t>
  </si>
  <si>
    <t>Karl Barange</t>
  </si>
  <si>
    <t>Rosine Guimbaud</t>
  </si>
  <si>
    <t>Corinne Couteau</t>
  </si>
  <si>
    <t>Pascale Rivera</t>
  </si>
  <si>
    <t>Nadim Fares</t>
  </si>
  <si>
    <t>Marion Jaffrelot</t>
  </si>
  <si>
    <t>Fabrice Muscari</t>
  </si>
  <si>
    <t>Nicolas Carrère</t>
  </si>
  <si>
    <t>Bertrand Suc</t>
  </si>
  <si>
    <t>Charlotte Maulat</t>
  </si>
  <si>
    <t>Janick Selves</t>
  </si>
  <si>
    <t>Jean-Marc Gornet</t>
  </si>
  <si>
    <t>Dominique Farges-Bancel</t>
  </si>
  <si>
    <t>Internal Medicine</t>
  </si>
  <si>
    <t>Bertrand Napoléon</t>
  </si>
  <si>
    <t>Fabien Fumex</t>
  </si>
  <si>
    <t>Jérôme Desrame</t>
  </si>
  <si>
    <t>Christine Lefort</t>
  </si>
  <si>
    <t>Vincent Lepilliez</t>
  </si>
  <si>
    <t>Rodica Gincul</t>
  </si>
  <si>
    <t>Léa Clavel</t>
  </si>
  <si>
    <t>Mathieu Sarabi</t>
  </si>
  <si>
    <t>Chloé Vernet</t>
  </si>
  <si>
    <t>Sarah Leblanc</t>
  </si>
  <si>
    <t>Pascal Artru</t>
  </si>
  <si>
    <t>Anne-Isabelle Lemaistre</t>
  </si>
  <si>
    <t>Stéphane Garcia</t>
  </si>
  <si>
    <t>Nathalie Lesavre</t>
  </si>
  <si>
    <t>Mohamed Gasmi</t>
  </si>
  <si>
    <t>Marc Barthet</t>
  </si>
  <si>
    <t>Geoffroy Vanbierliet</t>
  </si>
  <si>
    <t>Anne-Claire Frin</t>
  </si>
  <si>
    <t>Delphine Ouvrier</t>
  </si>
  <si>
    <t>Marie-Christine Saint-Paul</t>
  </si>
  <si>
    <t>Nicolas Flori</t>
  </si>
  <si>
    <t>Pierre Senesse</t>
  </si>
  <si>
    <t>Emmanuelle Samalin-Scalzi</t>
  </si>
  <si>
    <t>Fabienne Portales</t>
  </si>
  <si>
    <t>Pierre-Emmanuel Colombo</t>
  </si>
  <si>
    <t>Jérôme Cros</t>
  </si>
  <si>
    <t>Philippe Berthélémy</t>
  </si>
  <si>
    <t>Patrice Peyrat</t>
  </si>
  <si>
    <t>Caroline Renard</t>
  </si>
  <si>
    <t>Clément Subtil</t>
  </si>
  <si>
    <t>Eric Terrebonne</t>
  </si>
  <si>
    <t>Jean-Frédéric Blanc</t>
  </si>
  <si>
    <t>Jean-Philippe Merlio</t>
  </si>
  <si>
    <t>Guillaume Piessen</t>
  </si>
  <si>
    <t>Florence Renaud</t>
  </si>
  <si>
    <t>Emmanuelle Leteurtre</t>
  </si>
  <si>
    <t>Jean François Seitz</t>
  </si>
  <si>
    <t>Philippe Grandval</t>
  </si>
  <si>
    <t>Emmanuelle Norguet-Monnereau</t>
  </si>
  <si>
    <t>Muriel Duluc</t>
  </si>
  <si>
    <t>Jean Hardwigsen</t>
  </si>
  <si>
    <t>Eric Assenat</t>
  </si>
  <si>
    <t>Marie Dupuy</t>
  </si>
  <si>
    <t>Jean-Michel Fabre</t>
  </si>
  <si>
    <t>Thomas Bardol</t>
  </si>
  <si>
    <t>Maxime Robert</t>
  </si>
  <si>
    <t>Hélène Van Damme</t>
  </si>
  <si>
    <t>Stéphanie Truant</t>
  </si>
  <si>
    <t>Guillaume Millet</t>
  </si>
  <si>
    <t>Mathias Brugel</t>
  </si>
  <si>
    <t>Aurélien Lambert</t>
  </si>
  <si>
    <t>Institut de Cancérologie de Lorraine</t>
  </si>
  <si>
    <t>https://www.espoir-pancreas.fr/nos-conferences/</t>
  </si>
  <si>
    <t>Pancreatic Cancer Conference</t>
  </si>
  <si>
    <t>APHP</t>
  </si>
  <si>
    <t>ARCAD</t>
  </si>
  <si>
    <t>Pascal Hammel</t>
  </si>
  <si>
    <t>Thierry Conroy</t>
  </si>
  <si>
    <t>Mathieu Klein</t>
  </si>
  <si>
    <t>Marc Tenenbaum</t>
  </si>
  <si>
    <t>Paul Gougis</t>
  </si>
  <si>
    <t>Aimery de Gramont</t>
  </si>
  <si>
    <t>Espoir Pancreas Patient Association</t>
  </si>
  <si>
    <t>https://www.espoir-pancreas.fr/association-familles-entraide/</t>
  </si>
  <si>
    <t>Honorary Members of ESPOIR</t>
  </si>
  <si>
    <t>Cindy Neuzillet</t>
  </si>
  <si>
    <t>Paul Brousse Hospital</t>
  </si>
  <si>
    <t>Societe Francaise Pancreas</t>
  </si>
  <si>
    <t>https://www.bacap-pancreas.fr/fr/partenaires/</t>
  </si>
  <si>
    <t>ICM Montpellier</t>
  </si>
  <si>
    <t>Alice Boileve</t>
  </si>
  <si>
    <t>Brice Chanez</t>
  </si>
  <si>
    <t>Louis de Mestier</t>
  </si>
  <si>
    <t>Vincent Hautefeuille</t>
  </si>
  <si>
    <t>Emmanuelle Samalin</t>
  </si>
  <si>
    <t>Anthony Turpin</t>
  </si>
  <si>
    <t>Christelle d'Engremont</t>
  </si>
  <si>
    <t>Eve Gelsi</t>
  </si>
  <si>
    <t>Philippe Granval</t>
  </si>
  <si>
    <t>Pierre Mayer</t>
  </si>
  <si>
    <t>Frédérick Moryoussef</t>
  </si>
  <si>
    <t>Frédérique Maire</t>
  </si>
  <si>
    <t>Charles de Ponthaud</t>
  </si>
  <si>
    <t>Renato Micelli Lupinacci</t>
  </si>
  <si>
    <t>https://www.societefrancaisepancreas.fr/commission-recherche/</t>
  </si>
  <si>
    <t>https://odin-dataviz-drees.sante.gouv.fr/digdash_dashboard_dataviz_drees/?defaultPage=Morbidit%C3%A9_Hospitali%C3%A8re_Tableau_3__D%C3%A9partements&amp;user=dataviz_sante&amp;pass=dataviz_sante#3</t>
  </si>
  <si>
    <t>01 - Ain</t>
  </si>
  <si>
    <t>02 - Aisne</t>
  </si>
  <si>
    <t>03 - Allier</t>
  </si>
  <si>
    <t>04 - Alpes-de-Haute-Provence</t>
  </si>
  <si>
    <t>05 - Hautes-Alpes</t>
  </si>
  <si>
    <t>06 - Alpes-Maritimes</t>
  </si>
  <si>
    <t>07 - Ardèche</t>
  </si>
  <si>
    <t>08 - Ardennes</t>
  </si>
  <si>
    <t>09 - Ariège</t>
  </si>
  <si>
    <t>10 - Aube</t>
  </si>
  <si>
    <t>11 - Aude</t>
  </si>
  <si>
    <t>12 - Aveyron</t>
  </si>
  <si>
    <t>13 - Bouches-du-Rhône</t>
  </si>
  <si>
    <t>14 - Calvados</t>
  </si>
  <si>
    <t>15 - Cantal</t>
  </si>
  <si>
    <t>16 - Charente</t>
  </si>
  <si>
    <t>17 - Charente-Maritime</t>
  </si>
  <si>
    <t>18 - Cher</t>
  </si>
  <si>
    <t>19 - Corrèze</t>
  </si>
  <si>
    <t>21 - Côte-d'Or</t>
  </si>
  <si>
    <t>22 - Côtes-d'Armor</t>
  </si>
  <si>
    <t>23 - Creuse</t>
  </si>
  <si>
    <t>24 - Dordogne</t>
  </si>
  <si>
    <t>25 - Doubs</t>
  </si>
  <si>
    <t>26 - Drôme</t>
  </si>
  <si>
    <t>27 - Eure</t>
  </si>
  <si>
    <t>28 - Eure-et-Loir</t>
  </si>
  <si>
    <t>29 - Finistère</t>
  </si>
  <si>
    <t>2A - Corse-du-Sud</t>
  </si>
  <si>
    <t>2B - Haute-Corse</t>
  </si>
  <si>
    <t>30 - Gard</t>
  </si>
  <si>
    <t>31 - Haute-Garonne</t>
  </si>
  <si>
    <t>32 - Gers</t>
  </si>
  <si>
    <t>33 - Gironde</t>
  </si>
  <si>
    <t>34 - Hérault</t>
  </si>
  <si>
    <t>35 - Ille-et-Vilaine</t>
  </si>
  <si>
    <t>36 - Indre</t>
  </si>
  <si>
    <t>37 - Indre-et-Loire</t>
  </si>
  <si>
    <t>38 - Isère</t>
  </si>
  <si>
    <t>39 - Jura</t>
  </si>
  <si>
    <t>40 - Landes</t>
  </si>
  <si>
    <t>41 - Loir-et-Cher</t>
  </si>
  <si>
    <t>42 - Loire</t>
  </si>
  <si>
    <t>43 - Haute-Loire</t>
  </si>
  <si>
    <t>44 - Loire-Atlantique</t>
  </si>
  <si>
    <t>45 - Loiret</t>
  </si>
  <si>
    <t>46 - Lot</t>
  </si>
  <si>
    <t>47 - Lot-et-Garonne</t>
  </si>
  <si>
    <t>48 - Lozère</t>
  </si>
  <si>
    <t>49 - Maine-et-Loire</t>
  </si>
  <si>
    <t>50 - Manche</t>
  </si>
  <si>
    <t>51 - Marne</t>
  </si>
  <si>
    <t>52 - Haute-Marne</t>
  </si>
  <si>
    <t>53 - Mayenne</t>
  </si>
  <si>
    <t>54 - Meurthe-et-Moselle</t>
  </si>
  <si>
    <t>55 - Meuse</t>
  </si>
  <si>
    <t>56 - Morbihan</t>
  </si>
  <si>
    <t>57 - Moselle</t>
  </si>
  <si>
    <t>58 - Nièvre</t>
  </si>
  <si>
    <t>59 - Nord</t>
  </si>
  <si>
    <t>60 - Oise</t>
  </si>
  <si>
    <t>61 - Orne</t>
  </si>
  <si>
    <t>62 - Pas-de-Calais</t>
  </si>
  <si>
    <t>63 - Puy-de-Dôme</t>
  </si>
  <si>
    <t>64 - Pyrénées-Atlantiques</t>
  </si>
  <si>
    <t>65 - Hautes-Pyrénées</t>
  </si>
  <si>
    <t>66 - Pyrénées-Orientales</t>
  </si>
  <si>
    <t>67 - Bas-Rhin</t>
  </si>
  <si>
    <t>68 - Haut-Rhin</t>
  </si>
  <si>
    <t>69 - Rhône</t>
  </si>
  <si>
    <t>70 - Haute-Saône</t>
  </si>
  <si>
    <t>71 - Saône-et-Loire</t>
  </si>
  <si>
    <t>72 - Sarthe</t>
  </si>
  <si>
    <t>73 - Savoie</t>
  </si>
  <si>
    <t>74 - Haute-Savoie</t>
  </si>
  <si>
    <t>75 - Paris</t>
  </si>
  <si>
    <t>76 - Seine-Maritime</t>
  </si>
  <si>
    <t>77 - Seine-et-Marne</t>
  </si>
  <si>
    <t>78 - Yvelines</t>
  </si>
  <si>
    <t>79 - Deux-Sèvres</t>
  </si>
  <si>
    <t>80 - Somme</t>
  </si>
  <si>
    <t>81 - Tarn</t>
  </si>
  <si>
    <t>82 - Tarn-et-Garonne</t>
  </si>
  <si>
    <t>83 - Var</t>
  </si>
  <si>
    <t>84 - Vaucluse</t>
  </si>
  <si>
    <t>85 - Vendée</t>
  </si>
  <si>
    <t>86 - Vienne</t>
  </si>
  <si>
    <t>87 - Haute-Vienne</t>
  </si>
  <si>
    <t>88 - Vosges</t>
  </si>
  <si>
    <t>89 - Yonne</t>
  </si>
  <si>
    <t>90 - Territoire de Belfort</t>
  </si>
  <si>
    <t>91 - Essonne</t>
  </si>
  <si>
    <t>92 - Hauts-de-Seine</t>
  </si>
  <si>
    <t>93 - Seine-Saint-Denis</t>
  </si>
  <si>
    <t>94 - Val-de-Marne</t>
  </si>
  <si>
    <t>95 - Val-d'Oise</t>
  </si>
  <si>
    <t>971 - Guadeloupe</t>
  </si>
  <si>
    <t>972 - Martinique</t>
  </si>
  <si>
    <t>973 - Guyane</t>
  </si>
  <si>
    <t>974 - Réunion</t>
  </si>
  <si>
    <t>976 - Mayotte</t>
  </si>
  <si>
    <t>2024 - Tumour malign of pancreas</t>
  </si>
  <si>
    <t>CH</t>
  </si>
  <si>
    <t>CH BUGEY SUD</t>
  </si>
  <si>
    <t>CLCC</t>
  </si>
  <si>
    <t>CENTRE ANTOINE LACASSAGNE</t>
  </si>
  <si>
    <t>CLINIQUE DU PALAIS</t>
  </si>
  <si>
    <t>CLINIQUE SAINT GEORGE</t>
  </si>
  <si>
    <t>HP A. TZANCK MOUGINS SOPHIA ANTIPOLIS</t>
  </si>
  <si>
    <t>CLINIQUE PASTEUR</t>
  </si>
  <si>
    <t>POLYCLINIQUE MONTIER LA CELLE</t>
  </si>
  <si>
    <t>CH NARBONNE</t>
  </si>
  <si>
    <t>POLYCLINIQUE DU PARC</t>
  </si>
  <si>
    <t>CLINIQUE DE L'ATLANTIQUE</t>
  </si>
  <si>
    <t>POLYCLINIQUE DU PARC DREVON</t>
  </si>
  <si>
    <t>CLINIQUE MUTUALISTE BENIGNE JOLY</t>
  </si>
  <si>
    <t>CLCC GEORGES-FRANCOIS LECLERC</t>
  </si>
  <si>
    <t>POLYCLINIQUE FRANCHEVILLE</t>
  </si>
  <si>
    <t>CLINIQUE AMBROISE PARE</t>
  </si>
  <si>
    <t>CLINIQUE DES CEDRES</t>
  </si>
  <si>
    <t>MSP BORDEAUX BAGATELLE</t>
  </si>
  <si>
    <t>INSTITUT BERGONIE</t>
  </si>
  <si>
    <t>POLYCLINIQUE BORDEAUX RIVE DROITE</t>
  </si>
  <si>
    <t>POLYCLINIQUE JEAN VILLAR</t>
  </si>
  <si>
    <t>CH BEZIERS</t>
  </si>
  <si>
    <t>PÔLE SANTÉ LÉONARD DE VINCI</t>
  </si>
  <si>
    <t>CH DE ROANNE</t>
  </si>
  <si>
    <t>CH EMILE ROUX LE PUY</t>
  </si>
  <si>
    <t>ICO - SITE GAUDUCHEAU</t>
  </si>
  <si>
    <t>CH AGGLOMERATION MONTARGOISE</t>
  </si>
  <si>
    <t>ORELIANCE - LONGUES ALLEES</t>
  </si>
  <si>
    <t>ICO - SITE PAUL PAPIN</t>
  </si>
  <si>
    <t>CLINIQUE DE L'ANJOU</t>
  </si>
  <si>
    <t>CLINIQUE LOUIS PASTEUR</t>
  </si>
  <si>
    <t>INSTITUT DE CANCEROLOGIE DE LORRAINE</t>
  </si>
  <si>
    <t>CLINIQUE MUTUALISTE PORTE DE L'ORIENT</t>
  </si>
  <si>
    <t>POLYCLINIQUE DU VAL DE LOIRE</t>
  </si>
  <si>
    <t>CLCC OSCAR LAMBRET LILLE</t>
  </si>
  <si>
    <t>GCS GHICL CLINIQUE STE MARIE</t>
  </si>
  <si>
    <t>CH VALENCIENNES</t>
  </si>
  <si>
    <t>CLINIQUE DES HETRES</t>
  </si>
  <si>
    <t>CLINIQUE DES ACACIAS</t>
  </si>
  <si>
    <t>CLINIQUE DES 2 CAPS</t>
  </si>
  <si>
    <t>CAPIO CLINIQUE AGUILERA</t>
  </si>
  <si>
    <t>POLYCLINIQUE PAU PYRENEES SITE MARZET</t>
  </si>
  <si>
    <t>POLYCLINIQUE PAU PYRENEES SITE NAVARRE</t>
  </si>
  <si>
    <t>CH PERPIGNAN</t>
  </si>
  <si>
    <t>CLINIQUE DIACONAT ROOSEVELT</t>
  </si>
  <si>
    <t>CH ST JOSEPH ST LUC</t>
  </si>
  <si>
    <t>POLYCLINIQUE DU BEAUJOLAIS</t>
  </si>
  <si>
    <t>POLYCLINIQUE DU VAL DE SAONE</t>
  </si>
  <si>
    <t>CH LES CHANAUX MACON</t>
  </si>
  <si>
    <t>CH DU PAYS CHAROLAIS BRIONNAIS</t>
  </si>
  <si>
    <t>CH WILLIAM MOREY CHALON SUR SAONE</t>
  </si>
  <si>
    <t>CLINIQUE DU PRE</t>
  </si>
  <si>
    <t>CLCC INSTITUT CURIE</t>
  </si>
  <si>
    <t>CLINIQUE INTERNATIONALE PARC MONCEAU</t>
  </si>
  <si>
    <t>CLINIQUE DU CEDRE</t>
  </si>
  <si>
    <t>POLYCLINIQUE SAINT JEAN</t>
  </si>
  <si>
    <t>CLINIQUE DE TOURNAN</t>
  </si>
  <si>
    <t>CH DE RAMBOUILLET</t>
  </si>
  <si>
    <t>CH ALBI</t>
  </si>
  <si>
    <t>CH MONTAUBAN</t>
  </si>
  <si>
    <t>CLINIQUE DU CAP D'OR</t>
  </si>
  <si>
    <t>POLYCLINIQUE LES FLEURS</t>
  </si>
  <si>
    <t>POLYCLINIQUE NOTRE DAME</t>
  </si>
  <si>
    <t>CH LOUIS GIORGI D'ORANGE</t>
  </si>
  <si>
    <t>SYNERGIA VENTOUX</t>
  </si>
  <si>
    <t>POLYCLINIQUE LA LIGNE BLEUE</t>
  </si>
  <si>
    <t>CH AUXERRE</t>
  </si>
  <si>
    <t>CLINIQUE PAUL PICQUET SENS</t>
  </si>
  <si>
    <t>POLYCLINIQUE STE MARGUERITE AUXERRE</t>
  </si>
  <si>
    <t>CH SENS</t>
  </si>
  <si>
    <t>CLCC RENE HUGUENIN INSTITUT CURIE</t>
  </si>
  <si>
    <t>CH A PARE HARTMANN P CHEREST</t>
  </si>
  <si>
    <t>CLINIQUE DE MEUDON LA FORET</t>
  </si>
  <si>
    <t>INSTITUT GUSTAVE ROUSSY</t>
  </si>
  <si>
    <t>CLINIQUE DU SUD</t>
  </si>
  <si>
    <t>CLINIQUE LES PORTES DU SUD</t>
  </si>
  <si>
    <t>PARIS</t>
  </si>
  <si>
    <t>RHONE</t>
  </si>
  <si>
    <t>HAUTE GARONNE</t>
  </si>
  <si>
    <t>BOUCHES DU RHONE</t>
  </si>
  <si>
    <t>NORD</t>
  </si>
  <si>
    <t>VAL DE MARNE</t>
  </si>
  <si>
    <t>MARNE</t>
  </si>
  <si>
    <t>OISE</t>
  </si>
  <si>
    <t>MAINE ET LOIRE</t>
  </si>
  <si>
    <t>COTE D OR</t>
  </si>
  <si>
    <t>MOSELLE</t>
  </si>
  <si>
    <t>LOIRE ATLANTIQUE</t>
  </si>
  <si>
    <t>CALVADOS</t>
  </si>
  <si>
    <t>HAUTE VIENNE</t>
  </si>
  <si>
    <t>ALPES MARITIMES</t>
  </si>
  <si>
    <t>VAR</t>
  </si>
  <si>
    <t>GIRONDE</t>
  </si>
  <si>
    <t>LOIRE</t>
  </si>
  <si>
    <t>BAS RHIN</t>
  </si>
  <si>
    <t>SEINE MARITIME</t>
  </si>
  <si>
    <t>ILLE ET VILAINE</t>
  </si>
  <si>
    <t>PAS DE CALAIS</t>
  </si>
  <si>
    <t>HAUTS DE SEINE</t>
  </si>
  <si>
    <t>EURE</t>
  </si>
  <si>
    <t>GARD</t>
  </si>
  <si>
    <t>TARN</t>
  </si>
  <si>
    <t>INDRE ET LOIRE</t>
  </si>
  <si>
    <t>SAONE ET LOIRE</t>
  </si>
  <si>
    <t>SAVOIE</t>
  </si>
  <si>
    <t>SOMME</t>
  </si>
  <si>
    <t>PYRENEES ATLANTIQUES</t>
  </si>
  <si>
    <t>SEINE SAINT DENIS</t>
  </si>
  <si>
    <t>PYRENEES ORIENTALES</t>
  </si>
  <si>
    <t>HERAULT</t>
  </si>
  <si>
    <t>MORBIHAN</t>
  </si>
  <si>
    <t>PUY DE DOME</t>
  </si>
  <si>
    <t>GUADELOUPE</t>
  </si>
  <si>
    <t>CORREZE</t>
  </si>
  <si>
    <t>COTES D ARMOR</t>
  </si>
  <si>
    <t>SARTHE</t>
  </si>
  <si>
    <t>AISNE</t>
  </si>
  <si>
    <t>CORSE DU SUD</t>
  </si>
  <si>
    <t>MEURTHE ET MOSELLE</t>
  </si>
  <si>
    <t>ISERE</t>
  </si>
  <si>
    <t>LOT ET GARONNE</t>
  </si>
  <si>
    <t>ESSONNE</t>
  </si>
  <si>
    <t>LA REUNION</t>
  </si>
  <si>
    <t>LOIRET</t>
  </si>
  <si>
    <t>AUDE</t>
  </si>
  <si>
    <t>EURE ET LOIR</t>
  </si>
  <si>
    <t>MAYENNE</t>
  </si>
  <si>
    <t>YVELINES</t>
  </si>
  <si>
    <t>VAL D OISE</t>
  </si>
  <si>
    <t>FINISTERE</t>
  </si>
  <si>
    <t>HAUTE SAVOIE</t>
  </si>
  <si>
    <t>TARN ET GARONNE</t>
  </si>
  <si>
    <t>AIN</t>
  </si>
  <si>
    <t>SEINE ET MARNE</t>
  </si>
  <si>
    <t>CHARENTE</t>
  </si>
  <si>
    <t>ALLIER</t>
  </si>
  <si>
    <t>VAUCLUSE</t>
  </si>
  <si>
    <t>VENDEE</t>
  </si>
  <si>
    <t>DORDOGNE</t>
  </si>
  <si>
    <t>LOIR ET CHER</t>
  </si>
  <si>
    <t>YONNE</t>
  </si>
  <si>
    <t>CHER</t>
  </si>
  <si>
    <t>VIENNE</t>
  </si>
  <si>
    <t>DROME</t>
  </si>
  <si>
    <t>HAUT RHIN</t>
  </si>
  <si>
    <t>ARDENNES</t>
  </si>
  <si>
    <t>CREUSE</t>
  </si>
  <si>
    <t>CANTAL</t>
  </si>
  <si>
    <t>AUBE</t>
  </si>
  <si>
    <t>ARDECHE</t>
  </si>
  <si>
    <t>CHARENTE MARITIME</t>
  </si>
  <si>
    <t>DOUBS</t>
  </si>
  <si>
    <t>HAUTE CORSE</t>
  </si>
  <si>
    <t>LANDES</t>
  </si>
  <si>
    <t>MANCHE</t>
  </si>
  <si>
    <t>HAUTE MARNE</t>
  </si>
  <si>
    <t>NIEVRE</t>
  </si>
  <si>
    <t>HAUTES PYRENEES</t>
  </si>
  <si>
    <t>DEUX SEVRES</t>
  </si>
  <si>
    <t>VOSGES</t>
  </si>
  <si>
    <t>MARTINIQUE</t>
  </si>
  <si>
    <t>AVEYRON</t>
  </si>
  <si>
    <t>HAUTE SAONE</t>
  </si>
  <si>
    <t>HAUTE LOIRE</t>
  </si>
  <si>
    <t>JURA</t>
  </si>
  <si>
    <t>GERS</t>
  </si>
  <si>
    <t>GUYANE</t>
  </si>
  <si>
    <t>INDRE</t>
  </si>
  <si>
    <t>HAUTES ALPES</t>
  </si>
  <si>
    <t>MEUSE</t>
  </si>
  <si>
    <t>ORNE</t>
  </si>
  <si>
    <t>ALPES DE HAUTE PROVENCE</t>
  </si>
  <si>
    <t>LOT</t>
  </si>
  <si>
    <t>ARIEGE</t>
  </si>
  <si>
    <t>MAYOTTE</t>
  </si>
  <si>
    <t>LOZERE</t>
  </si>
  <si>
    <t>TERRITOIRE DE BELFORT</t>
  </si>
  <si>
    <t>Personalized neoadjuvant chemotherapy with RNA signature for patients with borderline pancreatic adenocarcinoma</t>
  </si>
  <si>
    <t>PRODIGY 104 - NEOPREDICT</t>
  </si>
  <si>
    <t>Nouvelle-Aquitaine</t>
  </si>
  <si>
    <t>BAYONNE</t>
  </si>
  <si>
    <t>BASQUE COAST</t>
  </si>
  <si>
    <t>Dr.AUDEMAR Franck</t>
  </si>
  <si>
    <t>Normandy</t>
  </si>
  <si>
    <t>CAEN</t>
  </si>
  <si>
    <t>University Hospital</t>
  </si>
  <si>
    <t>CÔTE DE NACRE</t>
  </si>
  <si>
    <t>Dr.BIGNON Anne-Laure</t>
  </si>
  <si>
    <t>Île-de-France</t>
  </si>
  <si>
    <t>VILLEJUIF</t>
  </si>
  <si>
    <t>CAC</t>
  </si>
  <si>
    <t>GUSTAVE ROUSSY</t>
  </si>
  <si>
    <t>Dr.BOILEVE Alice - Tel: 01 42 11 43 08</t>
  </si>
  <si>
    <t>Centre-Val de Loire</t>
  </si>
  <si>
    <t>TOURS</t>
  </si>
  <si>
    <t>KEYCHAIN</t>
  </si>
  <si>
    <t>Dr.BUCUR Petru</t>
  </si>
  <si>
    <t>Provence-Alpes-Côte d'Azur</t>
  </si>
  <si>
    <t>MARSEILLE</t>
  </si>
  <si>
    <t>INSTITUT PAOLI CALMETTES</t>
  </si>
  <si>
    <t>Dr.CHANEZ Brice - Tel: 04 91 22 33 33</t>
  </si>
  <si>
    <t>Auvergne-Rhône-Alpes</t>
  </si>
  <si>
    <t>BLESSED STONE</t>
  </si>
  <si>
    <t>LYON SOUTH</t>
  </si>
  <si>
    <t>Dr.CHAUVENET Marion</t>
  </si>
  <si>
    <t>CLICHY</t>
  </si>
  <si>
    <t>BEAUJON</t>
  </si>
  <si>
    <t>Dr.DE MESTIER Louis - Tel: 01 40 87 50 00</t>
  </si>
  <si>
    <t>Occitanie</t>
  </si>
  <si>
    <t>TOULOUSE</t>
  </si>
  <si>
    <t>RANGUEIL</t>
  </si>
  <si>
    <t>Dr.FARES Nadim</t>
  </si>
  <si>
    <t>NICE</t>
  </si>
  <si>
    <t>THE BOW</t>
  </si>
  <si>
    <t>Dr.FRIN Anne-Claire</t>
  </si>
  <si>
    <t>Hauts-de-France</t>
  </si>
  <si>
    <t>AMIENS</t>
  </si>
  <si>
    <t>SOUTH HOSPITAL</t>
  </si>
  <si>
    <t>Dr.HAUTEFEUILLE Vincent - Tel: 03 22 08 88 54</t>
  </si>
  <si>
    <t>Burgundy-Franche-Comté</t>
  </si>
  <si>
    <t>DIJON</t>
  </si>
  <si>
    <t>DIJON BURGUNDY</t>
  </si>
  <si>
    <t>Dr.JOUVE Jean-Louis - Tel: 03 80 29 37 50</t>
  </si>
  <si>
    <t>SAINT ANTHONY</t>
  </si>
  <si>
    <t>Dr.MAS Leo</t>
  </si>
  <si>
    <t>Grand Est</t>
  </si>
  <si>
    <t>VANDOEUVRE LES NANCY</t>
  </si>
  <si>
    <t>BRABOIS</t>
  </si>
  <si>
    <t>Dr.MULLER Marie - Tel: 03 83 15 35 85</t>
  </si>
  <si>
    <t>COCHIN</t>
  </si>
  <si>
    <t>Dr.PELLAT Anna - Tel: 01 58 41 19 52</t>
  </si>
  <si>
    <t>LIMOGES</t>
  </si>
  <si>
    <t>DUPUYTREN</t>
  </si>
  <si>
    <t>Dr.PEYRAMAURE Clémentine - Tel: 05 55 05 63 96</t>
  </si>
  <si>
    <t>MONTPELLIER</t>
  </si>
  <si>
    <t>Regional Cancer Institute Montpellier</t>
  </si>
  <si>
    <t>Dr.PORTALES Fabienne - Tel: 04 67 61 37 33</t>
  </si>
  <si>
    <t>Brittany</t>
  </si>
  <si>
    <t>BREST</t>
  </si>
  <si>
    <t>THE WHITE RUN</t>
  </si>
  <si>
    <t>Dr.POUREAU Pierre Guillaume</t>
  </si>
  <si>
    <t>TOULON</t>
  </si>
  <si>
    <t>SAINT ANNE</t>
  </si>
  <si>
    <t>Dr.PRIEUX-KLOTZ Caroline - Tel: 04 94 09 90 00</t>
  </si>
  <si>
    <t>GRENOBLE</t>
  </si>
  <si>
    <t>GRENOBLE ALPES</t>
  </si>
  <si>
    <t>Dr.ROTH Gaël</t>
  </si>
  <si>
    <t>LILLE</t>
  </si>
  <si>
    <t>CLAUDE HURIEZ</t>
  </si>
  <si>
    <t>Dr.TURPIN Anthony - Tel: 03 20 44 54 79</t>
  </si>
  <si>
    <t>BESANCON</t>
  </si>
  <si>
    <t>JEAN MINJOZ</t>
  </si>
  <si>
    <t>Dr.VIENOT Angélique</t>
  </si>
  <si>
    <t>SAINT PRIEST EN JAREZ</t>
  </si>
  <si>
    <t>HOSPITAL NORD CHU SAINT ETIENNE</t>
  </si>
  <si>
    <t>Dr.WILLIET Nicolas</t>
  </si>
  <si>
    <t>REIMS</t>
  </si>
  <si>
    <t>ROBERT DEBRÉ</t>
  </si>
  <si>
    <t>Pr.BOUCHÉ Olivier - Tel: 03 26 78 71 69</t>
  </si>
  <si>
    <t>THE TIMONE</t>
  </si>
  <si>
    <t>Pr.DAHAN Laétitia - Tel: 04 91 38 60 23</t>
  </si>
  <si>
    <t>ROUEN</t>
  </si>
  <si>
    <t>CHARLES NICOLLE</t>
  </si>
  <si>
    <t>Pr.SCHWARZ Lilian - Tel: 02 32 88 86 10</t>
  </si>
  <si>
    <t>POITIERS</t>
  </si>
  <si>
    <t>THE MILETRIE</t>
  </si>
  <si>
    <t>Pr.TOUGERON David</t>
  </si>
  <si>
    <t>https://www.ffcd.fr/index.php?option=com_content&amp;view=article&amp;id=83&amp;etude=00163&amp;Itemid=144</t>
  </si>
  <si>
    <t>Randomized Phase II Study for Metastatic Pancreatic Cancers Comparing 5-FU/LV+Nal-IRI, versus gemcitabine+Nab-paclitaxel versus a sequential regimen alternating 5-FU/LV+Nal-IRI and gemcitabine+Nab-paclitaxel every 2 months</t>
  </si>
  <si>
    <t>BOURG EN BRESSE</t>
  </si>
  <si>
    <t>FLEYRIAT</t>
  </si>
  <si>
    <t>Dr.PILLON Didier - Tel: 04 74 45 43 28</t>
  </si>
  <si>
    <t>CLERMONT FERRAND</t>
  </si>
  <si>
    <t>ESTAING</t>
  </si>
  <si>
    <t>Pr.PEZET Denis</t>
  </si>
  <si>
    <t>Dr.PETORIN Caroline</t>
  </si>
  <si>
    <t>LE PUY EN VELAY</t>
  </si>
  <si>
    <t>EMILE ROUX</t>
  </si>
  <si>
    <t>Dr.BENMAMMAR Kheir Eddine</t>
  </si>
  <si>
    <t>LYON</t>
  </si>
  <si>
    <t>PRIVATE</t>
  </si>
  <si>
    <t>JEAN MERMOZ</t>
  </si>
  <si>
    <t>Pr.DESRAME Jérôme</t>
  </si>
  <si>
    <t>CHALON SUR SAONE</t>
  </si>
  <si>
    <t>SAINT MARIE</t>
  </si>
  <si>
    <t>Dr.MELIS Adrien</t>
  </si>
  <si>
    <t>Burgundy Cancer Institute GRReCC</t>
  </si>
  <si>
    <t>Dr.DARUT-JOUVE Ariane - Tel: 03 80 67 30 10</t>
  </si>
  <si>
    <t>GF LECLERC</t>
  </si>
  <si>
    <t>Dr.BENGRINE LEFEVRE Leila - Tel: 03 80 73 75 00</t>
  </si>
  <si>
    <t>Dr.DROUILLARD Antoine - Tel: 03 80 67 30 10</t>
  </si>
  <si>
    <t>NEVERS</t>
  </si>
  <si>
    <t>PIERRE BEREGOVOY</t>
  </si>
  <si>
    <t>Dr.HADJARAB Yacine - Tel: 04 32 75 33 33</t>
  </si>
  <si>
    <t>QUIMPER</t>
  </si>
  <si>
    <t>CH Quimper Concarneau</t>
  </si>
  <si>
    <t>Dr.BIDEAU Karine</t>
  </si>
  <si>
    <t>ARS LAQUENEXY</t>
  </si>
  <si>
    <t>METZ THIONVILLE MERCY</t>
  </si>
  <si>
    <t>Dr.CONROY Guillaume - Tel: 03 87 55 31 31</t>
  </si>
  <si>
    <t>COLMAR</t>
  </si>
  <si>
    <t>CIVIL HOSPITALS OF COLMAR</t>
  </si>
  <si>
    <t>Dr.BOLLIET Marion - Tel: 03 89 12 40 97</t>
  </si>
  <si>
    <t>Dr.BREYSACHER Gilles - Tel: 03 89 12 40 97</t>
  </si>
  <si>
    <t>Dr.LOPEZ Anthony - Tel: 03 83 15 35 85</t>
  </si>
  <si>
    <t>ARRAS</t>
  </si>
  <si>
    <t>WINDSCREENS</t>
  </si>
  <si>
    <t>Dr.HUGUENIN Bruno</t>
  </si>
  <si>
    <t>BOULOGNE SUR MER</t>
  </si>
  <si>
    <t>DUCHENNE</t>
  </si>
  <si>
    <t>Dr.BOURGEOIS Vincent - Tel: 03 21 99 30 32</t>
  </si>
  <si>
    <t>LENS</t>
  </si>
  <si>
    <t>DR. SCHAFFNER</t>
  </si>
  <si>
    <t>Dr.WATELLE Fabienne</t>
  </si>
  <si>
    <t>Not specified</t>
  </si>
  <si>
    <t>OSNY</t>
  </si>
  <si>
    <t>Dr.SOYER Philippe - Tel: 01 30 38 58 05</t>
  </si>
  <si>
    <t>Pr.DI FIORE Frédéric - Tel: 02 32 88 86 10</t>
  </si>
  <si>
    <t>BORDEAUX</t>
  </si>
  <si>
    <t>BERGONIÉ</t>
  </si>
  <si>
    <t>Dr.PERNOT Simon</t>
  </si>
  <si>
    <t>Dr.THUILLIER Frédéric - Tel: 05 55 05 63 96</t>
  </si>
  <si>
    <t>NIORT</t>
  </si>
  <si>
    <t>Dr.ALEBA Albert - Tel: 05 49 32 79 79</t>
  </si>
  <si>
    <t>TALENCE</t>
  </si>
  <si>
    <t>PROTESTANT HEALTH HOUSE</t>
  </si>
  <si>
    <t>Dr.VERGNIOL Julien</t>
  </si>
  <si>
    <t>NIMES</t>
  </si>
  <si>
    <t>ONCOGARD NIMES</t>
  </si>
  <si>
    <t>Dr.ALCARAZ Laurent</t>
  </si>
  <si>
    <t>RODEZ</t>
  </si>
  <si>
    <t>CH Jacques Puel</t>
  </si>
  <si>
    <t>Dr.MOSSER Laurent</t>
  </si>
  <si>
    <t>Pays de la Loire</t>
  </si>
  <si>
    <t>ANGERS</t>
  </si>
  <si>
    <t>HOTEL DIEU</t>
  </si>
  <si>
    <t>Dr.VITELLIUS Carole</t>
  </si>
  <si>
    <t>CHOLET</t>
  </si>
  <si>
    <t>Dr.LAM You-Heng - Tel: 02 51 21 15 15</t>
  </si>
  <si>
    <t>SAINT JOSEPH</t>
  </si>
  <si>
    <t>Dr.PERRIER Hervé - Tel: 04 91 80 65 00</t>
  </si>
  <si>
    <t>EUROPEAN HOSPITAL MARSEILLE</t>
  </si>
  <si>
    <t>Dr.RINALDI Yves - Tel: 04 91 83 38 38</t>
  </si>
  <si>
    <t>ANTONY</t>
  </si>
  <si>
    <t>PRIVATE HOSPITAL</t>
  </si>
  <si>
    <t>Dr.THIROT-BIDAULT Anne</t>
  </si>
  <si>
    <t>BOBIGNY</t>
  </si>
  <si>
    <t>AVICENNE</t>
  </si>
  <si>
    <t>Dr.MARY Florence - Tel: 01 48 95 54 31</t>
  </si>
  <si>
    <t>CORBEIL-ESSONNES</t>
  </si>
  <si>
    <t>SOUTH OF THE ILE-DE-FRANCE REGION</t>
  </si>
  <si>
    <t>Dr.LOUAFI Samy - Tel: 01 61 69 31 60</t>
  </si>
  <si>
    <t>LONGJUMEAU</t>
  </si>
  <si>
    <t>GH Nord Essone</t>
  </si>
  <si>
    <t>MEAUX</t>
  </si>
  <si>
    <t>GH de l'Est Francilien Site de Meaux</t>
  </si>
  <si>
    <t>Dr.LOCHER Christophe - Tel: 01 64 35 38 54</t>
  </si>
  <si>
    <t>Pr.CORIAT Romain - Tel: 01 58 41 19 52</t>
  </si>
  <si>
    <t>Deaconesses Croix Saint Simon Hospital Group</t>
  </si>
  <si>
    <t>Dr.DUBREUIL Olivier</t>
  </si>
  <si>
    <t>THE SALTPETRIÈRE PITY</t>
  </si>
  <si>
    <t>Pr.BACHET Jean-Baptiste - Tel: 01 42 16 10 19</t>
  </si>
  <si>
    <t>G POMPIDOU EUROPEAN HOSPITAL</t>
  </si>
  <si>
    <t>Pr.TAIEB Julien - Tel: 01 56 09 35 55</t>
  </si>
  <si>
    <t>PRODIGY 61 - FUNGEMAX</t>
  </si>
  <si>
    <t>PRODIGE 93 - PANACHE 02</t>
  </si>
  <si>
    <t>Adjuvant Tumor-Stage Chemotherapy for Pancreatic Adenocarcinoma Operated After Neoadjuvant Chemotherapy with FOLFIRINOX - Phase II/III Multicenter Randomized Comparative Trial, FRENCH-PRODIGE</t>
  </si>
  <si>
    <t>Dr.GAGNIERE Johan</t>
  </si>
  <si>
    <t>LÉON BERARD</t>
  </si>
  <si>
    <t>Dr.DUPRE Aurélien</t>
  </si>
  <si>
    <t>Dr.ARTRU Pascal</t>
  </si>
  <si>
    <t>VILLEURBANNE</t>
  </si>
  <si>
    <t>Médipôle Hôpital Mutualiste Lyon Villeurbanne</t>
  </si>
  <si>
    <t>Dr.GUILLAUMOT Marie-Anne</t>
  </si>
  <si>
    <t>Pr.GHIRINGHELLI François - Tel: 03 80 73 75 00</t>
  </si>
  <si>
    <t>Dr.LEQUEU Jean-Baptiste - Tel: 03 80 29 37 50</t>
  </si>
  <si>
    <t>PLERIN</t>
  </si>
  <si>
    <t>CARIO HPCA CENTER</t>
  </si>
  <si>
    <t>Dr.MARTIN-BABAU Jérôme - Tel: 02 96 75 22 16</t>
  </si>
  <si>
    <t>SAINT MALO</t>
  </si>
  <si>
    <t>Dr.BODERE Anaïs - Tel: 02 99 21 21 21</t>
  </si>
  <si>
    <t>Dr.LUBRANO Jean</t>
  </si>
  <si>
    <t>PAU</t>
  </si>
  <si>
    <t>Dr.THAURY Juliette - Tel: 05 59 92 49 11</t>
  </si>
  <si>
    <t>SAINT ELOI</t>
  </si>
  <si>
    <t>Pr.ASSENAT Eric</t>
  </si>
  <si>
    <t>Dr.MSIKA Olivier - Tel: 04 91 80 65 00</t>
  </si>
  <si>
    <t>Dr.BARRIERE Nicolas - Tel: 04 91 83 38 38</t>
  </si>
  <si>
    <t>NORTH HOSPITAL</t>
  </si>
  <si>
    <t>Dr.BIRNBAUM David - Tel: 04 91 96 87 37</t>
  </si>
  <si>
    <t>Dr.VEDIE Anne Laure - Tel: 01 47 11 15 15</t>
  </si>
  <si>
    <t>CRETEIL</t>
  </si>
  <si>
    <t>HENRI MONDOR</t>
  </si>
  <si>
    <t>Pr.LAURENT Alexis - Tel: 01 49 81 25 67</t>
  </si>
  <si>
    <t>THE BICÊTRE KREMLIN</t>
  </si>
  <si>
    <t>BICÊTRE</t>
  </si>
  <si>
    <t>Pr.BENOIST Stéphane - Tel: 01 45 21 37 24</t>
  </si>
  <si>
    <t>LEVALLOIS PERRET</t>
  </si>
  <si>
    <t>FRANCO-BRITISH</t>
  </si>
  <si>
    <t>Dr.CHIBAUDEL Benoist</t>
  </si>
  <si>
    <t>SAINT LOUIS</t>
  </si>
  <si>
    <t>Pr.GOERE Diane</t>
  </si>
  <si>
    <t>SAINT MANDE</t>
  </si>
  <si>
    <t>BEGIN</t>
  </si>
  <si>
    <t>Dr.LAVOLE Julie - Tel: 01 43 98 54 50</t>
  </si>
  <si>
    <t>PAUL BROUSSE</t>
  </si>
  <si>
    <t>Dr.SA CUNHA Antonio</t>
  </si>
  <si>
    <t>Dr.GELLI Maximiliano - Tel: 01 42 11 43 08</t>
  </si>
  <si>
    <t>Type</t>
  </si>
  <si>
    <t>Center</t>
  </si>
  <si>
    <t>Investigator</t>
  </si>
  <si>
    <t>Coordinator</t>
  </si>
  <si>
    <t>Role</t>
  </si>
  <si>
    <t>Dr.BIGNON Anne</t>
  </si>
  <si>
    <t xml:space="preserve">Dr.BOILEVE Alice </t>
  </si>
  <si>
    <t xml:space="preserve">Dr.CHANEZ Brice </t>
  </si>
  <si>
    <t xml:space="preserve">Dr.DE MESTIER Louis </t>
  </si>
  <si>
    <t>Dr.FRIN Anne</t>
  </si>
  <si>
    <t xml:space="preserve">Dr.HAUTEFEUILLE Vincent </t>
  </si>
  <si>
    <t>Dr.JOUVE Jean</t>
  </si>
  <si>
    <t xml:space="preserve">Dr.MULLER Marie </t>
  </si>
  <si>
    <t xml:space="preserve">Dr.PELLAT Anna </t>
  </si>
  <si>
    <t xml:space="preserve">Dr.PEYRAMAURE Clémentine </t>
  </si>
  <si>
    <t xml:space="preserve">Dr.PORTALES Fabienne </t>
  </si>
  <si>
    <t>Dr.PRIEUX</t>
  </si>
  <si>
    <t xml:space="preserve">Dr.TURPIN Anthony </t>
  </si>
  <si>
    <t xml:space="preserve">Pr.BOUCHÉ Olivier </t>
  </si>
  <si>
    <t xml:space="preserve">Pr.DAHAN Laétitia </t>
  </si>
  <si>
    <t xml:space="preserve">Pr.SCHWARZ Lilian </t>
  </si>
  <si>
    <t xml:space="preserve">Dr.PILLON Didier </t>
  </si>
  <si>
    <t>Dr.DARUT</t>
  </si>
  <si>
    <t xml:space="preserve">Dr.BENGRINE LEFEVRE Leila </t>
  </si>
  <si>
    <t xml:space="preserve">Dr.DROUILLARD Antoine </t>
  </si>
  <si>
    <t xml:space="preserve">Dr.HADJARAB Yacine </t>
  </si>
  <si>
    <t xml:space="preserve">Dr.CONROY Guillaume </t>
  </si>
  <si>
    <t xml:space="preserve">Dr.BOLLIET Marion </t>
  </si>
  <si>
    <t xml:space="preserve">Dr.BREYSACHER Gilles </t>
  </si>
  <si>
    <t xml:space="preserve">Dr.LOPEZ Anthony </t>
  </si>
  <si>
    <t xml:space="preserve">Dr.BOURGEOIS Vincent </t>
  </si>
  <si>
    <t xml:space="preserve">Dr.SOYER Philippe </t>
  </si>
  <si>
    <t xml:space="preserve">Pr.DI FIORE Frédéric </t>
  </si>
  <si>
    <t xml:space="preserve">Dr.THUILLIER Frédéric </t>
  </si>
  <si>
    <t xml:space="preserve">Dr.ALEBA Albert </t>
  </si>
  <si>
    <t>Dr.LAM You</t>
  </si>
  <si>
    <t xml:space="preserve">Dr.PERRIER Hervé </t>
  </si>
  <si>
    <t xml:space="preserve">Dr.RINALDI Yves </t>
  </si>
  <si>
    <t>Dr.THIROT</t>
  </si>
  <si>
    <t xml:space="preserve">Dr.MARY Florence </t>
  </si>
  <si>
    <t xml:space="preserve">Dr.LOUAFI Samy </t>
  </si>
  <si>
    <t xml:space="preserve">Dr.LOCHER Christophe </t>
  </si>
  <si>
    <t xml:space="preserve">Pr.CORIAT Romain </t>
  </si>
  <si>
    <t>Pr.BACHET Jean</t>
  </si>
  <si>
    <t xml:space="preserve">Pr.TAIEB Julien </t>
  </si>
  <si>
    <t>Dr.GUILLAUMOT Marie</t>
  </si>
  <si>
    <t xml:space="preserve">Pr.GHIRINGHELLI François </t>
  </si>
  <si>
    <t>Dr.LEQUEU Jean</t>
  </si>
  <si>
    <t>Dr.MARTIN</t>
  </si>
  <si>
    <t xml:space="preserve">Dr.BODERE Anaïs </t>
  </si>
  <si>
    <t xml:space="preserve">Dr.THAURY Juliette </t>
  </si>
  <si>
    <t xml:space="preserve">Dr.MSIKA Olivier </t>
  </si>
  <si>
    <t xml:space="preserve">Dr.BARRIERE Nicolas </t>
  </si>
  <si>
    <t xml:space="preserve">Dr.BIRNBAUM David </t>
  </si>
  <si>
    <t xml:space="preserve">Dr.VEDIE Anne Laure </t>
  </si>
  <si>
    <t xml:space="preserve">Pr.LAURENT Alexis </t>
  </si>
  <si>
    <t xml:space="preserve">Pr.BENOIST Stéphane </t>
  </si>
  <si>
    <t xml:space="preserve">Dr.LAVOLE Julie </t>
  </si>
  <si>
    <t xml:space="preserve">Dr.GELLI Maximiliano </t>
  </si>
  <si>
    <t>Franck Audemar</t>
  </si>
  <si>
    <t>Angélique Vienot</t>
  </si>
  <si>
    <t>Marion Chauvenet</t>
  </si>
  <si>
    <t>Pierre Guillaume Poureau</t>
  </si>
  <si>
    <t>Anne Bignon</t>
  </si>
  <si>
    <t>Jean Jouve</t>
  </si>
  <si>
    <t>Gaël Roth</t>
  </si>
  <si>
    <t>Clémentine Peyramaure</t>
  </si>
  <si>
    <t>Laétitia Dahan</t>
  </si>
  <si>
    <t>Anne Frin</t>
  </si>
  <si>
    <t>Anna Pellat</t>
  </si>
  <si>
    <t>Leo Mas</t>
  </si>
  <si>
    <t>David Tougeron</t>
  </si>
  <si>
    <t>Olivier Bouché</t>
  </si>
  <si>
    <t>Lilian Schwarz</t>
  </si>
  <si>
    <t>Nicolas Williet</t>
  </si>
  <si>
    <t>Prieux</t>
  </si>
  <si>
    <t>Petru Bucur</t>
  </si>
  <si>
    <t>Marie Muller</t>
  </si>
  <si>
    <t>Didier Pillon</t>
  </si>
  <si>
    <t>Denis Pezet</t>
  </si>
  <si>
    <t>Caroline Petorin</t>
  </si>
  <si>
    <t>Kheir Eddine Benmammar</t>
  </si>
  <si>
    <t>Adrien Melis</t>
  </si>
  <si>
    <t>Darut</t>
  </si>
  <si>
    <t>Leila Bengrine Lefevre</t>
  </si>
  <si>
    <t>Antoine Drouillard</t>
  </si>
  <si>
    <t>Yacine Hadjarab</t>
  </si>
  <si>
    <t>Karine Bideau</t>
  </si>
  <si>
    <t>Guillaume Conroy</t>
  </si>
  <si>
    <t>Marion Bolliet</t>
  </si>
  <si>
    <t>Gilles Breysacher</t>
  </si>
  <si>
    <t>Anthony Lopez</t>
  </si>
  <si>
    <t>Bruno Huguenin</t>
  </si>
  <si>
    <t>Vincent Bourgeois</t>
  </si>
  <si>
    <t>Fabienne Watelle</t>
  </si>
  <si>
    <t>Philippe Soyer</t>
  </si>
  <si>
    <t>Frédéric di Fiore</t>
  </si>
  <si>
    <t>Simon Pernot</t>
  </si>
  <si>
    <t>Frédéric Thuillier</t>
  </si>
  <si>
    <t>Albert Aleba</t>
  </si>
  <si>
    <t>Julien Vergniol</t>
  </si>
  <si>
    <t>Laurent Alcaraz</t>
  </si>
  <si>
    <t>Laurent Mosser</t>
  </si>
  <si>
    <t>Carole Vitellius</t>
  </si>
  <si>
    <t>You Lam</t>
  </si>
  <si>
    <t>Hervé Perrier</t>
  </si>
  <si>
    <t>Yves Rinaldi</t>
  </si>
  <si>
    <t>Thirot</t>
  </si>
  <si>
    <t>Florence Mary</t>
  </si>
  <si>
    <t>Samy Louafi</t>
  </si>
  <si>
    <t>Christophe Locher</t>
  </si>
  <si>
    <t>Romain Coriat</t>
  </si>
  <si>
    <t>Olivier Dubreuil</t>
  </si>
  <si>
    <t>Jean Bachet</t>
  </si>
  <si>
    <t>Julien Taieb</t>
  </si>
  <si>
    <t>Johan Gagniere</t>
  </si>
  <si>
    <t>Aurélien Dupre</t>
  </si>
  <si>
    <t>Marie Guillaumot</t>
  </si>
  <si>
    <t>François Ghiringhelli</t>
  </si>
  <si>
    <t>Jean Lequeu</t>
  </si>
  <si>
    <t>Martin</t>
  </si>
  <si>
    <t>Anaïs Bodere</t>
  </si>
  <si>
    <t>Jean Lubrano</t>
  </si>
  <si>
    <t>Juliette Thaury</t>
  </si>
  <si>
    <t>Olivier Msika</t>
  </si>
  <si>
    <t>Nicolas Barriere</t>
  </si>
  <si>
    <t>David Birnbaum</t>
  </si>
  <si>
    <t>Anne Laure Vedie</t>
  </si>
  <si>
    <t>Alexis Laurent</t>
  </si>
  <si>
    <t>Stéphane Benoist</t>
  </si>
  <si>
    <t>Benoist Chibaudel</t>
  </si>
  <si>
    <t>Diane Goere</t>
  </si>
  <si>
    <t>Julie Lavole</t>
  </si>
  <si>
    <t>Antonio Sa Cunha</t>
  </si>
  <si>
    <t>Maximiliano Gelli</t>
  </si>
  <si>
    <t>Names Match</t>
  </si>
  <si>
    <t>Clinical Trials</t>
  </si>
  <si>
    <t>Clinical Trials_Link</t>
  </si>
  <si>
    <t>https://www.ffcd.fr/index.php/recherche/essais-therapeutiques</t>
  </si>
  <si>
    <t>Order of placement</t>
  </si>
  <si>
    <t>Unreseclatble</t>
  </si>
  <si>
    <t>Pancreatic adenocarcinoma</t>
  </si>
  <si>
    <t>Pancreatic ductal adenocarcinoma</t>
  </si>
  <si>
    <t>KRAS mutation</t>
  </si>
  <si>
    <t>Keywords for Clinical Trials</t>
  </si>
  <si>
    <t>Metastatic</t>
  </si>
  <si>
    <t>A Phase 1b Study to Evaluate the Safety, Tolerability and Preliminary Efficacy of a Heterologous Prime Boost Vaccination (ATP150/ATP152/ATP162, VSV-GP154 and Ezabenlimab (BI 754091) in Patients with Pancreatic Ductal Adenocarcinoma</t>
  </si>
  <si>
    <t>Antoine Hollebecque</t>
  </si>
  <si>
    <t>Clinical Trials_link</t>
  </si>
  <si>
    <t>Clinical Trials_name</t>
  </si>
  <si>
    <t>https://www.sante.fr/essais-cliniques/2022-501854-12-01/a-phase-1b-study-to-evaluate-the-safety-tolerability-and-preliminary-efficacy-of-a-heterologous-prime-boost-vaccination-atp150-atp152-atp162-vsv-gp154-and-ezabenlimab-bi-754091-in-patients-with-pancreatic-ductal-adenocarcinoma</t>
  </si>
  <si>
    <t>C3651021: PHASE 2b/3, RANDOMIZED, DOUBLE-BLIND, STUDY TO EVALUATE THE EFFICACY, SAFETY, AND TOLERABILITY OF PONSEGROMAB (PF-06946860) COMPARED TO PLACEBO, BOTH COMBINED WITH FIRST-LINE CHEMOTHERAPY IN ADULT PARTICIPANTS WITH CACHEXIA AND METASTATIC DUCTAL PANCREATIC ADENOCARCINOMA</t>
  </si>
  <si>
    <t>https://www.sante.fr/essais-cliniques/2025-522093-36-00/c3651021-etude-de-phase-2b-3-randomisee-en-double-aveugle-visant-a-evaluer-l-efficacite-la-securite-et-la-tolerabilite-du-ponsegromab-pf-06946860-par-rapport-a-un-placebo-les-deux-associes-a-une-chimiotherapie-de-premiere-ligne-chez-des-participants-adultes-atteints-de-cachexie-et-d-adenocarcinome-ductal-pancreatique-metastatique</t>
  </si>
  <si>
    <t>Christophe Tournigand</t>
  </si>
  <si>
    <t>Hospital Henri Mondor</t>
  </si>
  <si>
    <t>A Phase II, Multicenter, Open-Label, Three-Arm Randomized Study to Evaluate the Efficacy and Safety of TTX-030 in Combination with Chemotherapy, With or Without Budigalimab, Compared to Chemotherapy Alone, in the Treatment of Treatment-Naïve Patients for Metastatic Pancreatic Adenocarcinoma</t>
  </si>
  <si>
    <t>Besançon University Hospital Center</t>
  </si>
  <si>
    <t>University Hospital of Poitiers</t>
  </si>
  <si>
    <t>Centr Georges François Leclerc</t>
  </si>
  <si>
    <t>https://www.sante.fr/essais-cliniques/2023-508356-19-00/etude-de-phase-ii-multicentrique-ouverte-randomisee-a-trois-bras-visant-a-evaluer-l-efficacite-et-la-securite-d-emploi-du-ttx-030-associe-a-une-chimiotherapie-avec-ou-sans-budigalimab-par-rapport-a-la-chimiotherapie-seule-dans-le-traitement-de-patients-n-ayant-jamais-recu-de-traitement-contre-un-adenocarcinome-pancreatique-metastatique</t>
  </si>
  <si>
    <t>RASolute 302: Phase III, open-label, randomized, multicenter study comparing RMC-6236 to investigator-selected standard of care in patients with treatment-experienced metastatic pancreatic ductal adenocarcinoma (PDAC)</t>
  </si>
  <si>
    <t>https://www.sante.fr/essais-cliniques/2024-516063-89-00/rasolute-302-etude-multicentrique-de-phase-iii-ouverte-et-randomisee-comparant-le-rmc-6236-au-traitement-de-reference-choisi-par-l-investigateur-chez-des-patients-atteints-d-un-adenocarcinome-canalaire-pancreatique-pdac-metastatique-ayant-deja-recu-un-traitement</t>
  </si>
  <si>
    <t>Michel Ducreux</t>
  </si>
  <si>
    <t>Emmanuel Mitry</t>
  </si>
  <si>
    <t>Phase II trial evaluating the efficacy and safety of FOLFIRINOX3 therapy in patients with inoperable locally advanced or metastatic pancreatic cancer in first-line chemotherapy.</t>
  </si>
  <si>
    <t>https://www.sante.fr/essais-cliniques/2023-505889-29-01/essai-de-phase-ii-evaluant-l-efficacite-et-la-securite-du-traitement-par-folfirinox3-chez-des-patients-atteints-d-un-cancer-du-pancreas-localement-avance-ou-metastatique-inoperable-en-premiere-ligne-de-chimiotherapie</t>
  </si>
  <si>
    <t>Damien Botsen</t>
  </si>
  <si>
    <t>Institut Godinot</t>
  </si>
  <si>
    <t>Phase II study evaluating the benefits of sequential treatment with GEMBRAX followed by FOLFIRINOX, followed by MRI-guided stereotactic radiotherapy in patients with locally advanced pancreatic cancer.</t>
  </si>
  <si>
    <t>https://www.sante.fr/essais-cliniques/2024-515344-23-00/etude-de-phase-ii-evaluant-les-avantages-d-un-traitement-sequentiel-par-gembrax-puis-folfirinox-suivi-d-une-radiotherapie-stereotaxique-guidee-par-irm-chez-des-patients-atteints-d-un-cancer-du-pancreas-localement-avance</t>
  </si>
  <si>
    <t>Jean-Baptiste Bachet</t>
  </si>
  <si>
    <t>C5721001 - Phase II Open-label Study of Tisotumab Vedotin in the Treatment of Locally Advanced or Metastatic Solid Tumors</t>
  </si>
  <si>
    <t>https://www.sante.fr/essais-cliniques/2023-503812-34-00/c5721001-etude-ouverte-de-phase-ii-sur-le-tisotumab-vedotin-dans-le-traitement-des-tumeurs-solides-localement-avancees-ou-metastatiques</t>
  </si>
  <si>
    <t>Esma Saada-Bouzid</t>
  </si>
  <si>
    <t>Christophe Borg</t>
  </si>
  <si>
    <t>Caroline Even</t>
  </si>
  <si>
    <t>Phase 1b Study Evaluating the Safety, Tolerability, Pharmacokinetics and Efficacy of AMG 193 in Combination With Other Therapies in Subjects With Advanced Cancers of the Gastrointestinal, Bile Duct or Pancreatic Tract with Homozygous Deletion of the MTAP Gene – Primary Protocol</t>
  </si>
  <si>
    <t>https://www.sante.fr/essais-cliniques/2024-511195-33-00/etude-de-phase-1b-evaluant-la-securite-la-tolerance-la-pharmacocinetique-et-l-efficacite-de-l-amg-193-en-association-avec-d-autres-traitements-chez-des-sujets-atteints-d-un-cancer-avance-de-l-appareil-digestif-des-voies-biliaires-ou-du-pancreas-avec-deletion-homozygote-du-gene-mtap-protocole-principal</t>
  </si>
  <si>
    <t>Lola-Jade Palmieri</t>
  </si>
  <si>
    <t>A multicenter, open-label, non-randomized, Phase 1/2 study to evaluate the safety, tolerability, and imaging characteristics of [68Ga]Ga-DPI-4452 and to evaluate the safety, tolerability, and efficacy of [177Lu]Lu-DPI-4452 in patients with locally advanced or unresectable metastatic solid tumors.</t>
  </si>
  <si>
    <t>https://www.sante.fr/essais-cliniques/2023-504254-35-00/etude-multicentrique-ouverte-non-randomisee-de-phase-1-2-visant-a-evaluer-la-securite-la-tolerance-et-les-caracteristiques-d-imagerie-du-68ga-ga-dpi-4452-et-a-evaluer-la-securite-la-tolerance-et-l-efficacite-du-177lu-lu-dpi-4452-chez-des-patients-atteints-de-tumeurs-solides-localement-avancees-ou-metastatiques-non-resecables</t>
  </si>
  <si>
    <t>Francoise Bodere</t>
  </si>
  <si>
    <t>Inna Dygai Cochet</t>
  </si>
  <si>
    <t>Assistance Publique Hôpitaux de Marseille</t>
  </si>
  <si>
    <t>Nantes University Hospital</t>
  </si>
  <si>
    <t>A Phase I, Open-Label, Multicenter Study to Evaluate the Safety, Tolerability, Dosimetry, and Preliminary Activity of [177Lu]Lu-DFC413, and the Safety and Imaging Properties of [68Ga]Ga-NNS309 in Patients With Solid Tumors</t>
  </si>
  <si>
    <t>Hospices Civils De Lyon</t>
  </si>
  <si>
    <t>https://www.sante.fr/essais-cliniques/2023-510356-23-00/etude-de-phase-i-ouverte-et-multicentrique-visant-a-evaluer-la-securite-la-tolerance-la-dosimetrie-et-l-activite-preliminaire-du-177lu-lu-nns309-chez-des-patients-atteints-d-un-cancer-du-pancreas-du-poumon-du-sein-ou-colorectal</t>
  </si>
  <si>
    <t>Phase I, open-label, multicenter study to evaluate the safety, tolerability, dosimetry, and preliminary activity of [177Lu]Lu-NNS309 in patients with pancreatic, lung, breast, or colorectal cancer.</t>
  </si>
  <si>
    <t>Centre Hospitalier Universitaire De Lille</t>
  </si>
  <si>
    <t>Hopital Paul Brousse</t>
  </si>
  <si>
    <t>Hospital Edouard Herriot</t>
  </si>
  <si>
    <t>RASolute 304: A Phase 3 Multicenter, Open-label, Randomized, 2‑Arm Study of Adjuvant Daraxonrasib Versus Standard of Care Observation Following Completion of Neoadjuvant and/or Adjuvant Chemotherapy in Patients with Resected Pancreatic Ductal Adenocarcinoma (PDAC)</t>
  </si>
  <si>
    <t>https://www.sante.fr/essais-cliniques/2025-523495-23-00/rasolute-304-a-phase-3-multicenter-open-label-randomized-2-arm-study-of-adjuvant-daraxonrasib-versus-standard-of-care-observation-following-completion-of-neoadjuvant-and-or-adjuvant-chemotherapy-in-patients-with-resected-pancreatic-ductal-adenocarcinoma-pdac</t>
  </si>
  <si>
    <t>KRAS/RAS mutation</t>
  </si>
  <si>
    <t>Parent HCO</t>
  </si>
  <si>
    <t>HCO (extracted)</t>
  </si>
  <si>
    <t>Department (extracted)</t>
  </si>
  <si>
    <t>Laboratory (extracted)</t>
  </si>
  <si>
    <t xml:space="preserve">APHP </t>
  </si>
  <si>
    <t>HUPSSD Avicenne - Territoire Nord</t>
  </si>
  <si>
    <t>Nord Université de Paris HUPNVS (Bichat Beaujon Louis Mourier)</t>
  </si>
  <si>
    <t>Nord Université de Paris HUSLS LRB Saint Louis</t>
  </si>
  <si>
    <t>Sud Université Paris Saclay HUPIFO Ambroise Paré</t>
  </si>
  <si>
    <t>Université Henri Mondor Université Paris HUHMN</t>
  </si>
  <si>
    <t>Sorbonne Université Pitié Salpêtrière</t>
  </si>
  <si>
    <t>Sorbonne Université Saint-Antoine</t>
  </si>
  <si>
    <t>Sorbonne Université Tenon</t>
  </si>
  <si>
    <t>Centre Université de Paris HEGP</t>
  </si>
  <si>
    <t>Centre Université de Paris Cochin</t>
  </si>
  <si>
    <t>Institut Curie - Site de Paris</t>
  </si>
  <si>
    <t>Hôpital Charles Nicolle</t>
  </si>
  <si>
    <t>CHU de Rouen</t>
  </si>
  <si>
    <t>Institut de Biologie et de Pathologie</t>
  </si>
  <si>
    <t xml:space="preserve">Hôpital Nord </t>
  </si>
  <si>
    <t>Hôpital du Bocage</t>
  </si>
  <si>
    <t>Hôpital Pontchaillou</t>
  </si>
  <si>
    <t>Hôpital Trousseau</t>
  </si>
  <si>
    <t>Hôpital La Source</t>
  </si>
  <si>
    <t>CHRU de Nancy</t>
  </si>
  <si>
    <t>CHU Pôle de Biologie Médicale et Pathologie</t>
  </si>
  <si>
    <t>Hôpital Clémenceau</t>
  </si>
  <si>
    <t>Hôpital Universitaire Dupuytren CRBS</t>
  </si>
  <si>
    <t>Hôtel Dieu</t>
  </si>
  <si>
    <t>Faculté de Médecine Nord</t>
  </si>
  <si>
    <t>Faculté de Nice</t>
  </si>
  <si>
    <t>ARCAD Foundation</t>
  </si>
  <si>
    <t>https://www.fondationarcad.org/en/pancreas/</t>
  </si>
  <si>
    <t>EQA  KRAS Testing participation</t>
  </si>
  <si>
    <t>Centre René Huguenin, St Cloud</t>
  </si>
  <si>
    <t>CRHU de Brest, Hôpital Morvan</t>
  </si>
  <si>
    <t>Hôpital Henri Mondor, Creteil</t>
  </si>
  <si>
    <t>Rouen University Hospital</t>
  </si>
  <si>
    <t>CHU Ambroise Paré, Université Versailles St-Quentin-en-Yvelines, Boulogne-Billancourt</t>
  </si>
  <si>
    <t>Hôpital Pasteur, CHU de Nice</t>
  </si>
  <si>
    <t>CHU Purpan</t>
  </si>
  <si>
    <t>CHU Grenoble</t>
  </si>
  <si>
    <t>Centre Jean Perrin, Clermont-Ferrand</t>
  </si>
  <si>
    <t>François Baclesse Cancer Center</t>
  </si>
  <si>
    <t>Institut Bergonié, Bordeaux</t>
  </si>
  <si>
    <t>Faculté de Médecine secteur Nord, Hôpitaux de Marseille</t>
  </si>
  <si>
    <t>Centre Hospitalier Régional Universitaire de Lille</t>
  </si>
  <si>
    <t>HEGP hospital UF pharmacogenetic and molecular oncology, Paris</t>
  </si>
  <si>
    <t>Assistance Publique, Hôpitaux de Paris</t>
  </si>
  <si>
    <t>CHU Reims, Hôpital Maison Blanche</t>
  </si>
  <si>
    <t>Institut Jean-GODINOT</t>
  </si>
  <si>
    <t xml:space="preserve">PANORAMIX GERCOR G-116 PRODIGE 105 - Optimization of first-line treatment of pancreatic cancer with NALIRIFOX with maintenance by 5-FU and role of antibiotics and exploration of the microbiota in second-line treatment – ​​Phase II non-comparative and randomized study </t>
  </si>
  <si>
    <t>https://www.gercor.com/premices-g-109-prodige-84-2/</t>
  </si>
  <si>
    <t>Matthieu Delaye</t>
  </si>
  <si>
    <t>Pitié-Salpêtrière University Hospital</t>
  </si>
  <si>
    <t>Grenoble Alpes University Hospital</t>
  </si>
  <si>
    <t>Paoli-Calmettes Institute</t>
  </si>
  <si>
    <t>Trimodal perioperative prehabilitation for patients with esophagogastric or pancreatic cancer: A multicenter, two-cohort, open-label, single-arm study</t>
  </si>
  <si>
    <t>https://www.gercor.com/wp-content/uploads/2026/01/POP-UP-G-128.pdf</t>
  </si>
  <si>
    <t>CANOPE: Pancreatic Adenocarcinoma Cohort - Prognostic and predictive markers of treatment response in patients with pancreatic adenocarcinoma</t>
  </si>
  <si>
    <t>https://www.gercor.com/canope-gb-121/</t>
  </si>
  <si>
    <t>Centre Eugène Marquis</t>
  </si>
  <si>
    <t>Centre Georges-François Leclerc</t>
  </si>
  <si>
    <t>Centre Henri Becquerel</t>
  </si>
  <si>
    <t>Centre Oscar Lambret</t>
  </si>
  <si>
    <t>Institut du Cancer de Montpellier</t>
  </si>
  <si>
    <t>IUCT Oncopole – Institut Claudius Regaud</t>
  </si>
  <si>
    <t>Centre / Institute</t>
  </si>
  <si>
    <t>Note</t>
  </si>
  <si>
    <t>Provence-Alpes-Côte d’Azur</t>
  </si>
  <si>
    <t>Bretagne</t>
  </si>
  <si>
    <t>Normandie</t>
  </si>
  <si>
    <t>Bourgogne-Franche-Comté</t>
  </si>
  <si>
    <t>Ile-de-France</t>
  </si>
  <si>
    <t>ICANS / Institut de cancérologie Strasbourg Europe – Centre Paul Strauss</t>
  </si>
  <si>
    <t>Institut de Cancérologie de l’Ouest</t>
  </si>
  <si>
    <t>15 Rue André Boquel, 49055 Angers Cedex 02 / Boulevard Jacques Monod, 44805 Saint-Herblain Cedex</t>
  </si>
  <si>
    <t>Angers / Nantes</t>
  </si>
  <si>
    <t>Institut du Cancer de Polynésie française</t>
  </si>
  <si>
    <t>ICPF, BP 9040, 98716 Pirae, Tahiti, Polynésie française / Centre de la Mère et de l'Enfant, Entrée C, 1er étage</t>
  </si>
  <si>
    <t>DOM-TOM</t>
  </si>
  <si>
    <t>Affiliated centre</t>
  </si>
  <si>
    <t>Institut Paoli-Calmettes</t>
  </si>
  <si>
    <t>Sainte-Catherine – Institut du Cancer Avignon-Provence</t>
  </si>
  <si>
    <t>Association Toulousaine d’Oncologie Publique (ATOP)</t>
  </si>
  <si>
    <t>Institut du Cancer de Montpellier (ICM)</t>
  </si>
  <si>
    <t>Institut Universitaire du Cancer de Toulouse-Oncopole</t>
  </si>
  <si>
    <t>Assistance Publique – Hôpitaux de Paris</t>
  </si>
  <si>
    <t>Institut Universitaire de Cancérologie APHP. Sorbonne Université</t>
  </si>
  <si>
    <t>(IUC APHP.SU)</t>
  </si>
  <si>
    <t>Cancer Institute AP-HP. Nord - Université Paris Cité</t>
  </si>
  <si>
    <t>Institut du cancer Paris CARPEM</t>
  </si>
  <si>
    <t>AP-HP.Centre-Université Paris Cité</t>
  </si>
  <si>
    <t>lnstitut de Cancérologie de l'Ouest (ICO)</t>
  </si>
  <si>
    <t>Centre de lutte contre le cancer Eugène Marquis</t>
  </si>
  <si>
    <t>Centre de Lutte Contre le Cancer</t>
  </si>
  <si>
    <t>Georges-François Leclerc</t>
  </si>
  <si>
    <t>Institut du Cancer – AP-HP. Université Paris-Saclay</t>
  </si>
  <si>
    <t>Institut Sainte Catherine</t>
  </si>
  <si>
    <t>OECI Member A&amp;D certified Comprehensive Cancer Network</t>
  </si>
  <si>
    <t>OECI Member A&amp;D certified Comprehensive Cancer Centre</t>
  </si>
  <si>
    <t>OECI Member in the A&amp;D process</t>
  </si>
  <si>
    <t>Unicancer</t>
  </si>
  <si>
    <t>AMERICAN MEMORIAL HOSPITAL CHU REIMS</t>
  </si>
  <si>
    <t>APHM HOSPITAL OF DESIGN</t>
  </si>
  <si>
    <t>APHM HOPITAL LA TIMONE</t>
  </si>
  <si>
    <t>APHM HOSPITAL NORTH</t>
  </si>
  <si>
    <t>C H U DUPUYTREN LIMOGES</t>
  </si>
  <si>
    <t>C.H. DES PAYS DE MORLAIX</t>
  </si>
  <si>
    <t>C.R.L.C.C. EUGÈNE MARQUIS</t>
  </si>
  <si>
    <t>LES PRAZ DE L'ARVE CANCER CENTRE</t>
  </si>
  <si>
    <t>CLINICAL SA CENTER</t>
  </si>
  <si>
    <t>HOSPITAL CENTER - AUNAY-BAYEUX</t>
  </si>
  <si>
    <t>ANGOULÊME HOSPITAL CENTER</t>
  </si>
  <si>
    <t>DAX HOSPITAL CENTER</t>
  </si>
  <si>
    <t>BLIGNY HOSPITAL CENTER</t>
  </si>
  <si>
    <t>HOSPITAL CENTER OF DIGNE LES BAINS</t>
  </si>
  <si>
    <t>HAGUENAU HOSPITAL CENTER</t>
  </si>
  <si>
    <t>BASSE-TERRE HOSPITAL</t>
  </si>
  <si>
    <t>NIORT HOSPITAL CENTER</t>
  </si>
  <si>
    <t>PAU HOSPITAL CENTER</t>
  </si>
  <si>
    <t>PÉRIGUEUX HOSPITAL</t>
  </si>
  <si>
    <t>SELESTAT HOSPITAL</t>
  </si>
  <si>
    <t>TOURCOING HOSPITAL</t>
  </si>
  <si>
    <t>TROYES HOSPITAL</t>
  </si>
  <si>
    <t>DUBOIS BRIVE HOSPITAL CENTER</t>
  </si>
  <si>
    <t>LANNION HOSPITAL CENTER</t>
  </si>
  <si>
    <t>LEON BOURGEOIS HOSPITAL CENTER</t>
  </si>
  <si>
    <t>ROCHEFORT HOSPITAL</t>
  </si>
  <si>
    <t>YVES LE FOLL HOSPITAL</t>
  </si>
  <si>
    <t>LEONARDO DA VINCI CENTRE</t>
  </si>
  <si>
    <t>J.PERRIN CANCER CENTER</t>
  </si>
  <si>
    <t>OPAL COAST MCO CENTER</t>
  </si>
  <si>
    <t>FLORÉAL MEDICAL SURGICAL CENTER</t>
  </si>
  <si>
    <t>TRUNQUIÈRES MEDICAL SURGICAL CENTER</t>
  </si>
  <si>
    <t>MEDICAL SOCIAL CENTRE</t>
  </si>
  <si>
    <t>CHAUMONT MEDICAL-SURGICAL CENTER</t>
  </si>
  <si>
    <t>MEDICAL AND SURGICAL CENTRE FOR JOCKEYS</t>
  </si>
  <si>
    <t>CH BOURGES - JACQUES COEUR</t>
  </si>
  <si>
    <t>CH "JACQUES MONOD" - FLERS</t>
  </si>
  <si>
    <t>CH ABBEVILLE</t>
  </si>
  <si>
    <t>CH AGEN NERAC - SAINT-ESPRIT HOSPITAL</t>
  </si>
  <si>
    <t>CEVENNES CHALES</t>
  </si>
  <si>
    <t>CH ALPES LEMAN</t>
  </si>
  <si>
    <t>CH ANNECY-GENEVOIS SITE ANNECY</t>
  </si>
  <si>
    <t>SOUTHERN ARDÈCHE - AUBENAS</t>
  </si>
  <si>
    <t>CH ARRAS</t>
  </si>
  <si>
    <t>CH ARRONDISSEMENT OF MONTREUIL</t>
  </si>
  <si>
    <t>CH AUCH IN GASCONY</t>
  </si>
  <si>
    <t>CH BEAUVAIS</t>
  </si>
  <si>
    <t>CH BLD FV SITE BLD</t>
  </si>
  <si>
    <t>CH BLOIS SIMONE VEIL</t>
  </si>
  <si>
    <t>CH BOULOGNE-SUR-MER</t>
  </si>
  <si>
    <t>CH CALAIS</t>
  </si>
  <si>
    <t>CH CHARLEVILLE - MANCHESTER HOSPITAL</t>
  </si>
  <si>
    <t>CH CHARTRES LOUIS PASTEUR-LE COUDRAY</t>
  </si>
  <si>
    <t>CH CHATEAUROUX</t>
  </si>
  <si>
    <t>CH CHAUNY</t>
  </si>
  <si>
    <t>CH COMMINGES PYRENEES SITE ST PLANCARD</t>
  </si>
  <si>
    <t>CH BASQUE COAST</t>
  </si>
  <si>
    <t>HOSPITAL OF ANTIBES JUAN LES PINS</t>
  </si>
  <si>
    <t>CH. D'AVIGNON HENRI DUFFAUT</t>
  </si>
  <si>
    <t>CANNES HOSPITAL SIMONE VEIL</t>
  </si>
  <si>
    <t>CH OF CHOLET</t>
  </si>
  <si>
    <t>CH DE COULOMMIERS</t>
  </si>
  <si>
    <t>CH DE FLEYRIAT</t>
  </si>
  <si>
    <t>MARTIGUES HOSPITAL OF RAYETTES</t>
  </si>
  <si>
    <t>CH DE MEAUX SITE SAINT FARON</t>
  </si>
  <si>
    <t>HOSPITAL OF MELUN SITE SANTEPOLE</t>
  </si>
  <si>
    <t>CH DE MONTLUÇON</t>
  </si>
  <si>
    <t>CH DE MOULINS</t>
  </si>
  <si>
    <t>PROVINS HOSPITAL LÉON BINET</t>
  </si>
  <si>
    <t>HOSPITAL OF RODEZ JACQUES PUEL HOSPITAL</t>
  </si>
  <si>
    <t>SAINTONGE HOSPITAL - SAINTES</t>
  </si>
  <si>
    <t>VALENCIA CH</t>
  </si>
  <si>
    <t>CH. DE VERSAILLES SITE ANDRE MIGNOT</t>
  </si>
  <si>
    <t>CH DENAIN</t>
  </si>
  <si>
    <t>CH DIEPPE</t>
  </si>
  <si>
    <t>CH DOUAI DECHY</t>
  </si>
  <si>
    <t>CH DREUX</t>
  </si>
  <si>
    <t>CH DU GIER - MCO</t>
  </si>
  <si>
    <t>CH DUNKIRK</t>
  </si>
  <si>
    <t>CH EVREUX CH EURE-SEINE</t>
  </si>
  <si>
    <t>CH FRANCOIS QUESNAY MANTES</t>
  </si>
  <si>
    <t>GENERAL HOSPITAL OF GONESSE</t>
  </si>
  <si>
    <t>CH GENERAL DELAFONTAINE</t>
  </si>
  <si>
    <t>CH GHPSO CREIL</t>
  </si>
  <si>
    <t>CH HAZEBROUCK</t>
  </si>
  <si>
    <t>CH HENRI MONDOR</t>
  </si>
  <si>
    <t>CH JACQUES LACARIN VICHY</t>
  </si>
  <si>
    <t>CH JEAN ROUGIER CAHORS</t>
  </si>
  <si>
    <t>CH JOSEPH IMBERT D'ARLES</t>
  </si>
  <si>
    <t>CH LA DRACENIE DE DRAGUIGNAN</t>
  </si>
  <si>
    <t>CH LAON</t>
  </si>
  <si>
    <t>CH LE MANS - CCS WEBSITE</t>
  </si>
  <si>
    <t>CH LENS</t>
  </si>
  <si>
    <t>CH LES FEUGRAIS CHI ELBEUF</t>
  </si>
  <si>
    <t>CH LONS</t>
  </si>
  <si>
    <t>CH LOUIS PASTEUR BAGNOLS SUR CEZE</t>
  </si>
  <si>
    <t>CH LUCIEN HUSSEL FROM VIENNA</t>
  </si>
  <si>
    <t>CH MARIE-MADELEINE DE FORBACH</t>
  </si>
  <si>
    <t>CH MEMORIAL - SAINT-LO</t>
  </si>
  <si>
    <t>CH NORD OUEST - VILLEFRANCHE</t>
  </si>
  <si>
    <t>CH NOVO SITE RENE DUBOS</t>
  </si>
  <si>
    <t>CH PIERRE OUDOT BOURGOIN JALLIEU</t>
  </si>
  <si>
    <t>CH PORTES PROVENCE MONTELIMAR</t>
  </si>
  <si>
    <t>PRIVATE HOSPITAL OF EUROPE</t>
  </si>
  <si>
    <t>CH SAINT-NICOLAS DE SARREBOURG</t>
  </si>
  <si>
    <t>CH SAINT-QUENTIN</t>
  </si>
  <si>
    <t>CH SAINTE-CATHERINE DE SAVERNE</t>
  </si>
  <si>
    <t>CH SOISSONS</t>
  </si>
  <si>
    <t>CH SUD SEINE ET MARNE FONTAINEBLEAU</t>
  </si>
  <si>
    <t>CH SUD SEINE ET MARNE SITE MONTEREAU</t>
  </si>
  <si>
    <t>CH TARBES LOURDES GESPE SITE TARBES</t>
  </si>
  <si>
    <t>CH TARBES LOURDES SITE LOURDES</t>
  </si>
  <si>
    <t>CH VERDUN/ST MIHIEL-HOP ST NICOLAS</t>
  </si>
  <si>
    <t>CH VICTOR DUPOUY</t>
  </si>
  <si>
    <t>CH VILLEFRANCHE SITE CHARTREUSE</t>
  </si>
  <si>
    <t>CHAG - SITE GRANVILLE</t>
  </si>
  <si>
    <t>CHBA SITE DE VANNES</t>
  </si>
  <si>
    <t>CHCB SITE KERIO</t>
  </si>
  <si>
    <t>CHD SITE LA ROCHE SUR YON</t>
  </si>
  <si>
    <t>CHI DE CRETEIL</t>
  </si>
  <si>
    <t>CHI DE FREJUS SAINT RAPHAEL</t>
  </si>
  <si>
    <t>CHI DES ALPES DU SUD SITE DE GAP</t>
  </si>
  <si>
    <t>CHI E.DURKHEIM - PLATEAU DE LA JUSTICE</t>
  </si>
  <si>
    <t>CHI HC SITE RIVES DU DOUBS PONTARLIER</t>
  </si>
  <si>
    <t>CHI HMV - SITE SAINT DIE DES VOSGES</t>
  </si>
  <si>
    <t>CHI LUCIE ET RAYMOND AUBRAC</t>
  </si>
  <si>
    <t>CHI MONT DE MARSAN ET PAYS DES SOURCES</t>
  </si>
  <si>
    <t>CHI POISSY ST GERMAIN SITE ST GERMAIN</t>
  </si>
  <si>
    <t>CHI ROBERT BALLANGER</t>
  </si>
  <si>
    <t>CHI SITE D'AIX EN PROVENCE</t>
  </si>
  <si>
    <t>CHIC CASTRES MAZAMET SITE AUTAN</t>
  </si>
  <si>
    <t>CHIC QUIMPER</t>
  </si>
  <si>
    <t>CHICAM - SITE ALENCON</t>
  </si>
  <si>
    <t>CHITS CH SAINTE MUSSE</t>
  </si>
  <si>
    <t>CHIVA SITE ST JEAN DE VERGES</t>
  </si>
  <si>
    <t>CHMS AIX GRAND PORT</t>
  </si>
  <si>
    <t>CHMS CHAMBERY NH</t>
  </si>
  <si>
    <t>CHP SAINT GREGOIRE</t>
  </si>
  <si>
    <t>CHP SAINTE MARIE OSNY</t>
  </si>
  <si>
    <t>CHPC - SITE CHERBOURG</t>
  </si>
  <si>
    <t>CHR ANGERS SITE LARREY</t>
  </si>
  <si>
    <t>CHRU BRETONNEAU - TOURS</t>
  </si>
  <si>
    <t>CHRU CLOCHEVILLE - TOURS</t>
  </si>
  <si>
    <t>CHRU NANCY - HOPITAL CENTRAL</t>
  </si>
  <si>
    <t>CHRU NANCY - HOPITAUX DE BRABOIS</t>
  </si>
  <si>
    <t>CHRU ORLEANS - HOPITAL DE LA SOURCE</t>
  </si>
  <si>
    <t>CHRU RENNES SITE HOPITAL SUD</t>
  </si>
  <si>
    <t>CHRU RENNES SITE PONTCHAILLOU</t>
  </si>
  <si>
    <t>CHRU TROUSSEAU - CHAMBRAY</t>
  </si>
  <si>
    <t>CHU COTE DE NACRE - CAEN</t>
  </si>
  <si>
    <t>CHU DE MARTINIQUE SITE DE CLARAC</t>
  </si>
  <si>
    <t>CHU DE NANTES SITE HOTEL DIEU HME</t>
  </si>
  <si>
    <t>CHU DE NANTES SITE LAENNEC</t>
  </si>
  <si>
    <t>CHU DE NICE HOPITAL DE L'ARCHET</t>
  </si>
  <si>
    <t>CHU DE POITIERS - SITE CHATELLERAULT</t>
  </si>
  <si>
    <t>CHU JEAN MINJOZ BESANCON</t>
  </si>
  <si>
    <t>CHU LA MILETRIE</t>
  </si>
  <si>
    <t>CHU NIMES CAREMEAU</t>
  </si>
  <si>
    <t>CHU SITE FELIX GUYON (SAINT DENIS)</t>
  </si>
  <si>
    <t>CHU SITE SUD (SAINT PIERRE)</t>
  </si>
  <si>
    <t>CL CAPIO LA CROIX DU SUD QUINT FONSEGR</t>
  </si>
  <si>
    <t>CL CLAUDE BERNARD ALBI</t>
  </si>
  <si>
    <t>CL CLEMENTVILLE MONTPELLIER</t>
  </si>
  <si>
    <t>CL D'OCCITANIE MURET</t>
  </si>
  <si>
    <t>CL DE L'UNION SAINT JEAN</t>
  </si>
  <si>
    <t>CL DES CEDRES CORNEBARRIEU</t>
  </si>
  <si>
    <t>CL DU PARC CASTELNAU LE LEZ</t>
  </si>
  <si>
    <t>CL PASTEUR TOULOUSE</t>
  </si>
  <si>
    <t>CL PONT DE CHAUME MONTAUBAN</t>
  </si>
  <si>
    <t>CL ST PIERRE PERPIGNAN</t>
  </si>
  <si>
    <t>CLCC HOPITAL GUSTAVE ROUSSY</t>
  </si>
  <si>
    <t>CLIN MUTUALISTE BRETAGNE OCCIDENTALE</t>
  </si>
  <si>
    <t>ANNE ARTOIS CLINIC</t>
  </si>
  <si>
    <t>BELHARRA CLINIC</t>
  </si>
  <si>
    <t>BIZET CLINIC</t>
  </si>
  <si>
    <t>CALABET CLINIC</t>
  </si>
  <si>
    <t>CLAUDE BERNARD CLINIC</t>
  </si>
  <si>
    <t>CONVERT CLINIC</t>
  </si>
  <si>
    <t>ARCACHON CLINIC</t>
  </si>
  <si>
    <t>CLINIC OF FLANDERS</t>
  </si>
  <si>
    <t>CLINIQUE DE L ESTREE</t>
  </si>
  <si>
    <t>EUROPE CLINIC</t>
  </si>
  <si>
    <t>ORANGERIE CLINIC</t>
  </si>
  <si>
    <t>EMERALD COAST CLINIC</t>
  </si>
  <si>
    <t>SAFEGUARDING CLINIC</t>
  </si>
  <si>
    <t>VICTORY CLINIC</t>
  </si>
  <si>
    <t>CLINIQUE DU VAL D'OUEST VENDOME</t>
  </si>
  <si>
    <t>CLINIQUE FRANCOIS CHENIEUX</t>
  </si>
  <si>
    <t>CLINIQUE GENERALE D'ANNECY</t>
  </si>
  <si>
    <t>CLINIQUE GENERALE VALENCE</t>
  </si>
  <si>
    <t>CLINIQUE LES ORMEAUX-VAUBAN LE HAVRE</t>
  </si>
  <si>
    <t>CLINIQUE MATHILDE ROUEN</t>
  </si>
  <si>
    <t>CLINIQUE MEDICO CHIRURGICALE ST FARON</t>
  </si>
  <si>
    <t>CLINIQUE MEDICO-CHIRURGICALE CHARCOT</t>
  </si>
  <si>
    <t>CLINIQUE MEGIVAL</t>
  </si>
  <si>
    <t>CLINIQUE PASTEUR LANROZE</t>
  </si>
  <si>
    <t>CLINIQUE SAINT JEAN DE DIEU</t>
  </si>
  <si>
    <t>CLINIQUE SAINT JEAN L ERMITAGE</t>
  </si>
  <si>
    <t>CLINIQUE SAINT JOSEPH</t>
  </si>
  <si>
    <t>SAINT-AUGUSTIN CLINIC</t>
  </si>
  <si>
    <t>SAINT-HILAIRE CLINIC ROUEN</t>
  </si>
  <si>
    <t>SAINTE-ANNE CLINIC</t>
  </si>
  <si>
    <t>CLINIQUE STE-CLOTILDE</t>
  </si>
  <si>
    <t>TEISSIER CLINIC</t>
  </si>
  <si>
    <t>TIVOLI-DUCOS CLINIC</t>
  </si>
  <si>
    <t>TRENEL CLINIC</t>
  </si>
  <si>
    <t>VICTOR HUGO CLINIC</t>
  </si>
  <si>
    <t>CMCO D EVRY</t>
  </si>
  <si>
    <t>CRLCC FRANCOIS BACLESSE - CAEN</t>
  </si>
  <si>
    <t>CRLCC HENRI BECQUEREL ROUEN</t>
  </si>
  <si>
    <t>CRLCC PAUL STRAUSS - ICANS</t>
  </si>
  <si>
    <t>CANCER CENTER OF THE PORTE ST CLOUD</t>
  </si>
  <si>
    <t>CTRE HOSPIT. R.BOULIN-LIBOURNE</t>
  </si>
  <si>
    <t>GCS HOPITAL PRIVE DE L'AUBE SITE CLQ</t>
  </si>
  <si>
    <t>GH HAUTE SAONE SITE VESOUL</t>
  </si>
  <si>
    <t>GH PARIS SITE SAINT JOSEPH</t>
  </si>
  <si>
    <t>GHEF MARNE LA VALLEE SITE JOSSIGNY</t>
  </si>
  <si>
    <t>GHEM SIMONE VEIL SITE EAUBONNE</t>
  </si>
  <si>
    <t>GHI LE RAINCY MONTFERMEIL</t>
  </si>
  <si>
    <t>GHRE - SITE BROUSSAIS</t>
  </si>
  <si>
    <t>GROUPE HOSPIT. MUTUALISTE DE GRENOBLE</t>
  </si>
  <si>
    <t>GROUPE HOSPITALIER PELLEGRIN - CHU</t>
  </si>
  <si>
    <t>HIA DESGENETTES</t>
  </si>
  <si>
    <t>HIA ROBERT PICQUE</t>
  </si>
  <si>
    <t>HNFC SITE TREVENANS</t>
  </si>
  <si>
    <t>HOP CLAUDE HURIEZ CHU LILLE</t>
  </si>
  <si>
    <t>HOP FORCILLES FONDATION COGNACQ JAY</t>
  </si>
  <si>
    <t>HOPITAL AMERICAIN 2</t>
  </si>
  <si>
    <t>HOPITAL ARNAUD DE VILLENEUVE CHU MPT</t>
  </si>
  <si>
    <t>HOPITAL BEL AIR DE THIONVILLE - CHR</t>
  </si>
  <si>
    <t>HOPITAL CHARLES NICOLLE CHU ROUEN</t>
  </si>
  <si>
    <t>HOPITAL CIVIL / NOUVEL HOPITAL CIVIL</t>
  </si>
  <si>
    <t>HOPITAL CROIX-ROUSSE - HCL</t>
  </si>
  <si>
    <t>HOPITAL DE BOIS-GUILLAUME CHU ROUEN</t>
  </si>
  <si>
    <t>HOPITAL DE HAUTEPIERRE</t>
  </si>
  <si>
    <t>HOPITAL DE LA CROIX SAINT SIMON</t>
  </si>
  <si>
    <t>HOPITAL DE RANGUEIL CHU TOULOUSE</t>
  </si>
  <si>
    <t>HOPITAL DE SAINT AVOLD - SOS SANTE</t>
  </si>
  <si>
    <t>HOPITAL DE VOIRON - CHU38</t>
  </si>
  <si>
    <t>HOPITAL EDOUARD HERRIOT - HCL</t>
  </si>
  <si>
    <t>HOPITAL EMILE MULLER</t>
  </si>
  <si>
    <t>HOPITAL ESTAING - CHU63</t>
  </si>
  <si>
    <t>HOPITAL EUROPEEN</t>
  </si>
  <si>
    <t>HOPITAL EUROPEEN LA ROSERAIE</t>
  </si>
  <si>
    <t>HOPITAL FEMME MERE ENFANT - HCL</t>
  </si>
  <si>
    <t>HOPITAL FOCH</t>
  </si>
  <si>
    <t>HOPITAL FRANCO BRITANNIQUE FCJ KLEBER</t>
  </si>
  <si>
    <t>HOPITAL GABRIEL MONTPIED - CHU63</t>
  </si>
  <si>
    <t>HOPITAL HAUT-LEVEQUE - CHU</t>
  </si>
  <si>
    <t>HOPITAL JACQUES MONOD CH LE HAVRE</t>
  </si>
  <si>
    <t>GREEN DOOR HOSPITAL</t>
  </si>
  <si>
    <t>LARREY HOSPITAL TOULOUSE UNIVERSITY HOSPITAL</t>
  </si>
  <si>
    <t>BOCAGE HOSPITAL CHRU DIJON</t>
  </si>
  <si>
    <t>LES PORTES DU SUD HOSPITAL</t>
  </si>
  <si>
    <t>LOUIS PASTEUR HOSPITAL</t>
  </si>
  <si>
    <t>LOUIS PRADEL HOSPITAL - HCL</t>
  </si>
  <si>
    <t>LOZERE HOSPITAL LOT VALLEY SITE</t>
  </si>
  <si>
    <t>LYON SOUTH HOSPITAL - HCL</t>
  </si>
  <si>
    <t>MAISON BLANCHE HOSPITAL REIMS UNIVERSITY HOSPITAL</t>
  </si>
  <si>
    <t>NORTH HOSPITAL - CHU38</t>
  </si>
  <si>
    <t>NORTH HOSPITAL - CHU42</t>
  </si>
  <si>
    <t>PARIS-SACLAY HOSPITAL</t>
  </si>
  <si>
    <t>PIERRE BEREGOVOY HOSPITAL</t>
  </si>
  <si>
    <t>HOPITAL PIERRE WERTHEIMER - HCL</t>
  </si>
  <si>
    <t>HOPITAL PRIVE ARMAND BRILLARD</t>
  </si>
  <si>
    <t>HOPITAL PRIVE ARRAS LES BONNETTES</t>
  </si>
  <si>
    <t>HOPITAL PRIVE CLAIRVAL</t>
  </si>
  <si>
    <t>HOPITAL PRIVE CLAUDE GALIEN</t>
  </si>
  <si>
    <t>HOPITAL PRIVE D ANTONY</t>
  </si>
  <si>
    <t>HOPITAL PRIVE D'EURE ET LOIR</t>
  </si>
  <si>
    <t>HOPITAL PRIVE DE L OUEST PARISIEN</t>
  </si>
  <si>
    <t>HOPITAL PRIVE DE L'ESTUAIRE</t>
  </si>
  <si>
    <t>HOPITAL PRIVE DE LA BAIE</t>
  </si>
  <si>
    <t>HOPITAL PRIVE DE LA LOIRE</t>
  </si>
  <si>
    <t>HOPITAL PRIVE DE LA SEINE SAINT DENIS</t>
  </si>
  <si>
    <t>HOPITAL PRIVE DE MARNE CHANTEREINE</t>
  </si>
  <si>
    <t>HOPITAL PRIVE DE VILLENEUVE D'ASCQ</t>
  </si>
  <si>
    <t>HOPITAL PRIVE DES PEUPLIERS</t>
  </si>
  <si>
    <t>HOPITAL PRIVE DU CONFLUENT</t>
  </si>
  <si>
    <t>HOPITAL PRIVE DU GRAND NARBONNE</t>
  </si>
  <si>
    <t>HOPITAL PRIVE DU VAL D YERRES</t>
  </si>
  <si>
    <t>HOPITAL PRIVE DU VERT GALANT</t>
  </si>
  <si>
    <t>HOPITAL PRIVE FRANCISCAINES</t>
  </si>
  <si>
    <t>HOPITAL PRIVE GUILLAUME DE VARYE</t>
  </si>
  <si>
    <t>HOPITAL PRIVE JEAN MERMOZ</t>
  </si>
  <si>
    <t>HOPITAL PRIVE LA CASAMANCE</t>
  </si>
  <si>
    <t>HOPITAL PRIVE LA CHATAIGNERAIE</t>
  </si>
  <si>
    <t>HOPITAL PRIVE LA LOUVIERE</t>
  </si>
  <si>
    <t>HOPITAL PRIVE LA MONTAGNE LAMBERT</t>
  </si>
  <si>
    <t>HOPITAL PRIVE MEDIPOLE DE SAVOIE</t>
  </si>
  <si>
    <t>HOPITAL PRIVE NANCY LORRAINE</t>
  </si>
  <si>
    <t>HOPITAL PRIVE NORD PARISIEN</t>
  </si>
  <si>
    <t>HOPITAL PRIVE PASTEUR EVREUX</t>
  </si>
  <si>
    <t>HOPITAL PRIVE PAUL D EGINE</t>
  </si>
  <si>
    <t>HOPITAL PRIVE SAINT CLAUDE</t>
  </si>
  <si>
    <t>HOPITAL PRIVE SAINT-FRANCOIS</t>
  </si>
  <si>
    <t>HOPITAL PRIVE SAINTE MARIE</t>
  </si>
  <si>
    <t>HOPITAL PRIVE SEVIGNE</t>
  </si>
  <si>
    <t>HOPITAL PURPAN CHU TOULOUSE</t>
  </si>
  <si>
    <t>HOPITAL ROBERT DEBRE CHU REIMS</t>
  </si>
  <si>
    <t>HOPITAL ROBERT PAX DE SARREGUEMINES</t>
  </si>
  <si>
    <t>HOPITAL SAINT CAMILLE</t>
  </si>
  <si>
    <t>HOPITAL SAINT JOSEPH</t>
  </si>
  <si>
    <t>HOPITAL SAINT-ANDRE - CHU</t>
  </si>
  <si>
    <t>HOPITAL SAINT-LOUIS - LA ROCHELLE</t>
  </si>
  <si>
    <t>HOPITAL ST CLAIR HBT SETE</t>
  </si>
  <si>
    <t>HOPITAL ST ELOI CHU MONTPELLIER</t>
  </si>
  <si>
    <t>HOPITAL VICTOR PROVO</t>
  </si>
  <si>
    <t>HOPITAL-CLINIQUE CLAUDE BERNARD</t>
  </si>
  <si>
    <t>HOPITAUX DROME NORD - ROMANS-SUR-ISERE</t>
  </si>
  <si>
    <t>HOPITAUX DU GRAND COGNAC</t>
  </si>
  <si>
    <t>HOSPITALS OF LAKE GENEVA</t>
  </si>
  <si>
    <t>CIVIL HOSPICES OF BEAUNE</t>
  </si>
  <si>
    <t>HP MARSEILLE BEAUREGARD VERT COTEAU</t>
  </si>
  <si>
    <t>HP MARSEILLE GREEN COTEAU BEAUREGARD</t>
  </si>
  <si>
    <t>HU EST PARISIEN SITE ST ANTOINE APHP</t>
  </si>
  <si>
    <t>HU EST PARISIEN SITE TENON APHP</t>
  </si>
  <si>
    <t>HU EST PARISIEN SITE TROUSSEAU APHP</t>
  </si>
  <si>
    <t>HU HENRI MONDOR SITE HENRI MONDOR APHP</t>
  </si>
  <si>
    <t>HU NECKER SICK CHILDREN APHP</t>
  </si>
  <si>
    <t>HU OUEST SITE AMBROISE PARE APHP</t>
  </si>
  <si>
    <t>HU PARIS CENTRE SITE COCHIN APHP</t>
  </si>
  <si>
    <t>HU PARIS NORD SITE BEAUJON APHP</t>
  </si>
  <si>
    <t>HU PARIS NORD SITE BICHAT APHP</t>
  </si>
  <si>
    <t>HU PARIS NORD SITE LOUIS MOURIER APHP</t>
  </si>
  <si>
    <t>HU PARIS SITE AVICENNE APHP</t>
  </si>
  <si>
    <t>HU PARIS SUD SITE ANTOINE BECLERE APHP</t>
  </si>
  <si>
    <t>HU PARIS SUD SITE KREMLIN BICETRE APHP</t>
  </si>
  <si>
    <t>HU PARIS SUD SITE PAUL BROUSSE APHP</t>
  </si>
  <si>
    <t>HU PITIE SALPETRIERE APHP</t>
  </si>
  <si>
    <t>HU ROBERT DEBRE APHP</t>
  </si>
  <si>
    <t>HU SAINT LOUIS SITE SAINT LOUIS APHP</t>
  </si>
  <si>
    <t>HUS SITE ICANS</t>
  </si>
  <si>
    <t>ICM MONTPELLIER</t>
  </si>
  <si>
    <t>IHOP - HCL</t>
  </si>
  <si>
    <t>INFIRMERIE PROTESTANTE</t>
  </si>
  <si>
    <t>INSTITUT DE CANCERO ET HEMATO - CHU42</t>
  </si>
  <si>
    <t>INSTITUT GODINOT</t>
  </si>
  <si>
    <t>INSTITUT SAINTE CATHERINE</t>
  </si>
  <si>
    <t>KENVAL ICG NIMES</t>
  </si>
  <si>
    <t>LE MITTAN ANNEXE DU HNFC</t>
  </si>
  <si>
    <t>MEDIPOLE HOPITAL MUTUALISTE</t>
  </si>
  <si>
    <t>NOUVELLE CLINIQUE DES DENTELLIERES</t>
  </si>
  <si>
    <t>ONCOPOLE CHU TOULOUSE</t>
  </si>
  <si>
    <t>ONCOPOLE CLAUDIUS REGAUD TOULOUSE</t>
  </si>
  <si>
    <t>POLE SANTE REPUBLIQUE</t>
  </si>
  <si>
    <t>POLYCL CHAMPEAU BEZIERS</t>
  </si>
  <si>
    <t>POLYCL L'ORMEAU SITE CENTRE TARBES</t>
  </si>
  <si>
    <t>POLYCL MONTREAL CARCASSONNE</t>
  </si>
  <si>
    <t>POLYCL ST PRIVAT BOUJAN SUR LIBRON</t>
  </si>
  <si>
    <t>POLYCLIN BORDEAUX-NORD AQUITAINE</t>
  </si>
  <si>
    <t>POLYCLIN PARC RAMBOT HOP PRIV PROVENCE</t>
  </si>
  <si>
    <t>POLYCLINIQUE BLOIS</t>
  </si>
  <si>
    <t>POLYCLINIQUE DE COURLANCY</t>
  </si>
  <si>
    <t>POLYCLINIQUE DU PARC - CAEN</t>
  </si>
  <si>
    <t>POLYCLINIQUE LA PERGOLA</t>
  </si>
  <si>
    <t>POLYCLINIQUE LA RESIDENCE MAYMARD</t>
  </si>
  <si>
    <t>POLYCLINIQUE LYON NORD</t>
  </si>
  <si>
    <t>POLYCLINIQUE SAINT LAURENT</t>
  </si>
  <si>
    <t>POLYCLINIQUE SAINT-ODILON</t>
  </si>
  <si>
    <t>SARL CLINIQUE DU PARC</t>
  </si>
  <si>
    <t>Chemotherapy or other cancer specific medical treatments</t>
  </si>
  <si>
    <t>Institution</t>
  </si>
  <si>
    <t>Postal code</t>
  </si>
  <si>
    <t>47 RUE COGNACQ JAY</t>
  </si>
  <si>
    <t>147 BOULEVARD BAILLE</t>
  </si>
  <si>
    <t>264 RUE SAINT PIERRE</t>
  </si>
  <si>
    <t>CHEMIN DES BOURRELY</t>
  </si>
  <si>
    <t>2 AVENUE MARTIN LUTHER KING</t>
  </si>
  <si>
    <t>15 RUE KERSAINT GILLY</t>
  </si>
  <si>
    <t>MORLAIX</t>
  </si>
  <si>
    <t>5 RUE BATAILLE FLANDRES-DUNKERQUE</t>
  </si>
  <si>
    <t>RENNES</t>
  </si>
  <si>
    <t>21 RUE DE L'ESTAGNAS</t>
  </si>
  <si>
    <t>BIARRITZ</t>
  </si>
  <si>
    <t>33 AVENUE DE VALOMBROSE</t>
  </si>
  <si>
    <t>161 ROUTE DU VERNEY</t>
  </si>
  <si>
    <t>SALLANCHES</t>
  </si>
  <si>
    <t>2 CHEMIN DE FRÉGENEUIL</t>
  </si>
  <si>
    <t>SOYAUX</t>
  </si>
  <si>
    <t>13 RUE DE NESMOND</t>
  </si>
  <si>
    <t>BAYEUX</t>
  </si>
  <si>
    <t>RONDPOINT DE GIRAC</t>
  </si>
  <si>
    <t>ANGOULÊME</t>
  </si>
  <si>
    <t>51 BOULEVARD YVES DU MANOIR</t>
  </si>
  <si>
    <t>DAX</t>
  </si>
  <si>
    <t>ROUTE DE BLIGNY</t>
  </si>
  <si>
    <t>BRIIS SOUS FORGES</t>
  </si>
  <si>
    <t>QUARTIER SAINT CHRISTOPHE</t>
  </si>
  <si>
    <t>DIGNE LES BAINS</t>
  </si>
  <si>
    <t>64 AVENUE DU PROFESSEUR RENÉ LERICHE</t>
  </si>
  <si>
    <t>HAGUENAU</t>
  </si>
  <si>
    <t>AVENUE GASTON FEUILLARD</t>
  </si>
  <si>
    <t>BASSE TERRE</t>
  </si>
  <si>
    <t>40 AVENUE CHARLES DE GAULLE</t>
  </si>
  <si>
    <t>4 BOULEVARD HAUTERIVE</t>
  </si>
  <si>
    <t>80 AVENUE GEORGES POMPIDOU</t>
  </si>
  <si>
    <t>PÉRIGUEUX</t>
  </si>
  <si>
    <t>23 AVENUE LOUIS PASTEUR</t>
  </si>
  <si>
    <t>SELESTAT</t>
  </si>
  <si>
    <t>155 RUE DU PRÉSIDENT COTY</t>
  </si>
  <si>
    <t>TOURCOING</t>
  </si>
  <si>
    <t>101 AVENUE ANATOLE FRANCE</t>
  </si>
  <si>
    <t>TROYES</t>
  </si>
  <si>
    <t>3 BOULEVARD DOCTEUR VERLHAC</t>
  </si>
  <si>
    <t>BRIVE LA GAILLARDE</t>
  </si>
  <si>
    <t>KERGOMAR</t>
  </si>
  <si>
    <t>LANNION</t>
  </si>
  <si>
    <t>51 RUE DU COMMANDANT DERRIEN</t>
  </si>
  <si>
    <t>CHALONS EN CHAMPAGNE</t>
  </si>
  <si>
    <t>1 AVENUE BELIGON</t>
  </si>
  <si>
    <t>ROCHEFORT</t>
  </si>
  <si>
    <t>10 RUE MARCEL PROUST</t>
  </si>
  <si>
    <t>SAINT BRIEUC</t>
  </si>
  <si>
    <t>ROUTE CAMBRAI</t>
  </si>
  <si>
    <t>DECHY</t>
  </si>
  <si>
    <t>58 RUE MONTALEMBERT</t>
  </si>
  <si>
    <t>171 ROUTE DE DESVRES</t>
  </si>
  <si>
    <t>SAINT MARTIN BOULOGNE</t>
  </si>
  <si>
    <t>40 RUE FLOREAL</t>
  </si>
  <si>
    <t>BAGNOLET</t>
  </si>
  <si>
    <t>83 AVENUE CHARLES DE GAULLE</t>
  </si>
  <si>
    <t>AURILLAC</t>
  </si>
  <si>
    <t>64 RUE DU DOCTEUR PITAT</t>
  </si>
  <si>
    <t>17 AVENUE DES ETATS-UNIS</t>
  </si>
  <si>
    <t>CHAUMONT</t>
  </si>
  <si>
    <t>12 AVENUE DU GÉNÉRAL RAL LECLERC</t>
  </si>
  <si>
    <t>GOUVIEUX</t>
  </si>
  <si>
    <t>145 AVENUE F MITTERAND</t>
  </si>
  <si>
    <t>BOURGES</t>
  </si>
  <si>
    <t>RUE EUGÈNE GARNIER</t>
  </si>
  <si>
    <t>FLERS</t>
  </si>
  <si>
    <t>48 BOULEVARD VICTOR HUGO</t>
  </si>
  <si>
    <t>NEUILLY SUR SEINE</t>
  </si>
  <si>
    <t>43 RUE DE L'ISLE</t>
  </si>
  <si>
    <t>ABBEVILLE</t>
  </si>
  <si>
    <t>21 ROUTE DE VILLENEUVE</t>
  </si>
  <si>
    <t>AGEN</t>
  </si>
  <si>
    <t>658 RUE DES BOURGOINS</t>
  </si>
  <si>
    <t>AMILLY</t>
  </si>
  <si>
    <t>22 BOULEVARD SIBILLE</t>
  </si>
  <si>
    <t>ALBI</t>
  </si>
  <si>
    <t>811 AVENUE DR JEAN GOUBERT</t>
  </si>
  <si>
    <t>ALES</t>
  </si>
  <si>
    <t>558 ROUTE DE FINDROL</t>
  </si>
  <si>
    <t>CONTAMINE SUR ARVE</t>
  </si>
  <si>
    <t>1 AVENUE DE L'HÔPITAL</t>
  </si>
  <si>
    <t>EPAGNY METZ TESSY</t>
  </si>
  <si>
    <t>14 AVENUE DE BELLANDE</t>
  </si>
  <si>
    <t>AUBENAS</t>
  </si>
  <si>
    <t>57 AVENUE WINSTON CHURCHILL</t>
  </si>
  <si>
    <t>140 CHEMIN DEPARTEMENTAL 191</t>
  </si>
  <si>
    <t>RANG DU FLIERS</t>
  </si>
  <si>
    <t>ALLÉE MARIE CLARAC</t>
  </si>
  <si>
    <t>AUCH</t>
  </si>
  <si>
    <t>2 BOULEVARD DE VERDUN</t>
  </si>
  <si>
    <t>AUXERRE</t>
  </si>
  <si>
    <t>40 AVENUE L ON BLUM</t>
  </si>
  <si>
    <t>BEAUVAIS</t>
  </si>
  <si>
    <t>2 RUE VALENTIN HAUY</t>
  </si>
  <si>
    <t>BEZIERS</t>
  </si>
  <si>
    <t>1 BOULEVARD D'ARGONNE</t>
  </si>
  <si>
    <t>BAR LE DUC</t>
  </si>
  <si>
    <t>MAIL PIERRE CHARLOT</t>
  </si>
  <si>
    <t>BLOIS</t>
  </si>
  <si>
    <t>RUE JACQUES MONOD</t>
  </si>
  <si>
    <t>1601 BOULEVARD DES JUSTES</t>
  </si>
  <si>
    <t>CALAIS</t>
  </si>
  <si>
    <t>45 AVENUE DE MANCHESTER</t>
  </si>
  <si>
    <t>CHARLEVILLE MEZIERES</t>
  </si>
  <si>
    <t>4 RUE CLAUDE BERNARD</t>
  </si>
  <si>
    <t>LE COUDRAY</t>
  </si>
  <si>
    <t>216 AVENUE DE VERDUN</t>
  </si>
  <si>
    <t>CHATEAUROUX</t>
  </si>
  <si>
    <t>94 SQUARE DES ANCIENS COMBATTANTS</t>
  </si>
  <si>
    <t>CHAUNY</t>
  </si>
  <si>
    <t>CH CHICN COMPIEGNE</t>
  </si>
  <si>
    <t>8 AVENUE HENRI ADNOT</t>
  </si>
  <si>
    <t>COMPIEGNE</t>
  </si>
  <si>
    <t>AVENUE SIMONE VEIL</t>
  </si>
  <si>
    <t>SAINT GAUDENS</t>
  </si>
  <si>
    <t>13 AVENUE DE L'INTERNE JACQUES LOEB</t>
  </si>
  <si>
    <t>107 AVENUE DE NICE</t>
  </si>
  <si>
    <t>ANTIBES</t>
  </si>
  <si>
    <t>305 RUE RAOUL FOLLEREAU</t>
  </si>
  <si>
    <t>AVIGNON</t>
  </si>
  <si>
    <t>15 AVENUE DES BROUSSAILLES</t>
  </si>
  <si>
    <t>CANNES</t>
  </si>
  <si>
    <t>1 RUE MARENGO</t>
  </si>
  <si>
    <t>4 RUE GABRIEL PERI</t>
  </si>
  <si>
    <t>COULOMMIERS</t>
  </si>
  <si>
    <t>900 ROUTE DE PARIS</t>
  </si>
  <si>
    <t>VIRIAT</t>
  </si>
  <si>
    <t>3 BOULEVARD DES RAYETTES</t>
  </si>
  <si>
    <t>MARTIGUES</t>
  </si>
  <si>
    <t>6 RUE SAINT FIACRE</t>
  </si>
  <si>
    <t>270 AVENUE MARC JACQUET</t>
  </si>
  <si>
    <t>MELUN</t>
  </si>
  <si>
    <t>18 AVENUE DU 8 MAI 1945</t>
  </si>
  <si>
    <t>MONTLUÇON</t>
  </si>
  <si>
    <t>10 AVENUE DU GÉNÉRAL DE GAULLE</t>
  </si>
  <si>
    <t>MOULINS</t>
  </si>
  <si>
    <t>ROUTE DE CHALAUTRE</t>
  </si>
  <si>
    <t>PROVINS</t>
  </si>
  <si>
    <t>5 RUE PIERRE ET MARIE CURIE</t>
  </si>
  <si>
    <t>RAMBOUILLET</t>
  </si>
  <si>
    <t>28 RUE DE CHARLIEU</t>
  </si>
  <si>
    <t>ROANNE</t>
  </si>
  <si>
    <t>AVENUE DE L'HÔPITAL</t>
  </si>
  <si>
    <t>11 BOULEVARD AMBROISE PARE</t>
  </si>
  <si>
    <t>SAINTES</t>
  </si>
  <si>
    <t>179 BOULEVARD MARECHAL JUIN</t>
  </si>
  <si>
    <t>VALENCE</t>
  </si>
  <si>
    <t>177 RUE DE VERSAILLES</t>
  </si>
  <si>
    <t>LE CHESNAY</t>
  </si>
  <si>
    <t>25 RUE J JAURES</t>
  </si>
  <si>
    <t>DENAIN</t>
  </si>
  <si>
    <t>AVENUE PASTEUR</t>
  </si>
  <si>
    <t>DIEPPE</t>
  </si>
  <si>
    <t>ROUTE DE CAMBRAI</t>
  </si>
  <si>
    <t>44 AVENUE PRESIDENT JOHN-FIT-KENNEDY</t>
  </si>
  <si>
    <t>DREUX</t>
  </si>
  <si>
    <t>19 RUE VICTOR HUGO</t>
  </si>
  <si>
    <t>SAINT CHAMOND</t>
  </si>
  <si>
    <t>BOULEVARD DES CHARMES</t>
  </si>
  <si>
    <t>PARAY LE MONIAL</t>
  </si>
  <si>
    <t>130 AVENUE LOUIS HERBEAUX</t>
  </si>
  <si>
    <t>DUNKERQUE</t>
  </si>
  <si>
    <t>12 BOULEVARD DU DR CHANTEMESSE</t>
  </si>
  <si>
    <t>RUE LEON SCHWARTZENBERG</t>
  </si>
  <si>
    <t>EVREUX</t>
  </si>
  <si>
    <t>2 BOULEVARD SULLY</t>
  </si>
  <si>
    <t>MANTES LA JOLIE</t>
  </si>
  <si>
    <t>2 BOULEVARD DU 19 MARS 1962</t>
  </si>
  <si>
    <t>GONESSE</t>
  </si>
  <si>
    <t>2 RUE DU DR DELAFONTAINE</t>
  </si>
  <si>
    <t>SAINT DENIS</t>
  </si>
  <si>
    <t>BOULEVARD LAENNEC</t>
  </si>
  <si>
    <t>CREIL</t>
  </si>
  <si>
    <t>1 RUE DE L'HÔPITAL</t>
  </si>
  <si>
    <t>HAZEBROUCK</t>
  </si>
  <si>
    <t>50 AVENUE DE LA REPUBLIQUE</t>
  </si>
  <si>
    <t>BOULEVARD DENIERE</t>
  </si>
  <si>
    <t>VICHY</t>
  </si>
  <si>
    <t>52 PLACE ANTONIN BERGON</t>
  </si>
  <si>
    <t>CAHORS</t>
  </si>
  <si>
    <t>QUARTIER FOURCHON</t>
  </si>
  <si>
    <t>ARLES</t>
  </si>
  <si>
    <t>ROUTE DE MONTFERRAT</t>
  </si>
  <si>
    <t>DRAGUIGNAN</t>
  </si>
  <si>
    <t>33 RUE MARCELIN BERTHELOT</t>
  </si>
  <si>
    <t>LAON</t>
  </si>
  <si>
    <t>RUE DE DEGRÉ</t>
  </si>
  <si>
    <t>LE MANS</t>
  </si>
  <si>
    <t>99 ROUTE DE LA BASSEE</t>
  </si>
  <si>
    <t>350 BOULEVARD LOUIS ESCANDE</t>
  </si>
  <si>
    <t>MACON</t>
  </si>
  <si>
    <t>RUE DU DR VILLERS</t>
  </si>
  <si>
    <t>ELBEUF</t>
  </si>
  <si>
    <t>55 RUE DR JEAN MICHEL</t>
  </si>
  <si>
    <t>LONS LE SAUNIER</t>
  </si>
  <si>
    <t>AVENUE ALPHONSE DAUDET</t>
  </si>
  <si>
    <t>BAGNOLS SUR CEZE</t>
  </si>
  <si>
    <t>MONTÉE DU DOCTEUR CHAPUIS</t>
  </si>
  <si>
    <t>2 RUE THÉRÈSE</t>
  </si>
  <si>
    <t>FORBACH</t>
  </si>
  <si>
    <t>715 RUE DUNANT</t>
  </si>
  <si>
    <t>SAINT LO</t>
  </si>
  <si>
    <t>100 RUE LEON CLADEL</t>
  </si>
  <si>
    <t>MONTAUBAN</t>
  </si>
  <si>
    <t>BOULEVARD DOCTEUR LACROIX</t>
  </si>
  <si>
    <t>NARBONNE</t>
  </si>
  <si>
    <t>D'OUILLY</t>
  </si>
  <si>
    <t>GLEIZE</t>
  </si>
  <si>
    <t>6 AVENUE DE L ILE DE FRANCE</t>
  </si>
  <si>
    <t>PONTOISE</t>
  </si>
  <si>
    <t>20 AVENUE DU LANGUEDOC</t>
  </si>
  <si>
    <t>PERPIGNAN</t>
  </si>
  <si>
    <t>30 AVENUE DU M DIP LE</t>
  </si>
  <si>
    <t>BOURGOIN JALLIEU</t>
  </si>
  <si>
    <t>QUARTIER BEAUSSERET</t>
  </si>
  <si>
    <t>MONTELIMAR</t>
  </si>
  <si>
    <t>9 RUE DE SAINT GERMAIN</t>
  </si>
  <si>
    <t>LE PORT MARLY</t>
  </si>
  <si>
    <t>25 AVENUE DU GÉNÉRAL DE GAULLE</t>
  </si>
  <si>
    <t>SARREBOURG</t>
  </si>
  <si>
    <t>1 RUE MICHEL DE L'HOSPITAL</t>
  </si>
  <si>
    <t>SAINT QUENTIN</t>
  </si>
  <si>
    <t>19 COTEAU DE SAVERNE</t>
  </si>
  <si>
    <t>SAVERNE</t>
  </si>
  <si>
    <t>1 AVENUE PIERRE DE COUBERTIN</t>
  </si>
  <si>
    <t>SENS</t>
  </si>
  <si>
    <t>46 AVENUE DU GÉNÉRAL DE GAULLE</t>
  </si>
  <si>
    <t>SOISSONS</t>
  </si>
  <si>
    <t>20 QUAI CLAUDE BERNARD</t>
  </si>
  <si>
    <t>55 BOULEVARD DU MARECHAL JOFFRE</t>
  </si>
  <si>
    <t>FONTAINEBLEAU</t>
  </si>
  <si>
    <t>1 RUE VICTOR HUGO</t>
  </si>
  <si>
    <t>MONTEREAU</t>
  </si>
  <si>
    <t>BOULEVARD MAL DE LATTRE DE TASSIGNY</t>
  </si>
  <si>
    <t>TARBES</t>
  </si>
  <si>
    <t>2 AVENUE ALEXANDRE MARQUI</t>
  </si>
  <si>
    <t>LOURDES</t>
  </si>
  <si>
    <t>114 AVENUE DESANDROUINS</t>
  </si>
  <si>
    <t>VALENCIENNES</t>
  </si>
  <si>
    <t>2 RUE D'ANTHOUARD</t>
  </si>
  <si>
    <t>VERDUN</t>
  </si>
  <si>
    <t>69 RUE DU LT COLONEL PRUD HON</t>
  </si>
  <si>
    <t>ARGENTEUIL</t>
  </si>
  <si>
    <t>2 AVENUE CAYLET</t>
  </si>
  <si>
    <t>VILLEFRANCHE DE ROUERGUE</t>
  </si>
  <si>
    <t>4 RUE CAPITAINE DRILLIEN</t>
  </si>
  <si>
    <t>849 RUE DES MENNERIES</t>
  </si>
  <si>
    <t>GRANVILLE</t>
  </si>
  <si>
    <t>20 BOULEVARD GENERAL MAURICE GUILLAUDOT</t>
  </si>
  <si>
    <t>VANNES</t>
  </si>
  <si>
    <t>KERIO</t>
  </si>
  <si>
    <t>NOYAL PONTIVY</t>
  </si>
  <si>
    <t>BOULEVARD STEPHANE MOREAU</t>
  </si>
  <si>
    <t>LA ROCHE SUR YON</t>
  </si>
  <si>
    <t>40 AVENUE DE VERDUN</t>
  </si>
  <si>
    <t>240 AVENUE DE SAINT LAMBERT</t>
  </si>
  <si>
    <t>FREJUS</t>
  </si>
  <si>
    <t>1 PLACE AUGUSTE MURET</t>
  </si>
  <si>
    <t>GAP</t>
  </si>
  <si>
    <t>2 AVENUE ROBERT SCHUMAN</t>
  </si>
  <si>
    <t>EPINAL</t>
  </si>
  <si>
    <t>2 FAUBOURG SAINT ETIENNE</t>
  </si>
  <si>
    <t>PONTARLIER</t>
  </si>
  <si>
    <t>26 RUE DU NOUVEL HOPITAL</t>
  </si>
  <si>
    <t>SAINT DIE DES VOSGES</t>
  </si>
  <si>
    <t>40 ALLEE DE LA SOURCE</t>
  </si>
  <si>
    <t>VILLENEUVE SAINT GEORGES CEDE</t>
  </si>
  <si>
    <t>AVENUE PIERRE DE COUBERTIN</t>
  </si>
  <si>
    <t>MONT DE MARSAN</t>
  </si>
  <si>
    <t>20 RUE ARMAGIS</t>
  </si>
  <si>
    <t>SAINT GERMAIN EN LAYE</t>
  </si>
  <si>
    <t>BOULEVARD ROBERT BALLANGER</t>
  </si>
  <si>
    <t>AULNAY SOUS BOIS</t>
  </si>
  <si>
    <t>AVENUE DES TAMARIS</t>
  </si>
  <si>
    <t>AIX EN PROVENCE</t>
  </si>
  <si>
    <t>6 AVENUE DE LA MONTAGNE NOIRE</t>
  </si>
  <si>
    <t>CASTRES</t>
  </si>
  <si>
    <t>14 AVENUE YVES THEPOT</t>
  </si>
  <si>
    <t>25 RUE DE FRESNAY</t>
  </si>
  <si>
    <t>ALENCON</t>
  </si>
  <si>
    <t>54 RUE HENRI SAINTE CLAIRE DEVILLE</t>
  </si>
  <si>
    <t>CHEMIN DE BARRAU</t>
  </si>
  <si>
    <t>SAINT JEAN DE VERGES</t>
  </si>
  <si>
    <t>49 AVENUE DU GRAND PORT</t>
  </si>
  <si>
    <t>AIX LES BAINS</t>
  </si>
  <si>
    <t>PLACE LUCIEN BISET</t>
  </si>
  <si>
    <t>CHAMBERY</t>
  </si>
  <si>
    <t>6 BOULEVARD DE LE BOUTIERE</t>
  </si>
  <si>
    <t>SAINT GREGOIRE</t>
  </si>
  <si>
    <t>1 RUE CHRISTIAAN BARNARD</t>
  </si>
  <si>
    <t>46 RUE DU VAL DE SAIRE</t>
  </si>
  <si>
    <t>CHERBOURG OCTEVILLE</t>
  </si>
  <si>
    <t>4 RUE LARREY</t>
  </si>
  <si>
    <t>2 BOULEVARD TONNELE</t>
  </si>
  <si>
    <t>49 BOULEVARD BERANGER</t>
  </si>
  <si>
    <t>29 AVENUE DE LATTRE DE TASSIGNY</t>
  </si>
  <si>
    <t>NANCY</t>
  </si>
  <si>
    <t>RUE DU MORVAN</t>
  </si>
  <si>
    <t>14 AVENUE DE L'HOPITAL</t>
  </si>
  <si>
    <t>ORLEANS</t>
  </si>
  <si>
    <t>16 BOULEVARD DE BULGARIE</t>
  </si>
  <si>
    <t>2 RUE HENRI LE GUILLOUX</t>
  </si>
  <si>
    <t>AVENUE DE LA REPUBLIQUE</t>
  </si>
  <si>
    <t>CHAMBRAY LES TOURS</t>
  </si>
  <si>
    <t>AVENUE COTE DE NACRE</t>
  </si>
  <si>
    <t>FORT DE FRANCE</t>
  </si>
  <si>
    <t>1 PLACE ALEXIS RICORDEAU</t>
  </si>
  <si>
    <t>NANTES</t>
  </si>
  <si>
    <t>BOULEVARD JACQUES MONOD</t>
  </si>
  <si>
    <t>SAINT HERBLAIN</t>
  </si>
  <si>
    <t>151 ROUTE SAINT ANTOINE DE GINESTIERE</t>
  </si>
  <si>
    <t>1 RUE DU DOCTEUR LUC MONTAGNIER</t>
  </si>
  <si>
    <t>CHATELLERAULT</t>
  </si>
  <si>
    <t>3 BOULEVARD FLEMING</t>
  </si>
  <si>
    <t>2 RUE DE LA MILETRIE</t>
  </si>
  <si>
    <t>PLACE DU PROFESSEUR ROBERT DEBRE</t>
  </si>
  <si>
    <t>ALLEE DES TOPAZES</t>
  </si>
  <si>
    <t>AVENUE FRANCOIS MITTERRAND</t>
  </si>
  <si>
    <t>SAINT PIERRE</t>
  </si>
  <si>
    <t>52 CHEMIN DE RIBAUTE</t>
  </si>
  <si>
    <t>QUINT FONSEGRIVES</t>
  </si>
  <si>
    <t>1 RUE PERE COLOMBIER</t>
  </si>
  <si>
    <t>25 RUE DE CLEMENTVILLE</t>
  </si>
  <si>
    <t>AVENUE BERNARD IV</t>
  </si>
  <si>
    <t>MURET</t>
  </si>
  <si>
    <t>BOULEVARD DE RATALENS</t>
  </si>
  <si>
    <t>L UNION</t>
  </si>
  <si>
    <t>ROUTE DE MONDONVILLE</t>
  </si>
  <si>
    <t>CORNEBARRIEU</t>
  </si>
  <si>
    <t>50 RUE EMILE COMBES</t>
  </si>
  <si>
    <t>CASTELNAU LE LEZ</t>
  </si>
  <si>
    <t>45 AVENUE DE LOMBEZ</t>
  </si>
  <si>
    <t>330 AVENUE MARCEL UNAL</t>
  </si>
  <si>
    <t>RUE JEAN GALLIA</t>
  </si>
  <si>
    <t>26 RUE D ULM</t>
  </si>
  <si>
    <t>1 RUE PROFESSEUR MARION</t>
  </si>
  <si>
    <t>24 RUE ALBERT THURET</t>
  </si>
  <si>
    <t>CHEVILLY LARUE</t>
  </si>
  <si>
    <t>3 FRÉDÉRIC COMBEMALE</t>
  </si>
  <si>
    <t>35 RUE DAILLY</t>
  </si>
  <si>
    <t>SAINT CLOUD</t>
  </si>
  <si>
    <t>15 CHEMIN DE PENHOAT</t>
  </si>
  <si>
    <t>RUE DELBECQUE</t>
  </si>
  <si>
    <t>BEUVRY</t>
  </si>
  <si>
    <t>100 RUE EMILE BASLY</t>
  </si>
  <si>
    <t>BÉTHUNE</t>
  </si>
  <si>
    <t>2 ALLÉE DU DOCTEUR LAFON</t>
  </si>
  <si>
    <t>21 RUE GEORGES BIZET</t>
  </si>
  <si>
    <t>13 QUAI DU DR CALABET</t>
  </si>
  <si>
    <t>9 AVENUE LOUIS ARMAND</t>
  </si>
  <si>
    <t>ERMONT</t>
  </si>
  <si>
    <t>62 AVENUE DE JASSERON</t>
  </si>
  <si>
    <t>AVENUE JEAN HAMEAU</t>
  </si>
  <si>
    <t>LA TESTE</t>
  </si>
  <si>
    <t>300 RUE DES FORTS</t>
  </si>
  <si>
    <t>COUDEKERQUE BRANCHE</t>
  </si>
  <si>
    <t>35 RUE D AMIENS</t>
  </si>
  <si>
    <t>STAINS</t>
  </si>
  <si>
    <t>5 ALLEE DES PAYS BAS</t>
  </si>
  <si>
    <t>29 ALLEE DE LA ROBERTSAU</t>
  </si>
  <si>
    <t>STRASBOURG</t>
  </si>
  <si>
    <t>1 RUE DE LA MAISON NEUVE</t>
  </si>
  <si>
    <t>480 AVENUE DAVID BEN GURION</t>
  </si>
  <si>
    <t>1 QUAI DU HAVRE</t>
  </si>
  <si>
    <t>3 AVENUE DE VILLACOUBLAY</t>
  </si>
  <si>
    <t>MEUDON</t>
  </si>
  <si>
    <t>LES LONGUES PIECES</t>
  </si>
  <si>
    <t>COQUELLES</t>
  </si>
  <si>
    <t>1361 AVENUE ANC COMBATTANTS D'INDOCHINE</t>
  </si>
  <si>
    <t>LA SEYNE SUR MER</t>
  </si>
  <si>
    <t>950 RUE DE LA HAIE</t>
  </si>
  <si>
    <t>BOIS GUILLAUME</t>
  </si>
  <si>
    <t>112 AVENUE DU GENERAL DE GAULLE</t>
  </si>
  <si>
    <t>THIAIS</t>
  </si>
  <si>
    <t>39 CHEMIN DE LA VERNIQUE</t>
  </si>
  <si>
    <t>ECULLY</t>
  </si>
  <si>
    <t>18 RUE DU GENERAL CATROUX</t>
  </si>
  <si>
    <t>4 CHEMIN DE LA TOUR LA REINE</t>
  </si>
  <si>
    <t>ANNECY</t>
  </si>
  <si>
    <t>15 RUE JACQUES DELPEUCH</t>
  </si>
  <si>
    <t>21 RUE DE CHAZELLES</t>
  </si>
  <si>
    <t>36 RUE MARCEAU</t>
  </si>
  <si>
    <t>LE HAVRE</t>
  </si>
  <si>
    <t>7 RUE PARMENTIER</t>
  </si>
  <si>
    <t>ESSEY LES NANCY</t>
  </si>
  <si>
    <t>7 BOULEVARD DE L'EUROPE</t>
  </si>
  <si>
    <t>RUE CHARLES DE GAULLE</t>
  </si>
  <si>
    <t>MAREUIL LES MEAUX</t>
  </si>
  <si>
    <t>51 RUE COMMANDANT CHARCOT</t>
  </si>
  <si>
    <t>SAINTE FOY LES LYON</t>
  </si>
  <si>
    <t>1328 AVENUE DE LA MAISON BLANCHE</t>
  </si>
  <si>
    <t>SAINT AUBIN SUR SCIE</t>
  </si>
  <si>
    <t>ALLEE ROGER RENARD</t>
  </si>
  <si>
    <t>TALANT</t>
  </si>
  <si>
    <t>17 RUE DE RIGNY</t>
  </si>
  <si>
    <t>RIS ORANGIS</t>
  </si>
  <si>
    <t>32 RUE AUGUSTE KERVERN</t>
  </si>
  <si>
    <t>12 RUE PIERRE CASTETS</t>
  </si>
  <si>
    <t>2 AVENUE DE RIMIEZ</t>
  </si>
  <si>
    <t>2 RUE ROUSSELET</t>
  </si>
  <si>
    <t>272 AVENUE MARC JACQUET</t>
  </si>
  <si>
    <t>51 RUE DE LA FOUCAUDIERE</t>
  </si>
  <si>
    <t>TRELAZE</t>
  </si>
  <si>
    <t>114 AVENUE D'AR S</t>
  </si>
  <si>
    <t>2 PLACE SAINT-HILAIRE</t>
  </si>
  <si>
    <t>182 ROUTE DE LA WANTZENAU</t>
  </si>
  <si>
    <t>127 ROUTE DU BOIS DE NEFLES</t>
  </si>
  <si>
    <t>SAINTE CLOTILDE</t>
  </si>
  <si>
    <t>118 AVENUE DESANDROUINS</t>
  </si>
  <si>
    <t>91 RUE DE RIVIERE</t>
  </si>
  <si>
    <t>575 RUE DU DOCTEUR TRENEL</t>
  </si>
  <si>
    <t>SAINTE COLOMBE</t>
  </si>
  <si>
    <t>66 RUE DE DEGRÉ</t>
  </si>
  <si>
    <t>2 AVENUE DE MOUSSEAU</t>
  </si>
  <si>
    <t>EVRY</t>
  </si>
  <si>
    <t>3 AVENUE DU GÉNÉRAL HARRIS</t>
  </si>
  <si>
    <t>RUE D'AMIENS</t>
  </si>
  <si>
    <t>17 RUE ALBERT CALMETTE</t>
  </si>
  <si>
    <t>30 RUE DE PARIS</t>
  </si>
  <si>
    <t>BOULOGNE BILLANCOURT</t>
  </si>
  <si>
    <t>112 RUE DE LA MARNE</t>
  </si>
  <si>
    <t>LIBOURNE</t>
  </si>
  <si>
    <t>22 RUE WATTEAU</t>
  </si>
  <si>
    <t>CAMBRAI</t>
  </si>
  <si>
    <t>GCS GHICL HOPITAL SAINT VINCENT</t>
  </si>
  <si>
    <t>51 BOULEVARD DE BELFORT</t>
  </si>
  <si>
    <t>4 RUE CHAIM SOUTINE</t>
  </si>
  <si>
    <t>2 RUE RENE HEYMES</t>
  </si>
  <si>
    <t>VESOUL</t>
  </si>
  <si>
    <t>185 RUE RAYMOND LOSSERAND</t>
  </si>
  <si>
    <t>GHBS - HÔPITAL DU SCORFF</t>
  </si>
  <si>
    <t>5 AVENUE DE CHOISEUL</t>
  </si>
  <si>
    <t>LORIENT</t>
  </si>
  <si>
    <t>2 COURS DE LA GONDOIRE</t>
  </si>
  <si>
    <t>JOSSIGNY</t>
  </si>
  <si>
    <t>14 RUE DE SAINT PRIX</t>
  </si>
  <si>
    <t>EAUBONNE</t>
  </si>
  <si>
    <t>10 RUE DU GENERAL LECLERC</t>
  </si>
  <si>
    <t>MONTFERMEIL</t>
  </si>
  <si>
    <t>1 RUE DE LA MARNE</t>
  </si>
  <si>
    <t>8 RUE DOCTEUR CALMETTE</t>
  </si>
  <si>
    <t>PLACE AMELIE RABA LEON</t>
  </si>
  <si>
    <t>108 BOULEVARD PINEL</t>
  </si>
  <si>
    <t>351 ROUTE DE TOULOUSE</t>
  </si>
  <si>
    <t>VILLENAVE D ORNON</t>
  </si>
  <si>
    <t>100 ROUTE DE MOVAL</t>
  </si>
  <si>
    <t>TREVENANS</t>
  </si>
  <si>
    <t>RUE MICHEL POLONOWSKI</t>
  </si>
  <si>
    <t>LIEUDIT FORCILLES</t>
  </si>
  <si>
    <t>FEROLLES ATTILLY</t>
  </si>
  <si>
    <t>63 BOULEVARD VICTOR HUGO</t>
  </si>
  <si>
    <t>371 AVENUE DU DOYEN GASTON GIRAUD</t>
  </si>
  <si>
    <t>1 RUE DE FRISCATY</t>
  </si>
  <si>
    <t>THIONVILLE</t>
  </si>
  <si>
    <t>1 RUE DE GERMONT</t>
  </si>
  <si>
    <t>1 PLACE DE L'HOPITAL</t>
  </si>
  <si>
    <t>103 GRANDERUE DE LA CROIX ROUSSE</t>
  </si>
  <si>
    <t>147 AVENUE DU MARECHAL JUIN</t>
  </si>
  <si>
    <t>1 AVENUE MOLIERE</t>
  </si>
  <si>
    <t>125 RUE D AVRON</t>
  </si>
  <si>
    <t>1 AVENUE PR JEAN POULHES</t>
  </si>
  <si>
    <t>RUE AMBROISE PARE</t>
  </si>
  <si>
    <t>SAINT AVOLD</t>
  </si>
  <si>
    <t>34 AVENUE JACQUES CHIRAC</t>
  </si>
  <si>
    <t>VOIRON</t>
  </si>
  <si>
    <t>5 PLACE D'ARSONVAL</t>
  </si>
  <si>
    <t>20 RUE DU DR LAENNEC</t>
  </si>
  <si>
    <t>MULHOUSE</t>
  </si>
  <si>
    <t>1 PLACE LUCIE AUBRAC</t>
  </si>
  <si>
    <t>6 RUE DESIREE CLARY</t>
  </si>
  <si>
    <t>55 AVENUE HENRI BARBUSSE</t>
  </si>
  <si>
    <t>AUBERVILLIERS</t>
  </si>
  <si>
    <t>59 BOULEVARD PINEL</t>
  </si>
  <si>
    <t>BRON</t>
  </si>
  <si>
    <t>40 RUE WORTH</t>
  </si>
  <si>
    <t>SURESNES</t>
  </si>
  <si>
    <t>4 RUE KLEBER</t>
  </si>
  <si>
    <t>AVENUE DE MAGELLAN</t>
  </si>
  <si>
    <t>PESSAC</t>
  </si>
  <si>
    <t>29 RUE P MENDES FRANCE</t>
  </si>
  <si>
    <t>MONTIVILLIERS</t>
  </si>
  <si>
    <t>6 AVENUE FRANCHET D ESPEREY</t>
  </si>
  <si>
    <t>VERSAILLES</t>
  </si>
  <si>
    <t>24 CHEMIN DE POURVOUVILLE</t>
  </si>
  <si>
    <t>1 BOULEVARD JEANNE D ARC</t>
  </si>
  <si>
    <t>2 AVENUE DU 11 NOVEMBRE 1918</t>
  </si>
  <si>
    <t>VÉNISSIEUX</t>
  </si>
  <si>
    <t>39 AVENUE DE LA LIBERTE</t>
  </si>
  <si>
    <t>28 AVENUE DOYEN LÉPINE</t>
  </si>
  <si>
    <t>AVENUE DU HUIT MAI 1945</t>
  </si>
  <si>
    <t>MENDE</t>
  </si>
  <si>
    <t>165 CHEMIN DU GRAND REVOYET</t>
  </si>
  <si>
    <t>PIERRE BENITE</t>
  </si>
  <si>
    <t>45 RUE COGNACQ JAY</t>
  </si>
  <si>
    <t>BOULEVARD DE LA CHANTOURNE</t>
  </si>
  <si>
    <t>LA TRONCHE</t>
  </si>
  <si>
    <t>AVENUE ALBERT RAIMOND</t>
  </si>
  <si>
    <t>ZAC DE CORBEVILLE 1 PARVIS DE L'HÔPITAL</t>
  </si>
  <si>
    <t>ORSAY</t>
  </si>
  <si>
    <t>1 AVENUE PATRICK GUILLOT</t>
  </si>
  <si>
    <t>3 AVENUE WATTEAU</t>
  </si>
  <si>
    <t>NOGENT SUR MARNE</t>
  </si>
  <si>
    <t>2 RUE DU DOCTEUR FORGEOIS</t>
  </si>
  <si>
    <t>317 BOULEVARD DU REDON</t>
  </si>
  <si>
    <t>20 ROUTE DE BOUSSY SAINT ANTOINE</t>
  </si>
  <si>
    <t>QUINCY SOUS SENART</t>
  </si>
  <si>
    <t>1 RUE VELPEAU</t>
  </si>
  <si>
    <t>2 RUE ROLAND BUTHIER</t>
  </si>
  <si>
    <t>MAINVILLIERS</t>
  </si>
  <si>
    <t>14 AVENUE CASTIGLIONE DEL LAGO</t>
  </si>
  <si>
    <t>TRAPPES</t>
  </si>
  <si>
    <t>505 RUE IRENE JOLIOT-CURIE</t>
  </si>
  <si>
    <t>1 AVENUE DU QUESNOY</t>
  </si>
  <si>
    <t>AVRANCHES</t>
  </si>
  <si>
    <t>39 BOULEVARD DE LA PALLE</t>
  </si>
  <si>
    <t>SAINT ETIENNE</t>
  </si>
  <si>
    <t>7 AVENUE HENRI BARBUSSE</t>
  </si>
  <si>
    <t>LE BLANC MESNIL</t>
  </si>
  <si>
    <t>RUE CURIE</t>
  </si>
  <si>
    <t>BROU SUR CHANTEREINE</t>
  </si>
  <si>
    <t>20 AVENUE DE LA RECONNAISSANCE</t>
  </si>
  <si>
    <t>VILLENEUVE D ASCQ</t>
  </si>
  <si>
    <t>8 PLACE ABBE GEORGES HENOCQUE</t>
  </si>
  <si>
    <t>4 RUE ERIC TABARLY</t>
  </si>
  <si>
    <t>1 RUE PR CHRISTIAAN BARNARD</t>
  </si>
  <si>
    <t>MONTREDON DES CORBIERES</t>
  </si>
  <si>
    <t>31 AVENUE DE L ABBAYE</t>
  </si>
  <si>
    <t>YERRES</t>
  </si>
  <si>
    <t>38 RUE DOCTEUR GEORGES ASSANT</t>
  </si>
  <si>
    <t>TREMBLAY EN FRANCE</t>
  </si>
  <si>
    <t>7 RUE PORTE DE BUC</t>
  </si>
  <si>
    <t>210 ROUTE DE VOUZERON</t>
  </si>
  <si>
    <t>SAINT DOULCHARD</t>
  </si>
  <si>
    <t>55 AVENUE JEAN MERMOZ</t>
  </si>
  <si>
    <t>33 BOULEVARD DES FARIGOULES</t>
  </si>
  <si>
    <t>AUBAGNE</t>
  </si>
  <si>
    <t>59 RUE DE LA CHATAIGNERAIE</t>
  </si>
  <si>
    <t>BEAUMONT</t>
  </si>
  <si>
    <t>69 RUE DE LA LOUVIERE</t>
  </si>
  <si>
    <t>67 AVENUE FOCH</t>
  </si>
  <si>
    <t>LA GARENNE COLOMBES</t>
  </si>
  <si>
    <t>AVENUE DES MASSETTES</t>
  </si>
  <si>
    <t>CHALLES LES EAUX</t>
  </si>
  <si>
    <t>RUE MARIE MARVINGT</t>
  </si>
  <si>
    <t>3 BOULEVARD DE LATTRE DE TASSIGNY</t>
  </si>
  <si>
    <t>SARCELLES</t>
  </si>
  <si>
    <t>58 BOULEVARD PASTEUR</t>
  </si>
  <si>
    <t>4 AVENUE MARX DORMOY</t>
  </si>
  <si>
    <t>CHAMPIGNY SUR MARNE</t>
  </si>
  <si>
    <t>1 BOULEVARD DU DOCTEUR SCHWEITZER</t>
  </si>
  <si>
    <t>8 RUE AMBROISE CROIZAT</t>
  </si>
  <si>
    <t>DESERTINES</t>
  </si>
  <si>
    <t>4 ALLEE ST JEAN DES VIGNES</t>
  </si>
  <si>
    <t>3 RUE DU CHENE GERMAIN</t>
  </si>
  <si>
    <t>CESSON SEVIGNE</t>
  </si>
  <si>
    <t>HOPITAL PRIVÉ DES COTES D'ARMOR</t>
  </si>
  <si>
    <t>10 RUE FRANCOIS JACOB</t>
  </si>
  <si>
    <t>HOPITAL PRIVÉ LE BOIS</t>
  </si>
  <si>
    <t>44 RUE MARX DORMOY</t>
  </si>
  <si>
    <t>PLACE DU DR BAYLAC</t>
  </si>
  <si>
    <t>RUE DU GENERAL KOENIG</t>
  </si>
  <si>
    <t>2 RUE RENE FRANCOIS-JOLLY</t>
  </si>
  <si>
    <t>SARREGUEMINES</t>
  </si>
  <si>
    <t>2 RUE DES PERES CAMILLIENS</t>
  </si>
  <si>
    <t>BRY SUR MARNE</t>
  </si>
  <si>
    <t>26 BOULEVARD DE LOUVAIN</t>
  </si>
  <si>
    <t>1 RUE JEAN BURGUET</t>
  </si>
  <si>
    <t>RUE DU DR SCHWEITZER</t>
  </si>
  <si>
    <t>LA ROCHELLE</t>
  </si>
  <si>
    <t>BOULEVARD CAMILLE BLANC</t>
  </si>
  <si>
    <t>SETE</t>
  </si>
  <si>
    <t>80 AVENUE AUGUSTIN FLICHE</t>
  </si>
  <si>
    <t>11 BOULEVARD LACORDAIRE</t>
  </si>
  <si>
    <t>ROUBAIX</t>
  </si>
  <si>
    <t>97 RUE CLAUDE BERNARD</t>
  </si>
  <si>
    <t>METZ</t>
  </si>
  <si>
    <t>607 AVENUE GENEVIEVE DE GAULLE</t>
  </si>
  <si>
    <t>ROMANS SUR ISERE</t>
  </si>
  <si>
    <t>65 AVENUE D ANGOULEME</t>
  </si>
  <si>
    <t>COGNAC</t>
  </si>
  <si>
    <t>3 AVENUE DE LA DAME</t>
  </si>
  <si>
    <t>THONON LES BAINS</t>
  </si>
  <si>
    <t>AVENUE GUIGONE DE SALINS</t>
  </si>
  <si>
    <t>BEAUNE</t>
  </si>
  <si>
    <t>122 AVENUE DU DOCTEUR MAURICE DONAT</t>
  </si>
  <si>
    <t>MOUGINS</t>
  </si>
  <si>
    <t>12 IMPASSE DU LIDO</t>
  </si>
  <si>
    <t>96 AVENUE DES CAILLOLS</t>
  </si>
  <si>
    <t>184 RUE DU FAUBOURG SAINT ANTOINE</t>
  </si>
  <si>
    <t>4 RUE DE LA CHINE</t>
  </si>
  <si>
    <t>26 AVENUE DU DR ARNOLD NETTER</t>
  </si>
  <si>
    <t>51 AVENUE MAL DE LATTRE DE TASSIGNY</t>
  </si>
  <si>
    <t>149 RUE DE SEVRES</t>
  </si>
  <si>
    <t>9 AVENUE CHARLES DE GAULLE</t>
  </si>
  <si>
    <t>27 RUE DU FAUBOURG SAINT JACQUES</t>
  </si>
  <si>
    <t>100 BOULEVARD DU GÉNÉRAL LECLERC</t>
  </si>
  <si>
    <t>46 RUE HENRI HUCHARD</t>
  </si>
  <si>
    <t>178 RUE DES RENOUILLIERS</t>
  </si>
  <si>
    <t>COLOMBES</t>
  </si>
  <si>
    <t>125 RUE DE STALINGRAD</t>
  </si>
  <si>
    <t>157 RUE DE LA PTE DE TRIVAUX</t>
  </si>
  <si>
    <t>CLAMART</t>
  </si>
  <si>
    <t>78 AVENUE DU GENERAL LECLERC</t>
  </si>
  <si>
    <t>LE KREMLIN BICETRE</t>
  </si>
  <si>
    <t>12 AVENUE PAUL VAILLANT COUTURIER</t>
  </si>
  <si>
    <t>47 BOULEVARD DE L HOPITAL</t>
  </si>
  <si>
    <t>48 BOULEVARD SERURIER</t>
  </si>
  <si>
    <t>1 AVENUE CLAUDE VELLEFAUX</t>
  </si>
  <si>
    <t>HÔPITAL PRIVÉ OCÉANE</t>
  </si>
  <si>
    <t>11 RUE DU DR JOSEPH AUDIC</t>
  </si>
  <si>
    <t>208 RUE DES APOTHICAIRES</t>
  </si>
  <si>
    <t>15 RUE ANDRE BOCQUEL</t>
  </si>
  <si>
    <t>1 PLACE JOSEPH RENAUT</t>
  </si>
  <si>
    <t>1 CHEMIN DU PENTHOD</t>
  </si>
  <si>
    <t>CALUIRE ET CUIRE</t>
  </si>
  <si>
    <t>229 COURS DE L'ARGONNE</t>
  </si>
  <si>
    <t>108B AVENUE ALBERT RAIMOND</t>
  </si>
  <si>
    <t>6 AVENUE DE BOURGOGNE</t>
  </si>
  <si>
    <t>1 RUE DU GENERAL KOENIG</t>
  </si>
  <si>
    <t>39 RUE CAMILLE DESMOULINS</t>
  </si>
  <si>
    <t>232 BOULEVARD DE SAINTE MARGUERITE</t>
  </si>
  <si>
    <t>250 CHEMIN DE BAIGNE PIEDS</t>
  </si>
  <si>
    <t>RUE DU PROFESSEUR HENRI PUJOL</t>
  </si>
  <si>
    <t>1 RUE HENRI BECQUEREL</t>
  </si>
  <si>
    <t>MONTBELIARD</t>
  </si>
  <si>
    <t>158 RUE LEON BLUM</t>
  </si>
  <si>
    <t>201 RUE ROBESPIERRE</t>
  </si>
  <si>
    <t>8 AVENUE VAUBAN</t>
  </si>
  <si>
    <t>1 AVENUE IRENE JOLIOT CURIE</t>
  </si>
  <si>
    <t>553 AVENUE JACQUELINE AURIOL</t>
  </si>
  <si>
    <t>SARAN</t>
  </si>
  <si>
    <t>105 AVENUE DE LA REPUBLIQUE</t>
  </si>
  <si>
    <t>32 AVENUE ENSEIGNE ALBERTINI</t>
  </si>
  <si>
    <t>12B CHEMIN DE L'ORMEAU</t>
  </si>
  <si>
    <t>ROUTE DE BRAM</t>
  </si>
  <si>
    <t>CARCASSONNE</t>
  </si>
  <si>
    <t>RUE DE LA MARGERIDE</t>
  </si>
  <si>
    <t>BOUJAN SUR LIBRON</t>
  </si>
  <si>
    <t>33 RUE DU DOCTEUR FINLAY</t>
  </si>
  <si>
    <t>235 ALLEE NICOLAS DE STAEL</t>
  </si>
  <si>
    <t>1 RUE ROBERT DEBRE</t>
  </si>
  <si>
    <t>LA CHAUSSEE SAINT VICTOR</t>
  </si>
  <si>
    <t>24 RUE DES CAVAILLES</t>
  </si>
  <si>
    <t>LORMONT</t>
  </si>
  <si>
    <t>POLYCLINIQUE CÔTE BASQUE SUD</t>
  </si>
  <si>
    <t>7 RUE LEONCE GOYETCHE</t>
  </si>
  <si>
    <t>SAINT JEAN DE LUZ</t>
  </si>
  <si>
    <t>38 RUE DE COURLANCY</t>
  </si>
  <si>
    <t>120 ANCIENNE ROUTE DE BEAUJEU</t>
  </si>
  <si>
    <t>ARNAS</t>
  </si>
  <si>
    <t>2 AVENUE DES SABLES</t>
  </si>
  <si>
    <t>20 AVENUE CAPITAINE GEORGES GUYNEMER</t>
  </si>
  <si>
    <t>18 COURS GENERAL DE GAULLE</t>
  </si>
  <si>
    <t>49 BOULEVARD JEROME TRESAGUET</t>
  </si>
  <si>
    <t>44 RUE AMBROISE PARÉ</t>
  </si>
  <si>
    <t>4 PLACE FRANCHEVILLE</t>
  </si>
  <si>
    <t>PERIGUEUX</t>
  </si>
  <si>
    <t>9 AVENUE DU ROSE POIRIER</t>
  </si>
  <si>
    <t>75 ALLEE DES AILES</t>
  </si>
  <si>
    <t>13 RUE MARCEL PAUL</t>
  </si>
  <si>
    <t>BASTIA</t>
  </si>
  <si>
    <t>65 RUE DES CONTAMINES</t>
  </si>
  <si>
    <t>RILLIEUX LA PAPE</t>
  </si>
  <si>
    <t>40 BOULEVARD ALSACE LORRAINE</t>
  </si>
  <si>
    <t>POLYCLINIQUE SAINT CÔME</t>
  </si>
  <si>
    <t>7 RUE JEAN-JACQUES BERNARD</t>
  </si>
  <si>
    <t>81 AVENUE DU DOCTEUR MAURICE DONAT</t>
  </si>
  <si>
    <t>CAGNES SUR MER</t>
  </si>
  <si>
    <t>320 AVENUE GENERAL GEORGES PATTON</t>
  </si>
  <si>
    <t>32 AVENUE PROFESSEUR ETIENNE SORREL</t>
  </si>
  <si>
    <t>5 AVENUE FONTAINE STE MARGUERITE</t>
  </si>
  <si>
    <t>1 AVENUE DU PROF ALEXANDRE MINKOWSKI</t>
  </si>
  <si>
    <t>100 ROUTE D ASSEVENT</t>
  </si>
  <si>
    <t>MAUBEUGE</t>
  </si>
  <si>
    <t>UNITÉ CHIMIO CH LAVAL SITE POLYCL DU M</t>
  </si>
  <si>
    <t>4 AVENUE DES FRANÇAIS LIBRES</t>
  </si>
  <si>
    <t>LAVAL</t>
  </si>
  <si>
    <t>Why?</t>
  </si>
  <si>
    <t>C.H FOUGERES</t>
  </si>
  <si>
    <t>VITRÉ HOSPITAL CENTER</t>
  </si>
  <si>
    <t>HEART OF CORREZE HOSPITAL</t>
  </si>
  <si>
    <t>ARGENTAN HOSPITAL</t>
  </si>
  <si>
    <t>LAVAL HOSPITAL CENTRE</t>
  </si>
  <si>
    <t>MARMANDE HOSPITAL CENTER - CHIC</t>
  </si>
  <si>
    <t>PLOERMEL HOSPITAL CENTER</t>
  </si>
  <si>
    <t>REMIREMONT HOSPITAL</t>
  </si>
  <si>
    <t>LE MANS HOSPITAL</t>
  </si>
  <si>
    <t>GUERET HOSPITAL CENTER</t>
  </si>
  <si>
    <t>GUINGAMP HOSPITAL CENTER</t>
  </si>
  <si>
    <t>JONZAC HOSPITAL CENTER</t>
  </si>
  <si>
    <t>SAINT CHARLES TOUL HOSPITAL CENTER</t>
  </si>
  <si>
    <t>SAINT JUNIEN HOSPITAL CENTER</t>
  </si>
  <si>
    <t>MEDICAL AND SURGICAL CENTRE OF LE MANS</t>
  </si>
  <si>
    <t>CH ARDECHE NORD</t>
  </si>
  <si>
    <t>CH ARMENTIÈRES</t>
  </si>
  <si>
    <t>CH D'ALBERTVILLE</t>
  </si>
  <si>
    <t>BRIEY HOSPITAL - MAILLOT HOSPITAL</t>
  </si>
  <si>
    <t>CH OF FIRMINY</t>
  </si>
  <si>
    <t>CH DE SAINT-FLOUR</t>
  </si>
  <si>
    <t>CH DOURDAN ETAMPES SITE ETAMPES</t>
  </si>
  <si>
    <t>CH DU FOREZ SITE DE MONTBRISON</t>
  </si>
  <si>
    <t>CH HAUT ANJOU SITE CHATEAU GONTIER</t>
  </si>
  <si>
    <t>CH JEAN MARCEL DE BRIGNOLES</t>
  </si>
  <si>
    <t>CH LOUIS PASTEUR DOLE</t>
  </si>
  <si>
    <t>CH LVO - SITE DE CHALLANS</t>
  </si>
  <si>
    <t>CH MILLAU</t>
  </si>
  <si>
    <t>CH ND MERCY</t>
  </si>
  <si>
    <t>CH PAUL ARDIER ISSOIRE</t>
  </si>
  <si>
    <t>CH ROMORANTIN-LANTHENAY</t>
  </si>
  <si>
    <t>CH SECLIN</t>
  </si>
  <si>
    <t>CHAG - SITE AVRANCHES</t>
  </si>
  <si>
    <t>CHBA SITE OF VANNES</t>
  </si>
  <si>
    <t>CHI DE CRÉTEIL</t>
  </si>
  <si>
    <t>CHI DE FRÉJUS SAINT RAPHAEL</t>
  </si>
  <si>
    <t>CHI DE MANOSQUE LOUIS RAFFALLI</t>
  </si>
  <si>
    <t>CHI DE MEULAN LES MUREAUX</t>
  </si>
  <si>
    <t>CHI LUCIE AND RAYMOND AUBRAC</t>
  </si>
  <si>
    <t>CHI MONT DE MARSAN AND LAND OF SPRINGS</t>
  </si>
  <si>
    <t>CHI POISSY ST GERMAIN SITE OF POISSY</t>
  </si>
  <si>
    <t>CHI SITE OF AIX EN PROVENCE</t>
  </si>
  <si>
    <t>CHICAM - SITE ALENÇON</t>
  </si>
  <si>
    <t>CHR LILLE</t>
  </si>
  <si>
    <t>CHRU BREST SITE HOPITAL CAVALE BLANCHE</t>
  </si>
  <si>
    <t>CHRU NANCY - CENTRAL HOSPITAL</t>
  </si>
  <si>
    <t>CHRU NANCY - BRABOIS HOSPITALS</t>
  </si>
  <si>
    <t>NICE UNIVERSITY HOSPITAL</t>
  </si>
  <si>
    <t>JEAN MINJOZ BESANÇON UNIVERSITY HOSPITAL</t>
  </si>
  <si>
    <t>CHU SITE FÉLIX GUYON (SAINT DENIS)</t>
  </si>
  <si>
    <t>CL AMBROISE PARE TOULOUSE</t>
  </si>
  <si>
    <t>CL BEAUTIFUL SUN</t>
  </si>
  <si>
    <t>CL CAPIO THE CROSS OF THE SOUTH QUINT FONSEGR</t>
  </si>
  <si>
    <t>CL CROIX ST MICHEL DR BOYE MONTAUBAN</t>
  </si>
  <si>
    <t>CL DES CÈDRES CORNEBARRIEU</t>
  </si>
  <si>
    <t>CL OF THE MILLENNIUM MONTPELLIER</t>
  </si>
  <si>
    <t>CL MUTUALISTE CATALANE PERPIGNAN</t>
  </si>
  <si>
    <t>CL THATCHED BRIDGE MONTAUBAN</t>
  </si>
  <si>
    <t>CL RIVE GAUCHE TOULOUSE</t>
  </si>
  <si>
    <t>CL ST JEAN SUD DE FRANCE</t>
  </si>
  <si>
    <t>CL ST LOUIS GANGES</t>
  </si>
  <si>
    <t>CLCC GEORGES-FRANÇOIS LECLERC</t>
  </si>
  <si>
    <t>AMBROISE PARÉ CLINIC</t>
  </si>
  <si>
    <t>AMBROISE PARÉ CLINIC IN THIONVILLE</t>
  </si>
  <si>
    <t>AXIUM CLINIC</t>
  </si>
  <si>
    <t>BELLEDONNE CLINIC</t>
  </si>
  <si>
    <t>BOUCHARD CLINIC</t>
  </si>
  <si>
    <t>LOIRE SURGICAL CLINIC</t>
  </si>
  <si>
    <t>SURGICAL CLINIC OF SAINT-OMER</t>
  </si>
  <si>
    <t>VAL D OR SURGICAL CLINIC</t>
  </si>
  <si>
    <t>PORTE OCEANE SURGICAL CLINIC</t>
  </si>
  <si>
    <t>CONTI CLINIC</t>
  </si>
  <si>
    <t>ALENÇON CLINIC</t>
  </si>
  <si>
    <t>ARGONAY CLINIC</t>
  </si>
  <si>
    <t>ORANGE CLINIC</t>
  </si>
  <si>
    <t>BERCY CLINIC</t>
  </si>
  <si>
    <t>CLINIQUE DE L YVETTE</t>
  </si>
  <si>
    <t>CLINIQUE DE L'EUROPE ROUEN</t>
  </si>
  <si>
    <t>CLINIQUE DE LA MARCHE GUERET</t>
  </si>
  <si>
    <t>CLINIQUE DE LA PLAINE</t>
  </si>
  <si>
    <t>CLINIQUE DE LA REGION MANTAISE</t>
  </si>
  <si>
    <t>CLINIQUE DES GRAINETIERES</t>
  </si>
  <si>
    <t>CLINIQUE DU PARC SAINT-LAZARE</t>
  </si>
  <si>
    <t>CLINIQUE DU PARC ST PRIEST EN JAREZ</t>
  </si>
  <si>
    <t>RENAISON CLINIC</t>
  </si>
  <si>
    <t>CLINIQUE DU SAINT COEUR - VENDÔME</t>
  </si>
  <si>
    <t>CLINIQUE DU VAL D'OUEST VENDÔME</t>
  </si>
  <si>
    <t>VIVARAIS SAINT DOMINIQUE CLINIC</t>
  </si>
  <si>
    <t>ESQUIROL-SAINT-HILAIRE CLINIC</t>
  </si>
  <si>
    <t>FRANÇOIS CHENIEUX CLINIC</t>
  </si>
  <si>
    <t>ANNECY GENERAL CLINIC</t>
  </si>
  <si>
    <t>GENERAL CLINIC OF MARIGNANE</t>
  </si>
  <si>
    <t>JEANNE D'ARC CLINIC - ST BENOIT</t>
  </si>
  <si>
    <t>KENNEDY CLINIC</t>
  </si>
  <si>
    <t>L'ARCHETTE CLINIC</t>
  </si>
  <si>
    <t>LA PARISIERE CLINIC</t>
  </si>
  <si>
    <t>CLINIQUE LES CÈDRES BRIVE</t>
  </si>
  <si>
    <t>LES ORCHIDÉES CLINIC</t>
  </si>
  <si>
    <t>LES ORMEAUX-VAUBAN CLINIC LE HAVRE</t>
  </si>
  <si>
    <t>LOUIS PASTEUR CLINIC</t>
  </si>
  <si>
    <t>MARCEL SEMBAT CCBB CLINIC</t>
  </si>
  <si>
    <t>MATHILDE CLINIC ROUEN</t>
  </si>
  <si>
    <t>CLINIQUE MEDICO CHIRURG LES FONTAINES</t>
  </si>
  <si>
    <t>CHARCOT MEDICAL-SURGICAL CLINIC</t>
  </si>
  <si>
    <t>MEGIVAL CLINIC</t>
  </si>
  <si>
    <t>CLINIQUE MUTUALISTE BENIGNÉ JOLY</t>
  </si>
  <si>
    <t>CLINIQUE MUTUALISTE DE LA SAGESSE</t>
  </si>
  <si>
    <t>PESSAC MUTUAL CLINIC</t>
  </si>
  <si>
    <t>JULES VERNE MUTUAL CLINIC</t>
  </si>
  <si>
    <t>MFL SSAM MUTUAL CLINIC</t>
  </si>
  <si>
    <t>CLINIQUE NOTRE DAME - VIRE</t>
  </si>
  <si>
    <t>PASTEUR CLINIC</t>
  </si>
  <si>
    <t>PASTEUR LANROZE CLINIC</t>
  </si>
  <si>
    <t>PAUL PICQUET SENS CLINIC</t>
  </si>
  <si>
    <t>RHENA CLINIC GCS ES</t>
  </si>
  <si>
    <t>SAINT AME CLINIC</t>
  </si>
  <si>
    <t>SAINT CHARLES CLINIC</t>
  </si>
  <si>
    <t>SAINT FRANÇOIS CLINIC</t>
  </si>
  <si>
    <t>SAINT GEORGE CLINIC</t>
  </si>
  <si>
    <t>SAINT JEAN L ERMITAGE CLINIC</t>
  </si>
  <si>
    <t>SAINT JOSEPH CLINIC</t>
  </si>
  <si>
    <t>SAINT LOUIS CLINIC</t>
  </si>
  <si>
    <t>SAINT PAUL CLINIC</t>
  </si>
  <si>
    <t>SAINT VINCENT BESANÇON CLINIC</t>
  </si>
  <si>
    <t>CLINIQUE SAINTE MARIE</t>
  </si>
  <si>
    <t>SAINTE-BARBE CLINIC</t>
  </si>
  <si>
    <t>CLINIQUE SUD VENDÉE</t>
  </si>
  <si>
    <t>TURIN CLINIC</t>
  </si>
  <si>
    <t>VICTOR PAUCHET CLINIC IN BUTLER</t>
  </si>
  <si>
    <t>VILLENEUVE SAINT GEORGES CLINIC</t>
  </si>
  <si>
    <t>CLINISUD</t>
  </si>
  <si>
    <t>ETAB. PASTEUR CARE - ROYAN</t>
  </si>
  <si>
    <t>TER CLINICAL GCS</t>
  </si>
  <si>
    <t>GCS DU MARSAN</t>
  </si>
  <si>
    <t>GCS PRIVATE HOSPITAL OF L'AUBE SITE CLQ</t>
  </si>
  <si>
    <t>GCS PÔLE DE SANTÉ SUD 52 - CH CHAUMONT</t>
  </si>
  <si>
    <t>ALBERT SCHWEITZER HOSPITAL</t>
  </si>
  <si>
    <t>AMERICAN HOSPITAL 2</t>
  </si>
  <si>
    <t>BEL AIR HOSPITAL OF THIONVILLE - CHR</t>
  </si>
  <si>
    <t>CHARLES NICOLLE HOSPITAL ROUEN UNIVERSITY HOSPITAL</t>
  </si>
  <si>
    <t>CIVIL HOSPITAL / NEW CIVIL HOSPITAL</t>
  </si>
  <si>
    <t>CROIX-ROUSSE HOSPITAL - HCL</t>
  </si>
  <si>
    <t>HAUTEPIERRE HOSPITAL</t>
  </si>
  <si>
    <t>SAINT SIMON CROSS HOSPITAL</t>
  </si>
  <si>
    <t>RANGUEIL HOSPITAL TOULOUSE UNIVERSITY HOSPITAL</t>
  </si>
  <si>
    <t>SAINT AVOLD HOSPITAL - SOS SANTÉ</t>
  </si>
  <si>
    <t>EDOUARD HERRIOT HOSPITAL - HCL</t>
  </si>
  <si>
    <t>EMILE MULLER HOSPITAL</t>
  </si>
  <si>
    <t>ESTAING HOSPITAL - CHU63</t>
  </si>
  <si>
    <t>EUROPEAN HOSPITAL</t>
  </si>
  <si>
    <t>EUROPEAN HOSPITAL LA ROSERAIE</t>
  </si>
  <si>
    <t>WOMEN'S MOTHER AND CHILD HOSPITAL - HCL</t>
  </si>
  <si>
    <t>FOCH HOSPITAL</t>
  </si>
  <si>
    <t>FRANC BRITISH HOSPITAL FCJ KLEBER</t>
  </si>
  <si>
    <t>HAUT-LÉVÊQUE HOSPITAL - CHU</t>
  </si>
  <si>
    <t>JACQUES MONOD HOSPITAL IN LE HAVRE</t>
  </si>
  <si>
    <t>JOSEPH DUCUING HOSPITAL TOULOUSE</t>
  </si>
  <si>
    <t>ARMAND BRILLARD PRIVATE HOSPITAL</t>
  </si>
  <si>
    <t>PRIVATE HOSPITAL ARRAS LES BONNETTES</t>
  </si>
  <si>
    <t>CANNES OXFORD PRIVATE HOSPITAL</t>
  </si>
  <si>
    <t>CLAUDE GALIEN PRIVATE HOSPITAL</t>
  </si>
  <si>
    <t>ANTONY PRIVATE HOSPITAL</t>
  </si>
  <si>
    <t>PRIVATE HOSPITAL OF AMBERIEU</t>
  </si>
  <si>
    <t>PRIVATE HOSPITAL OF EURE ET LOIR</t>
  </si>
  <si>
    <t>BOIS BERNARD PRIVATE HOSPITAL</t>
  </si>
  <si>
    <t>PRIVATE HOSPITAL IN EASTERN PARIS</t>
  </si>
  <si>
    <t>PRIVATE HOSPITAL IN THE WEST OF PARIS</t>
  </si>
  <si>
    <t>PRIVATE HOSPITAL OF EASTERN LYON (HPEL)</t>
  </si>
  <si>
    <t>PRIVATE ESTUARY HOSPITAL</t>
  </si>
  <si>
    <t>PRIVATE BAY HOSPITAL</t>
  </si>
  <si>
    <t>PRIVATE HOSPITAL OF THE LOIRE</t>
  </si>
  <si>
    <t>PRIVATE HOSPITAL OF THE MANCHE</t>
  </si>
  <si>
    <t>MIOTTE PRIVATE HOSPITAL</t>
  </si>
  <si>
    <t>PRIVATE HOSPITAL OF THE SEINE SAINT DENIS</t>
  </si>
  <si>
    <t>PRIVATE HOSPITAL OF MARNE CHANTEREINE</t>
  </si>
  <si>
    <t>PARLY II PRIVATE HOSPITAL</t>
  </si>
  <si>
    <t>VILLENEUVE D'ASCQ PRIVATE HOSPITAL</t>
  </si>
  <si>
    <t>POPLAR PRIVATE HOSPITAL</t>
  </si>
  <si>
    <t>PRIVATE HOSPITAL DIJON BURGUNDY</t>
  </si>
  <si>
    <t>CONFLUENT PRIVATE HOSPITAL</t>
  </si>
  <si>
    <t>GRAND NARBONNE PRIVATE HOSPITAL</t>
  </si>
  <si>
    <t>VAL D YERRES PRIVATE HOSPITAL</t>
  </si>
  <si>
    <t>VERT GALANT PRIVATE HOSPITAL</t>
  </si>
  <si>
    <t>FRANCISCAN PRIVATE HOSPITAL</t>
  </si>
  <si>
    <t>GEOFFROY SAINT HILAIRE PRIVATE HOSPITAL</t>
  </si>
  <si>
    <t>GUILLAUME DE VARYE PRIVATE HOSPITAL</t>
  </si>
  <si>
    <t>JACQUES CARTIER PRIVATE HOSPITAL</t>
  </si>
  <si>
    <t>JEAN MERMOZ PRIVATE HOSPITAL</t>
  </si>
  <si>
    <t>PRIVATE HOSPITAL IN CASAMANCE</t>
  </si>
  <si>
    <t>LA CHATAIGNERAIE PRIVATE HOSPITAL</t>
  </si>
  <si>
    <t>LA LOUVIÈRE PRIVATE HOSPITAL</t>
  </si>
  <si>
    <t>PRIVATE HOSPITAL LA MONTAGNE LAMBERT</t>
  </si>
  <si>
    <t>PRIVATE HOSPITAL LES FRANCISCAINES NÎMES</t>
  </si>
  <si>
    <t>MEDIPOLE DE SAVOIE PRIVATE HOSPITAL</t>
  </si>
  <si>
    <t>PRIVATE HOSPITAL NANCY LORRAINE</t>
  </si>
  <si>
    <t>PRIVATE HOSPITAL NORTH PARIS</t>
  </si>
  <si>
    <t>PASTEUR EVREUX PRIVATE HOSPITAL</t>
  </si>
  <si>
    <t>PAUL D EGINA PRIVATE HOSPITAL</t>
  </si>
  <si>
    <t>SAINT CLAUDE PRIVATE HOSPITAL</t>
  </si>
  <si>
    <t>SAINT-FRANÇOIS PRIVATE HOSPITAL</t>
  </si>
  <si>
    <t>SAINTE MARIE PRIVATE HOSPITAL</t>
  </si>
  <si>
    <t>SÉVIGNÉ PRIVATE HOSPITAL</t>
  </si>
  <si>
    <t>PRIVATE HOSPITAL ST MARTIN-CAEN</t>
  </si>
  <si>
    <t>TOULON HYÈRES SAINT JEAN PRIVATE HOSPITAL</t>
  </si>
  <si>
    <t>WALLERSTEIN PRIVATE HOSPITAL</t>
  </si>
  <si>
    <t>COTES D'ARMOR PRIVATE HOSPITAL</t>
  </si>
  <si>
    <t>PRIVATE HOSPITAL LE BOIS</t>
  </si>
  <si>
    <t>PURPAN HOSPITAL CHU TOULOUSE</t>
  </si>
  <si>
    <t>ROBERT DEBRE HOSPITAL REIMS UNIVERSITY HOSPITAL</t>
  </si>
  <si>
    <t>ROBERT PAX HOSPITAL IN SARREGUEMINES</t>
  </si>
  <si>
    <t>SAINT CAMILLE HOSPITAL</t>
  </si>
  <si>
    <t>SAINT JOSEPH HOSPITAL</t>
  </si>
  <si>
    <t>SAINT-LOUIS HOSPITAL - LA ROCHELLE</t>
  </si>
  <si>
    <t>HOSPITAL ST CLAIR HBT SETE</t>
  </si>
  <si>
    <t>ST ELOI HOSPITAL CHU MONTPELLIER</t>
  </si>
  <si>
    <t>VICTOR PROVO HOSPITAL</t>
  </si>
  <si>
    <t>CLAUDE BERNARD HOSPITAL-CLINIC</t>
  </si>
  <si>
    <t>MONT BLANC HOSPITALS SALLANCHES SITE</t>
  </si>
  <si>
    <t>HOTEL DIEU DU CREUSOT</t>
  </si>
  <si>
    <t>PROTESTANT INFIRMARY</t>
  </si>
  <si>
    <t>ARNAULT TZANCK INSTITUTE</t>
  </si>
  <si>
    <t>BERGONIE INSTITUTE</t>
  </si>
  <si>
    <t>CANCER INSTITUTE OF LORRAINE</t>
  </si>
  <si>
    <t>GODINOT INSTITUTE</t>
  </si>
  <si>
    <t>MEDIPOLE PRIVATE HOSPITAL</t>
  </si>
  <si>
    <t>NEW CL BONNEFON ALES</t>
  </si>
  <si>
    <t>NEW CHARTREUSE CLINIC</t>
  </si>
  <si>
    <t>ORELIANCE - LONG ALLEYS</t>
  </si>
  <si>
    <t>REPUBLIC HEALTH DIVISION</t>
  </si>
  <si>
    <t>SARTHE ET LOIR HEALTH CENTRE</t>
  </si>
  <si>
    <t>POLYCL L'ORMEAU SITE PYRENEES TARBES</t>
  </si>
  <si>
    <t>POLYCL MEDIPOLE ST ROCH CABESTANY</t>
  </si>
  <si>
    <t>POLYCL STE THERESE SETE</t>
  </si>
  <si>
    <t>BLOIS POLYCLINIC</t>
  </si>
  <si>
    <t>INKERMANN POLYCLINIC</t>
  </si>
  <si>
    <t>POLYCLINIC OF DEAUVILLE-CRICQUEBOEUF</t>
  </si>
  <si>
    <t>FRANCHE COMTE POLYCLINIC</t>
  </si>
  <si>
    <t>POLYCLINIC OF KERAUDREN</t>
  </si>
  <si>
    <t>POLYCLINIC OF KERIO</t>
  </si>
  <si>
    <t>POLYCLINIC OF EUROPE</t>
  </si>
  <si>
    <t>POLYCLINIC OF LISIEUX</t>
  </si>
  <si>
    <t>POLYCLINIC OF PICARDY</t>
  </si>
  <si>
    <t>POLYCLINIC OF POITIERS</t>
  </si>
  <si>
    <t>POLYCLINIC OF THE COTENTIN</t>
  </si>
  <si>
    <t>POLYCLINIC OF MAINE</t>
  </si>
  <si>
    <t>POLYCLINIC OF THE PAYS DE RANCE</t>
  </si>
  <si>
    <t>POLYCLINIQUE DU SIDOBRE CASTRES</t>
  </si>
  <si>
    <t>POLYCLINIC OF THE LOIRE VALLEY</t>
  </si>
  <si>
    <t>POLYCLINIC OF VAL DE SAONE</t>
  </si>
  <si>
    <t>FRANCHEVILLE POLYCLINIC</t>
  </si>
  <si>
    <t>POLYCLINIQUE GRAND SUD NIMES</t>
  </si>
  <si>
    <t>LA PERGOLA POLYCLINIC</t>
  </si>
  <si>
    <t>POLYCLINIQUE LA RÉSIDENCE MAYMARD</t>
  </si>
  <si>
    <t>POLYCLINIQUE MED CHIR D'HENIN-BEAUMONT</t>
  </si>
  <si>
    <t>MALARTIC MUTUAL POLYCLINIC</t>
  </si>
  <si>
    <t>POLYCLINIQUE REIMS - BEZANNES</t>
  </si>
  <si>
    <t>SAINT GEORGES POLYCLINIC</t>
  </si>
  <si>
    <t>SAINT JEAN POLYCLINIC</t>
  </si>
  <si>
    <t>SAINT-ODILON POLYCLINIC</t>
  </si>
  <si>
    <t>SANTA MARIA POLYCLINIC</t>
  </si>
  <si>
    <t>POLYCLINIC STE MARGUERITE AUXERRE</t>
  </si>
  <si>
    <t>URBAN POLYCLINIC V</t>
  </si>
  <si>
    <t>VAUBAN POLYCLINIC</t>
  </si>
  <si>
    <t>HIS SAINTE-ISABELLE</t>
  </si>
  <si>
    <t>HEALTH ATLANTIC</t>
  </si>
  <si>
    <t>SAS CLINIQUE DE LA BAIE</t>
  </si>
  <si>
    <t>JEANNE D'ARC GIEN SITE - CHRU ORLÉANS</t>
  </si>
  <si>
    <t>SYNERGIA LUBERON</t>
  </si>
  <si>
    <t>133 RUE DE LA FORET</t>
  </si>
  <si>
    <t>FOUGÈRES</t>
  </si>
  <si>
    <t>30 ROUTE DE RENNES</t>
  </si>
  <si>
    <t>VITRE</t>
  </si>
  <si>
    <t>3 PLACE DOCTEUR MASCHAT</t>
  </si>
  <si>
    <t>TULLE</t>
  </si>
  <si>
    <t>47 RUE ARISTIDE BRIAND</t>
  </si>
  <si>
    <t>ARGENTAN</t>
  </si>
  <si>
    <t>33 RUE DU HAUT ROCHER</t>
  </si>
  <si>
    <t>76 RUE DOCTEUR COURRET</t>
  </si>
  <si>
    <t>MARMANDE</t>
  </si>
  <si>
    <t>7 RUE DU ROI ARTHUR</t>
  </si>
  <si>
    <t>PLOËRMEL</t>
  </si>
  <si>
    <t>1 RUE GEORGES LANG</t>
  </si>
  <si>
    <t>REMIREMONT</t>
  </si>
  <si>
    <t>194 AVENUE RUBILLARD</t>
  </si>
  <si>
    <t>39 AVENUE DE LA SENATORERIE</t>
  </si>
  <si>
    <t>GUERET</t>
  </si>
  <si>
    <t>17 RUE DE L'ARMOR</t>
  </si>
  <si>
    <t>GUINGAMP</t>
  </si>
  <si>
    <t>AVENUE WINSTON CHURCHILL</t>
  </si>
  <si>
    <t>JONZAC</t>
  </si>
  <si>
    <t>1 COURS RAYMOND POINCARÉ</t>
  </si>
  <si>
    <t>TOUL</t>
  </si>
  <si>
    <t>12 RUE CHATEAUBRIAND</t>
  </si>
  <si>
    <t>SAINT JUNIEN</t>
  </si>
  <si>
    <t>28 RUE DE GUETTELOUP</t>
  </si>
  <si>
    <t>RUE DU BON PASTEUR</t>
  </si>
  <si>
    <t>ANNONAY</t>
  </si>
  <si>
    <t>112 RUE SADI CARNOT</t>
  </si>
  <si>
    <t>ARMENTIÈRES</t>
  </si>
  <si>
    <t>700 AVENUE DE NARVIK</t>
  </si>
  <si>
    <t>BELLEY</t>
  </si>
  <si>
    <t>253 RUE PIERRE DE COUBERTIN</t>
  </si>
  <si>
    <t>ALBERTVILLE</t>
  </si>
  <si>
    <t>31 AVENUE ALBERT DE BRIEY</t>
  </si>
  <si>
    <t>BRIEY</t>
  </si>
  <si>
    <t>2 RUE ROBERT PLOTON</t>
  </si>
  <si>
    <t>FIRMINY</t>
  </si>
  <si>
    <t>AVENUE DOCTEUR MALLET</t>
  </si>
  <si>
    <t>SAINT FLOUR</t>
  </si>
  <si>
    <t>26 AVENUE CHARLES DE GAULLE</t>
  </si>
  <si>
    <t>ETAMPES</t>
  </si>
  <si>
    <t>AVENUE DES MONTS DU SOIR</t>
  </si>
  <si>
    <t>MONTBRISON</t>
  </si>
  <si>
    <t>1 QUAI G LEFEVRE</t>
  </si>
  <si>
    <t>CHATEAU GONTIER</t>
  </si>
  <si>
    <t>BOULEVARD JOSEPH MONNIER</t>
  </si>
  <si>
    <t>BRIGNOLES</t>
  </si>
  <si>
    <t>AVENUE DE LAVOISIER</t>
  </si>
  <si>
    <t>ORANGE</t>
  </si>
  <si>
    <t>AVENUE LEON JOUHAUX</t>
  </si>
  <si>
    <t>DOLE</t>
  </si>
  <si>
    <t>BOULEVARD GUERIN</t>
  </si>
  <si>
    <t>CHALLANS</t>
  </si>
  <si>
    <t>265 BOULEVARD ACHILLE SOUQUES</t>
  </si>
  <si>
    <t>MILLAU</t>
  </si>
  <si>
    <t>1180 ROUTE DE MADUNUCCIA</t>
  </si>
  <si>
    <t>AJACCIO</t>
  </si>
  <si>
    <t>13 RUE DU DR SAUVAT</t>
  </si>
  <si>
    <t>ISSOIRE</t>
  </si>
  <si>
    <t>96 RUE DES CAPUCINS</t>
  </si>
  <si>
    <t>ROMORANTIN LANTHENAY</t>
  </si>
  <si>
    <t>RUE D'APOLDA</t>
  </si>
  <si>
    <t>SECLIN</t>
  </si>
  <si>
    <t>59 RUE DE LA LIBERTÉ</t>
  </si>
  <si>
    <t>20 BOULEVARD GÉNÉRAL MAURICE GUILLAUDOT</t>
  </si>
  <si>
    <t>RUE AUGUSTE GIRARD</t>
  </si>
  <si>
    <t>MANOSQUE</t>
  </si>
  <si>
    <t>1 RUE DU FORT</t>
  </si>
  <si>
    <t>MEULAN EN YVELINES</t>
  </si>
  <si>
    <t>40 ALLÉE DE LA SOURCE</t>
  </si>
  <si>
    <t>10 RUE DU CHAMP GAILLARD</t>
  </si>
  <si>
    <t>POISSY</t>
  </si>
  <si>
    <t>ALENÇON</t>
  </si>
  <si>
    <t>2 AVENUE OSCAR LAMBRET</t>
  </si>
  <si>
    <t>BOULEVARD TANGUY PRIGENT</t>
  </si>
  <si>
    <t>ALLÉE DES TOPAZES</t>
  </si>
  <si>
    <t>387 ROUTE DE SAINT SIMON</t>
  </si>
  <si>
    <t>119 AVENUE DE LODÈVE</t>
  </si>
  <si>
    <t>220 BOULEVARD PENELOPE</t>
  </si>
  <si>
    <t>60 RUE LOUIS MOUILLARD</t>
  </si>
  <si>
    <t>49 ALLEE CHARLES DE FITTE</t>
  </si>
  <si>
    <t>1 PLACE DE L'EUROPE</t>
  </si>
  <si>
    <t>SAINT JEAN DE VEDAS</t>
  </si>
  <si>
    <t>13 PLACE JOSEPH BOUDOURESQUES</t>
  </si>
  <si>
    <t>GANGES</t>
  </si>
  <si>
    <t>21 ROUTE DE GUENTRANGE</t>
  </si>
  <si>
    <t>21 AVENUE ALFRED CAPUS</t>
  </si>
  <si>
    <t>83 AVENUE GABRIEL PERI</t>
  </si>
  <si>
    <t>SAINT MARTIN D HERES</t>
  </si>
  <si>
    <t>77 RUE DU DOCTEUR ESCAT</t>
  </si>
  <si>
    <t>RUE DES ROLLETIÈRES</t>
  </si>
  <si>
    <t>SAUMUR</t>
  </si>
  <si>
    <t>71 RUE AMBROISE PARÉ</t>
  </si>
  <si>
    <t>SAINT OMER</t>
  </si>
  <si>
    <t>14 RUE PASTEUR</t>
  </si>
  <si>
    <t>LES SABLES D OLONNE</t>
  </si>
  <si>
    <t>3 CHEMIN DES TROIS SOURCES</t>
  </si>
  <si>
    <t>L ISLE ADAM</t>
  </si>
  <si>
    <t>62 RUE CANDIE</t>
  </si>
  <si>
    <t>685 ROUTE DES MENTHONNEX</t>
  </si>
  <si>
    <t>ARGONAY</t>
  </si>
  <si>
    <t>259 ROUTE DU PARC</t>
  </si>
  <si>
    <t>9 QUAI DE BERCY</t>
  </si>
  <si>
    <t>CHARENTON LE PONT</t>
  </si>
  <si>
    <t>67 ROUTE DE CORBEIL</t>
  </si>
  <si>
    <t>9 RUE DE L HIRONDELLE</t>
  </si>
  <si>
    <t>26 RUE DU MOULIN DES JUSTICES</t>
  </si>
  <si>
    <t>PUILBOREAU</t>
  </si>
  <si>
    <t>73 BOULEVARD DE L'EUROPE</t>
  </si>
  <si>
    <t>57 AVENUE DU BERRY</t>
  </si>
  <si>
    <t>123 BOULEVARD ETIENNE CLEMENTEL</t>
  </si>
  <si>
    <t>23 BOULEVARD VICTOR DUHAMEL</t>
  </si>
  <si>
    <t>2 RUE JULES LEFEBVRE</t>
  </si>
  <si>
    <t>TOURNAN EN BRIE</t>
  </si>
  <si>
    <t>CHEMIN MONTOR</t>
  </si>
  <si>
    <t>CUCQ</t>
  </si>
  <si>
    <t>21 RUE ALBERT LONDRES</t>
  </si>
  <si>
    <t>ECHIROLLES</t>
  </si>
  <si>
    <t>PLACE DE JUILLET</t>
  </si>
  <si>
    <t>SAINT AMAND MONTROND</t>
  </si>
  <si>
    <t>28 BOULEVARD PATURLE</t>
  </si>
  <si>
    <t>LE CATEAU CAMBRESIS</t>
  </si>
  <si>
    <t>14 BOULEVARD DU PRESIDENT ROOSEVELT</t>
  </si>
  <si>
    <t>25 AVENUE CHIRIS</t>
  </si>
  <si>
    <t>GRASSE</t>
  </si>
  <si>
    <t>1 AVENUE JEAN ROSTAND</t>
  </si>
  <si>
    <t>9B RUE DE LA PIOT</t>
  </si>
  <si>
    <t>13 AVENUE RENÉ LAENNEC</t>
  </si>
  <si>
    <t>75 RUE GENERAL GIRAUD</t>
  </si>
  <si>
    <t>10 RUE HONORÉ DE BALZAC</t>
  </si>
  <si>
    <t>VENDOME</t>
  </si>
  <si>
    <t>41 CHEMIN DU PR SAINT ANTOINE</t>
  </si>
  <si>
    <t>1 RUE DR ET MME DELMAS</t>
  </si>
  <si>
    <t>18 RUE DU GÉNÉRAL CATROUX</t>
  </si>
  <si>
    <t>AVENUE GENERAL RAOUL SALAN</t>
  </si>
  <si>
    <t>MARIGNANE</t>
  </si>
  <si>
    <t>ROUTE DE TOURS</t>
  </si>
  <si>
    <t>SAINT BENOÎT LA FORET</t>
  </si>
  <si>
    <t>AVENUE JOHN KENNEDY</t>
  </si>
  <si>
    <t>83 RUE JACQUES MONOD</t>
  </si>
  <si>
    <t>OLIVET</t>
  </si>
  <si>
    <t>20 AVENUE ANTONIN VALLON</t>
  </si>
  <si>
    <t>BOURG DE PÉAGE</t>
  </si>
  <si>
    <t>IMPASSE DES CÈDRES</t>
  </si>
  <si>
    <t>30 AVENUE LENINE</t>
  </si>
  <si>
    <t>LE PORT</t>
  </si>
  <si>
    <t>105 AVENUE VICTOR HUGO</t>
  </si>
  <si>
    <t>54 BOULEVARD ARISTIDE BRIAND</t>
  </si>
  <si>
    <t>ALLÉE ROGER RENARD</t>
  </si>
  <si>
    <t>4 PLACE ST GUENOLE</t>
  </si>
  <si>
    <t>46 AVENUE DU DOCTEUR SCHWEITZER</t>
  </si>
  <si>
    <t>2 ROUTE DE PARIS</t>
  </si>
  <si>
    <t>3 RUE LE VERRIER</t>
  </si>
  <si>
    <t>3 RUE ROBERT DE LA CROIX</t>
  </si>
  <si>
    <t>23 RUE DES ACRES</t>
  </si>
  <si>
    <t>VIRE NORMANDIE</t>
  </si>
  <si>
    <t>294 BOULEVARD GENERAL DE GAULLE</t>
  </si>
  <si>
    <t>GUILHERAND GRANGES</t>
  </si>
  <si>
    <t>10 RUE FRANÇOIS EPAILLY</t>
  </si>
  <si>
    <t>RUE CLEMENCEAU</t>
  </si>
  <si>
    <t>LAMBRES LEZ DOUAI</t>
  </si>
  <si>
    <t>11 BOULEVARD RENÉ LEVESQUE</t>
  </si>
  <si>
    <t>22 AVENUE MARCEL LEMOINE</t>
  </si>
  <si>
    <t>51 RUE DE LA FOUCAUDIÈRE</t>
  </si>
  <si>
    <t>1 RUE BASSET</t>
  </si>
  <si>
    <t>4 RUE DES HIBISCUS</t>
  </si>
  <si>
    <t>40 CHEMIN DES TILLEROYES</t>
  </si>
  <si>
    <t>SAINT-FRANÇOIS CLINIC</t>
  </si>
  <si>
    <t>1-5 RUE COLOMÉ</t>
  </si>
  <si>
    <t>RUE DE VERDUN</t>
  </si>
  <si>
    <t>CHATEAUBRIANT</t>
  </si>
  <si>
    <t>29 RUE DU FAUBOURG NATIONAL</t>
  </si>
  <si>
    <t>RUE DU DOCTEUR FLEURANCE</t>
  </si>
  <si>
    <t>FONTENAY LE COMTE</t>
  </si>
  <si>
    <t>3 RUE DE TURIN</t>
  </si>
  <si>
    <t>2 AVENUE D'IRLANDE</t>
  </si>
  <si>
    <t>47 RUE DE CROSNE</t>
  </si>
  <si>
    <t>12 AVENUE NAPOLEON III</t>
  </si>
  <si>
    <t>222 AVENUE DE ROCHEFORT</t>
  </si>
  <si>
    <t>ROYAN</t>
  </si>
  <si>
    <t>5 ALLÉE CLINIQUE DU TER</t>
  </si>
  <si>
    <t>PLOEMEUR</t>
  </si>
  <si>
    <t>250 RUE FREDERIC JOLIOT CURIE</t>
  </si>
  <si>
    <t>SAINT PIERRE DU MONT</t>
  </si>
  <si>
    <t>GCS GHICL HOPITAL ST PHILIBERT</t>
  </si>
  <si>
    <t>115 RUE DU GRAND BUT</t>
  </si>
  <si>
    <t>2 RUE JEANNE D'ARC</t>
  </si>
  <si>
    <t>GCS PÔLE OF SURGICAL HEALTH</t>
  </si>
  <si>
    <t>DE FÉCAMP CHI DU PAYS DES HAUTES FALAISES 100 AVENUE DU PRÉSIDENT F. MITTERAND</t>
  </si>
  <si>
    <t>FECAMP</t>
  </si>
  <si>
    <t>GHBS - SCORFF HOSPITAL</t>
  </si>
  <si>
    <t>201 AVENUE D'ALSACE</t>
  </si>
  <si>
    <t>1 PLACE DE L'HÔPITAL</t>
  </si>
  <si>
    <t>6 RUE DÉSIRÉE CLARY</t>
  </si>
  <si>
    <t>40 WORTH STREET</t>
  </si>
  <si>
    <t>15 RUE DE VARSOVIE</t>
  </si>
  <si>
    <t>33 BOULEVARD D'OXFORD</t>
  </si>
  <si>
    <t>ENCLOSURE PRAGNAT NORD</t>
  </si>
  <si>
    <t>AMBERIEU EN BUGEY</t>
  </si>
  <si>
    <t>ROUTE DE NEUVIREUIL</t>
  </si>
  <si>
    <t>BOIS BERNARD</t>
  </si>
  <si>
    <t>30 AVENUE DU 14 JUILLET</t>
  </si>
  <si>
    <t>140 RUE ANDRE LWOFF</t>
  </si>
  <si>
    <t>SAINT PRIEST</t>
  </si>
  <si>
    <t>45 RUE GENERAL KOENIG</t>
  </si>
  <si>
    <t>ST LO</t>
  </si>
  <si>
    <t>15 AVENUE DE LA MIOTTE</t>
  </si>
  <si>
    <t>BELFORT</t>
  </si>
  <si>
    <t>21 RUE MOXOURIS</t>
  </si>
  <si>
    <t>LE CHESNAY ROCQUENCOURT</t>
  </si>
  <si>
    <t>8 PLACE ABBÉ GEORGES HENOCQUE</t>
  </si>
  <si>
    <t>22 AVENUE FRANÇOISE GIROUD</t>
  </si>
  <si>
    <t>MONTREDON DES CORBIÈRES</t>
  </si>
  <si>
    <t>59 RUE GEOFFROY SAINT HILAIRE</t>
  </si>
  <si>
    <t>6 AVENUE DU NOYER LAMBERT</t>
  </si>
  <si>
    <t>MASSY</t>
  </si>
  <si>
    <t>69 RUE DE LA LOUVIÈRE</t>
  </si>
  <si>
    <t>3 RUE JEAN BOUIN</t>
  </si>
  <si>
    <t>3 RUE DU CHÊNE GERMAIN</t>
  </si>
  <si>
    <t>CESSON SEVIGNÉ</t>
  </si>
  <si>
    <t>18 RUE DES ROQUEMONTS</t>
  </si>
  <si>
    <t>47 AVENUE GEORGES BIZET</t>
  </si>
  <si>
    <t>14BIS BOULEVARD JAVAL</t>
  </si>
  <si>
    <t>ARES</t>
  </si>
  <si>
    <t>2 RUE RENÉ FRANÇOIS-JOLLY</t>
  </si>
  <si>
    <t>380 RUE DE L'HÔPITAL</t>
  </si>
  <si>
    <t>175 RUE MARÉCHAL FOCH</t>
  </si>
  <si>
    <t>LE CREUSOT</t>
  </si>
  <si>
    <t>231 AVENUE DU DOCTEUR MAURICE DONAT</t>
  </si>
  <si>
    <t>SAINT LAURENT DU VAR</t>
  </si>
  <si>
    <t>45 AVENUE CARNOT</t>
  </si>
  <si>
    <t>10 RUE DOCTEUR BUTERLIN</t>
  </si>
  <si>
    <t>LA CHASSE DU POINT DU JOUR</t>
  </si>
  <si>
    <t>LE BAILLEUL</t>
  </si>
  <si>
    <t>28 BOULEVARD DU HUIT MAI 1945</t>
  </si>
  <si>
    <t>AVENUE AMBROISE CROIZAT</t>
  </si>
  <si>
    <t>CABESTANY</t>
  </si>
  <si>
    <t>6 QUAIS DU MAS COULET</t>
  </si>
  <si>
    <t>17 RUE BALTET</t>
  </si>
  <si>
    <t>SAINT ANDRE LES VERGERS</t>
  </si>
  <si>
    <t>LA CHAUSSÉE SAINT VICTOR</t>
  </si>
  <si>
    <t>84 ROUTE D AIFFRES</t>
  </si>
  <si>
    <t>8 LA BRECHE DU BOIS</t>
  </si>
  <si>
    <t>CRICQUEBOEUF</t>
  </si>
  <si>
    <t>4 RUE AUGUSTE RODIN</t>
  </si>
  <si>
    <t>RUE ERNESTINE DE TREMAUDAN</t>
  </si>
  <si>
    <t>33 BOULEVARD DE L'UNIVERSIT</t>
  </si>
  <si>
    <t>SAINT NAZAIRE</t>
  </si>
  <si>
    <t>CLARENCE POLYCLINIC</t>
  </si>
  <si>
    <t>RUE DU DOCTEUR LEGAY</t>
  </si>
  <si>
    <t>DIVION</t>
  </si>
  <si>
    <t>POLYCLINIC OF THIÉRACHE</t>
  </si>
  <si>
    <t>22 RUE DU DOCTEUR EDMOND KORAL</t>
  </si>
  <si>
    <t>WIGNEHIES</t>
  </si>
  <si>
    <t>175 RUE ROGER AINI</t>
  </si>
  <si>
    <t>LISIEUX</t>
  </si>
  <si>
    <t>49 RUE ALEXANDRE DUMAS</t>
  </si>
  <si>
    <t>1 RUE DE LA PROVIDENCE</t>
  </si>
  <si>
    <t>AVENUE THIVET</t>
  </si>
  <si>
    <t>CHERBOURG EN COTENTIN</t>
  </si>
  <si>
    <t>RUE DE CHATEAUBRIAND</t>
  </si>
  <si>
    <t>DINAN</t>
  </si>
  <si>
    <t>CHEMIN DE ST HIPPOLYTE</t>
  </si>
  <si>
    <t>49 BOULEVARD JÉRÔME TRESAGUET</t>
  </si>
  <si>
    <t>350 AVENUE ST ANDRE DE CODOLS</t>
  </si>
  <si>
    <t>56 AVENUE MARYSE BASTIE</t>
  </si>
  <si>
    <t>BRUGES</t>
  </si>
  <si>
    <t>75 ALLÉE DES AILES</t>
  </si>
  <si>
    <t>332 AVENUE FRÉDÉRIC MISTRAL</t>
  </si>
  <si>
    <t>OLLIOULES</t>
  </si>
  <si>
    <t>ROUTE DE COURRIERES</t>
  </si>
  <si>
    <t>HENIN BEAUMONT</t>
  </si>
  <si>
    <t>203 CHEMIN FAVEYROLLES QUA DARBOUSSAN</t>
  </si>
  <si>
    <t>345 AVENUE PIERRE BROSSOLETTE</t>
  </si>
  <si>
    <t>8 BOULEVARD HAUTERIVE</t>
  </si>
  <si>
    <t>109 RUE LOUIS VICTOR DE BROGLIE</t>
  </si>
  <si>
    <t>BEZANNES</t>
  </si>
  <si>
    <t>SAINT CÔME POLYCLINIC</t>
  </si>
  <si>
    <t>3B BOULEVARD DE LATTRE TASSIGNY</t>
  </si>
  <si>
    <t>SAINT GEORGES DE DIDONNE</t>
  </si>
  <si>
    <t>57 AVENUE DE LA CALIFORNIE</t>
  </si>
  <si>
    <t>47 CHEMIN DU PONT DES DEUX EAUX</t>
  </si>
  <si>
    <t>10 AVENUE VAUBAN</t>
  </si>
  <si>
    <t>236 ROUTE D'AMIENS</t>
  </si>
  <si>
    <t>AVENUE CLAUDE BERNARD</t>
  </si>
  <si>
    <t>LA VIERGE NOIRE</t>
  </si>
  <si>
    <t>2 AVENUE JEAN VILLEJEAN</t>
  </si>
  <si>
    <t>GIEN</t>
  </si>
  <si>
    <t>235 ROUTE DE GORDES</t>
  </si>
  <si>
    <t>CAVAILLON</t>
  </si>
  <si>
    <t>26 RONDPOINT DE L'AMITIÉ</t>
  </si>
  <si>
    <t>CARPENTRAS</t>
  </si>
  <si>
    <t>Cancer Surgery: digestive</t>
  </si>
  <si>
    <t>INCa : Chemotherapy or other cancer specific medical treatments</t>
  </si>
  <si>
    <t>INCa : Cancer Surgery: digestive</t>
  </si>
  <si>
    <t>33 Avenue de Valombrose</t>
  </si>
  <si>
    <t>3 Avenue du Général Harris</t>
  </si>
  <si>
    <t>1 Rue d'Amiens / Rue d’Amiens, CS 11516</t>
  </si>
  <si>
    <t>28 Prom. Léa et Napoléon Bullukian</t>
  </si>
  <si>
    <t>3 Rue Frédéric Combemale</t>
  </si>
  <si>
    <t>114 Rue Edouard Vaillant</t>
  </si>
  <si>
    <t>26 Rue d'Ulm</t>
  </si>
  <si>
    <t>54519 Vandœuvre-lès-Nancy Cedex</t>
  </si>
  <si>
    <t>232 Boulevard de Sainte-Marguerite</t>
  </si>
  <si>
    <t>Avenue de la Bataille Flandres-Dunkerque</t>
  </si>
  <si>
    <t>1 Rue du Professeur Marion</t>
  </si>
  <si>
    <t>17 Rue Albert Calmette</t>
  </si>
  <si>
    <t>Parc Euromédecine, 208 Rue des Apothicaires</t>
  </si>
  <si>
    <t>1 Rue du Général Koenig</t>
  </si>
  <si>
    <t>6 Avenue de Bourgogne, CS30 519</t>
  </si>
  <si>
    <t>250 Chemin de Baigne-Pieds</t>
  </si>
  <si>
    <t>Reims</t>
  </si>
  <si>
    <t>Nice</t>
  </si>
  <si>
    <t>Institut Curie, University of Versailles Saint-Quentin</t>
  </si>
  <si>
    <t>Caen</t>
  </si>
  <si>
    <t>Rouen Cedex 1</t>
  </si>
  <si>
    <t>Clermont-Ferrand</t>
  </si>
  <si>
    <t>Lyon</t>
  </si>
  <si>
    <t>Lille</t>
  </si>
  <si>
    <t>Villejuif</t>
  </si>
  <si>
    <t>Marseille</t>
  </si>
  <si>
    <t>Rennes</t>
  </si>
  <si>
    <t>Strasbourg</t>
  </si>
  <si>
    <t>Montpellier Cedex 5</t>
  </si>
  <si>
    <t>Avignon</t>
  </si>
  <si>
    <t>Unicancer Network</t>
  </si>
  <si>
    <t>INSTITUT BERGONIÉ</t>
  </si>
  <si>
    <t>Associations</t>
  </si>
  <si>
    <t>Tester</t>
  </si>
  <si>
    <t>Claude Darcha</t>
  </si>
  <si>
    <t>Anne-Sophie Jarrousse</t>
  </si>
  <si>
    <t>Hôpital Estaing CHU Clermon Ferrand</t>
  </si>
  <si>
    <t>Frédérique PENAULT-LLORCA</t>
  </si>
  <si>
    <t>Anne CAYRE</t>
  </si>
  <si>
    <t>Marie-Céleste FERREIRA</t>
  </si>
  <si>
    <t>Florence DE FRAIPONT</t>
  </si>
  <si>
    <t>Marie BIDART</t>
  </si>
  <si>
    <t>Hospices Civils de Lyon - Hôpital Edouard Herriot</t>
  </si>
  <si>
    <t>Pierre-Paul BRINGUIER</t>
  </si>
  <si>
    <t>Marie-Odile JOLY</t>
  </si>
  <si>
    <t>Véronique HADDAD</t>
  </si>
  <si>
    <t>Catherine CHASSAGNE CLEMENT</t>
  </si>
  <si>
    <t>Qing WANG</t>
  </si>
  <si>
    <t xml:space="preserve">CHU de Saint Etienne - Hôpital Nord </t>
  </si>
  <si>
    <t>Michel PEOC'H</t>
  </si>
  <si>
    <t xml:space="preserve">CHU de Besançon - Hôpital Nord </t>
  </si>
  <si>
    <t>Jean-Paul FEUGEAS</t>
  </si>
  <si>
    <t>Jean-Luc PRETET</t>
  </si>
  <si>
    <t>Laurent Bermont</t>
  </si>
  <si>
    <t>Laurent MARTIN</t>
  </si>
  <si>
    <t>Caroline CHAPUSOT</t>
  </si>
  <si>
    <t>CHU de Dijon - Hôpital du Bocage</t>
  </si>
  <si>
    <t>Sarab LIZARD</t>
  </si>
  <si>
    <t>Isabelle QUINTIN-ROUE</t>
  </si>
  <si>
    <t>Laurent DOUCET</t>
  </si>
  <si>
    <t>Arnaud Uguen</t>
  </si>
  <si>
    <t>CHU de Brest - Hôpital Morvan</t>
  </si>
  <si>
    <t>Marie-Dominique GALIBERT</t>
  </si>
  <si>
    <t>CHU de Rennes - Hôpital Pontchaillou</t>
  </si>
  <si>
    <t>Anne TALLET</t>
  </si>
  <si>
    <t>CHU de Tours - Hôpital Trousseau</t>
  </si>
  <si>
    <t>Christian Andrès</t>
  </si>
  <si>
    <t>Sylvain BRIAULT</t>
  </si>
  <si>
    <t>CHR d'Orléans - Hôpital La Source</t>
  </si>
  <si>
    <t>Jean-Louis MERLIN</t>
  </si>
  <si>
    <t>CHRU de Nancy - Institut de Cancérologie de Lorraine</t>
  </si>
  <si>
    <t>Christine CLAVEL</t>
  </si>
  <si>
    <t>Véronique DALSTEIN</t>
  </si>
  <si>
    <t>CHU de Reims - CHU Pôle de Biologie Médicale et Pathologie</t>
  </si>
  <si>
    <t>Christian GARBAR</t>
  </si>
  <si>
    <t>Fanny BRAYOTEL</t>
  </si>
  <si>
    <t>Hélène LARBRE</t>
  </si>
  <si>
    <t>CH de Colmar - Hôpitaux Civils de Colmar</t>
  </si>
  <si>
    <t>Rémy HELLER</t>
  </si>
  <si>
    <t>CHU d'Amiens Picardie - Hôpital Sud</t>
  </si>
  <si>
    <t>Brigitte GUBLER</t>
  </si>
  <si>
    <t>Julie DREMAUX</t>
  </si>
  <si>
    <t>Marie-Pierre BUISINE</t>
  </si>
  <si>
    <t>Fabienne ESCANDE</t>
  </si>
  <si>
    <t>Clotilde DESCARPENTRIES</t>
  </si>
  <si>
    <t>APHP - HUPSSD Avicenne - Territoire Nord</t>
  </si>
  <si>
    <t>Olivier SCHISCHMANOFF</t>
  </si>
  <si>
    <t>Emmanuelle FABRE</t>
  </si>
  <si>
    <t>Cédric DESBENE</t>
  </si>
  <si>
    <t>Nathalie THEOU-ANTON</t>
  </si>
  <si>
    <t>Jérôme LAMORIL</t>
  </si>
  <si>
    <t>Emmanuelle DE RAUCOURT</t>
  </si>
  <si>
    <t>APHP - HUPNVS (Bichat Beaujon Louis Mourier)</t>
  </si>
  <si>
    <t>Jacqueline LEHMANN-CHE</t>
  </si>
  <si>
    <t>APHP - HUSLS LRB Saint Louis</t>
  </si>
  <si>
    <t>Samia MOURAH</t>
  </si>
  <si>
    <t>Fanelie Jouenne</t>
  </si>
  <si>
    <t>Marie BOISSON</t>
  </si>
  <si>
    <t>APHP - HUPIFO Ambroise Paré</t>
  </si>
  <si>
    <t>Catherine JULIE</t>
  </si>
  <si>
    <t>Jean-François EMILE</t>
  </si>
  <si>
    <t>Zofia HELIAS-RODZEWICZ</t>
  </si>
  <si>
    <t>Julien CALDERARO</t>
  </si>
  <si>
    <t>Christiane COPIE</t>
  </si>
  <si>
    <t>Cecile CHARPY</t>
  </si>
  <si>
    <t>Anaïs PUJALS</t>
  </si>
  <si>
    <t>Nicolas ORTONE</t>
  </si>
  <si>
    <t>Jeanne TRANVANNHIEU</t>
  </si>
  <si>
    <t>Philippe Gaulard</t>
  </si>
  <si>
    <t>APHP - Université Henri Mondor</t>
  </si>
  <si>
    <t>Florence COULET</t>
  </si>
  <si>
    <t>Erell GUILLERM</t>
  </si>
  <si>
    <t>Noémie BASSET</t>
  </si>
  <si>
    <t>APHP - Université Pitié Salpêtrière</t>
  </si>
  <si>
    <t>APHP- Université Saint-Antoine</t>
  </si>
  <si>
    <t>Pascale CERVERA-PIEROT</t>
  </si>
  <si>
    <t>Jean-François FLEJOU</t>
  </si>
  <si>
    <t>Olivier LASCOLS</t>
  </si>
  <si>
    <t>APHP - Université Tenon</t>
  </si>
  <si>
    <t>Roger LACAVE</t>
  </si>
  <si>
    <t>APHP- Centre Université de Paris HEGP</t>
  </si>
  <si>
    <t>Pierre LAURENT-PUIG</t>
  </si>
  <si>
    <t>Hélène BLONS</t>
  </si>
  <si>
    <t>Céline NARJOZ</t>
  </si>
  <si>
    <t>APHP - Centre Université de Paris Cochin</t>
  </si>
  <si>
    <t>Karen LEROY</t>
  </si>
  <si>
    <t>Cyril BURIN DES ROZIERS</t>
  </si>
  <si>
    <t>Ludovic LACROIX</t>
  </si>
  <si>
    <t>Jean-yves SCOAZEC</t>
  </si>
  <si>
    <t>Etienne Rouleau</t>
  </si>
  <si>
    <t>Nicolas RICHARD</t>
  </si>
  <si>
    <t>CHU Caen - Hôpital Clémenceau</t>
  </si>
  <si>
    <t>Dominique VAUR</t>
  </si>
  <si>
    <t>Jean-Christophe SABOURIN</t>
  </si>
  <si>
    <t>Aude LAMY</t>
  </si>
  <si>
    <t>CHU de Bordeaux - Hôpital Haut-Lévêque</t>
  </si>
  <si>
    <t>Isabelle SOUBEYRAN</t>
  </si>
  <si>
    <t>François LABROUSSE</t>
  </si>
  <si>
    <t>Karine FAUCHER</t>
  </si>
  <si>
    <t>CHU Limoges - Hôpital Universitaire Dupuytren CRBS</t>
  </si>
  <si>
    <t>Lucie KARAYAN-TAPON</t>
  </si>
  <si>
    <t>CHU de Montpellier - Hôpital Arnaud de villeneuve</t>
  </si>
  <si>
    <t>Jérôme SOLASSOL</t>
  </si>
  <si>
    <t>Serge LUMBROSO</t>
  </si>
  <si>
    <t>Jean-Paul Brouillet</t>
  </si>
  <si>
    <t>Alexandre Evrard</t>
  </si>
  <si>
    <t>CHU de Nîmes - Hôpital Carémeau</t>
  </si>
  <si>
    <t>Isabelle ROUQUETTE</t>
  </si>
  <si>
    <t>Pierre BROUSSET</t>
  </si>
  <si>
    <t>Laurence LAMANT</t>
  </si>
  <si>
    <t>Emilie TOURNIER</t>
  </si>
  <si>
    <t>Solène EVRARD</t>
  </si>
  <si>
    <t>Grand David</t>
  </si>
  <si>
    <t>Alain MOREL</t>
  </si>
  <si>
    <t>Michèle BOISDRON-CELLE</t>
  </si>
  <si>
    <t>Philippe GUARDIOLA</t>
  </si>
  <si>
    <t>Marc DENIS</t>
  </si>
  <si>
    <t>Guillaume HERBRETEAU</t>
  </si>
  <si>
    <t>CHU de Nantes - Hôtel Dieu</t>
  </si>
  <si>
    <t>Isabelle NANNI-METTELLUS</t>
  </si>
  <si>
    <t>APHM - Faculté de Médecine Nord</t>
  </si>
  <si>
    <t>Hagay Sobol</t>
  </si>
  <si>
    <t>Florence PEDEUTOUR</t>
  </si>
  <si>
    <t>CHU de Nice - Faculté de Nice</t>
  </si>
  <si>
    <t>CHU de Nice - Hôpital Pasteur</t>
  </si>
  <si>
    <t>Marie-Christine ETIENNE-GRIMALDI</t>
  </si>
  <si>
    <t>Jean GABERT</t>
  </si>
  <si>
    <t>Pr. Jean GABERT (PU-PH)</t>
  </si>
  <si>
    <t>new</t>
  </si>
  <si>
    <t>Pr. L'Houcine OUAFIK (PU-PH)</t>
  </si>
  <si>
    <t>Christel PISSIER</t>
  </si>
  <si>
    <t>Dr. Christel PISSIER (PA)</t>
  </si>
  <si>
    <t>Dr. Isabelle NANNI-METTELLUS (PH)</t>
  </si>
  <si>
    <t>PA = Praticien Attaché ; PU-PH = Professeur des Universités – Praticien Hospitalier ; PH = Praticien Hospitalier</t>
  </si>
  <si>
    <t>Laboratoire d'anatomopathologie et de biologie moléculaire (Oncobiology)</t>
  </si>
  <si>
    <t>verified</t>
  </si>
  <si>
    <t>Head of Department</t>
  </si>
  <si>
    <t>https://fr.ap-hm.fr/category/chefs-de-services/ouafik-l-houcine</t>
  </si>
  <si>
    <t>https://www.institutpaolicalmettes.fr/annuaire_soignants/pr-hagay-sobol/</t>
  </si>
  <si>
    <t>Oncogeneticist</t>
  </si>
  <si>
    <t>Jessica Moretta</t>
  </si>
  <si>
    <t>Cornel Popovici</t>
  </si>
  <si>
    <t>https://www.institutpaolicalmettes.fr/annuaire_soignants/dr-catherine-nogues/</t>
  </si>
  <si>
    <t>Genetics and Cancer Group</t>
  </si>
  <si>
    <t>Catherine Noguès</t>
  </si>
  <si>
    <t>President of GGC</t>
  </si>
  <si>
    <t>https://www.unicancer.fr/fr/les-groupes-d-experts/groupe-genetique-et-cancer/</t>
  </si>
  <si>
    <t>Antoine De Pauw</t>
  </si>
  <si>
    <t>Pascaline Berthet</t>
  </si>
  <si>
    <t>Audrey Remenieras</t>
  </si>
  <si>
    <t>Chrystelle Colas</t>
  </si>
  <si>
    <t>Laurent Castera</t>
  </si>
  <si>
    <t>Marie-Pierre Buisine</t>
  </si>
  <si>
    <t>Secretary GGC</t>
  </si>
  <si>
    <t>Member of GGC</t>
  </si>
  <si>
    <t>Path_ID</t>
  </si>
  <si>
    <t>From_Hospital_ID</t>
  </si>
  <si>
    <t>To_Test_ID</t>
  </si>
  <si>
    <t>Connection_Type</t>
  </si>
  <si>
    <t>Strength</t>
  </si>
  <si>
    <t>ID00001</t>
  </si>
  <si>
    <t>TEST_ID0001</t>
  </si>
  <si>
    <t>From_Hospital_Name</t>
  </si>
  <si>
    <t>To_Test_Name</t>
  </si>
  <si>
    <t>HCP_1</t>
  </si>
  <si>
    <t>HCP_2</t>
  </si>
  <si>
    <t>AUVERGNE – RHÔNE-ALPES</t>
  </si>
  <si>
    <t>Centre hospitalier Annecy Genevois</t>
  </si>
  <si>
    <t>1 avenue de l’Hôpital</t>
  </si>
  <si>
    <t>EPAGNY METZ-TESSY</t>
  </si>
  <si>
    <t>Clémentine Legrand</t>
  </si>
  <si>
    <t>Oana Pop</t>
  </si>
  <si>
    <t>laboratoire Alpigène, Lyon</t>
  </si>
  <si>
    <t>Polyclinique du Beaujolais</t>
  </si>
  <si>
    <t>120 ancienne route de Beaujeu</t>
  </si>
  <si>
    <t>Tanguy Martin-Denavit</t>
  </si>
  <si>
    <t>Mathis Lepage</t>
  </si>
  <si>
    <t>Lucie Coster</t>
  </si>
  <si>
    <t>Sandra Fert-Ferrer</t>
  </si>
  <si>
    <t>Mathilde Gay-Belille</t>
  </si>
  <si>
    <t>François Cornelis</t>
  </si>
  <si>
    <t>Hélène Dreyfus</t>
  </si>
  <si>
    <t>CHU Grenoble Alpes</t>
  </si>
  <si>
    <t>CLCC de CLERMONT-FERRAND</t>
  </si>
  <si>
    <t>Centre hospitalier Henri Mondor</t>
  </si>
  <si>
    <t>50 avenue de la République</t>
  </si>
  <si>
    <t>Centre hospitalier Métropole Savoie</t>
  </si>
  <si>
    <t>Place Lucien Biset</t>
  </si>
  <si>
    <t>CHAMBÉRY</t>
  </si>
  <si>
    <t>58 rue Montalembert</t>
  </si>
  <si>
    <t>CLERMONT-FERRAND</t>
  </si>
  <si>
    <t>1 place Lucie Aubrac</t>
  </si>
  <si>
    <t>Avenue des Maquis du Grésivaudan</t>
  </si>
  <si>
    <t>Main Consultation</t>
  </si>
  <si>
    <t>Privé</t>
  </si>
  <si>
    <t>CHU</t>
  </si>
  <si>
    <t>Hôpital Édouard Herriot</t>
  </si>
  <si>
    <t>Adress of testing location, if only one than hospital name</t>
  </si>
  <si>
    <t>Pavillon L, Service d’Hépatogastroentérologie</t>
  </si>
  <si>
    <t>Laura Calavas</t>
  </si>
  <si>
    <t>Jean-Christophe Saurin</t>
  </si>
  <si>
    <t>Centre hospitalier Lyon-Sud</t>
  </si>
  <si>
    <t>165 chemin du Grand Revoyet</t>
  </si>
  <si>
    <t>PIERRE-BÉNITE</t>
  </si>
  <si>
    <t>Stéphane Pinson</t>
  </si>
  <si>
    <t>Maude Vecten</t>
  </si>
  <si>
    <t>HCP_3</t>
  </si>
  <si>
    <t>Hôpital Femme Mère Enfant</t>
  </si>
  <si>
    <t>59, Boulevard Pinel</t>
  </si>
  <si>
    <t>Stéphane Pinson (gyn)</t>
  </si>
  <si>
    <t>Maude Vecten (gyn)</t>
  </si>
  <si>
    <t>Tanguy Martin-Denavit (derm)</t>
  </si>
  <si>
    <t>28 rue Laennec</t>
  </si>
  <si>
    <t>Valérie Bonadona</t>
  </si>
  <si>
    <t>Françoise Desseigne</t>
  </si>
  <si>
    <t>Sophie Dussart</t>
  </si>
  <si>
    <t>Christine Lasset</t>
  </si>
  <si>
    <t>Pauline Rochefort</t>
  </si>
  <si>
    <t>HCP_4</t>
  </si>
  <si>
    <t>HCP_5</t>
  </si>
  <si>
    <t>Laboratoire Alpigène</t>
  </si>
  <si>
    <t>8 rue Saint-Jean-de-Dieu</t>
  </si>
  <si>
    <t>HCL</t>
  </si>
  <si>
    <t>CH Émile Roux, service hôpital de jour</t>
  </si>
  <si>
    <t>Advanced Consultation of</t>
  </si>
  <si>
    <t>Teleconsultation of</t>
  </si>
  <si>
    <t>12 boulevard Docteur Chantemesse</t>
  </si>
  <si>
    <t>LE PUY-EN-VELAY</t>
  </si>
  <si>
    <t>Hôpital Nord</t>
  </si>
  <si>
    <t>Avenue Albert Raimond</t>
  </si>
  <si>
    <t>SAINT-PRIEST-EN-JAREZ</t>
  </si>
  <si>
    <t>Marine Lebrun</t>
  </si>
  <si>
    <t>SAINT-ÉTIENNE</t>
  </si>
  <si>
    <t>THONON-LES-BAINS</t>
  </si>
  <si>
    <t>Hôpitaux du Léman</t>
  </si>
  <si>
    <t>CHU de GRENOBLE</t>
  </si>
  <si>
    <t>CLCC de LYON</t>
  </si>
  <si>
    <t>Centre hospitalier de Valence</t>
  </si>
  <si>
    <t>179 boulevard du Maréchal Juin</t>
  </si>
  <si>
    <t>Marie-Noëlle Bonnet-Dupeyron</t>
  </si>
  <si>
    <t>Linda Pons</t>
  </si>
  <si>
    <t>Pôle Santé Les Célestins</t>
  </si>
  <si>
    <t>35 rue Alquié</t>
  </si>
  <si>
    <t>Consultation Associated with</t>
  </si>
  <si>
    <t>BOURGOGNE-FRANCHE-COMTÉ</t>
  </si>
  <si>
    <t>CHU-CLCC de DIJON</t>
  </si>
  <si>
    <t>Centre hospitalier d’Auxerre</t>
  </si>
  <si>
    <t>Sophie Nambot</t>
  </si>
  <si>
    <t>2 boulevard de Verdun</t>
  </si>
  <si>
    <t>UF d’Oncogénétique</t>
  </si>
  <si>
    <t>CHU BESANÇON - Hôpital Jean Minjoz</t>
  </si>
  <si>
    <t>Marie-Agnès Collonge-Rame</t>
  </si>
  <si>
    <t>3 boulevard Fleming</t>
  </si>
  <si>
    <t>BESANÇON</t>
  </si>
  <si>
    <t>CHALON-SUR-SAÔNE</t>
  </si>
  <si>
    <t>4 rue Capitaine Drillien</t>
  </si>
  <si>
    <t>Centre hospitalier William Morey</t>
  </si>
  <si>
    <t>Hôpital d’Enfants</t>
  </si>
  <si>
    <t>Centre de génétique</t>
  </si>
  <si>
    <t>1 rue du Professeur Marion</t>
  </si>
  <si>
    <t>14 rue Gaffarel</t>
  </si>
  <si>
    <t>Unité d’oncogénétique</t>
  </si>
  <si>
    <t>Site Georges Pianta</t>
  </si>
  <si>
    <t>3 avenue de la Dame</t>
  </si>
  <si>
    <t xml:space="preserve"> 5 place d’Arsonval</t>
  </si>
  <si>
    <t>MÂCON</t>
  </si>
  <si>
    <t>Centre hospitalier de Mâcon</t>
  </si>
  <si>
    <t>350 boulevard Louis Escande</t>
  </si>
  <si>
    <t>MONTBÉLIARD</t>
  </si>
  <si>
    <t>CHU de BESANÇON</t>
  </si>
  <si>
    <t>Hôpital Nord Franche-Comté</t>
  </si>
  <si>
    <t>Site du Mittan, Consultation d’oncogénétique</t>
  </si>
  <si>
    <t>56 boulevard du Maréchal Juin</t>
  </si>
  <si>
    <t>Hôpital Pierre Bérégovoy</t>
  </si>
  <si>
    <t>1 avenue Patrick Guillot</t>
  </si>
  <si>
    <t>Séverine Audebert-Bellanger</t>
  </si>
  <si>
    <t>Marc Planès</t>
  </si>
  <si>
    <t>CHU de BREST</t>
  </si>
  <si>
    <t>Centre hospitalier Bretagne Sud</t>
  </si>
  <si>
    <t>5 avenue de Choiseul</t>
  </si>
  <si>
    <t>Centre hospitalier Cornouaille</t>
  </si>
  <si>
    <t>14 Avenue Yves Thépot</t>
  </si>
  <si>
    <t>Quimper</t>
  </si>
  <si>
    <t>Rennes CEDEX 9</t>
  </si>
  <si>
    <t>Louise Crivelli</t>
  </si>
  <si>
    <t>Philippe Denizeau</t>
  </si>
  <si>
    <t>Géraldine Perkins</t>
  </si>
  <si>
    <t>Florian Esteve</t>
  </si>
  <si>
    <t>Samuel Le Sourd</t>
  </si>
  <si>
    <t>SAINT-BRIEUC</t>
  </si>
  <si>
    <t>CHU-CLCC de Rennes</t>
  </si>
  <si>
    <t>Centre hospitalier Yves Le Foll</t>
  </si>
  <si>
    <t>10 rue Marcel Proust</t>
  </si>
  <si>
    <t>Centre hospitalier Bretagne-Atlantique</t>
  </si>
  <si>
    <t>20 boulevard du Général Maurice Guillaudot</t>
  </si>
  <si>
    <t>Florence Demurger</t>
  </si>
  <si>
    <t>CENTRE-VAL DE LOIRE</t>
  </si>
  <si>
    <t>ORLÉANS</t>
  </si>
  <si>
    <t>CHU de TOURS</t>
  </si>
  <si>
    <t>Hôpital Bretonneau</t>
  </si>
  <si>
    <t>Centre hospitalier Jacques Cœur</t>
  </si>
  <si>
    <t>Isabelle Mortemousque</t>
  </si>
  <si>
    <t>Edouard Cottereau</t>
  </si>
  <si>
    <t>145 avenue François Mitterrand</t>
  </si>
  <si>
    <t>Centre de coordination en cancérologie</t>
  </si>
  <si>
    <t>14 avenue de l’Hôpital</t>
  </si>
  <si>
    <t>2 boulevard Tonnellé</t>
  </si>
  <si>
    <t>Service de génétique</t>
  </si>
  <si>
    <t>GRANT EST</t>
  </si>
  <si>
    <t>CHU de STRASBOURG</t>
  </si>
  <si>
    <t>Jean-Marc Lihacmeir</t>
  </si>
  <si>
    <t>Christine Maugrain</t>
  </si>
  <si>
    <t>Élisabeth Luporsi</t>
  </si>
  <si>
    <t>Hôpital Femme, Mère, Enfant</t>
  </si>
  <si>
    <t>Hôpital Émile Muller</t>
  </si>
  <si>
    <t>Emmanuelle Ginglinger</t>
  </si>
  <si>
    <t>Yolanda Fernandez</t>
  </si>
  <si>
    <t>Institut de cancérologie de Lorraine Alexis Vautrin</t>
  </si>
  <si>
    <t>Hôpital d’Enfants de Nancy-Brabois</t>
  </si>
  <si>
    <t>Philippe Jonveaux</t>
  </si>
  <si>
    <t>Laetitia Lambert</t>
  </si>
  <si>
    <t>Ludovic Mansuy</t>
  </si>
  <si>
    <t>Marie Ravel</t>
  </si>
  <si>
    <t>Institut Jean Godinot</t>
  </si>
  <si>
    <t>Anne-Marie Savoye</t>
  </si>
  <si>
    <t>Hôpital Maison Blanche</t>
  </si>
  <si>
    <t>Anne Durlach</t>
  </si>
  <si>
    <t>Hugo Thorn</t>
  </si>
  <si>
    <t>CHR</t>
  </si>
  <si>
    <t>CHRU</t>
  </si>
  <si>
    <t>39 avenue de la Liberté</t>
  </si>
  <si>
    <t>Site de Mercy</t>
  </si>
  <si>
    <t>1 allée du Château</t>
  </si>
  <si>
    <t>ARS-LAQUENEXY</t>
  </si>
  <si>
    <t>20 avenue du Docteur René Laennec</t>
  </si>
  <si>
    <t>6 avenue de Bourgogne</t>
  </si>
  <si>
    <t>VANDOEUVRE-LÈS-NANCY</t>
  </si>
  <si>
    <t>Génétique Clinique</t>
  </si>
  <si>
    <t>5 rue du Morvan</t>
  </si>
  <si>
    <t>1 rue du Général Koenig</t>
  </si>
  <si>
    <t>Polyclinique de Courlancy</t>
  </si>
  <si>
    <t>CHR de Metz</t>
  </si>
  <si>
    <t>CH de Troyes</t>
  </si>
  <si>
    <t>Centre hospitalier de Sarrebourg</t>
  </si>
  <si>
    <t>Centre hospitalier de Sens</t>
  </si>
  <si>
    <t>Hôpitaux universitaires de Strasbourg - Hôpital de Hautepierre</t>
  </si>
  <si>
    <t>Hospices civils de Colmar - Hôpital Pasteur</t>
  </si>
  <si>
    <t>Institut de cancérologie Strasbourg Europe</t>
  </si>
  <si>
    <t>Hôpital Bel-Air</t>
  </si>
  <si>
    <t>Centre hospitalier de Troyes</t>
  </si>
  <si>
    <t>Fanny Brayotell</t>
  </si>
  <si>
    <t>Charlotte Caille-Begnini</t>
  </si>
  <si>
    <t>Christine Maugard</t>
  </si>
  <si>
    <t>Morgane Boedec</t>
  </si>
  <si>
    <t>Mathilda Kretz</t>
  </si>
  <si>
    <t>Manon Chretien</t>
  </si>
  <si>
    <t>38 rue de Courlancy</t>
  </si>
  <si>
    <t>25 avenue du Général de Gaulle</t>
  </si>
  <si>
    <t>1 av., Pierre de Coubertin</t>
  </si>
  <si>
    <t>1 Avenue Molière</t>
  </si>
  <si>
    <t>Sens</t>
  </si>
  <si>
    <t>1-3, rue du Friscaty</t>
  </si>
  <si>
    <t>101 avenue Anatole France</t>
  </si>
  <si>
    <t>HAUTS-DE-FRANCE</t>
  </si>
  <si>
    <t>CHU Amiens-Picardie</t>
  </si>
  <si>
    <t>CHU de LILLE</t>
  </si>
  <si>
    <t>Centre Hospitalier d’Arras</t>
  </si>
  <si>
    <t>BOULOGNE-SUR-MER</t>
  </si>
  <si>
    <t>Centre hospitalier de Boulogne-sur-Mer</t>
  </si>
  <si>
    <t>Centre hospitalier de Dunkerque</t>
  </si>
  <si>
    <t>FOURMIES</t>
  </si>
  <si>
    <t>Centre Hospitalier de Fourmies</t>
  </si>
  <si>
    <t>Centre hospitalier de Lens</t>
  </si>
  <si>
    <t>LILLE — CHU — 1 tous types de prédispositions</t>
  </si>
  <si>
    <t>Hôpital Jeanne de Flandre</t>
  </si>
  <si>
    <t>Hôpital Albert Calmette</t>
  </si>
  <si>
    <t>LILLE — CHU — 2 Tumeurs endocrines</t>
  </si>
  <si>
    <t>Hôpital Claude Huriez</t>
  </si>
  <si>
    <t>Afane Brahimi</t>
  </si>
  <si>
    <t>Stéphane Cattan</t>
  </si>
  <si>
    <t>Laurène Fenwarth</t>
  </si>
  <si>
    <t>Sophie Lejeune-Dumoulin</t>
  </si>
  <si>
    <t>Site Sud</t>
  </si>
  <si>
    <t>1 Rond-Point du Professeur Christian Cabrol</t>
  </si>
  <si>
    <t>Amiens cedex 1</t>
  </si>
  <si>
    <t>3 Bd Georges Besnier</t>
  </si>
  <si>
    <t>Gilles Morin</t>
  </si>
  <si>
    <t>Emma Lacroix</t>
  </si>
  <si>
    <t>33 rue Jacques Monod</t>
  </si>
  <si>
    <t>130 Av. Louis Herbeaux</t>
  </si>
  <si>
    <t>13 Rue de l'Hôpital</t>
  </si>
  <si>
    <t>99 route de la Bassée</t>
  </si>
  <si>
    <t>3 rue Frédéric Combemale</t>
  </si>
  <si>
    <t>Avenue Eugène Avinée</t>
  </si>
  <si>
    <t>Bd du Professeur Jules Leclercq</t>
  </si>
  <si>
    <t>Rue Michel Polonovski</t>
  </si>
  <si>
    <t>Catherine Caron-Bauters</t>
  </si>
  <si>
    <t>Audrey Malizzi</t>
  </si>
  <si>
    <t>Centre hospitalier de Valenciennes</t>
  </si>
  <si>
    <t>114 Avenue Désandrouin</t>
  </si>
  <si>
    <t>ÎLE-DE-FRANCE CENTRE</t>
  </si>
  <si>
    <t>APHP - Hôpital Cochin</t>
  </si>
  <si>
    <t>27 rue du Faubourg Saint-Jacques</t>
  </si>
  <si>
    <t>Marion Dhooge</t>
  </si>
  <si>
    <t>Oncogénétique Digestive et Gynécologique, Cancers Fréquents - Service de Gastroentérologie, Bâtiment Achard</t>
  </si>
  <si>
    <t>APHP - Hôpital Cochin - site Port Royal</t>
  </si>
  <si>
    <t>Oncogénétique Endocrinienne - Service d’Endocrinologie</t>
  </si>
  <si>
    <t>123 boulevard de Port-Royal</t>
  </si>
  <si>
    <t>Jérôme Bertherat</t>
  </si>
  <si>
    <t>Anne Jounion</t>
  </si>
  <si>
    <t>Lionel Groussin</t>
  </si>
  <si>
    <t>Guillaume Assié</t>
  </si>
  <si>
    <t>Oncogénétique Dermatologique - Bâtiment Copernic</t>
  </si>
  <si>
    <t>Sarah Guegan</t>
  </si>
  <si>
    <t>Johan Chanal</t>
  </si>
  <si>
    <t>Coralie Lehetre</t>
  </si>
  <si>
    <t>Nathalie Franck</t>
  </si>
  <si>
    <t>Sarcomes, Li-Fraumeni et Oncogénétique Urologique - Bâtiment Copernic</t>
  </si>
  <si>
    <t>Camille Tlemsani</t>
  </si>
  <si>
    <t>APHP - Hôpital Européen Georges Pompidou</t>
  </si>
  <si>
    <t>AP-HP, Centre – Université Paris Cité</t>
  </si>
  <si>
    <t>Anne-Paule Gimenez-Roqueplo</t>
  </si>
  <si>
    <t>Pierre Laurent</t>
  </si>
  <si>
    <t>Jeanne Netter</t>
  </si>
  <si>
    <t>Aziz Zaanan</t>
  </si>
  <si>
    <t>Site de Paris</t>
  </si>
  <si>
    <t>26 rue d’Ulm</t>
  </si>
  <si>
    <t>Dominique Stoppa-Lyonnet</t>
  </si>
  <si>
    <t>Bruno Buecher</t>
  </si>
  <si>
    <t>Marion Gauthier-Villars</t>
  </si>
  <si>
    <t>ÎLE-DE-FRANCE NORD</t>
  </si>
  <si>
    <t>APHP - Hôpital Lariboisière</t>
  </si>
  <si>
    <t>AP-HP AVICENNE</t>
  </si>
  <si>
    <t>APHP - Hôpital Saint-Louis</t>
  </si>
  <si>
    <t>AP-HP - Hôpital Avicenne</t>
  </si>
  <si>
    <t>Robert Benamouzig</t>
  </si>
  <si>
    <t>Odile Cohen-Haguenauer</t>
  </si>
  <si>
    <t>Marine Sroussi</t>
  </si>
  <si>
    <t>Charlotte Villy</t>
  </si>
  <si>
    <t>Olivier Ingster</t>
  </si>
  <si>
    <t>Marie Sebert</t>
  </si>
  <si>
    <t>1 avenue Claude Vellefaux</t>
  </si>
  <si>
    <t>Unité d’oncogénétique clinique</t>
  </si>
  <si>
    <t>Hémato-oncogénétique</t>
  </si>
  <si>
    <t>Service de gastro-entérologie - Bâtiment Larrey B, 2e étage</t>
  </si>
  <si>
    <t>Consultation de rhumatologie (centre Viggo Petersen)</t>
  </si>
  <si>
    <t>2 rue Ambroise Paré</t>
  </si>
  <si>
    <t>PARIS Cedex 10</t>
  </si>
  <si>
    <t>ÎLE-DE-FRANCE SUD</t>
  </si>
  <si>
    <t>BRIS-SOUS-FORGES</t>
  </si>
  <si>
    <t>Centre hospitalier de Bligny</t>
  </si>
  <si>
    <t>Olivier Caron</t>
  </si>
  <si>
    <t>Rue de Bligny</t>
  </si>
  <si>
    <t>Partner Consultation</t>
  </si>
  <si>
    <t>Centre Hospitalier Sud Francilien</t>
  </si>
  <si>
    <t>AP-HP Sorbonne</t>
  </si>
  <si>
    <t>Service d’Oncologie</t>
  </si>
  <si>
    <t>40 avenue Serge Dassault</t>
  </si>
  <si>
    <t>Yolla El Dakdouki</t>
  </si>
  <si>
    <t>Joël Ezenfis</t>
  </si>
  <si>
    <t>Patrick Benusiglio</t>
  </si>
  <si>
    <t>114 rue Édouard Vaillant</t>
  </si>
  <si>
    <t>Veronica Goldbarg</t>
  </si>
  <si>
    <t>Léa Guérin-Rousseau</t>
  </si>
  <si>
    <t>Thomas Puldarz</t>
  </si>
  <si>
    <t>Hôpital Paul Brousse</t>
  </si>
  <si>
    <t>Oncologie Médicale – Oncogénétique</t>
  </si>
  <si>
    <t>12 avenue Paul Vaillant Couturier</t>
  </si>
  <si>
    <t>Maria Ibrahim</t>
  </si>
  <si>
    <t>Samuel Landman</t>
  </si>
  <si>
    <t>Raphaël Safroy</t>
  </si>
  <si>
    <t>ÎLE-DE-FRANCE EST</t>
  </si>
  <si>
    <t>CRÉTEIL</t>
  </si>
  <si>
    <t>ESPIC</t>
  </si>
  <si>
    <t>CHI</t>
  </si>
  <si>
    <t>Grand Hôpital de l’Est Francilien (Jossigny)</t>
  </si>
  <si>
    <t>Hôpitaux universitaires Henri-Mondor</t>
  </si>
  <si>
    <t>Centre Hospitalier Intercommunal de Créteil</t>
  </si>
  <si>
    <t>APHP - Hôpital La Pitié-Salpêtrière</t>
  </si>
  <si>
    <t>APHP - Hôpital Saint-Antoine</t>
  </si>
  <si>
    <t>APHP - Hôpital Tenon</t>
  </si>
  <si>
    <t>Michel Baujat</t>
  </si>
  <si>
    <t>Département de Génétique Médicale - Pr FUNALOT Benoit</t>
  </si>
  <si>
    <t>1 rue Gustave-Eiffel</t>
  </si>
  <si>
    <t>Service de Génétique médicale - Pr FUNALOT Benoit</t>
  </si>
  <si>
    <t>40 avenue de Verdun</t>
  </si>
  <si>
    <t>Service de Gynécologie Obstétrique, Sénologie et Cancérologie polyvalente</t>
  </si>
  <si>
    <t>2-4 cours de la Gondoire</t>
  </si>
  <si>
    <t>Hélène Li</t>
  </si>
  <si>
    <t>Melissa Poswieto</t>
  </si>
  <si>
    <t>Fabiola Wato</t>
  </si>
  <si>
    <t>Consultation d’oncogénétique - Bâtiment de rééducation</t>
  </si>
  <si>
    <t>47-83 boulevard de l’Hôpital</t>
  </si>
  <si>
    <t>Veronica Cousin</t>
  </si>
  <si>
    <t>Clémence Evrevin</t>
  </si>
  <si>
    <t>Consultation d’oncogénétique - Service de chirurgie digestive</t>
  </si>
  <si>
    <t>184 rue du Faubourg Saint-Antoine</t>
  </si>
  <si>
    <t>Antoine Dardenne</t>
  </si>
  <si>
    <t>4 rue de la Chine</t>
  </si>
  <si>
    <t>Consultation d’oncogénétique - Service de Gynécologie</t>
  </si>
  <si>
    <t>ÎLE-DE-FRANCE OUEST</t>
  </si>
  <si>
    <t>SAINT-CLOUD</t>
  </si>
  <si>
    <t>Hôpital Foch</t>
  </si>
  <si>
    <t>CHI Poissy Saint Germain - Site Poissy</t>
  </si>
  <si>
    <t>10 rue du champ Gaillard</t>
  </si>
  <si>
    <t>Denise Molina Gomes</t>
  </si>
  <si>
    <t>Francia Gollhoff</t>
  </si>
  <si>
    <t>Claudia Rizzo</t>
  </si>
  <si>
    <t>Institut Curie - Site de Saint-Cloud</t>
  </si>
  <si>
    <t>Emmanuelle Fourme</t>
  </si>
  <si>
    <t>Claire Saule</t>
  </si>
  <si>
    <t>35 rue Dailly</t>
  </si>
  <si>
    <t>40 Rue Worth BP36</t>
  </si>
  <si>
    <t>Suresnes</t>
  </si>
  <si>
    <t>Partnership</t>
  </si>
  <si>
    <t>CHERBOURG</t>
  </si>
  <si>
    <t>Pierre Devulder</t>
  </si>
  <si>
    <t>Marie Zoé Favier</t>
  </si>
  <si>
    <t>Pauline Nottier</t>
  </si>
  <si>
    <t>May Loustalot-Thibaut</t>
  </si>
  <si>
    <t>CLCC de CAEN</t>
  </si>
  <si>
    <t>Centre hospitalier public du Cotentin</t>
  </si>
  <si>
    <t>56 rue du Val de Saire</t>
  </si>
  <si>
    <t>CHERBOURG-OCTEVILLE</t>
  </si>
  <si>
    <t>Hôpital Jacques Monod</t>
  </si>
  <si>
    <t>Violette Allouchery</t>
  </si>
  <si>
    <t>Margaux Clément Le Coissier</t>
  </si>
  <si>
    <t>29 avenue Pierre Mendès France</t>
  </si>
  <si>
    <t>Jacques Mauiollan</t>
  </si>
  <si>
    <t>Isabelle Tenemont</t>
  </si>
  <si>
    <t>Jean-Christophe Théry</t>
  </si>
  <si>
    <t>NOUVELLE-AQUITAINE</t>
  </si>
  <si>
    <t>CLCC de Bordeaux</t>
  </si>
  <si>
    <t>CH de NIORT</t>
  </si>
  <si>
    <t>Centre hospitalier d’Angoulême</t>
  </si>
  <si>
    <t>Centre hospitalier de la Côte Basque</t>
  </si>
  <si>
    <t>Virginie Bubien</t>
  </si>
  <si>
    <t>Anika Bensen</t>
  </si>
  <si>
    <t>Stéphanie Chieze-Valero</t>
  </si>
  <si>
    <t>Lucie Saille</t>
  </si>
  <si>
    <t>Sophie Giraud</t>
  </si>
  <si>
    <t>Julie Tinat</t>
  </si>
  <si>
    <t>Laurène Venat</t>
  </si>
  <si>
    <t>Clémentine Peyramure</t>
  </si>
  <si>
    <t>Alexandre Perani</t>
  </si>
  <si>
    <t>Centre hospitalier de Niort</t>
  </si>
  <si>
    <t>CHU Dupuytren</t>
  </si>
  <si>
    <t>Centre hospitalier de La Rochelle</t>
  </si>
  <si>
    <t>Rond-Point de Girac</t>
  </si>
  <si>
    <t>13 avenue de l’Interne Jacques Loëb</t>
  </si>
  <si>
    <t>BAYONNE CEDEX</t>
  </si>
  <si>
    <t>Service de Génétique Médicale - Groupe Hospitalier Pellegrin</t>
  </si>
  <si>
    <t>Place Amélie Raba Léon</t>
  </si>
  <si>
    <t>BORDEAUX Cedex</t>
  </si>
  <si>
    <t>229 cours de l’Argonne</t>
  </si>
  <si>
    <t>Rue du Docteur Schweitzer</t>
  </si>
  <si>
    <t>2 avenue Martin Luther King</t>
  </si>
  <si>
    <t>Consultations d’Oncogénétique</t>
  </si>
  <si>
    <t>Pavillon Clémentine</t>
  </si>
  <si>
    <t>40 avenue Charles de Gaulle</t>
  </si>
  <si>
    <t>Aurélie Miot</t>
  </si>
  <si>
    <t>David Touraine</t>
  </si>
  <si>
    <t>Centre hospitalier de Saintonge</t>
  </si>
  <si>
    <t>11 boulevard Ambroise Paré</t>
  </si>
  <si>
    <t>Béziers</t>
  </si>
  <si>
    <t>Centre hospitalier de Béziers</t>
  </si>
  <si>
    <t>ZAC de Montimaran</t>
  </si>
  <si>
    <t>2 rue Valentin Haüy</t>
  </si>
  <si>
    <t>Pascal Pujol</t>
  </si>
  <si>
    <t>Carole Corsini</t>
  </si>
  <si>
    <t>Montpellier</t>
  </si>
  <si>
    <t>Hôpital Arnaud de Villeneuve</t>
  </si>
  <si>
    <t>371 avenue du Doyen Gaston Giraud</t>
  </si>
  <si>
    <t>Institut Régional du Cancer de Montpellier (ICM)</t>
  </si>
  <si>
    <t>208 avenue des Apothicaires</t>
  </si>
  <si>
    <t>Parc Euromédecine</t>
  </si>
  <si>
    <t>Isabelle Coupier</t>
  </si>
  <si>
    <t>Centre de cancérologie du Grand Montpellier</t>
  </si>
  <si>
    <t>CHU-CLCC</t>
  </si>
  <si>
    <t>Clinique Clémentville</t>
  </si>
  <si>
    <t>25 rue de Clémentville</t>
  </si>
  <si>
    <t>Nîmes</t>
  </si>
  <si>
    <t>Hôpital universitaire Carémeau</t>
  </si>
  <si>
    <t>Jean Chiesa</t>
  </si>
  <si>
    <t>Perpignan</t>
  </si>
  <si>
    <t>Centre hospitalier de Perpignan</t>
  </si>
  <si>
    <t>20 avenue du Languedoc</t>
  </si>
  <si>
    <t>Elise Barel</t>
  </si>
  <si>
    <t>Nicolas Leduc</t>
  </si>
  <si>
    <t>Rodez</t>
  </si>
  <si>
    <t>Centre hospitalier de Rodez</t>
  </si>
  <si>
    <t>Avenue de l’Hôpital</t>
  </si>
  <si>
    <t>Tarbes</t>
  </si>
  <si>
    <t>Clinique de l’Ormeau</t>
  </si>
  <si>
    <t>12 chemin de l’Ormeau</t>
  </si>
  <si>
    <t>Toulouse</t>
  </si>
  <si>
    <t>Institut universitaire du cancer Toulouse Oncopole</t>
  </si>
  <si>
    <t>1 avenue Irène Joliot-Curie</t>
  </si>
  <si>
    <t>Delphine Bonnet</t>
  </si>
  <si>
    <t>Laurence Gladieff</t>
  </si>
  <si>
    <t>Pierre Vande Perre</t>
  </si>
  <si>
    <t>Angers</t>
  </si>
  <si>
    <t>Hôpital Hôtel Dieu</t>
  </si>
  <si>
    <t>Service de génétique médicale</t>
  </si>
  <si>
    <t>Institut de cancérologie de l’Ouest (ICO)</t>
  </si>
  <si>
    <t>15 rue André Boquel</t>
  </si>
  <si>
    <t>Marie-Emmanuelle Morin-Meschin</t>
  </si>
  <si>
    <t>Marie Coudert</t>
  </si>
  <si>
    <t>Cholet</t>
  </si>
  <si>
    <t>Centre Hospitalier de Cholet</t>
  </si>
  <si>
    <t>1 rue Marengo</t>
  </si>
  <si>
    <t>Clélia Chalumeau</t>
  </si>
  <si>
    <t>La Roche-sur-Yon</t>
  </si>
  <si>
    <t>Centre Hospitalier Départemental Vendée</t>
  </si>
  <si>
    <t>Les Oudairies</t>
  </si>
  <si>
    <t>Caroline Abadie</t>
  </si>
  <si>
    <t>Céline Bihan</t>
  </si>
  <si>
    <t>Le Mans</t>
  </si>
  <si>
    <t>Centre de Cancérologie de la Sarthe</t>
  </si>
  <si>
    <t>66 rue de Degré</t>
  </si>
  <si>
    <t>Nantes</t>
  </si>
  <si>
    <t>CHU Nantes - Hôtel Dieu</t>
  </si>
  <si>
    <t>Unité de génétique clinique</t>
  </si>
  <si>
    <t>1 place Alexis Ricordeau</t>
  </si>
  <si>
    <t>Nantes Cedex 1</t>
  </si>
  <si>
    <t>Bertrand Isidor</t>
  </si>
  <si>
    <t>Boulevard Jacques Monod</t>
  </si>
  <si>
    <t>Saint-Herblain</t>
  </si>
  <si>
    <t>Carole Abadie</t>
  </si>
  <si>
    <t>Capucine Delnatte</t>
  </si>
  <si>
    <t>Estelle Cauchin</t>
  </si>
  <si>
    <t>Hôpital privé du Confluent</t>
  </si>
  <si>
    <t>2-4 rue Éric Tabarly</t>
  </si>
  <si>
    <t>Hélène Castanié</t>
  </si>
  <si>
    <t>Alain Lortholary</t>
  </si>
  <si>
    <t>Clinical Trials_Sponsor</t>
  </si>
  <si>
    <t>Clinique Jules Verne</t>
  </si>
  <si>
    <t>2-4 Route de Paris</t>
  </si>
  <si>
    <t>Aix-en-Provence</t>
  </si>
  <si>
    <t>PROVENCE–ALPES–CÔTE D’AZUR – CORSE</t>
  </si>
  <si>
    <t>CLCC de Marseille</t>
  </si>
  <si>
    <t>Centre hospitalier du Pays d’Aix</t>
  </si>
  <si>
    <t>Avenue des Tamaris</t>
  </si>
  <si>
    <t>Ajaccio</t>
  </si>
  <si>
    <t>Centre hospitalier Notre-Dame de la Miséricorde</t>
  </si>
  <si>
    <t>27 avenue Impératrice Eugénie</t>
  </si>
  <si>
    <t>Franck Le Duff</t>
  </si>
  <si>
    <t>CH de Bastia</t>
  </si>
  <si>
    <t>Antibes</t>
  </si>
  <si>
    <t>CLCC de Nice</t>
  </si>
  <si>
    <t>Centre hospitalier Antibes</t>
  </si>
  <si>
    <t>107 avenue de Nice</t>
  </si>
  <si>
    <t>Antibes Cedex</t>
  </si>
  <si>
    <t>Véronique Mari</t>
  </si>
  <si>
    <t>Institut Cancer Avignon Provence</t>
  </si>
  <si>
    <t>250 chemin de Baigne Pieds</t>
  </si>
  <si>
    <t>Avignon Cedex 09</t>
  </si>
  <si>
    <t>Bastia</t>
  </si>
  <si>
    <t>Centre hospitalier de Bastia</t>
  </si>
  <si>
    <t>BP 680</t>
  </si>
  <si>
    <t>Bastia Cedex</t>
  </si>
  <si>
    <t>Centre hospitalier Pierre Nouveau</t>
  </si>
  <si>
    <t>15 avenue des Broussailles</t>
  </si>
  <si>
    <t>Cannes</t>
  </si>
  <si>
    <t>Corte</t>
  </si>
  <si>
    <t>Centre hospitalier Intercommunal Corte-Tattone</t>
  </si>
  <si>
    <t>Avenue du 9 Septembre</t>
  </si>
  <si>
    <t>Fréjus</t>
  </si>
  <si>
    <t>Centre hospitalier intercommunal Fréjus – Saint-Raphaël</t>
  </si>
  <si>
    <t>240 avenue de Saint-Lambert</t>
  </si>
  <si>
    <t>Gap</t>
  </si>
  <si>
    <t>Centre hospitalier intercommunal des Alpes du Sud</t>
  </si>
  <si>
    <t>1 place Auguste Muret</t>
  </si>
  <si>
    <t>Grasse</t>
  </si>
  <si>
    <t>Centre hospitalier de Grasse</t>
  </si>
  <si>
    <t>28 chemin de Clavary</t>
  </si>
  <si>
    <t>264 rue Saint-Pierre</t>
  </si>
  <si>
    <t>Hélène Zattara</t>
  </si>
  <si>
    <t>APHM - Hôpital Nord</t>
  </si>
  <si>
    <t>Chemin des Bourrely</t>
  </si>
  <si>
    <t>APHM</t>
  </si>
  <si>
    <t>Hôpital de la Timone</t>
  </si>
  <si>
    <t>232 boulevard Sainte-Marguerite</t>
  </si>
  <si>
    <t>Julie Robbe</t>
  </si>
  <si>
    <t>Patricia Niccoli</t>
  </si>
  <si>
    <t>Hôpital privé Beauregard</t>
  </si>
  <si>
    <t>23 rue des Linots</t>
  </si>
  <si>
    <t>26 boulevard de Louvain</t>
  </si>
  <si>
    <t>Hôpital Saint-Joseph</t>
  </si>
  <si>
    <t>Martigues</t>
  </si>
  <si>
    <t>Centre hospitalier de Martigues</t>
  </si>
  <si>
    <t>3 boulevard des Rayettes</t>
  </si>
  <si>
    <t>Mougins</t>
  </si>
  <si>
    <t>Centre azuréen de cancérologie</t>
  </si>
  <si>
    <t>1 place du Docteur Jean-Luc Broquerie</t>
  </si>
  <si>
    <t>Hôpital Archet 2</t>
  </si>
  <si>
    <t>151 rue Saint-Antoine de Ginestière</t>
  </si>
  <si>
    <t>Toulon</t>
  </si>
  <si>
    <t>Hôpital Sainte Musse</t>
  </si>
  <si>
    <t>Olivier Dupuy</t>
  </si>
  <si>
    <t>Xavier Tchiknavarian</t>
  </si>
  <si>
    <t>54 rue Henri Sainte-Claire Deville</t>
  </si>
  <si>
    <t>Pointe-à-Pitre</t>
  </si>
  <si>
    <t>CHU de la Guadeloupe</t>
  </si>
  <si>
    <t>Saint-Martin</t>
  </si>
  <si>
    <t>LA RÉUNION</t>
  </si>
  <si>
    <t>Saint-Pierre</t>
  </si>
  <si>
    <t>Saint-Denis</t>
  </si>
  <si>
    <t>Fort-de-France</t>
  </si>
  <si>
    <t>Marilyn Irène Lackmy</t>
  </si>
  <si>
    <t>Sofiane Djebien</t>
  </si>
  <si>
    <t xml:space="preserve"> BP 465</t>
  </si>
  <si>
    <t>Unité de Génétique Clinique –</t>
  </si>
  <si>
    <t>Centre Hospitalier Louis Constant Fleming</t>
  </si>
  <si>
    <t>Rue du Soleil Levant, Marigot</t>
  </si>
  <si>
    <t>CHU de La Réunion - Hôpital Félix Guyon</t>
  </si>
  <si>
    <t>Allée des Topazes</t>
  </si>
  <si>
    <t>Bérénice Roy-Doray</t>
  </si>
  <si>
    <t>CHU de La Réunion - Groupe hospitalier Sud Réunion</t>
  </si>
  <si>
    <t>Hanitra Ranjatoelina-Randrianavivo</t>
  </si>
  <si>
    <t>Avenue du Président Mitterrand</t>
  </si>
  <si>
    <t>Saint-Pierre Cedex</t>
  </si>
  <si>
    <t>CHU de Martinique — Hôpital Pierre Zobda-Quitman</t>
  </si>
  <si>
    <t>BP 632</t>
  </si>
  <si>
    <t>Fort-de-France Cedex</t>
  </si>
  <si>
    <t>Odile Béra</t>
  </si>
  <si>
    <t>Address of testing location, if only one than hospital name</t>
  </si>
  <si>
    <t>HCP_6</t>
  </si>
  <si>
    <t>HCP_7</t>
  </si>
  <si>
    <t>HCP_8</t>
  </si>
  <si>
    <t>KRAS/NRAS Mutation</t>
  </si>
  <si>
    <t>Lab/Department</t>
  </si>
  <si>
    <t>CHU de Clermont Ferrand - Hôpital Estaing</t>
  </si>
  <si>
    <t>Hospices Civils de Lyon - Hôpital Édouard Herriot</t>
  </si>
  <si>
    <t>CHU de TOURS - Hôpital Trousseau</t>
  </si>
  <si>
    <t>Institut de Cancérologie de Lorraine (CHRU de Nancy)</t>
  </si>
  <si>
    <t>KRAS/NRAS Mutation (NRAS)</t>
  </si>
  <si>
    <t>AP-HP - Hôpital Saint-Louis</t>
  </si>
  <si>
    <t>AP-HP - Hôpital Tenon</t>
  </si>
  <si>
    <t>CHU de Caen - Hôpital Clémenceau</t>
  </si>
  <si>
    <t>CHU Rouen - Hôpital Charles Nicolle</t>
  </si>
  <si>
    <t>CHU de Limoges - Hôpital Universitaire Dupuytren CRBS</t>
  </si>
  <si>
    <t>AP-HM - Faculté de Médecine Nord</t>
  </si>
  <si>
    <t>AP-HP - Hôpital de la Timone</t>
  </si>
  <si>
    <t>AP-HP - Hôpital Cochin</t>
  </si>
  <si>
    <t>AP-HP - Hôpital Cochin - site Port Royal</t>
  </si>
  <si>
    <t>AP-HP - Hôpital Européen Georges Pompidou</t>
  </si>
  <si>
    <t>AP-HP - Hôpital La Pitié-Salpêtrière</t>
  </si>
  <si>
    <t>AP-HP - Hôpital Saint-Antoine</t>
  </si>
  <si>
    <t>AP-HM - Hôpital Nord</t>
  </si>
  <si>
    <t>AP-HP - Hôpital Lariboisière</t>
  </si>
  <si>
    <t>AP-HP Nord Université de Paris HUPNVS (Bichat Beaujon Louis Mourier) - Site Hôpital Bichat</t>
  </si>
  <si>
    <t>AP-HP Sorbonne Université Tenon - Hôpital Tenon</t>
  </si>
  <si>
    <t>Institut de Cancérologie de l’Ouest (ICO)</t>
  </si>
  <si>
    <t>Institut de Cancérologie de Lorraine Alexis Vautrin</t>
  </si>
  <si>
    <t>Institut de Cancérologie Strasbourg Europe</t>
  </si>
  <si>
    <t>ID00002</t>
  </si>
  <si>
    <t>ID00003</t>
  </si>
  <si>
    <t>ID00004</t>
  </si>
  <si>
    <t>ID00005</t>
  </si>
  <si>
    <t>ID00007</t>
  </si>
  <si>
    <t>ID00008</t>
  </si>
  <si>
    <t>ID00014</t>
  </si>
  <si>
    <t>ID00015</t>
  </si>
  <si>
    <t>ID00016</t>
  </si>
  <si>
    <t>ID00017</t>
  </si>
  <si>
    <t>ID00018</t>
  </si>
  <si>
    <t>ID00019</t>
  </si>
  <si>
    <t>ID00020</t>
  </si>
  <si>
    <t>ID00021</t>
  </si>
  <si>
    <t>ID00025</t>
  </si>
  <si>
    <t>ID00026</t>
  </si>
  <si>
    <t>ID00027</t>
  </si>
  <si>
    <t>ID00028</t>
  </si>
  <si>
    <t>ID00030</t>
  </si>
  <si>
    <t>ID00031</t>
  </si>
  <si>
    <t>ID00032</t>
  </si>
  <si>
    <t>ID00033</t>
  </si>
  <si>
    <t>ID00035</t>
  </si>
  <si>
    <t>ID00036</t>
  </si>
  <si>
    <t>ID00037</t>
  </si>
  <si>
    <t>ID00038</t>
  </si>
  <si>
    <t>ID00040</t>
  </si>
  <si>
    <t>ID00041</t>
  </si>
  <si>
    <t>ID00042</t>
  </si>
  <si>
    <t>ID00043</t>
  </si>
  <si>
    <t>ID00044</t>
  </si>
  <si>
    <t>ID00045</t>
  </si>
  <si>
    <t>ID00046</t>
  </si>
  <si>
    <t>ID00047</t>
  </si>
  <si>
    <t>ID00048</t>
  </si>
  <si>
    <t>ID00049</t>
  </si>
  <si>
    <t>ID00050</t>
  </si>
  <si>
    <t>ID00052</t>
  </si>
  <si>
    <t>ID00053</t>
  </si>
  <si>
    <t>ID00054</t>
  </si>
  <si>
    <t>ID00060</t>
  </si>
  <si>
    <t>ID00061</t>
  </si>
  <si>
    <t>ID00062</t>
  </si>
  <si>
    <t>ID00063</t>
  </si>
  <si>
    <t>ID00064</t>
  </si>
  <si>
    <t>ID00068</t>
  </si>
  <si>
    <t>ID00069</t>
  </si>
  <si>
    <t>ID00070</t>
  </si>
  <si>
    <t>ID00071</t>
  </si>
  <si>
    <t>ID00073</t>
  </si>
  <si>
    <t>ID00074</t>
  </si>
  <si>
    <t>ID00075</t>
  </si>
  <si>
    <t>ID00076</t>
  </si>
  <si>
    <t>ID00078</t>
  </si>
  <si>
    <t>ID00081</t>
  </si>
  <si>
    <t>ID00082</t>
  </si>
  <si>
    <t>ID00083</t>
  </si>
  <si>
    <t>ID00085</t>
  </si>
  <si>
    <t>ID00086</t>
  </si>
  <si>
    <t>ID00087</t>
  </si>
  <si>
    <t>ID00088</t>
  </si>
  <si>
    <t>ID00089</t>
  </si>
  <si>
    <t>ID00090</t>
  </si>
  <si>
    <t>ID00092</t>
  </si>
  <si>
    <t>ID00093</t>
  </si>
  <si>
    <t>ID00094</t>
  </si>
  <si>
    <t>ID00096</t>
  </si>
  <si>
    <t>ID00097</t>
  </si>
  <si>
    <t>ID00099</t>
  </si>
  <si>
    <t>ID00100</t>
  </si>
  <si>
    <t>ID00103</t>
  </si>
  <si>
    <t>ID00107</t>
  </si>
  <si>
    <t>ID00108</t>
  </si>
  <si>
    <t>ID00109</t>
  </si>
  <si>
    <t>ID00110</t>
  </si>
  <si>
    <t>ID00111</t>
  </si>
  <si>
    <t>ID00114</t>
  </si>
  <si>
    <t>ID00115</t>
  </si>
  <si>
    <t>ID00117</t>
  </si>
  <si>
    <t>ID00122</t>
  </si>
  <si>
    <t>ID00125</t>
  </si>
  <si>
    <t>ID00126</t>
  </si>
  <si>
    <t>ID00127</t>
  </si>
  <si>
    <t>ID00128</t>
  </si>
  <si>
    <t>ID00130</t>
  </si>
  <si>
    <t>ID00139</t>
  </si>
  <si>
    <t>ID00140</t>
  </si>
  <si>
    <t>Laboratoire Alpigène, Lyon</t>
  </si>
  <si>
    <t>ID00142</t>
  </si>
  <si>
    <t>ID00144</t>
  </si>
  <si>
    <t>ID00146</t>
  </si>
  <si>
    <t>ID00149</t>
  </si>
  <si>
    <t>ID00150</t>
  </si>
  <si>
    <t>ID00152</t>
  </si>
  <si>
    <t>ID00153</t>
  </si>
  <si>
    <t>ID00155</t>
  </si>
  <si>
    <t>ID00156</t>
  </si>
  <si>
    <t>ID00157</t>
  </si>
  <si>
    <t>ID00158</t>
  </si>
  <si>
    <t>ID00159</t>
  </si>
  <si>
    <t>ID00160</t>
  </si>
  <si>
    <t>ID00161</t>
  </si>
  <si>
    <t>ID00162</t>
  </si>
  <si>
    <t>ID00163</t>
  </si>
  <si>
    <t>ID00164</t>
  </si>
  <si>
    <t>ID00165</t>
  </si>
  <si>
    <t>ID00166</t>
  </si>
  <si>
    <t>ID00167</t>
  </si>
  <si>
    <t>ID00168</t>
  </si>
  <si>
    <t>ID00169</t>
  </si>
  <si>
    <t>ID00170</t>
  </si>
  <si>
    <t>ID00171</t>
  </si>
  <si>
    <t>ID00172</t>
  </si>
  <si>
    <t>ID00173</t>
  </si>
  <si>
    <t>ID00174</t>
  </si>
  <si>
    <t>ID00175</t>
  </si>
  <si>
    <t>ID00176</t>
  </si>
  <si>
    <t>ID00177</t>
  </si>
  <si>
    <t>Centre Jean Perrin (CLCC de CLERMONT-FERRAND)</t>
  </si>
  <si>
    <t>Centre Léon Bérard (CLCC de LYON)</t>
  </si>
  <si>
    <t>Institut Paoli Calmettes (CLCC de Marseille)</t>
  </si>
  <si>
    <t>Centre Antoine Lacassagne (CLCC de Nice)</t>
  </si>
  <si>
    <t>Centre François Baclesse (CLCC de CAEN)</t>
  </si>
  <si>
    <t>Institut Bergonié (CLCC de Bordeaux)</t>
  </si>
  <si>
    <t>Centre Oscar Lambret (CLCC de LILLE)</t>
  </si>
  <si>
    <t>Centre Georges François Leclerc (CLCC de DIJON)</t>
  </si>
  <si>
    <t>Centre Eugène Marquis (CLCC de RENNES)</t>
  </si>
  <si>
    <t>KRAS/NRAS Mutation Testing</t>
  </si>
  <si>
    <t>Yes (NRAS)</t>
  </si>
  <si>
    <t>Pôle Morphologie - Serviced' anatomie et de cytologie pathologique</t>
  </si>
  <si>
    <t>Service d'anatomie et de cytologie pathologiques - Laboratoire d'anatomopathologie et de génétique moléculaire</t>
  </si>
  <si>
    <t>Oncogenetic Center</t>
  </si>
  <si>
    <t xml:space="preserve">Yes </t>
  </si>
  <si>
    <t>Laboratoire de Biologie Moléculaire - Unité d’oncogénétique</t>
  </si>
  <si>
    <t>Laboratoire de Biologie Moléculaire et d'Histocompatibilité (Laboratoire de Génétique Moléculaire et d'Histocompatibilité)</t>
  </si>
  <si>
    <t>Laboratoire de Génétique Somatique (Service de Génétique - Département Biologie des tumeurs)</t>
  </si>
  <si>
    <t>Laboratoire de Biologie Moléculaire (Méeicales - Service de Pathologie Moléculaire)</t>
  </si>
  <si>
    <t>Laboratoire de Biologie Moléculaire - May Loustalot-Thibaut - Département de Biopathologie oncologique</t>
  </si>
  <si>
    <t>Laboratoire de Biologie Moléculaire (Service de cancérologie biologique)</t>
  </si>
  <si>
    <t>Laboratoire de Biologie Moléculaire (Laboratoire d'oncopharmacologie)</t>
  </si>
  <si>
    <t>Laboratoires d'Anatomopathologie et d'Oncogénétique Moléculaire (Département de Biologie Du Cancer)</t>
  </si>
  <si>
    <t>Laboratoire d'anatomopathologie et de biologie moléculaire (Oncobiology) -  Laboratoire de transfert d'oncologie biologique</t>
  </si>
  <si>
    <t>Laboratoire de Biologie Moléculaire (Service de génétique et biologie moléculaires)</t>
  </si>
  <si>
    <t>Laboratoire de Biologie Moléculaire (UF d'oncologie moléculaire)</t>
  </si>
  <si>
    <t>Departement de genomique des Tumeurs Solides (UF de Pharmacogénomique)</t>
  </si>
  <si>
    <t>AP-HP Sorbonne Université Saint-Antoine - Hôpital Saint-Antoine</t>
  </si>
  <si>
    <t>Laboratoire d'anatomopathologie (Service d'anatomie et de Cytologie pathologiques)</t>
  </si>
  <si>
    <t>Laboratoire de Biologie Moléculaire (Laboratoire commun de biologie et de génétique moléculaires)</t>
  </si>
  <si>
    <t>Laboratoire de Biologie Moléculaire (Unité Fonctionelle d'oncogénétique et d'angiogénétique moléculaire Pitié Salpêtrière - Département de génétique)</t>
  </si>
  <si>
    <t>AP-HP Sorbonne Université Pitié Salpêtrière - Hôpital Pitié Salpêtrière</t>
  </si>
  <si>
    <t>4 Rue de la Chine</t>
  </si>
  <si>
    <t>AP-HP Avicenne</t>
  </si>
  <si>
    <t>Laboratoire de Biochimie (UF de Pharmacogénétique et Oncologie Moléculaire HEGP)</t>
  </si>
  <si>
    <t>Département de Génétique Médicale</t>
  </si>
  <si>
    <t>Laboratoire d'anatomopathologie et de biologie moléculaire (Département de pathologie)</t>
  </si>
  <si>
    <t>AP-HP Université Henri Mondor Université Paris - Hôpital Henri Mondor</t>
  </si>
  <si>
    <t>AP-HP Sud Université Paris Saclay HUPIFO Ambroise Paré - Hôpital Ambroise Paré -</t>
  </si>
  <si>
    <t>Laboratoire d'histopathologie  et de pathologie moléculaire (Service de pathologique)</t>
  </si>
  <si>
    <t>AP-HP Sud Université Paris Saclay HUPIFO Ambroise Paré - Hôpital Ambroise Paré</t>
  </si>
  <si>
    <t>CHU de GRENOBLE - Institut de Biologie et de Pathologie</t>
  </si>
  <si>
    <t>CHU de BESANÇON - Hôpital Jean Minjoz</t>
  </si>
  <si>
    <t xml:space="preserve">CHU de BESANÇON - Hôpital Nord </t>
  </si>
  <si>
    <t>CHU de DIJON - Hôpital du Bocage</t>
  </si>
  <si>
    <t xml:space="preserve">CHU de Dijon - Hôpital du Bocage - </t>
  </si>
  <si>
    <t>Laboratoire d'anatomopathologie et de biologie moléculaire (Plateau technique de Biologie Service de pathologie)</t>
  </si>
  <si>
    <t>Laboratoire de Biologie Moléculaire (Service de Génétique Moléculaire et Génomique)</t>
  </si>
  <si>
    <t>Laboratoire de Biologie Moléculaire (Pôle de biopathologies Unité fonctionnelle de biologie moléculaire)</t>
  </si>
  <si>
    <t>Laboratoire de Biologie Moléculaire (Service de biochimieet biologie moléculaire)</t>
  </si>
  <si>
    <t>Laboratoire de Biologie moléculaire: Service de Biopathologie-HMB UF de Biologie Cellulaire (UF de Biologie Cellulaire)</t>
  </si>
  <si>
    <t>Service de Biologie Moléculaire des Tumeurs (Département de Biopathologie)</t>
  </si>
  <si>
    <t>CHRU de LILLE - Hôpital Jeanne de Flandre</t>
  </si>
  <si>
    <t>CHU de LILLE - Hôpital Albert Calmette</t>
  </si>
  <si>
    <t>CHU de LILLE - Hôpital Claude Huriez</t>
  </si>
  <si>
    <t>Yes (Endocrine Tumours)</t>
  </si>
  <si>
    <t>Laboratoire de Biologie Moléculaire - Centre de biologie et de pathologie - Laboratoire de biochimie et biologie moléculaire (Unité oncologie et génétique moléculaire)</t>
  </si>
  <si>
    <t>CHU Amiens-Picardie - Hôpital Sud</t>
  </si>
  <si>
    <t xml:space="preserve"> </t>
  </si>
  <si>
    <t>Laboratoire de Biologie Moléculaire (Service de génétique)</t>
  </si>
  <si>
    <t>Laboratoire d'anatomopathologie et de génétique moléculaire (Laboratoire de génétique somatique des tumeurs)</t>
  </si>
  <si>
    <t>Plateforme de Génétique Moléculaire des Cancers (Anatomie Pathologique)</t>
  </si>
  <si>
    <t>Laboratoire de biologié spécialisée et oncogénétique (Département de Biopathologie)</t>
  </si>
  <si>
    <t>Hôpital Universitaire Carémeau</t>
  </si>
  <si>
    <t>Institut Régional du Cancer de Montpellier (ICM) (CHU-CLCC de Montpellier)</t>
  </si>
  <si>
    <t>Département d'Anatomie (Pathologique)</t>
  </si>
  <si>
    <t>Hôpital Hôtel Dieu (Angers)</t>
  </si>
  <si>
    <t>Laboratoire de Biologie Moléculaire (Département de biopathologie du cancer Oncopharmacologie et pharmacogénétique)</t>
  </si>
  <si>
    <t>Institut de Cancérologie de l’Ouest (ICO) - St Herblain</t>
  </si>
  <si>
    <t>Institut de Cancérologie de l’Ouest (ICO) - Angers Paul Papin</t>
  </si>
  <si>
    <t>Laboratoire de Biologie Moléculaire (Laboratoire de Génétique des tumeurs solides)</t>
  </si>
  <si>
    <t>ID00178</t>
  </si>
  <si>
    <t>OECI Member</t>
  </si>
  <si>
    <t>Certified Comprehensive Cancer Network</t>
  </si>
  <si>
    <t>Certified Comprehensive Cancer Centre</t>
  </si>
  <si>
    <t>In the A&amp;D process</t>
  </si>
  <si>
    <t>HCO ID</t>
  </si>
  <si>
    <t>Abdelkader Taibi</t>
  </si>
  <si>
    <t>Adamah Amouzougan</t>
  </si>
  <si>
    <t>Agnès Tallet-Richard</t>
  </si>
  <si>
    <t>Ahmet Ayav</t>
  </si>
  <si>
    <t>Alain Sauvanet</t>
  </si>
  <si>
    <t>Alexandre Doussot</t>
  </si>
  <si>
    <t>Amandine Bruyas</t>
  </si>
  <si>
    <t>Anna Farran</t>
  </si>
  <si>
    <t>Anne Mourregot</t>
  </si>
  <si>
    <t>Anthony Gonçalves</t>
  </si>
  <si>
    <t>Antoine Adenis</t>
  </si>
  <si>
    <t>Antoine Italiano</t>
  </si>
  <si>
    <t>Arnaud Jeanson</t>
  </si>
  <si>
    <t>Aude-Marie Savoye</t>
  </si>
  <si>
    <t>Audrey Mailliez</t>
  </si>
  <si>
    <t>Béatrice Bouvard</t>
  </si>
  <si>
    <t>Benoit You</t>
  </si>
  <si>
    <t>Bernard Cortet</t>
  </si>
  <si>
    <t>Camille Herve</t>
  </si>
  <si>
    <t>Carlos Alberto Gomez-Roca</t>
  </si>
  <si>
    <t>Carmen Llacer</t>
  </si>
  <si>
    <t>Catherine Arvieux</t>
  </si>
  <si>
    <t>Charles De Ponthaud</t>
  </si>
  <si>
    <t>Charlotte Caille-Benigni</t>
  </si>
  <si>
    <t>Charlotte Fenioux</t>
  </si>
  <si>
    <t>Christelle Clement-Duchêne</t>
  </si>
  <si>
    <t>Christelle De La Fouchardiere</t>
  </si>
  <si>
    <t>Christian Marcelli</t>
  </si>
  <si>
    <t>Christine Guglielmetti-Bargot</t>
  </si>
  <si>
    <t>Christine Rebischung</t>
  </si>
  <si>
    <t>Christophe Javaud</t>
  </si>
  <si>
    <t>Christophe Laurent</t>
  </si>
  <si>
    <t>Christophe Louvet</t>
  </si>
  <si>
    <t>Christophe Sajous</t>
  </si>
  <si>
    <t>Claire Lemanski</t>
  </si>
  <si>
    <t>Clarisse Eveno</t>
  </si>
  <si>
    <t>Clélia Coutzac</t>
  </si>
  <si>
    <t>Clémence Toullec</t>
  </si>
  <si>
    <t>Clémentine Drain</t>
  </si>
  <si>
    <t>Côme Lepage</t>
  </si>
  <si>
    <t>Cristina Smolenschi</t>
  </si>
  <si>
    <t>Cyriac Blonz</t>
  </si>
  <si>
    <t>Cyril Amouroux</t>
  </si>
  <si>
    <t>Daniel Pietrasz</t>
  </si>
  <si>
    <t>David Pasquier</t>
  </si>
  <si>
    <t>Denis Maillet</t>
  </si>
  <si>
    <t>Denis Smith</t>
  </si>
  <si>
    <t>Dominique Genre</t>
  </si>
  <si>
    <t>Elodie Coquan</t>
  </si>
  <si>
    <t>Elodie Lacaze</t>
  </si>
  <si>
    <t>Emilie Lermite</t>
  </si>
  <si>
    <t>Emmanuel Buc</t>
  </si>
  <si>
    <t>Emmanuelle Kempf</t>
  </si>
  <si>
    <t>Eric Assénat</t>
  </si>
  <si>
    <t>Fabienne Prieur</t>
  </si>
  <si>
    <t>Faiza Khemissa</t>
  </si>
  <si>
    <t>Fanny Foubert</t>
  </si>
  <si>
    <t>Fawzi Kara-Slimane</t>
  </si>
  <si>
    <t>Fernando Bazan</t>
  </si>
  <si>
    <t>Florence Osaer-Polycarpe</t>
  </si>
  <si>
    <t>Florian Estrade</t>
  </si>
  <si>
    <t>Francois Ducray</t>
  </si>
  <si>
    <t>Francois Ghiringhelli</t>
  </si>
  <si>
    <t>Francois Quenet</t>
  </si>
  <si>
    <t>Françoise Debiais</t>
  </si>
  <si>
    <t>François-Régis Souche</t>
  </si>
  <si>
    <t>Frédéric Di Fiore</t>
  </si>
  <si>
    <t>Gabriella Pittau</t>
  </si>
  <si>
    <t>Gerard Lledo</t>
  </si>
  <si>
    <t>Gérard Lledo</t>
  </si>
  <si>
    <t>Gilles Boschetti</t>
  </si>
  <si>
    <t>Gilles Devouassoux</t>
  </si>
  <si>
    <t>Gilles Freyer</t>
  </si>
  <si>
    <t>Gilles Truc</t>
  </si>
  <si>
    <t>Guillaume Couture</t>
  </si>
  <si>
    <t>Hajar Eddahbi</t>
  </si>
  <si>
    <t>Hakima Manseur</t>
  </si>
  <si>
    <t>Hélène Boussion</t>
  </si>
  <si>
    <t>Héloïse Bourien</t>
  </si>
  <si>
    <t>Irina Tchoumak</t>
  </si>
  <si>
    <t>Isabelle Cojean Zelek</t>
  </si>
  <si>
    <t>Isabelle Desmoulins</t>
  </si>
  <si>
    <t>Isabelle Tennevet</t>
  </si>
  <si>
    <t>Isabelle Trouilloud</t>
  </si>
  <si>
    <t>J. Medioni</t>
  </si>
  <si>
    <t>Jean Emmanuel Mitry</t>
  </si>
  <si>
    <t>Jean Robert Delpero</t>
  </si>
  <si>
    <t>Jean-Baptiste Meric</t>
  </si>
  <si>
    <t>Jean-Christophe Lifante</t>
  </si>
  <si>
    <t>Jean-Marc Phelip</t>
  </si>
  <si>
    <t>Jean-Marc Regimbeau</t>
  </si>
  <si>
    <t>Jean-Marie Ravel</t>
  </si>
  <si>
    <t>Jean-Paul Lagasse</t>
  </si>
  <si>
    <t>Jean-Philippe Metges</t>
  </si>
  <si>
    <t>Jean-Pierre Bleuse</t>
  </si>
  <si>
    <t>Jean-Yves Mabrut</t>
  </si>
  <si>
    <t>Julia Quintin</t>
  </si>
  <si>
    <t>Julie Leclerc</t>
  </si>
  <si>
    <t>Julie Perinel</t>
  </si>
  <si>
    <t>Julie Veziant</t>
  </si>
  <si>
    <t>Julien Domont</t>
  </si>
  <si>
    <t>Julien Peron</t>
  </si>
  <si>
    <t>Julieta Rodriguez</t>
  </si>
  <si>
    <t>K Ouali</t>
  </si>
  <si>
    <t>Kaissa Ouali</t>
  </si>
  <si>
    <t>Karine Bouhier Leporrier</t>
  </si>
  <si>
    <t>Katell Le Du</t>
  </si>
  <si>
    <t>Laetitia Dahan</t>
  </si>
  <si>
    <t>Laëtitia Dahan</t>
  </si>
  <si>
    <t>Laura Gerard</t>
  </si>
  <si>
    <t>Laurence Faivre-Olivier</t>
  </si>
  <si>
    <t>Laurence Venat-Bouvet</t>
  </si>
  <si>
    <t>Laurent Brunaud</t>
  </si>
  <si>
    <t>Le Duff Franck</t>
  </si>
  <si>
    <t>Lea Saban-Roche</t>
  </si>
  <si>
    <t>Lionel Badet</t>
  </si>
  <si>
    <t>Lionel Karlin</t>
  </si>
  <si>
    <t>Lize Kiakouama</t>
  </si>
  <si>
    <t>Louis De Mestier</t>
  </si>
  <si>
    <t>Ludovic Doucet</t>
  </si>
  <si>
    <t>Ludovic Evesque</t>
  </si>
  <si>
    <t>Marc Planes</t>
  </si>
  <si>
    <t>Marc Ychou</t>
  </si>
  <si>
    <t>Marianne Veyri</t>
  </si>
  <si>
    <t>Marielle Guillet</t>
  </si>
  <si>
    <t>Marine Jary</t>
  </si>
  <si>
    <t>Marion Cortet</t>
  </si>
  <si>
    <t>Mathieu Pioche</t>
  </si>
  <si>
    <t>Mathilde Gay-Bellile</t>
  </si>
  <si>
    <t>Meher Benabdelghani</t>
  </si>
  <si>
    <t>Messaouda Merzoug</t>
  </si>
  <si>
    <t>Michael Duruisseaux</t>
  </si>
  <si>
    <t>Michele Beau-Faller</t>
  </si>
  <si>
    <t>Mohamed Bouattour</t>
  </si>
  <si>
    <t>Mohamed Hebbar</t>
  </si>
  <si>
    <t>Mona Amini</t>
  </si>
  <si>
    <t>Nadia Mehsen-Cetre</t>
  </si>
  <si>
    <t>Naoual Bakrin</t>
  </si>
  <si>
    <t>Nathalie Bonnin</t>
  </si>
  <si>
    <t>Nicolas Benech</t>
  </si>
  <si>
    <t>Nicolas Isambert</t>
  </si>
  <si>
    <t>Nicolas Regenet</t>
  </si>
  <si>
    <t>Olivia Le Saux</t>
  </si>
  <si>
    <t>Olivia Sgarbura</t>
  </si>
  <si>
    <t>Olivier Bouche</t>
  </si>
  <si>
    <t>Olivier Glehen</t>
  </si>
  <si>
    <t>Olivier Rosmorduc</t>
  </si>
  <si>
    <t>Pascal Foucher</t>
  </si>
  <si>
    <t>Pascal Guggenbuhl</t>
  </si>
  <si>
    <t>Pauline Vaflard</t>
  </si>
  <si>
    <t>Perol Maurice</t>
  </si>
  <si>
    <t>Philippe Ah-Soune</t>
  </si>
  <si>
    <t>Philippe Cassier</t>
  </si>
  <si>
    <t>Philippe Ceruse</t>
  </si>
  <si>
    <t>Philippe Levy</t>
  </si>
  <si>
    <t>Philippe Merle</t>
  </si>
  <si>
    <t>Philippe Paparel</t>
  </si>
  <si>
    <t>Philippe Rochigneux</t>
  </si>
  <si>
    <t>Philippe Rouanet</t>
  </si>
  <si>
    <t>Pierre Adrien Bolze</t>
  </si>
  <si>
    <t>Pierre Emmanuel Colombo</t>
  </si>
  <si>
    <t>Pierre Lafforgue</t>
  </si>
  <si>
    <t>Pierre-Emmanuel Brachet</t>
  </si>
  <si>
    <t>Pierre-Guillaume Poureau</t>
  </si>
  <si>
    <t>Pierre-Laurent Puig</t>
  </si>
  <si>
    <t>Pietro Addeo</t>
  </si>
  <si>
    <t>Raphaël Colle</t>
  </si>
  <si>
    <t>Roland Chapurlat</t>
  </si>
  <si>
    <t>Rose-Marie Javier</t>
  </si>
  <si>
    <t>Sameh Bou Ali</t>
  </si>
  <si>
    <t>Samir Chenaf</t>
  </si>
  <si>
    <t>Samir Hacene</t>
  </si>
  <si>
    <t>Sandra Ferrer</t>
  </si>
  <si>
    <t>Sandrine Caputo</t>
  </si>
  <si>
    <t>Sandrine Hiret</t>
  </si>
  <si>
    <t>Sandrine Malochet</t>
  </si>
  <si>
    <t>Sebastien Carrere</t>
  </si>
  <si>
    <t>Sebastien Couraud</t>
  </si>
  <si>
    <t>Sébastien Gaujoux</t>
  </si>
  <si>
    <t>Sebastien Moliere</t>
  </si>
  <si>
    <t>Sheik Emambux</t>
  </si>
  <si>
    <t>Solafah Abdalla</t>
  </si>
  <si>
    <t>Sophie Chopinet</t>
  </si>
  <si>
    <t>Sophie Lejeune</t>
  </si>
  <si>
    <t>Sophie Parnalland</t>
  </si>
  <si>
    <t>Sophie Tartas</t>
  </si>
  <si>
    <t>Stephane Dalle</t>
  </si>
  <si>
    <t>Stéphane Obled</t>
  </si>
  <si>
    <t>T. De La Motte Rouge</t>
  </si>
  <si>
    <t>Thibault Mazard</t>
  </si>
  <si>
    <t>Thierry Marhadour</t>
  </si>
  <si>
    <t>Thomas Aparicio</t>
  </si>
  <si>
    <t>Thomas Funck-Brentano</t>
  </si>
  <si>
    <t>Thomas Walter</t>
  </si>
  <si>
    <t>Ugo Marchese</t>
  </si>
  <si>
    <t>Valerie Barder</t>
  </si>
  <si>
    <t>Vassilis Tsatsaris</t>
  </si>
  <si>
    <t>Véronica Cusin</t>
  </si>
  <si>
    <t>Veronique Breuil</t>
  </si>
  <si>
    <t>Véronique Debien</t>
  </si>
  <si>
    <t>Véronique Trillet Lenoir</t>
  </si>
  <si>
    <t>Victor Simmet</t>
  </si>
  <si>
    <t>Xavier Muller</t>
  </si>
  <si>
    <t>Yann Touchefeu</t>
  </si>
  <si>
    <t>Yohann Loriot</t>
  </si>
  <si>
    <t>Yves Eusen</t>
  </si>
  <si>
    <t>https://clinicaltrials.gov/study/NCT07547033</t>
  </si>
  <si>
    <t>https://clinicaltrials.gov/study/NCT06177327</t>
  </si>
  <si>
    <t>https://clinicaltrials.gov/study/NCT05824403</t>
  </si>
  <si>
    <t>https://clinicaltrials.gov/study/NCT06499792</t>
  </si>
  <si>
    <t>https://clinicaltrials.gov/study/NCT07097064</t>
  </si>
  <si>
    <t>https://clinicaltrials.gov/study/NCT03787056</t>
  </si>
  <si>
    <t>https://clinicaltrials.gov/study/NCT07076121</t>
  </si>
  <si>
    <t>https://clinicaltrials.gov/study/NCT05254171</t>
  </si>
  <si>
    <t>https://clinicaltrials.gov/study/NCT06333314</t>
  </si>
  <si>
    <t>https://clinicaltrials.gov/study/NCT06026410</t>
  </si>
  <si>
    <t>https://clinicaltrials.gov/study/NCT04570943</t>
  </si>
  <si>
    <t>https://clinicaltrials.gov/study/NCT04136132</t>
  </si>
  <si>
    <t>https://clinicaltrials.gov/study/NCT05143970</t>
  </si>
  <si>
    <t>https://clinicaltrials.gov/study/NCT07028424</t>
  </si>
  <si>
    <t>https://clinicaltrials.gov/study/NCT01689584</t>
  </si>
  <si>
    <t>https://clinicaltrials.gov/study/NCT06332274</t>
  </si>
  <si>
    <t>https://clinicaltrials.gov/study/NCT03915678</t>
  </si>
  <si>
    <t>https://clinicaltrials.gov/study/NCT05475366</t>
  </si>
  <si>
    <t>https://clinicaltrials.gov/study/NCT06757244</t>
  </si>
  <si>
    <t>https://clinicaltrials.gov/study/NCT04548960</t>
  </si>
  <si>
    <t>https://clinicaltrials.gov/study/NCT06755359</t>
  </si>
  <si>
    <t>https://clinicaltrials.gov/study/NCT07144917</t>
  </si>
  <si>
    <t>https://clinicaltrials.gov/study/NCT07483983</t>
  </si>
  <si>
    <t>https://clinicaltrials.gov/study/NCT05065801</t>
  </si>
  <si>
    <t>https://clinicaltrials.gov/study/NCT06128343</t>
  </si>
  <si>
    <t>https://clinicaltrials.gov/study/NCT04134832</t>
  </si>
  <si>
    <t>https://clinicaltrials.gov/study/NCT06649474</t>
  </si>
  <si>
    <t>https://clinicaltrials.gov/study/NCT05850130</t>
  </si>
  <si>
    <t>https://clinicaltrials.gov/study/NCT03210298</t>
  </si>
  <si>
    <t>https://clinicaltrials.gov/study/NCT06287749</t>
  </si>
  <si>
    <t>https://clinicaltrials.gov/study/NCT06071507</t>
  </si>
  <si>
    <t>https://clinicaltrials.gov/study/NCT07478523</t>
  </si>
  <si>
    <t>https://clinicaltrials.gov/study/NCT05059444</t>
  </si>
  <si>
    <t>https://clinicaltrials.gov/study/NCT00274885</t>
  </si>
  <si>
    <t>https://clinicaltrials.gov/study/NCT03400072</t>
  </si>
  <si>
    <t>https://clinicaltrials.gov/study/NCT07587827</t>
  </si>
  <si>
    <t>https://clinicaltrials.gov/study/NCT06160596</t>
  </si>
  <si>
    <t>https://clinicaltrials.gov/study/NCT07178587</t>
  </si>
  <si>
    <t>https://clinicaltrials.gov/study/NCT06735560</t>
  </si>
  <si>
    <t>https://clinicaltrials.gov/study/NCT04325425</t>
  </si>
  <si>
    <t>https://clinicaltrials.gov/study/NCT04520932</t>
  </si>
  <si>
    <t>https://clinicaltrials.gov/study/NCT02869581</t>
  </si>
  <si>
    <t>https://clinicaltrials.gov/study/NCT02858141</t>
  </si>
  <si>
    <t>https://clinicaltrials.gov/study/NCT02871336</t>
  </si>
  <si>
    <t>https://clinicaltrials.gov/study/NCT06842303</t>
  </si>
  <si>
    <t>https://clinicaltrials.gov/study/NCT05403554</t>
  </si>
  <si>
    <t>https://clinicaltrials.gov/study/NCT06999512</t>
  </si>
  <si>
    <t>https://clinicaltrials.gov/study/NCT05234450</t>
  </si>
  <si>
    <t>https://clinicaltrials.gov/study/NCT00541021</t>
  </si>
  <si>
    <t>https://clinicaltrials.gov/study/NCT05988814</t>
  </si>
  <si>
    <t>https://clinicaltrials.gov/study/NCT04677244</t>
  </si>
  <si>
    <t>https://clinicaltrials.gov/study/NCT03679169</t>
  </si>
  <si>
    <t>https://clinicaltrials.gov/study/NCT07260617</t>
  </si>
  <si>
    <t>https://clinicaltrials.gov/study/NCT05783908</t>
  </si>
  <si>
    <t>https://clinicaltrials.gov/study/NCT06666803</t>
  </si>
  <si>
    <t>https://clinicaltrials.gov/study/NCT04167007</t>
  </si>
  <si>
    <t>https://clinicaltrials.gov/study/NCT04374175</t>
  </si>
  <si>
    <t>https://clinicaltrials.gov/study/NCT05732831</t>
  </si>
  <si>
    <t>https://clinicaltrials.gov/study/NCT06046794</t>
  </si>
  <si>
    <t>https://clinicaltrials.gov/study/NCT04667403</t>
  </si>
  <si>
    <t>https://clinicaltrials.gov/study/NCT05154474</t>
  </si>
  <si>
    <t>https://clinicaltrials.gov/study/NCT03410394</t>
  </si>
  <si>
    <t>https://clinicaltrials.gov/study/NCT07044453</t>
  </si>
  <si>
    <t>https://clinicaltrials.gov/study/NCT07429487</t>
  </si>
  <si>
    <t>https://clinicaltrials.gov/study/NCT03202199</t>
  </si>
  <si>
    <t>https://clinicaltrials.gov/study/NCT07591493</t>
  </si>
  <si>
    <t>https://clinicaltrials.gov/study/NCT06885034</t>
  </si>
  <si>
    <t>https://clinicaltrials.gov/study/NCT06659705</t>
  </si>
  <si>
    <t>https://clinicaltrials.gov/study/NCT06144762</t>
  </si>
  <si>
    <t>https://clinicaltrials.gov/study/NCT03175224</t>
  </si>
  <si>
    <t>https://clinicaltrials.gov/study/NCT05871164</t>
  </si>
  <si>
    <t>https://clinicaltrials.gov/study/NCT05380414</t>
  </si>
  <si>
    <t>https://clinicaltrials.gov/study/NCT04011982</t>
  </si>
  <si>
    <t>https://clinicaltrials.gov/study/NCT03791073</t>
  </si>
  <si>
    <t>https://clinicaltrials.gov/study/NCT04851106</t>
  </si>
  <si>
    <t>https://clinicaltrials.gov/study/NCT07274657</t>
  </si>
  <si>
    <t>https://clinicaltrials.gov/study/NCT04373564</t>
  </si>
  <si>
    <t>https://clinicaltrials.gov/study/NCT07236177</t>
  </si>
  <si>
    <t>https://clinicaltrials.gov/study/NCT03978078</t>
  </si>
  <si>
    <t>https://clinicaltrials.gov/study/NCT05346536</t>
  </si>
  <si>
    <t>https://clinicaltrials.gov/study/NCT04294589</t>
  </si>
  <si>
    <t>https://clinicaltrials.gov/study/NCT05794048</t>
  </si>
  <si>
    <t>https://clinicaltrials.gov/study/NCT04007640</t>
  </si>
  <si>
    <t>https://clinicaltrials.gov/study/NCT06147414</t>
  </si>
  <si>
    <t>https://clinicaltrials.gov/study/NCT02811666</t>
  </si>
  <si>
    <t>Molecular Oncology (e.g. profiling)</t>
  </si>
  <si>
    <t>Personalized medicine</t>
  </si>
  <si>
    <t>Publications</t>
  </si>
  <si>
    <t>Safi Dokmak</t>
  </si>
  <si>
    <t>Philippe Bachellier</t>
  </si>
  <si>
    <t>Pietro F Addeo</t>
  </si>
  <si>
    <t>Edoardo E Rosso</t>
  </si>
  <si>
    <t>Fabrizio Panaro</t>
  </si>
  <si>
    <t>REDISCOVER International Guidelines on the Perioperative Care of Surgical Patients With Borderline-resectable and Locally Advanced Pancreatic Cancer.</t>
  </si>
  <si>
    <t>Thomas Pierre Walter</t>
  </si>
  <si>
    <t>Guillaume Cadiot</t>
  </si>
  <si>
    <t>Muriel Mathonnet</t>
  </si>
  <si>
    <t>Éric Baudin</t>
  </si>
  <si>
    <t>François Pattou</t>
  </si>
  <si>
    <t>Thomas Cuny</t>
  </si>
  <si>
    <t>Anne Barlier</t>
  </si>
  <si>
    <t>Pauline Romanet</t>
  </si>
  <si>
    <t>Pierre Goudet</t>
  </si>
  <si>
    <t>Maëlle Le Bras</t>
  </si>
  <si>
    <t>Catherine Cardot-Bauters</t>
  </si>
  <si>
    <t>Eric Mirallié</t>
  </si>
  <si>
    <t>Philippe Chanson</t>
  </si>
  <si>
    <t>Françoise Borson-Chazot</t>
  </si>
  <si>
    <t>Christophe Trésallet</t>
  </si>
  <si>
    <t>Frédéric Sebag</t>
  </si>
  <si>
    <t>Antoine Tabarin</t>
  </si>
  <si>
    <t>Delphine Vezzosi</t>
  </si>
  <si>
    <t>Frédéric Castinetti</t>
  </si>
  <si>
    <t>Robert Caiazzo</t>
  </si>
  <si>
    <t>Eric Dansin</t>
  </si>
  <si>
    <t>Maximilien Barret</t>
  </si>
  <si>
    <t>Vinciane Rebours</t>
  </si>
  <si>
    <t>Eleonor Rivin Del Campo</t>
  </si>
  <si>
    <t>Grigoris Gerotziafas</t>
  </si>
  <si>
    <t>Tullio Piardi</t>
  </si>
  <si>
    <t>Olivier Saint-Marc</t>
  </si>
  <si>
    <t>Andrew A Gumbs</t>
  </si>
  <si>
    <t>Mustapha Adham</t>
  </si>
  <si>
    <t>Catherine Lombard-Bohas</t>
  </si>
  <si>
    <t>Valérie Hervieu</t>
  </si>
  <si>
    <t>Julien Forestier</t>
  </si>
  <si>
    <t>Gilles Poncet</t>
  </si>
  <si>
    <t>Laurent Milot</t>
  </si>
  <si>
    <t>Carole Morin</t>
  </si>
  <si>
    <t>Keo-Morakort Benedetto</t>
  </si>
  <si>
    <t>Agathe Deville</t>
  </si>
  <si>
    <t>Aurélie Theillaumas</t>
  </si>
  <si>
    <t>Laurent François</t>
  </si>
  <si>
    <t>Patrick Pessaux</t>
  </si>
  <si>
    <t>Julien Taïeb</t>
  </si>
  <si>
    <t>Raëf Abdallah</t>
  </si>
  <si>
    <t>Ronan Thibault</t>
  </si>
  <si>
    <t>Timothée Marchal</t>
  </si>
  <si>
    <t>Philippe Ravaud</t>
  </si>
  <si>
    <t>Isabelle Boutron</t>
  </si>
  <si>
    <t>David Malka</t>
  </si>
  <si>
    <t>Jérome Cros</t>
  </si>
  <si>
    <t>Alice Boilève</t>
  </si>
  <si>
    <t>CH de Béthune</t>
  </si>
  <si>
    <t>CHRU Jean Minjoz</t>
  </si>
  <si>
    <t>CHU Carémeau</t>
  </si>
  <si>
    <t>CHU Estaing</t>
  </si>
  <si>
    <t>France</t>
  </si>
  <si>
    <t>Hôpital Ambroise Paré</t>
  </si>
  <si>
    <t>Hôpital Beaujon</t>
  </si>
  <si>
    <t>Hôpital Bicêtre</t>
  </si>
  <si>
    <t>Hôpital Cochin</t>
  </si>
  <si>
    <t>Hôpital de Hautepierre</t>
  </si>
  <si>
    <t>Hôpital de la Croix-Rousse</t>
  </si>
  <si>
    <t>Hôpital de la Milétrie</t>
  </si>
  <si>
    <t>Hôpital de la Source</t>
  </si>
  <si>
    <t>Hôpital de Rangueil</t>
  </si>
  <si>
    <t>Hôpital Henri Mondor</t>
  </si>
  <si>
    <t>Hôpital Privé Jean Mermoz</t>
  </si>
  <si>
    <t>Hôpital Robert Debré</t>
  </si>
  <si>
    <t>Hôpital Saint-André</t>
  </si>
  <si>
    <t>Hôpital Saint-Antoine</t>
  </si>
  <si>
    <t>Hôpital Saint-Louis</t>
  </si>
  <si>
    <t>Hôpitaux de Brabois</t>
  </si>
  <si>
    <t>HU Pitié-Salpêtrière</t>
  </si>
  <si>
    <t>ICO Paul Papin</t>
  </si>
  <si>
    <t>Institut Curie Saint-Cloud</t>
  </si>
  <si>
    <t>Institut Mutualiste Montsouris</t>
  </si>
  <si>
    <t>IUCT Oncopôle</t>
  </si>
  <si>
    <t>Gastroenterology</t>
  </si>
  <si>
    <t>Oncology</t>
  </si>
  <si>
    <t>Medical Oncology</t>
  </si>
  <si>
    <t>Tier 1</t>
  </si>
  <si>
    <t>Gastrointestinal Oncology</t>
  </si>
  <si>
    <t>Julien Edeline</t>
  </si>
  <si>
    <t>Tier 2</t>
  </si>
  <si>
    <t>Gastrointestinal Surgery</t>
  </si>
  <si>
    <t>Olivier Turrini</t>
  </si>
  <si>
    <t>Tier 3</t>
  </si>
  <si>
    <t>Judith Raimbourg</t>
  </si>
  <si>
    <t>Lysiane Marthey</t>
  </si>
  <si>
    <t>Alice Durand</t>
  </si>
  <si>
    <t>Lucile Bauguion</t>
  </si>
  <si>
    <t>PDAC or Pancreatic Adenocarcinoma</t>
  </si>
  <si>
    <t>Head of Molecular Oncogenetics Lab, founder of Genetics and Cancer Group (GGC), He holds or has held positions in several bodies (INCa, ABM, National Council of the Order of Physicians, UNICANCER, COFRAC, FFGH, SFGH, etc.), Tester</t>
  </si>
  <si>
    <t>Publications - Pancreatic Cancer</t>
  </si>
  <si>
    <t>Publications - Personalized medicine</t>
  </si>
  <si>
    <t>Publications - Molecular Oncology (e.g. profiling)</t>
  </si>
  <si>
    <t>Publications - KRAS (KRAS &amp; pancreatic cancer)</t>
  </si>
  <si>
    <t>Next Generation Sequencing</t>
  </si>
  <si>
    <t>link</t>
  </si>
  <si>
    <t>Publications - Next Generation Sequencing</t>
  </si>
  <si>
    <t>Ana Hennino</t>
  </si>
  <si>
    <t>Frédéric Dumont</t>
  </si>
  <si>
    <t>Olivier Scatton</t>
  </si>
  <si>
    <t>Rami Rhaiem</t>
  </si>
  <si>
    <t>Fabrice Caillol</t>
  </si>
  <si>
    <t>Gaël S Roth</t>
  </si>
  <si>
    <t>Medhi El Amrani</t>
  </si>
  <si>
    <t>Olivia Hentic</t>
  </si>
  <si>
    <t>Mickaël Lesurtel</t>
  </si>
  <si>
    <t>Jean-Emmanuel Kurtz</t>
  </si>
  <si>
    <t>Jean Frédéric Blanc</t>
  </si>
  <si>
    <t>Jacques Ewald</t>
  </si>
  <si>
    <t>Caroline Lacombe</t>
  </si>
  <si>
    <t>Laurent Palazzo</t>
  </si>
  <si>
    <t>Stylianos Tzedakis</t>
  </si>
  <si>
    <t>Anaïs Palen</t>
  </si>
  <si>
    <t>Jonathan Garnier</t>
  </si>
  <si>
    <t>Geoffroy Vanbiervliet</t>
  </si>
  <si>
    <t>Jocelyn Privat</t>
  </si>
  <si>
    <t>Philippe Alexandre Cassier</t>
  </si>
  <si>
    <t>Christelle de la Fouchardière</t>
  </si>
  <si>
    <t>Anne Cattey-Javouhey</t>
  </si>
  <si>
    <t>Matthieu Sarabi</t>
  </si>
  <si>
    <t>N Fares</t>
  </si>
  <si>
    <t>Bertrand Le Roy</t>
  </si>
  <si>
    <t>Thierry Lecomte</t>
  </si>
  <si>
    <t>Jean-François Seitz</t>
  </si>
  <si>
    <t>Olivier Facy</t>
  </si>
  <si>
    <t>Aurélien Carnot</t>
  </si>
  <si>
    <t>Dominique Farge</t>
  </si>
  <si>
    <t>Jean-Baptiste Lequeu</t>
  </si>
  <si>
    <t>Simon Launay</t>
  </si>
  <si>
    <t>Jean-Robert Delpero</t>
  </si>
  <si>
    <t>Farid El Hajbi</t>
  </si>
  <si>
    <t>HCO Class</t>
  </si>
  <si>
    <t>Pancreatic (Cancer) Center</t>
  </si>
  <si>
    <t>HCP count</t>
  </si>
  <si>
    <t>Testing check</t>
  </si>
  <si>
    <t>Referral check</t>
  </si>
  <si>
    <t>VeevaID</t>
  </si>
  <si>
    <t>GDS_HCO_ID</t>
  </si>
  <si>
    <t>Unique Clinical Trials</t>
  </si>
  <si>
    <t>PDAC OR Pancreatic Adenocarcinoma</t>
  </si>
  <si>
    <t>Pancreatic cancer</t>
  </si>
  <si>
    <t>Unresectable</t>
  </si>
  <si>
    <t>RevMeds Tiering</t>
  </si>
  <si>
    <t>Pancreatic surgery</t>
  </si>
  <si>
    <t>Tumour profiling/precision medicine/personalized tumor therapy</t>
  </si>
  <si>
    <t>HCP_VeevaID</t>
  </si>
  <si>
    <t>Pubmed_Name</t>
  </si>
  <si>
    <t>HCO Count</t>
  </si>
  <si>
    <t>Hospital/ Non-hospital</t>
  </si>
  <si>
    <t>Primary Specialty Group</t>
  </si>
  <si>
    <t>No. Unique Guidelines</t>
  </si>
  <si>
    <t>No. Unique Publications</t>
  </si>
  <si>
    <t>KRAS AND pancreatic cancer</t>
  </si>
  <si>
    <t>Next generation Sequencing</t>
  </si>
  <si>
    <t>No. of Unique Clinical Trials</t>
  </si>
  <si>
    <t>Speaking</t>
  </si>
  <si>
    <t>No. Speaking Events</t>
  </si>
  <si>
    <t>Testing Centre Information</t>
  </si>
  <si>
    <t>Testing Centre Details</t>
  </si>
  <si>
    <t>Comments</t>
  </si>
  <si>
    <t>Liquid Biopsy</t>
  </si>
  <si>
    <t>KRAS (cancer in general)</t>
  </si>
  <si>
    <t>KRAS (pancreatic cancer)</t>
  </si>
  <si>
    <t>GDS_Testing_ID</t>
  </si>
  <si>
    <t>Testing Centre name</t>
  </si>
  <si>
    <t>Type (internal/external)</t>
  </si>
  <si>
    <t>To_Hospital_ID</t>
  </si>
  <si>
    <t>Biolink</t>
  </si>
  <si>
    <t/>
  </si>
  <si>
    <t>Guidelines</t>
  </si>
  <si>
    <t>Guidelines Pancreatic Cancer</t>
  </si>
  <si>
    <t>Clinical trial Title</t>
  </si>
  <si>
    <t>Clinicial Trials and Keywords</t>
  </si>
  <si>
    <t>Speaking Events</t>
  </si>
  <si>
    <t>Speaking Pancreatic Cancer</t>
  </si>
  <si>
    <t>ESMO Clinical Practice Guideline Express Update on the management of metastatic pancreatic cancer.</t>
  </si>
  <si>
    <t>https://pubmed.ncbi.nlm.nih.gov/40287191/</t>
  </si>
  <si>
    <t>Pan-Asian adapted ESMO Clinical Practice Guidelines for the diagnosis, treatment and follow-up of patients with pancreatic cancer.</t>
  </si>
  <si>
    <t>https://pubmed.ncbi.nlm.nih.gov/41067164/</t>
  </si>
  <si>
    <t>Pancreatic cancer: ESMO Clinical Practice Guideline for diagnosis, treatment and follow-up.</t>
  </si>
  <si>
    <t>https://pubmed.ncbi.nlm.nih.gov/37678671/</t>
  </si>
  <si>
    <t>Abdominal Surgery</t>
  </si>
  <si>
    <t>608464719287698474</t>
  </si>
  <si>
    <t>https://pubmed.ncbi.nlm.nih.gov/38407228/</t>
  </si>
  <si>
    <t>626077832879031297</t>
  </si>
  <si>
    <t>621591526744540233</t>
  </si>
  <si>
    <t>General Surgery</t>
  </si>
  <si>
    <t>626078475119248391</t>
  </si>
  <si>
    <t>Clinique d'Alençon</t>
  </si>
  <si>
    <t>https://quenet-torrent.com/en/our-team/fabrizio-panaro/</t>
  </si>
  <si>
    <t>Hôpital Saint-Eloi</t>
  </si>
  <si>
    <t>Surgical Oncology</t>
  </si>
  <si>
    <t>626079256501306386</t>
  </si>
  <si>
    <t>The São Paulo International Consensus on Minimally Invasive Pancreatic Surgery for Cancer.</t>
  </si>
  <si>
    <t>https://pubmed.ncbi.nlm.nih.gov/41419350/</t>
  </si>
  <si>
    <t>608464718608221216</t>
  </si>
  <si>
    <t>932572189908077919</t>
  </si>
  <si>
    <t>Anatomic/Clinical Pathology</t>
  </si>
  <si>
    <t>626080317844767747</t>
  </si>
  <si>
    <t>Nouvel Hôpital Civil</t>
  </si>
  <si>
    <t>ID00006</t>
  </si>
  <si>
    <t>560996104489927694</t>
  </si>
  <si>
    <t>608464741240685595</t>
  </si>
  <si>
    <t>929771110830178848</t>
  </si>
  <si>
    <t>Mickael Lesurtel</t>
  </si>
  <si>
    <t>Hepatobiliary Surgery</t>
  </si>
  <si>
    <t>608464684726633482</t>
  </si>
  <si>
    <t>Addiction Medicine</t>
  </si>
  <si>
    <t>928415955849642527</t>
  </si>
  <si>
    <t>608464695648601124</t>
  </si>
  <si>
    <t>560999896677614593</t>
  </si>
  <si>
    <t>929771110843875895</t>
  </si>
  <si>
    <t>ID00009</t>
  </si>
  <si>
    <t>608464618649568260</t>
  </si>
  <si>
    <t>Hôpital Européen Georges-Pompidou</t>
  </si>
  <si>
    <t>ID00010</t>
  </si>
  <si>
    <t>560999587666461705</t>
  </si>
  <si>
    <t>ID00011</t>
  </si>
  <si>
    <t>626078758201213962</t>
  </si>
  <si>
    <t>ID00012</t>
  </si>
  <si>
    <t>931955619700933151</t>
  </si>
  <si>
    <t>626127791913452550</t>
  </si>
  <si>
    <t>ID00013</t>
  </si>
  <si>
    <t>942597442939589300</t>
  </si>
  <si>
    <t>626078402910110727</t>
  </si>
  <si>
    <t>931299959855776303</t>
  </si>
  <si>
    <t>608464719388361742</t>
  </si>
  <si>
    <t>621591848229553187</t>
  </si>
  <si>
    <t>930284396249481759</t>
  </si>
  <si>
    <t>560997936679355395</t>
  </si>
  <si>
    <t>626078271938774017</t>
  </si>
  <si>
    <t>626079034958169101</t>
  </si>
  <si>
    <t>626078584145986587</t>
  </si>
  <si>
    <t>626079488337265677</t>
  </si>
  <si>
    <t>626079136653263888</t>
  </si>
  <si>
    <t>621591697310106626</t>
  </si>
  <si>
    <t>Doctor participating in the project of BACAP</t>
  </si>
  <si>
    <t>928416429690716703</t>
  </si>
  <si>
    <t>626077095797212163</t>
  </si>
  <si>
    <t>Doctor participating in the BACAP project</t>
  </si>
  <si>
    <t>621591801723110402</t>
  </si>
  <si>
    <t>626079141770314758</t>
  </si>
  <si>
    <t>626077099798578187</t>
  </si>
  <si>
    <t>626078728270660608</t>
  </si>
  <si>
    <t>930307796808761887</t>
  </si>
  <si>
    <t>676086963672990729</t>
  </si>
  <si>
    <t>626079221747303442</t>
  </si>
  <si>
    <t>626127797743535115</t>
  </si>
  <si>
    <t>621591667278889988</t>
  </si>
  <si>
    <t>935877079042166128</t>
  </si>
  <si>
    <t>626077686078391297</t>
  </si>
  <si>
    <t>Institut Claudius Régaud</t>
  </si>
  <si>
    <t xml:space="preserve">Lead investigator of the BACAP project </t>
  </si>
  <si>
    <t>626078225155507207</t>
  </si>
  <si>
    <t>626079485116040196</t>
  </si>
  <si>
    <t>560997874310054915</t>
  </si>
  <si>
    <t>560998253802292227</t>
  </si>
  <si>
    <t>560998949805097987</t>
  </si>
  <si>
    <t>Clinique Belharra</t>
  </si>
  <si>
    <t>560998690177680399</t>
  </si>
  <si>
    <t>Vincent Lepillez</t>
  </si>
  <si>
    <t>621591896061395987</t>
  </si>
  <si>
    <t>691807261479158802</t>
  </si>
  <si>
    <t>626079092663403525</t>
  </si>
  <si>
    <t>929775669002699296</t>
  </si>
  <si>
    <t>626078152812151812</t>
  </si>
  <si>
    <t>Hôpital Lyon Sud</t>
  </si>
  <si>
    <t>ID00022</t>
  </si>
  <si>
    <t>626079237861819393</t>
  </si>
  <si>
    <t>608464741072913440</t>
  </si>
  <si>
    <t>Lead investigator in the BACAP project</t>
  </si>
  <si>
    <t>626079793422550018</t>
  </si>
  <si>
    <t>ID00023</t>
  </si>
  <si>
    <t>626077594164413445</t>
  </si>
  <si>
    <t>626079695552660486</t>
  </si>
  <si>
    <t>626080279148119043</t>
  </si>
  <si>
    <t>Hôpital de l'Archet</t>
  </si>
  <si>
    <t>ID00024</t>
  </si>
  <si>
    <t>626077221819270152</t>
  </si>
  <si>
    <t>626079018810098689</t>
  </si>
  <si>
    <t>626079947252843521</t>
  </si>
  <si>
    <t>626078820226581509</t>
  </si>
  <si>
    <t>626078510535951365</t>
  </si>
  <si>
    <t>626077484500141057</t>
  </si>
  <si>
    <t>626077927317980180</t>
  </si>
  <si>
    <t>626079166189552641</t>
  </si>
  <si>
    <t>Radiation Oncology</t>
  </si>
  <si>
    <t>560997117171074059</t>
  </si>
  <si>
    <t>626079581870244874</t>
  </si>
  <si>
    <t>CH de Pau</t>
  </si>
  <si>
    <t>626079213920732173</t>
  </si>
  <si>
    <t>Fouad Chelbabi</t>
  </si>
  <si>
    <t>626079338256679956</t>
  </si>
  <si>
    <t xml:space="preserve">Centre Léon Bérard </t>
  </si>
  <si>
    <t>ID00029</t>
  </si>
  <si>
    <t>626079303494288412</t>
  </si>
  <si>
    <t>626077999602615297</t>
  </si>
  <si>
    <t>626078520484840463</t>
  </si>
  <si>
    <t>626127791863120908</t>
  </si>
  <si>
    <t>621591844253352970</t>
  </si>
  <si>
    <t>626077110695380003</t>
  </si>
  <si>
    <t>626077471271306245</t>
  </si>
  <si>
    <t>Hôpital de la Timone Adulte</t>
  </si>
  <si>
    <t>621591733599224849</t>
  </si>
  <si>
    <t>626077902798078984</t>
  </si>
  <si>
    <t>Pain Medicine</t>
  </si>
  <si>
    <t>626077443807003651</t>
  </si>
  <si>
    <t>787670423788602369</t>
  </si>
  <si>
    <t>626127776319030274</t>
  </si>
  <si>
    <t>Transplant Surgery</t>
  </si>
  <si>
    <t>626077447430882330</t>
  </si>
  <si>
    <t>812891185000498177</t>
  </si>
  <si>
    <t>934912060921744735</t>
  </si>
  <si>
    <t>691778838375449615</t>
  </si>
  <si>
    <t>626078237310600194</t>
  </si>
  <si>
    <t>669645584298165255</t>
  </si>
  <si>
    <t>930013565059269151</t>
  </si>
  <si>
    <t>CHIC de Bayonne</t>
  </si>
  <si>
    <t>ID00034</t>
  </si>
  <si>
    <t>Member of the research committee of Societe Francaise Pancreas</t>
  </si>
  <si>
    <t>930760642037154335</t>
  </si>
  <si>
    <t>626078931191088129</t>
  </si>
  <si>
    <t>ID00039</t>
  </si>
  <si>
    <t>ID00051</t>
  </si>
  <si>
    <t>ID00055</t>
  </si>
  <si>
    <t>ID00056</t>
  </si>
  <si>
    <t>ID00057</t>
  </si>
  <si>
    <t>ID00058</t>
  </si>
  <si>
    <t>ID00059</t>
  </si>
  <si>
    <t>ID00065</t>
  </si>
  <si>
    <t>ID00066</t>
  </si>
  <si>
    <t>ID00067</t>
  </si>
  <si>
    <t>ID00072</t>
  </si>
  <si>
    <t>ID00077</t>
  </si>
  <si>
    <t>ID00079</t>
  </si>
  <si>
    <t>ID00080</t>
  </si>
  <si>
    <t>ID00084</t>
  </si>
  <si>
    <t>ID00091</t>
  </si>
  <si>
    <t>929085751782670879</t>
  </si>
  <si>
    <t>929448028124414500</t>
  </si>
  <si>
    <t>Hôpital Albert Michallon</t>
  </si>
  <si>
    <t>626079485535470593</t>
  </si>
  <si>
    <t>802041905075471361</t>
  </si>
  <si>
    <t>608464676388357127</t>
  </si>
  <si>
    <t>CHI de Poissy</t>
  </si>
  <si>
    <t>626079796090127365</t>
  </si>
  <si>
    <t>848601260918572032</t>
  </si>
  <si>
    <t>Jérémie Stéphane Albouys</t>
  </si>
  <si>
    <t>Member of the teaching committee of Societe Francaise Pancreas</t>
  </si>
  <si>
    <t>Hôpital Dupuytren</t>
  </si>
  <si>
    <t>930132905685287455</t>
  </si>
  <si>
    <t>933656547891088740</t>
  </si>
  <si>
    <t>Sebastien Frey</t>
  </si>
  <si>
    <t>Colon &amp; Rectal Surgery</t>
  </si>
  <si>
    <t>930352929418248735</t>
  </si>
  <si>
    <t>Mehdi El Amrani</t>
  </si>
  <si>
    <t>Jérémie Albouys</t>
  </si>
  <si>
    <t>https://www.societefrancaisepancreas.fr/40eme-reunion-sfp/</t>
  </si>
  <si>
    <t>621591763596887046</t>
  </si>
  <si>
    <t>ICL de Lorraine</t>
  </si>
  <si>
    <t>929769372746056223</t>
  </si>
  <si>
    <t>932488783055359327</t>
  </si>
  <si>
    <t>560996563774604300</t>
  </si>
  <si>
    <t>IH Franco-Britannique Kléber</t>
  </si>
  <si>
    <t>560999771142095885</t>
  </si>
  <si>
    <t>626078955694212106</t>
  </si>
  <si>
    <t>626079352349541385</t>
  </si>
  <si>
    <t>Anne Cattey Javouhey</t>
  </si>
  <si>
    <t>Wrote the fast sheet on pancreatic cancer on the Centre Léon Bérard website</t>
  </si>
  <si>
    <t>FRAP (French Research Network against Pancreatic Adenocarcinoma)</t>
  </si>
  <si>
    <t>https://afrcp.fr/</t>
  </si>
  <si>
    <t>French Association for Research on Pancreatic Cancer</t>
  </si>
  <si>
    <t>936332391593282911</t>
  </si>
  <si>
    <t>Doctor participating in the BACAP project. Member of the research committee of Societe Francaise Pancreas. Coordinator/Director of the French Research Network against Pancreatic Adenocarcinoma. Member of the French Association for Research on Pancreatic Cancer</t>
  </si>
  <si>
    <t>Pancreatic Cancer Europe</t>
  </si>
  <si>
    <t>https://www.gustaveroussy.fr/fr/cancer-du-pancreas</t>
  </si>
  <si>
    <t>BioLink</t>
  </si>
  <si>
    <t>https://www.gustaveroussy.fr/fr/michel-ducreux</t>
  </si>
  <si>
    <t>Michel Ducreux is head of the gastro-digestive committee at Gustave Roussy where pancreatic cancer is treated.</t>
  </si>
  <si>
    <t>626079383320282133</t>
  </si>
  <si>
    <t>Part of the team for digestive cancers where pancreatic cancer is treated</t>
  </si>
  <si>
    <t>Member of the research committee of Societe Francaise Pancreas. Works in the digestive team where pancreatic cancer is treated.</t>
  </si>
  <si>
    <t>Works in the digestive department where pancreatic canceris treated</t>
  </si>
  <si>
    <t>879720844534760448</t>
  </si>
  <si>
    <t>626079778700542997</t>
  </si>
  <si>
    <t>929776516238279216</t>
  </si>
  <si>
    <t>https://www.centreleonberard.fr/institution/annuaire/rochefort-pauline</t>
  </si>
  <si>
    <t>Wrote about pancreatic cancer on the Centre Léon Bérard website. Specialised in digestive oncology.</t>
  </si>
  <si>
    <t>https://www.centreleonberard.fr/institution/annuaire/cassier-philippe</t>
  </si>
  <si>
    <t>https://www.pancreas-beaujon.com/don-recherche-pancreas-et-cancer-digestif/</t>
  </si>
  <si>
    <t>608464692167328773</t>
  </si>
  <si>
    <t>Works in the department of Pancreatology and Digestive Oncology specialised in pancreatic diseases.</t>
  </si>
  <si>
    <t>934035450624806267</t>
  </si>
  <si>
    <t>Works in Pancreatology and Digestive Oncology department where pancreatic cancer is treated</t>
  </si>
  <si>
    <t>932692518688329062</t>
  </si>
  <si>
    <t>929531961162596895</t>
  </si>
  <si>
    <t>Grégoire Salin</t>
  </si>
  <si>
    <t>933656547897249144</t>
  </si>
  <si>
    <t>Johanna Pokossy-Epée</t>
  </si>
  <si>
    <t>Member of the research committee of Societe Francaise Pancreas. Works in Pancreatology and Digestive Oncology department where pancreatic cancer is treated</t>
  </si>
  <si>
    <t>626077793276412929</t>
  </si>
  <si>
    <t>Olivia Hentic-Dhome</t>
  </si>
  <si>
    <t>928864656003170847</t>
  </si>
  <si>
    <t>Lucie Boyer-Laurent</t>
  </si>
  <si>
    <t>608464694037988405</t>
  </si>
  <si>
    <t>Nelly Muller</t>
  </si>
  <si>
    <t>Johanna Pokossy Epée</t>
  </si>
  <si>
    <t>https://www.institutpaolicalmettes.fr/cancers-pris-en-charge-par-ipc/cancer-du-pancreas/</t>
  </si>
  <si>
    <t>560997702226150424</t>
  </si>
  <si>
    <t>Part of the team treating pancreatic cancer</t>
  </si>
  <si>
    <t>https://www.institutpaolicalmettes.fr/annuaire_soignants/dr-jacques-ewald/</t>
  </si>
  <si>
    <t>https://www.institutpaolicalmettes.fr/annuaire_soignants/dr-jonathan-garnier/</t>
  </si>
  <si>
    <t>930331340686230047</t>
  </si>
  <si>
    <t>Anais Palen</t>
  </si>
  <si>
    <t>https://www.institutpaolicalmettes.fr/annuaire_soignants/dr-anais-palen/</t>
  </si>
  <si>
    <t>https://www.institutpaolicalmettes.fr/annuaire_soignants/pr-olivier-turrini/</t>
  </si>
  <si>
    <t>560997480154530817</t>
  </si>
  <si>
    <t>https://www.institutpaolicalmettes.fr/annuaire_soignants/dr-fabrice-caillol/</t>
  </si>
  <si>
    <t>947939478952941727</t>
  </si>
  <si>
    <t>Nicolo Mezzina</t>
  </si>
  <si>
    <t>https://www.institutpaolicalmettes.fr/annuaire_soignants/dr-nicolo-mezzina-2/</t>
  </si>
  <si>
    <t xml:space="preserve">Part of the team treating pancreatic cancer. A gastroenterology specialist at the Paoli-Calmettes Institute, Dr. Mezzina specializes in endoscopic ultrasound and interventional endoscopy. His work at the Institute is dedicated to the practice of advanced endoscopic techniques, essential for the precise diagnosis and treatment of digestive oncological diseases. </t>
  </si>
  <si>
    <t>626078855811056656</t>
  </si>
  <si>
    <t>Jean-Philippe Ratone</t>
  </si>
  <si>
    <t>https://www.institutpaolicalmettes.fr/annuaire_soignants/dr-jean-philippe-ratone/</t>
  </si>
  <si>
    <t>929771110846038584</t>
  </si>
  <si>
    <t>https://www.institutpaolicalmettes.fr/annuaire_soignants/dr-simon-launay/</t>
  </si>
  <si>
    <t>He practices as a general medical oncologist, particularly involved in hepatobiliary and pancreatic cancers, breast cancer, and lung cancer. Since 2017, he has been head of the Medical Oncology 1 departmentwhere pancreatic cancer is treated. Part of the team treating pancreatic cancer</t>
  </si>
  <si>
    <t>621591892789838872</t>
  </si>
  <si>
    <t>Jémima Quellier</t>
  </si>
  <si>
    <t>https://www.institutpaolicalmettes.fr/annuaire_soignants/iangonantsoa-jemima-maniry/</t>
  </si>
  <si>
    <t>561000070623790083</t>
  </si>
  <si>
    <t>Carole Tarpin</t>
  </si>
  <si>
    <t>https://www.institutpaolicalmettes.fr/annuaire_soignants/dr-carole-tarpin/</t>
  </si>
  <si>
    <t>Part of the team treating pancreatic cancer. Principal investigator clinical trial.</t>
  </si>
  <si>
    <t>Total pancreatectomy with autotransplantation of pancreatic islets in patients with malignant tumors of the pancreatic head at high risk of pancreatic fistula. A prospective, multicenter study. TPIAT-01 Study</t>
  </si>
  <si>
    <t>https://www.institutpaolicalmettes.fr/essais-cliniques/?_sft_type_cancer=pancreas</t>
  </si>
  <si>
    <t>Co-president of the French Association for Research on Pancreatic Cancer. Principal investigator clinical trial.</t>
  </si>
  <si>
    <t>Phase II study evaluating the benefit of sequential treatment with gemcitabine/nab-paclitaxel (GEMBRAX) followed by FOLFIRINOX and then MRI-guided adaptive stereotactic radiotherapy (MRIDian) in patients with locally advanced unresectable pancreatic adenocarcinoma</t>
  </si>
  <si>
    <t>Choice of first-line chemotherapy in advanced pancreatic cancer based on tumor genomic data after initial biopsy analysis and identification of sensitivity signatures.</t>
  </si>
  <si>
    <t>Phase 2/3, randomized study evaluating BMS-986504 in combination with Nab-paclitaxel and Gemcitabine versus placebo in treatment-naïve patients with metastatic pancreatic ductal adenocarcinoma harboring a homozygous MTAP deletion</t>
  </si>
  <si>
    <t>Postoperative anti-infective strategy after duodenopancreaticectomy in patients with a preoperative biliary stent</t>
  </si>
  <si>
    <t>NeoPREDICT: A multicenter phase II trial to personalize neoadjuvant chemotherapy for patients with resectable borderline pancreatic adenocarcinoma using a transcriptomic signature</t>
  </si>
  <si>
    <t>Works in the Department of Digestive, Hepatobiliary and Endocrine Surgery Cochin Hospital APHP Center where pancreatic cancer is treated</t>
  </si>
  <si>
    <t>934035450795920741</t>
  </si>
  <si>
    <t>626079655849378817</t>
  </si>
  <si>
    <t>Raphaël Bourdariat</t>
  </si>
  <si>
    <t>Doctor participating in the BACAP project. Part of the team for pancreatic cancer.</t>
  </si>
  <si>
    <t>Part of the team for pancreatic cancer.</t>
  </si>
  <si>
    <t>928666297321062943</t>
  </si>
  <si>
    <t>Olivier Ragi</t>
  </si>
  <si>
    <t>560999755824497665</t>
  </si>
  <si>
    <t>Nathalie Clermont Carre</t>
  </si>
  <si>
    <t>The leading center for the treatment of pancreatic cancer in Montpellier</t>
  </si>
  <si>
    <t>626080066354299909</t>
  </si>
  <si>
    <t>https://www.icm.unicancer.fr/fr/annuaire-professionnels/sebastien-carrere</t>
  </si>
  <si>
    <t>Part of the team specialised in pancreatic cancer.</t>
  </si>
  <si>
    <t>https://www.icm.unicancer.fr/fr/annuaire-professionnels/pierre-emmanuel-colombo</t>
  </si>
  <si>
    <t>Doctor participating in the BACAP project. Part of the team for pancreatic cancer. He is the principal investigator of the clinico-biological databases for ovarian cancer and pancreatic cancer.</t>
  </si>
  <si>
    <t>626077618843698177</t>
  </si>
  <si>
    <t>https://www.icm.unicancer.fr/fr/annuaire-professionnels/anne-mourregot</t>
  </si>
  <si>
    <t>https://www.icm.unicancer.fr/fr/annuaire-professionnels/olivia-sgarbura</t>
  </si>
  <si>
    <t>Part of the team for pancreatic cancer. Has an European Inter-University Diploma in Onco-surgical Strategies in the Management of Hepatobiliary and Pancreatic Cancers</t>
  </si>
  <si>
    <t>626080279441720331</t>
  </si>
  <si>
    <t>824551203865117696</t>
  </si>
  <si>
    <t>Alix Bouillin</t>
  </si>
  <si>
    <t>https://www.icm.unicancer.fr/fr/annuaire-professionnels/alix-bouillin</t>
  </si>
  <si>
    <t>https://www.icm.unicancer.fr/fr/annuaire-professionnels/eric-assenat</t>
  </si>
  <si>
    <t>626077915951416340</t>
  </si>
  <si>
    <t>https://www.icm.unicancer.fr/fr/annuaire-professionnels/thibault-mazard</t>
  </si>
  <si>
    <t>https://www.icm.unicancer.fr/fr/annuaire-professionnels/fabienne-portales</t>
  </si>
  <si>
    <t>Doctor participating in the BACAP project. Member of the research committee of Societe Francaise Pancreas. Part of the team for pancreatic cancer.</t>
  </si>
  <si>
    <t>Groupe Prodige pancréas (cancer)</t>
  </si>
  <si>
    <t>626079107913892871</t>
  </si>
  <si>
    <t>https://www.icm.unicancer.fr/fr/annuaire-professionnels/emmanuelle-samalin</t>
  </si>
  <si>
    <t>Collaboration</t>
  </si>
  <si>
    <t>https://curie.fr/symptomes-et-diagnostic-du-cancer-du-pancreas#content</t>
  </si>
  <si>
    <t>Source</t>
  </si>
  <si>
    <t xml:space="preserve">The Curie Institute is a national expert center for pancreatic cancer, working closely and in partnership with Ambroise Paré Hospital in Boulogne-Billancourt. Together, the two institutions have established a day unit called OnCare for the diagnosis and initial comprehensive care of patients suspected of having pancreatic cancer or other digestive cancers. </t>
  </si>
  <si>
    <t>https://curie.fr/personne/sofiane-allali</t>
  </si>
  <si>
    <t>933656547891809638</t>
  </si>
  <si>
    <t>Sofiane Allali</t>
  </si>
  <si>
    <t>626079919176172546</t>
  </si>
  <si>
    <t>Amani Asnacios-Lecerf</t>
  </si>
  <si>
    <t>https://curie.fr/personne/amani-asnacios-lecerf</t>
  </si>
  <si>
    <t>932147848402698783</t>
  </si>
  <si>
    <t>Toufik Bouhadiba</t>
  </si>
  <si>
    <t>https://curie.fr/personne/mohammed-toufik-bouhadiba</t>
  </si>
  <si>
    <t>Dr. Toufik Bouhadiba is a surgeon specializing in visceral and digestive surgical oncology, providing surgical care for patients with digestive cancers. Part of the team for pancreatic cancer.</t>
  </si>
  <si>
    <t>https://curie.fr/personne/matthieu-delaye</t>
  </si>
  <si>
    <t>933656547905310069</t>
  </si>
  <si>
    <t>929482140623176223</t>
  </si>
  <si>
    <t>David Deutsch</t>
  </si>
  <si>
    <t>https://curie.fr/personne/david-deutsch</t>
  </si>
  <si>
    <t>929771110859276832</t>
  </si>
  <si>
    <t>Aude Guillemin-Jobard</t>
  </si>
  <si>
    <t>https://curie.fr/personne/aude-guillemin-jobard</t>
  </si>
  <si>
    <t>https://curie.fr/personne/cindy-neuzillet</t>
  </si>
  <si>
    <t>929775669003289130</t>
  </si>
  <si>
    <t>https://curie.fr/personne/sophie-ribiere</t>
  </si>
  <si>
    <t>Sophie Clémentine Ribière</t>
  </si>
  <si>
    <t>753445919319409665</t>
  </si>
  <si>
    <t>Justine Vivier-Chicoteau</t>
  </si>
  <si>
    <t>https://curie.fr/personne/justine-vivier</t>
  </si>
  <si>
    <t>626079079644283905</t>
  </si>
  <si>
    <t>Hôpital Paris Saint-Joseph</t>
  </si>
  <si>
    <t>Benjamin Angliviel</t>
  </si>
  <si>
    <t>Part of the Pancreatic Tumor Center</t>
  </si>
  <si>
    <t>https://annuaire.ghpsjml.fr/medecin/angliviel-benjamin/</t>
  </si>
  <si>
    <t>626077450861822978</t>
  </si>
  <si>
    <t>Jérôme Loriau</t>
  </si>
  <si>
    <t>https://annuaire.ghpsjml.fr/medecin/loriau-jerome/</t>
  </si>
  <si>
    <t>691778839046538255</t>
  </si>
  <si>
    <t>Ghaouti Nabil Baba Hamed</t>
  </si>
  <si>
    <t>https://annuaire.ghpsjml.fr/medecin/baba-hamed-nabil/</t>
  </si>
  <si>
    <t>626078251143414785</t>
  </si>
  <si>
    <t>Elise Chanteloup</t>
  </si>
  <si>
    <t>https://annuaire.ghpsjml.fr/medecin/chanteloup-elise</t>
  </si>
  <si>
    <t>626079370208887839</t>
  </si>
  <si>
    <t>https://annuaire.ghpsjml.fr/medecin/dupuy-olivier/</t>
  </si>
  <si>
    <t>560996996282844166</t>
  </si>
  <si>
    <t>Olivier Marty</t>
  </si>
  <si>
    <t>https://annuaire.ghpsjml.fr/medecin/marty-olivier/</t>
  </si>
  <si>
    <t>Part of the Pancreatic Tumor Center and head of oncology department where pancreatic cancer is treated.</t>
  </si>
  <si>
    <t>https://annuaire.ghpsjml.fr/medecin/raymond-eric/</t>
  </si>
  <si>
    <t>626078571428856857</t>
  </si>
  <si>
    <t>Éric Raymond</t>
  </si>
  <si>
    <t>929056544362922527</t>
  </si>
  <si>
    <t>https://www.centreoscarlambret.fr/dr-aurelien-carnot</t>
  </si>
  <si>
    <t>931881467674690109</t>
  </si>
  <si>
    <t>https://www.centreoscarlambret.fr/membres/cren</t>
  </si>
  <si>
    <t>Pierre-Yves Cren</t>
  </si>
  <si>
    <t>626078444257559566</t>
  </si>
  <si>
    <t>https://www.centreoscarlambret.fr/dr-farid-el-hajbi</t>
  </si>
  <si>
    <t>931881467673969183</t>
  </si>
  <si>
    <t>Kate Minoux</t>
  </si>
  <si>
    <t>https://www.centreoscarlambret.fr/membres/minoux</t>
  </si>
  <si>
    <t>929692318660559391</t>
  </si>
  <si>
    <t>Diane Pannier</t>
  </si>
  <si>
    <t>https://www.centreoscarlambret.fr/dr-diane-pannier</t>
  </si>
  <si>
    <t>930681332712735263</t>
  </si>
  <si>
    <t>Flore Pignon</t>
  </si>
  <si>
    <t>https://www.centreoscarlambret.fr/dr-flore-pignon</t>
  </si>
  <si>
    <t>626078235188282400</t>
  </si>
  <si>
    <t>Gauthier Decanter</t>
  </si>
  <si>
    <t>https://www.centreoscarlambret.fr/dr-gauthier-decanter</t>
  </si>
  <si>
    <t>938016272222719345</t>
  </si>
  <si>
    <t>Antoine Cayeux</t>
  </si>
  <si>
    <t>https://www.centreoscarlambret.fr/membres/cayeux</t>
  </si>
  <si>
    <t>626079970170520588</t>
  </si>
  <si>
    <t>Mehrdad Jafari</t>
  </si>
  <si>
    <t>https://www.centreoscarlambret.fr/dr-mehrdad-jafari</t>
  </si>
  <si>
    <t>Part of the team for pancreatic cancer and head of surgery where pancreatic cancer surgery takes place.</t>
  </si>
  <si>
    <t>https://www.centreoscarlambret.fr/cancers-du-pancreas</t>
  </si>
  <si>
    <t>Part of the team for pancreatic cancer. Principal investigator clinical trial.</t>
  </si>
  <si>
    <t>GABRINOX ART</t>
  </si>
  <si>
    <t>https://www.centreoscarlambret.fr/recherche-cancerologique/essais-cliniques/gabrinox-art</t>
  </si>
  <si>
    <t>MK3475 587</t>
  </si>
  <si>
    <t>https://www.centreoscarlambret.fr/recherche-cancerologique/essais-cliniques/mk3475-587</t>
  </si>
  <si>
    <t>798461594290897920</t>
  </si>
  <si>
    <t>https://www.centreoscarlambret.fr/dr-elisabeth-gaye-0</t>
  </si>
  <si>
    <t>Principal investigator clinical trial</t>
  </si>
  <si>
    <t>Elisabeth Gayé</t>
  </si>
  <si>
    <t>UMBRELLA 2023/3720</t>
  </si>
  <si>
    <t>https://www.centreoscarlambret.fr/recherche-cancerologique/essais-cliniques/umbrella-20233720</t>
  </si>
  <si>
    <t>608464732516533274</t>
  </si>
  <si>
    <t>Head of HEPATO-BILIO-PANCREATIC SURGERY AND LIVER TRANSPLANTATION where pancreatic cancer surgery takes place.</t>
  </si>
  <si>
    <t>https://pitiesalpetriere.aphp.fr/service-de-chirurgie-digestive-hepato-biliaire-transplantation-hepatique/#1481119165939-1aea7f3e-b0604f45-d3b0</t>
  </si>
  <si>
    <t>608464720000730120</t>
  </si>
  <si>
    <t>Dominique Thabut</t>
  </si>
  <si>
    <t>Head of Hepatology and Gastroenterology Department where consultations for pancreatic tumours take place.</t>
  </si>
  <si>
    <t>https://pitiesalpetriere.aphp.fr/hepato-gastro-enterologie/#1497516325320-2ff61573-90d0</t>
  </si>
  <si>
    <t>Elisabeth Gaye</t>
  </si>
  <si>
    <t>Hautepierre Hospital is part of the Strasbourg University Hospitals (HUS). The Department of General, Hepatic, Endocrine, and Transplant Surgery (Professor Bachellier) is the leading center for liver and pancreatic surgery. More recently, the department published the world's largest series of patients with locally advanced pancreatic cancer (i.e., with vascular invasion) who underwent pancreatic resection with resection/reconstruction of the adjacent arterial and venous structures invaded by the cancer.</t>
  </si>
  <si>
    <t>Head of pancreatic surgery where pancreatic cancer is treated.</t>
  </si>
  <si>
    <t>https://chirurgiefoiepancreas.fr/fr/le-service/#in-tab-content-0-0</t>
  </si>
  <si>
    <t>https://chirurgiefoiepancreas.fr/fr/le-service/#in-tab-content-0-1</t>
  </si>
  <si>
    <t>Clinique d’Alençon is an authorised digestive cancer surgery facility with evidence of a local role in pancreatic diagnosis and surgery. INCa lists the clinic for digestive oncological surgery, while the regional 3C Guillaume records a Mention B digestive surgery authorisation, indicating eligibility for complex digestive cancer procedures. The clinic also explicitly includes pancreatic surgery within its enhanced-recovery programme and provides gastroenterology, interventional endoscopy and echo-endoscopy.</t>
  </si>
  <si>
    <t>621591754444915751</t>
  </si>
  <si>
    <t>Christophe Pilette</t>
  </si>
  <si>
    <t>https://clinique-alencon.lna-sante.com/praticiens/dr-christophe-pilette/</t>
  </si>
  <si>
    <t>Visceral and digestive surgeon where pancreatic surgery takes place.</t>
  </si>
  <si>
    <t>Officially performs interventional digestive endoscopy and echo-endoscopy and has additional training in hepatobiliary tumours.</t>
  </si>
  <si>
    <t>TEST_00001</t>
  </si>
  <si>
    <t>Testing</t>
  </si>
  <si>
    <t>https://www.cancer.fr/Media/files/annuaire-des-correspondants_plateformes-de-genetique-moleculaire-des-cancers-2020</t>
  </si>
  <si>
    <t>Internal</t>
  </si>
  <si>
    <t>TEST_00002</t>
  </si>
  <si>
    <t>TEST_00003</t>
  </si>
  <si>
    <t>Main site for KRAS testing within CHU de Grenoble</t>
  </si>
  <si>
    <t>https://www.cancer.fr/Media/files/annuaire-des-correspondants_plateformes-de-genetique-moleculaire-des-cancers-2021</t>
  </si>
  <si>
    <t>https://www.cancer.fr/Media/files/annuaire-des-correspondants_plateformes-de-genetique-moleculaire-des-cancers-2022</t>
  </si>
  <si>
    <t>TEST_00004</t>
  </si>
  <si>
    <t>Main site for KRAS testing within Hospices Civils de Lyon</t>
  </si>
  <si>
    <t>TEST_00005</t>
  </si>
  <si>
    <t>TEST_00006</t>
  </si>
  <si>
    <t>TEST_00007</t>
  </si>
  <si>
    <t>CHRU le Bocage</t>
  </si>
  <si>
    <t>TEST_00008</t>
  </si>
  <si>
    <t>TEST_00009</t>
  </si>
  <si>
    <t>Hôpital de la Cavale Blanche</t>
  </si>
  <si>
    <t>TEST_00010</t>
  </si>
  <si>
    <t>Main site for KRAS testing within CHU de Brest</t>
  </si>
  <si>
    <t>TEST_00011</t>
  </si>
  <si>
    <t>Main site for KRAS testing within CHU de Rennes</t>
  </si>
  <si>
    <t>TEST_00012</t>
  </si>
  <si>
    <t>Main site for KRAS testing within CHU de Tours</t>
  </si>
  <si>
    <t>TEST_00013</t>
  </si>
  <si>
    <t>Main site for KRAS testing within CHR d'Orléans</t>
  </si>
  <si>
    <t>TEST_00014</t>
  </si>
  <si>
    <t>TEST_00015</t>
  </si>
  <si>
    <t>Main site for KRAS testing within CHU de Reims</t>
  </si>
  <si>
    <t>TEST_00016</t>
  </si>
  <si>
    <t>TEST_00017</t>
  </si>
  <si>
    <t>Amiens</t>
  </si>
  <si>
    <t>1 Rue du Professeur Christian Cabrol</t>
  </si>
  <si>
    <t>TEST_00018</t>
  </si>
  <si>
    <t>Main site for KRAS testing within CHU d'Amiens -Picardie</t>
  </si>
  <si>
    <t>CHRU de Lille (Siège)</t>
  </si>
  <si>
    <t>TEST_00019</t>
  </si>
  <si>
    <t>TEST_00020</t>
  </si>
  <si>
    <t>Hôpital Bichat</t>
  </si>
  <si>
    <t>TEST_00021</t>
  </si>
  <si>
    <t>Main site for KRAS testing within APHP Nord Université de Paris HUPNVS (BichatBeaujonLouisMourier)</t>
  </si>
  <si>
    <t>TEST_00022</t>
  </si>
  <si>
    <t>Main site for KRAS testing within APHP Nord Université de Paris HUSLSLRB SaintLouis</t>
  </si>
  <si>
    <t>TEST_00023</t>
  </si>
  <si>
    <t>TEST_00024</t>
  </si>
  <si>
    <t>TEST_00025</t>
  </si>
  <si>
    <t>TEST_00026</t>
  </si>
  <si>
    <t>TEST_00027</t>
  </si>
  <si>
    <t>TEST_00028</t>
  </si>
  <si>
    <t>TEST_00029</t>
  </si>
  <si>
    <t>TEST_00030</t>
  </si>
  <si>
    <t>Main site for KRAS testing within Institut Curie</t>
  </si>
  <si>
    <t>TEST_00031</t>
  </si>
  <si>
    <t>Hôpital Georges-Clémenceau</t>
  </si>
  <si>
    <t>TEST_00032</t>
  </si>
  <si>
    <t>TEST_00033</t>
  </si>
  <si>
    <t>TEST_00034</t>
  </si>
  <si>
    <t>TEST_00035</t>
  </si>
  <si>
    <t>Main site for KRAS testing within CHU de Bordeaux</t>
  </si>
  <si>
    <t>Hôpital Le Tripode</t>
  </si>
  <si>
    <t>TEST_00036</t>
  </si>
  <si>
    <t>TEST_00037</t>
  </si>
  <si>
    <t>TEST_00038</t>
  </si>
  <si>
    <t>TEST_00039</t>
  </si>
  <si>
    <t>Main site for KRAS testing within CHU de Montpellier</t>
  </si>
  <si>
    <t>TEST_00040</t>
  </si>
  <si>
    <t>TEST_00041</t>
  </si>
  <si>
    <t>TEST_00042</t>
  </si>
  <si>
    <t>TEST_00043</t>
  </si>
  <si>
    <t>CHU d'Angers (Siège)</t>
  </si>
  <si>
    <t>TEST_00044</t>
  </si>
  <si>
    <t>Hôpital Hôtel-Dieu</t>
  </si>
  <si>
    <t>TEST_00045</t>
  </si>
  <si>
    <t>TEST_00046</t>
  </si>
  <si>
    <t>Main site for KRAS testing within AP-HM</t>
  </si>
  <si>
    <t>Hôpital de la Conception</t>
  </si>
  <si>
    <t>TEST_00047</t>
  </si>
  <si>
    <t>TEST_00048</t>
  </si>
  <si>
    <t>TEST_00049</t>
  </si>
  <si>
    <t>https://www.institut-cancerologie-ouest.com/annuaire/olivier-capitain</t>
  </si>
  <si>
    <t>626077496873337857</t>
  </si>
  <si>
    <t>Olivier Capitain</t>
  </si>
  <si>
    <t>Part of the team for pancreatic cancer</t>
  </si>
  <si>
    <t>https://www.institut-cancerologie-ouest.com/annuaire/veronique-guerin-meyer</t>
  </si>
  <si>
    <t>626078896839738375</t>
  </si>
  <si>
    <t>Véronique Guerin-Meyer</t>
  </si>
  <si>
    <t>877550617877300224</t>
  </si>
  <si>
    <t>https://www.institut-cancerologie-ouest.com/annuaire/victor-simmet</t>
  </si>
  <si>
    <t>Part of the team for pancreatic cancer, specialised in digestive cancers.</t>
  </si>
  <si>
    <t>626078347830510600</t>
  </si>
  <si>
    <t>https://www.institut-cancerologie-ouest.com/annuaire/sandrine-hiret</t>
  </si>
  <si>
    <t>ICO Saint-Herblain</t>
  </si>
  <si>
    <t>626077318388925441</t>
  </si>
  <si>
    <t>https://www.institut-cancerologie-ouest.com/annuaire/judith-raimbourg</t>
  </si>
  <si>
    <t>626078751205114881</t>
  </si>
  <si>
    <t>Hélène Senellart</t>
  </si>
  <si>
    <t>https://www.institut-cancerologie-ouest.com/annuaire/helene-senellart</t>
  </si>
  <si>
    <t>626080068199793671</t>
  </si>
  <si>
    <t>Valéria De Franco</t>
  </si>
  <si>
    <t>626077709180617734</t>
  </si>
  <si>
    <t>Romuald Wernert</t>
  </si>
  <si>
    <t>560997248058524674</t>
  </si>
  <si>
    <t>https://www.institut-cancerologie-ouest.com/annuaire/frederic-dumont</t>
  </si>
  <si>
    <t>626077837576651788</t>
  </si>
  <si>
    <t>Émilie Thibaudeau</t>
  </si>
  <si>
    <t>https://www.institut-cancerologie-ouest.com/annuaire/emilie-thibaudeau</t>
  </si>
  <si>
    <t>626078883082421256</t>
  </si>
  <si>
    <t>931881467679015467</t>
  </si>
  <si>
    <t>Claire Jaraudias</t>
  </si>
  <si>
    <t>933411944356121951</t>
  </si>
  <si>
    <t>Léa Marie</t>
  </si>
  <si>
    <t>932492826620988767</t>
  </si>
  <si>
    <t>Benjamin Robert Salucki</t>
  </si>
  <si>
    <t>Surgery</t>
  </si>
  <si>
    <t>Referral</t>
  </si>
  <si>
    <t>https://www.chru-strasbourg.fr/service/gastro-enterologie/</t>
  </si>
  <si>
    <t>Member of the research committee of Societe Francaise Pancreas. Medical director of Hepatogastroenterology where pancreatic cancer is diagnosed.</t>
  </si>
  <si>
    <t>626079955012305938</t>
  </si>
  <si>
    <t>ICANS Strasbourg</t>
  </si>
  <si>
    <t>Head of oncology where pancreatic cancer is treated</t>
  </si>
  <si>
    <t>https://www.chru-strasbourg.fr/service/oncologie/</t>
  </si>
  <si>
    <t>TEST_00050</t>
  </si>
  <si>
    <t>https://chru-strasbourg.manuelprelevement.fr/DetailNew.aspx?id=A2170&amp;redirect=home</t>
  </si>
  <si>
    <t>Lead investigator of the BACAP project. Head of the department in La Timone where pancreatic cancer is treated.</t>
  </si>
  <si>
    <t>https://fr.ap-hm.fr/category/chefs-de-services/seitz-jean-francois</t>
  </si>
  <si>
    <t>626079727588754436</t>
  </si>
  <si>
    <t>https://fr.ap-hm.fr/taxonomy/term/1407</t>
  </si>
  <si>
    <t>Head of the Digestive Oncology Unit, Head of the Hepatogastroenterology and Digestive Oncology Department where pancreatic cancer is treated</t>
  </si>
  <si>
    <t>Doctor participating in the BACAP project. Head of department where pancreatic cancer is treated.</t>
  </si>
  <si>
    <t>https://fr.ap-hm.fr/taxonomy/term/1456</t>
  </si>
  <si>
    <t>626077834338649096</t>
  </si>
  <si>
    <t>Jaafar Bennouna</t>
  </si>
  <si>
    <t>626080237045695490</t>
  </si>
  <si>
    <t>626079186582258706</t>
  </si>
  <si>
    <t>560997275984200740</t>
  </si>
  <si>
    <t>Not in Veeva</t>
  </si>
  <si>
    <t>626078629821957128</t>
  </si>
  <si>
    <t>621591893846803467</t>
  </si>
  <si>
    <t>626078785816511492</t>
  </si>
  <si>
    <t>608464749729956873</t>
  </si>
  <si>
    <t>626078131513476117</t>
  </si>
  <si>
    <t>839738522142262272</t>
  </si>
  <si>
    <t>626078650155942913</t>
  </si>
  <si>
    <t>626079281214145546</t>
  </si>
  <si>
    <t>931264849445650975</t>
  </si>
  <si>
    <t>621591909332173837</t>
  </si>
  <si>
    <t>Inactive in Veeva</t>
  </si>
  <si>
    <t>560999742176232449</t>
  </si>
  <si>
    <t>626077941008188419</t>
  </si>
  <si>
    <t>621591893888746513</t>
  </si>
  <si>
    <t>933219071944166751</t>
  </si>
  <si>
    <t>626127791351415810</t>
  </si>
  <si>
    <t>621591700304839688</t>
  </si>
  <si>
    <t>626079264101385232</t>
  </si>
  <si>
    <t>560995977209578505</t>
  </si>
  <si>
    <t>608464683267015726</t>
  </si>
  <si>
    <t>626079411757663239</t>
  </si>
  <si>
    <t>560996649111913511</t>
  </si>
  <si>
    <t>626078277819188234</t>
  </si>
  <si>
    <t>626078690001830913</t>
  </si>
  <si>
    <t>931881467690091063</t>
  </si>
  <si>
    <t>626077543975371777</t>
  </si>
  <si>
    <t>CHD de Vendée</t>
  </si>
  <si>
    <t>Hôpital Saint-Éloi is a major pancreatic cancer centre within CHU de Montpellier, with pancreatic diagnosis, advanced endoscopy, pancreatic surgery and medical oncology all directly documented on the Saint-Éloi site.</t>
  </si>
  <si>
    <t>626077434747307011</t>
  </si>
  <si>
    <t>Francis Navarro</t>
  </si>
  <si>
    <t>Head of Liver, biliary, pancreatic surgery and transplantation where pancreatic cancer surgery takes place.</t>
  </si>
  <si>
    <t>https://www.chu-montpellier.fr/fr/a-propos-du-chu/offre-de-soins/services/chirurgie-viscerale-digestive-et-transplantation-382</t>
  </si>
  <si>
    <t>https://www.chu-montpellier.fr/fr/a-propos-du-chu/offre-de-soins/services/oncologie-medicale-283</t>
  </si>
  <si>
    <t xml:space="preserve">In Veeva in Italy but works in France. Performed surgery on a pancratic cancer patient. </t>
  </si>
  <si>
    <t>https://www.chu-montpellier.fr/fr/information-transversale/actualites/autogreffe-dilots-de-langerhans-une-procedure-exceptionnelle-promu-a-un-fort-developpement-7253</t>
  </si>
  <si>
    <t>Hôpital Pitié-Salpêtrière is a major comprehensive pancreatic cancer referral and surgical centre within AP-HP. It operates a dedicated AP-HP-labelled rapid-diagnosis pancreas centre and its HPB surgical service reports more than 80 pancreatectomies for pancreatic cancer.</t>
  </si>
  <si>
    <t>https://www.aphp.fr/vous-soigner/les-cancers/les-centres-de-diagnostic-rapide-en-cancerologie</t>
  </si>
  <si>
    <t>626077717736997889</t>
  </si>
  <si>
    <t>Frédérique Peschaud</t>
  </si>
  <si>
    <t>Head of rhe rapid diagnostic center for pancreatic tumours</t>
  </si>
  <si>
    <t>Member of the research committee of Societe Francaise Pancreas. Head of the Pancreatology and Digestive Oncology department. Head of the rapid pancreatic diagnostic center.</t>
  </si>
  <si>
    <t>CH de Marne-la-Vallée</t>
  </si>
  <si>
    <t>CH de Fontainebleau</t>
  </si>
  <si>
    <t>https://www.aphp.fr/pitie-salpetriere/service-d-oncologie-medicale</t>
  </si>
  <si>
    <t>https://www.aphp.fr/pitie-salpetriere/service-d-hepato-gastro-enterologie</t>
  </si>
  <si>
    <t>929850130490262047</t>
  </si>
  <si>
    <t>Co-author with Bachet of current 2026 pancreatic cancer publication; works in digestive oncology. Works in department where pancreatic cancer is diagnosed.</t>
  </si>
  <si>
    <t>https://www.aphp.fr/registre-des-essais-cliniques/tepirm-dans-levaluation-de-la-reponse-au-traitement-neoadjuvant-de</t>
  </si>
  <si>
    <t>https://www.cgfl.fr/annuaire/dr-bengrine-lefevre-leila/</t>
  </si>
  <si>
    <t>626077406259594247</t>
  </si>
  <si>
    <t>https://www.cgfl.fr/annuaire/pr-ghiringhelli-francois/</t>
  </si>
  <si>
    <t>626078550297953283</t>
  </si>
  <si>
    <t>David Orry</t>
  </si>
  <si>
    <t>Head of the oncological surgery department the pancreatic cancer surgery takes place</t>
  </si>
  <si>
    <t>https://www.cgfl.fr/annuaire/dr-orry-david/</t>
  </si>
  <si>
    <t>Nouvel Hôpital Civil is an important HUS pancreatic cancer centre providing specialised diagnosis, advanced endoscopy, multidisciplinary decision-making and pancreatic surgery. HUS explicitly documents EUS-guided biopsy and biliary stenting for pancreatic cancer, while the IHU confirms that pancreatic adenocarcinoma cases are discussed in a dedicated weekly RCP at NHC.</t>
  </si>
  <si>
    <t>https://www.chru-strasbourg.fr/praticien/pessaux-patrick/</t>
  </si>
  <si>
    <t>Zineb Cherkaoui</t>
  </si>
  <si>
    <t>932692518697897340</t>
  </si>
  <si>
    <t>https://www.chru-strasbourg.fr/praticien/cherkaoui-zineb/</t>
  </si>
  <si>
    <t>Works in department where pancreatic cancer surgery takes place. First author on international pancreatic carcinoma outcome-standard work with Pessaux</t>
  </si>
  <si>
    <t>CH Sainte-Catherine</t>
  </si>
  <si>
    <t>Patients are referred to partners for services that cannot be provided locally.</t>
  </si>
  <si>
    <t>Hôpital Central</t>
  </si>
  <si>
    <t>https://www.ch-saverne.fr/2022/10/14/cancer-du-sein-une-priorite/</t>
  </si>
  <si>
    <t>finess</t>
  </si>
  <si>
    <t>finessgeo</t>
  </si>
  <si>
    <t>acte</t>
  </si>
  <si>
    <t>nb_sejsea</t>
  </si>
  <si>
    <t>nb_actes</t>
  </si>
  <si>
    <t>dms_globale</t>
  </si>
  <si>
    <t>nb_sej_0_nuit</t>
  </si>
  <si>
    <t>nb_acte_ambu</t>
  </si>
  <si>
    <t>dep</t>
  </si>
  <si>
    <t>reg</t>
  </si>
  <si>
    <t>HNFA0070</t>
  </si>
  <si>
    <t>.</t>
  </si>
  <si>
    <t>CCAM HNFA0070</t>
  </si>
  <si>
    <t>Hospital</t>
  </si>
  <si>
    <t>Check</t>
  </si>
  <si>
    <t>Superior Mesenteric Artery First Versus Standard Approach in Pancreaticoduodenectomy</t>
  </si>
  <si>
    <t>Hepato-pancreato-biliary Abnormalities in Fibrous Dysplasia of Bone/McCune Albright Syndrome</t>
  </si>
  <si>
    <t>Effectiveness of the Transversus Abdominis Plane Block Associated With Opioid Spinal Anesthesia on Analgesia After Cephalic Duodenopancreatectomy</t>
  </si>
  <si>
    <t>Evaluation of the Stereotactic MR-guided Adaptive Radiotherapy for Locally Advanced Pancreatic Cancers</t>
  </si>
  <si>
    <t>Predictive Value of Progastrin Titer at Diagnosis and of Progastrin Kinetics During Treatment in Cancer Patients</t>
  </si>
  <si>
    <t>A Study Comparing BMS-986504 in Combination With Nab-paclitaxel and Gemcitabine Versus Placebo in Combination With Nab-paclitaxel and Gemcitabine in Participants With Untreated Metastatic Pancreatic Ductal Adenocarcinoma With Homozygous MTAP Deletion (MountainTAP-30)</t>
  </si>
  <si>
    <t>Study of Nab-Paclitaxel and Gemcitabine With or Without SBP-101 in Pancreatic Cancer</t>
  </si>
  <si>
    <t>Dostarlimab for Locally Advanced or Metastatic Cancer (Non-colorectal/Non-endometrial) With Tumor dMMR/MSI</t>
  </si>
  <si>
    <t>KO-2806 Monotherapy and Combination Therapies in Advanced Solid Tumors</t>
  </si>
  <si>
    <t>Sequential Treatment With GEMBRAX and Then FOLFIRINOX Followed by Stereotactic MRI-guided Radiotherapy in Patients With Locally Advanced Pancreatic Cancer</t>
  </si>
  <si>
    <t>Prospective Monocentric Clinical-biological Database</t>
  </si>
  <si>
    <t>A Phase 1 First-In-Human Study of the Anti-CD73 IPH5301 Alone or in Combination With Chemotherapy and Trastuzumab in Patients With Advanced Solid Tumors</t>
  </si>
  <si>
    <t>PANORAMIX : Optimizing 1st-line NALIRIFOX and Exploring Microbiota's Role in 2nd Line Pancreatic Cancer Treatment</t>
  </si>
  <si>
    <t>COsegregation of VARiants in Panel of Genes</t>
  </si>
  <si>
    <t>tislelizUMaB in canceR Patients With molEcuLar residuaL Disease</t>
  </si>
  <si>
    <t>Atezolizumab Combined With BDB001 AnD Immunogenic Radiotherapy in Patients With Advanced Solid Tumors</t>
  </si>
  <si>
    <t>Personalized First-line Chemotherapy Choice in Advanced Pancreatic Adenocarcinoma Using Transcriptomic Signatures</t>
  </si>
  <si>
    <t>DOVIPA, a Study Evaluating Efficacy and Safety of DOstarlimab and VItamin D3 With mFOLFIRINOX in PAncreatic Cancer</t>
  </si>
  <si>
    <t>OncoSNIPE - Study of Molecular Profiles Associated With the Development of Resistance in Solid Cancer Patients</t>
  </si>
  <si>
    <t>Alpha Radiation Emitters Device (DaRT) for the Treatment of Locally Advanced Pancreatic Cancer</t>
  </si>
  <si>
    <t>Immunoparalysis After Pancreaticoduodenectomy</t>
  </si>
  <si>
    <t>Study Investigating ASP3082 in Patients With Metastatic/Locally Advanced Non-small-cell Lung Cancer (NSCLC) and Pancreatic Ductal Adenocarcinoma (PDAC), With Biomarker Analysis to Characterize Response/Resistance</t>
  </si>
  <si>
    <t>Efficacy of Gembrax Followed by Folfirinox Versus Folfirinox Alone in First Metastatic Line Pancreatic Cancer Patients</t>
  </si>
  <si>
    <t>Anatomical-Clinical Base of Adenocarcinoma Pancreatic</t>
  </si>
  <si>
    <t>PAncreatic Disease Cohort of TOuLouse</t>
  </si>
  <si>
    <t>Study of Pancreatic Neuroendocrine Tumors and Carcinomas in Alsace Region</t>
  </si>
  <si>
    <t>Evaluation, in Humans, of the Correlation Between Hepatotoxicity, Neurotoxicity Induced by Oxaliplatin, and Blood Levels of HMGB1</t>
  </si>
  <si>
    <t>Acupuncture for Oxaliplatin-induced Peripheral Neuropathy in Gastro-intestinal Cancer Patients</t>
  </si>
  <si>
    <t>International Registry of Patients Treated With Pressurized IntraPeritoneal Aerosol Chemotherapy (PIPAC)</t>
  </si>
  <si>
    <t>French Assessment of MRD by Liquid Biopsies in PDAC Patients (FRENCH.MRD.PDAC)</t>
  </si>
  <si>
    <t>Management of Malignant Gastric Outlet Obstruction Between Surgery and Endoscopy</t>
  </si>
  <si>
    <t>FAPI-PET Value for the Initial Screening of Pancreatic and Biliary Cancers</t>
  </si>
  <si>
    <t>ORACLE: Observation of ResiduAl Cancer With Liquid Biopsy Evaluation</t>
  </si>
  <si>
    <t>Relationship Between Platinum Levels in the Blood and Neurotoxicity in Patients Who Are Receiving Oxaliplatin for Gastrointestinal Cancer</t>
  </si>
  <si>
    <t>Adapted Physical Activity in Patients With Resected Pancreatic Cancer (APACaPOp PRODIGE-56 Study): a National Multicenter Randomized Controlled Phase II Trial</t>
  </si>
  <si>
    <t>Study Evaluating the Safety Feasibility and Efficacy of ODI-2001 Vaccine, a Personnalized Immunotherapy in Patients With Metastatic or Locally Advanced Colon Cancer or Pancreatic Cancer</t>
  </si>
  <si>
    <t>Analyzing and Solving Exceptional Long-term Survivors in Solid Tumors With Poor Prognosis</t>
  </si>
  <si>
    <t>Evaluating the roLe of Multiplexed PET Imaging in the Detection and Staging of hepatocellulaR Carcinoma and gAstro-entero-pancreatic Tumors</t>
  </si>
  <si>
    <t>Study Assessing PET Imaging With Zirconium-labelled Girentuximab in Patients With HCC, BTC or NEN</t>
  </si>
  <si>
    <t>Chemotherapy For Metastatic Grade 3 Poorly Differentiated NEuroendocrine Carcinoma Of GastroEnteroPancreatic And Unknown Primary</t>
  </si>
  <si>
    <t>Pancreatic Radiofrequency Under High Echo-endoscopy in the Management of Pancreatic Neuroendocrine Tumors</t>
  </si>
  <si>
    <t>Institut Paoli-Calmettes Pancreatic Neoplasms Database</t>
  </si>
  <si>
    <t>Onco-geriatric Database of Patients With Pancreatic Cancer</t>
  </si>
  <si>
    <t>Pancreatic Surgical Database</t>
  </si>
  <si>
    <t>Contribution of New Pancreatic MRI Sequences for the Evaluation of Tumor Response in Pancreatic Adenocarcinomas</t>
  </si>
  <si>
    <t>A Study of NI-1801 in Patients with Mesothelin Expressing Solid Cancers</t>
  </si>
  <si>
    <t>Impact of Comprehensive Geriatric Management on Morbidity and Quality of Life in Elderly Patients Undergoing Major Hepatectomy and Pancreaticoduodenectomy for Cancer</t>
  </si>
  <si>
    <t>Multi-omics Characterization of Pancreatic Neuroendocrine Tumors and Carcinomas</t>
  </si>
  <si>
    <t>Gemcitabine With or Without Sorafenib in Treating Patients With Locally Advanced or Metastatic Pancreatic Cancer</t>
  </si>
  <si>
    <t>Trial Evaluating the Efficacy and the Safety of FOLFIRINOX3 Treatment in Patients With Unresectable Locally Advanced or Metastatic Pancreatic Cancer in First Line of Chemotherapy</t>
  </si>
  <si>
    <t>Echo-endoscopy Biopsy Impact on the Circulating Tumor Cell Level</t>
  </si>
  <si>
    <t>Evaluation of Complete microscopicE Resection Margin (R0) and Lymph Node Involvement After Standard Pancreatosplenectomy (SPS) Versus Radical Anterograde Modular Pancreatosplenectomy</t>
  </si>
  <si>
    <t>Association Between Composition of the Gut Microbiota and Nutritional Status in Digestive Oncology</t>
  </si>
  <si>
    <t>Impact of Non-magnetic Screen Respiratory Self-guidance During MRI-guided Radiotherapy Sessions for Mobile Lesions</t>
  </si>
  <si>
    <t>Functional, Personalised and Integrated Profiling of Biopsied Pancreatic Tumours (CancerProfile by FNB)</t>
  </si>
  <si>
    <t>FOLFOX vs Gemcitabine in Patients With Metastatic Pancreatic Cancer Non-fit to FOLFIRINOX</t>
  </si>
  <si>
    <t>SERum-bank for PANcreatic Cancer</t>
  </si>
  <si>
    <t>Safety and Tolerability of TNG462 in Patients With MTAP-deleted Solid Tumors</t>
  </si>
  <si>
    <t>Efficacy of First-Line Gemcitabine Chemotherapy in GemCore+ Metastatic Pancreatic Adenocarcinoma Patients</t>
  </si>
  <si>
    <t>Telemedicine in the Management of Pain in Patients With Advanced or Metastatic Pancreatic Cancer</t>
  </si>
  <si>
    <t>Assessment of Sarcopenia at Diagnosis for Patients With Previously Untreated Metastatic Cancer or Hematologic Malignancy</t>
  </si>
  <si>
    <t>Registry of Endocrine Tumors (Thyroid, Parathyroid, Adrenal, Endocrine Pancreas, Endocrine Digestive Tube)</t>
  </si>
  <si>
    <t>Risk-adapted Adjuvant Chemotherapy Guided by the Tumour Stage for Operated Pancreatic Adenocarcinoma Following Neoadjuvant Chemotherapy With mFOLFIRINOX</t>
  </si>
  <si>
    <t>Assessment of Adherence to Remotely Monitored Physical Activity Tracked on a Smartwatch, and Its Impact on Reducing Fatigue 3 Months After Adjuvant Chemotherapy for Cancer</t>
  </si>
  <si>
    <t>Neoadjuvant Chemotherapy Response Assessment by Combined PET-MRI in Borderline and Locally Advanced Pancreatic Adenocarcinoma.</t>
  </si>
  <si>
    <t>Adjuvant Trial in Pancreatic Neuroendocrine Tumors</t>
  </si>
  <si>
    <t>A Study to Test the Safety and Effectiveness of GSK5764227, Alone or With Other Treatments, in Participants With Advanced Gastrointestinal Cancers That Cannot be Surgically Removed</t>
  </si>
  <si>
    <t>Cutting Edge Imaging With PET-FAPI for Earlier Pancreatic Cancer Diagnosis (INDIGO-FAPI)</t>
  </si>
  <si>
    <t>Precision Imaging for Early Detection and Targeted Treatment Monitoring in Pancreatic Cancer</t>
  </si>
  <si>
    <t>APL-101 Study of Subjects With NSCLC With c-Met EXON 14 Skip Mutations and c-Met Dysregulation Advanced Solid Tumors</t>
  </si>
  <si>
    <t>Longitudinal, Prospective, French, Multicenter Cohort Study on Pancreatic Radiofrequency</t>
  </si>
  <si>
    <t>Profiling Program of Advanced/Metastatic Pancreatic Cancer Patients</t>
  </si>
  <si>
    <t>PATAKESS Protocol : Clinical and Biological Analysis of Exocrine Pancreatic Tumors</t>
  </si>
  <si>
    <t>New Biomarkers in Pancreatic Cancer Using EXPEL Concept</t>
  </si>
  <si>
    <t>Evaluation of Endoscopic Ultrasound Shear Wave Elastography (EUS-SWE) for the Diagnosis of Pancreatic Adenocarcinoma.</t>
  </si>
  <si>
    <t>Superb Microvascular Imaging (SMI) and Two-Dimensional Endoscopic Ultrasound Guided Shear Wave Elastography (2D-SWE-EUS) in Differential Diagnosis of Pancreatic Adenocarcinoma (PA) From Other Pancreatic Solid Lesions (PSLs) and Pancreatic neuroendocrinE Tumors (pNETs) Malignancy</t>
  </si>
  <si>
    <t>Effect on Body Movement and Mental Skills in Patients Who Received Gadolinium-based Contrast Media for Magnetic Resonance Examination Multiple Times Within 5 Years</t>
  </si>
  <si>
    <t>B-GLUCANCER2 : A Pilot Study Evaluating a New Method for Cancer Detection by Measuring the Activity of Different Glycosidase Enzymes in the Plasma of Patients With a Localized Cancer.</t>
  </si>
  <si>
    <t>A Clinicobiological Database in Metastatic Digestive Cancers</t>
  </si>
  <si>
    <t>Liquid Biopsy and Pancreas Cancer: Detection of AXL(+) CTCs (CTC-AXL-PANC)</t>
  </si>
  <si>
    <t>Evaluation of NETs in Patients With Solid Cancers Associated With a High Risk of Venous Thromboembolic Events</t>
  </si>
  <si>
    <t>METabolic PROFILE of Hepatocarcinoma and Pancreatic Tumors</t>
  </si>
  <si>
    <t>Early Screening of Pancreatic Lesions : Development of New Imaging Tools</t>
  </si>
  <si>
    <t>Development of Non-Invasive Prenatal Diagnosis for Single Gene Disorders</t>
  </si>
  <si>
    <t>Impact of Preoperative Sarcopenia on Morbidity and Mortality in Patients Operated on From Digestive Cancers</t>
  </si>
  <si>
    <t>929771110843089470</t>
  </si>
  <si>
    <t>Contact person clinical trial</t>
  </si>
  <si>
    <t>626077367579722754</t>
  </si>
  <si>
    <t>929771110850626092</t>
  </si>
  <si>
    <t>SOS Pancreas</t>
  </si>
  <si>
    <t>626079924343555084</t>
  </si>
  <si>
    <t>626077203095897100</t>
  </si>
  <si>
    <t>931400349945299487</t>
  </si>
  <si>
    <t>Paméla Funk-Debleds</t>
  </si>
  <si>
    <t>626077867985355781</t>
  </si>
  <si>
    <t>846225326760526849</t>
  </si>
  <si>
    <t>560998483004228637</t>
  </si>
  <si>
    <t>Anne Marie Marion Audibert</t>
  </si>
  <si>
    <t>Clinique du Val d'Ouest Vendôme</t>
  </si>
  <si>
    <t>931469549561643551</t>
  </si>
  <si>
    <t>846225534160471040</t>
  </si>
  <si>
    <t>Olivier Raspado</t>
  </si>
  <si>
    <t>Infirmerie Protestante de Lyon</t>
  </si>
  <si>
    <t>Introduction et présentation SOS Pancréas</t>
  </si>
  <si>
    <t>https://onco-aura.fr/wp-content/uploads/2026/06/soiree-formation-sos-Pancreas_Haute-Savoie.pdf</t>
  </si>
  <si>
    <t>Epidémiologie, positionnement du problème</t>
  </si>
  <si>
    <t>935877079042362750</t>
  </si>
  <si>
    <t>Céline Py</t>
  </si>
  <si>
    <t>Hôpital Privé Pays de Savoie</t>
  </si>
  <si>
    <t>ID00095</t>
  </si>
  <si>
    <t>Prise en charge diagnostique, signes évocateurs</t>
  </si>
  <si>
    <t>626078776756814857</t>
  </si>
  <si>
    <t>Wulfran Cacheux</t>
  </si>
  <si>
    <t>Prise en charge clinique et thérapeutique</t>
  </si>
  <si>
    <t>Épidémiologie et prise en charge endoscopique initiale</t>
  </si>
  <si>
    <t>626079755816420353</t>
  </si>
  <si>
    <t>Prise en charge chirurgicale et grands principes thérapeutiques</t>
  </si>
  <si>
    <t>https://onco-aura.fr/wp-content/uploads/2026/06/soiree-formation-sos-Pancreas_Loire.pdf</t>
  </si>
  <si>
    <t>Jean Mermoz is a genuine comprehensive pancreatic centre rather than merely a diagnostic or surgical provider. Diagnosis/EUS-biopsy, advanced biliopancreatic endoscopy, pancreatic oncology, pancreatic research and high-volume pancreatic surgery are all documented locally.</t>
  </si>
  <si>
    <t>La Croix performs pancreatic cancer surgery.</t>
  </si>
  <si>
    <t>621591888259990547</t>
  </si>
  <si>
    <t>Leads service performing biliopancreatic EUS, pancreatic catheterisation and digestive oncology</t>
  </si>
  <si>
    <t>https://www.spvv-cpts.fr/system/files/2026-03/HCL_Guide_Pro_2026-27_web.pdf</t>
  </si>
  <si>
    <t>Head of department treating pancreatic cancer</t>
  </si>
  <si>
    <t>604130630074106881</t>
  </si>
  <si>
    <t>Responsible for pancreatic cancer within the department of visceral surgery</t>
  </si>
  <si>
    <t>Works in department where pancreatic cancer is treated</t>
  </si>
  <si>
    <t>846225581379945472</t>
  </si>
  <si>
    <t>The hospital's current pancreatic cancer page explicitly covers pancreatic diagnosis, EUS, biopsy, surgery and chemotherapy. The current gastroenterology page confirms echoendoscopy, biliary catheterisation, interventional endoscopy and chemotherapy among local gastroenterology activities.</t>
  </si>
  <si>
    <t>https://www.infirmerie-protestante.com/reseaux-de-cancerologie-et-partenariats-institut-de-cancerologie</t>
  </si>
  <si>
    <t>621591861609382914</t>
  </si>
  <si>
    <t>Damien Blehaut</t>
  </si>
  <si>
    <t>621591733045576721</t>
  </si>
  <si>
    <t>https://www.chu-dijon.fr/cancerologie</t>
  </si>
  <si>
    <t>626080172403082253</t>
  </si>
  <si>
    <t>https://www.chu-dijon.fr/service/chirurgie-digestive-cancerologique-endocrinienne-generale-et-durgence/presentation</t>
  </si>
  <si>
    <t>Head of Digestive, cancer, endocrine, general and emergency surgery where pancreatic cancer surgery takes place</t>
  </si>
  <si>
    <t>CHU explicitly states that its digestive cancer programme includes pancreatic cancer, with diagnosis, surgery, chemotherapy/targeted therapy and weekly digestive cancer RCP. Its digestive surgery service explicitly lists cancer du pancréas and describes itself as a digestive oncology expert/referral centre.</t>
  </si>
  <si>
    <t>Dedicated HPB surgery service states that it treats pancreatic disease surgically and explicitly describes pancreatectomy.</t>
  </si>
  <si>
    <t>Location</t>
  </si>
  <si>
    <t>Evaluation of the Results of Simultaneous Pancreatic and Hepatic Resections for Metastatic Neuroendocrine Tumors.</t>
  </si>
  <si>
    <t>Prognostic and Predictive Biomarkers of Therapeutic Response in Pancreatic Tumors</t>
  </si>
  <si>
    <t>A Study Of Sunitinib Compared To Placebo For Patients With Advanced Pancreatic Islet Cell Tumors</t>
  </si>
  <si>
    <t>Evaluation of the High Intensity Focused Ultrasound (HIFU) Technique for Patients With Unresectable Pancreatic Tumor Treatment (PULS)</t>
  </si>
  <si>
    <t>Evaluation of PET-CT Using Somatostatin Agonists Labeled With Gallium68 in Neuroendocrine Tumors</t>
  </si>
  <si>
    <t>Study Of Gemcitabine Plus AG-013736 Versus Gemcitabine For Advanced Pancreatic Cancer.</t>
  </si>
  <si>
    <t>A Study of Napabucasin Plus Nab-Paclitaxel With Gemcitabine in Adult Patients With Metastatic Pancreatic Adenocarcinoma</t>
  </si>
  <si>
    <t>Comparison of Two Endoscopic Biopsic Needles for Pancreatic Tumors</t>
  </si>
  <si>
    <t>Evaluation of the FOCUS Diffusion's Added Clinical Value Compared to Conventional MRI</t>
  </si>
  <si>
    <t>Study at the Man of the Profile of Chimiokines in the Anorexia Bound to the Cancerous Cachexy</t>
  </si>
  <si>
    <t>Aflibercept Compared to Placebo in Term of Efficacy in Patients Treated With Gemcitabine for Metastatic Pancreatic Cancer</t>
  </si>
  <si>
    <t>Efficacy and Safety Study in Pancreatic or Midgut Neuroendocrine Tumours Having Progressed Radiologically While Previously Treated With Lanreotide Autogel® 120 mg</t>
  </si>
  <si>
    <t>Neoadjuvant mFolfirinox With or Without Preoperative Concomitant Chemoradiotherapy in Patients With Borderline Resectable Pancreatic Carcinoma (PANDAS-PRODIGE 44)</t>
  </si>
  <si>
    <t>Endoscopic Ultrasound Evaluation of the Common Bile Duct in Patients With Obstructive Jaundice Due to Bilio-pancreatic Malignancies (ECCO Trial)</t>
  </si>
  <si>
    <t>Preoperative Biliary Drainage in Resectable Pancreatic or Periampullary Cancer</t>
  </si>
  <si>
    <t>A Study Evaluating Anvumetostat in Combination With Other Therapies in Participants With Advanced Gastrointestinal, Biliary Tract, or Pancreatic Cancers With Homozygous Methylthioadenosine Phosphorylase (MTAP)-Deletion (MTAPESTRY 103)</t>
  </si>
  <si>
    <t>Efficacy of the Transversus Abdominis Plane Block on Analgesia After Cephalic Duodeno-pancreatectomy</t>
  </si>
  <si>
    <t>Evolution of Body Connection After Surgery</t>
  </si>
  <si>
    <t>Convertases and Pancreatic Cancer: Cohort of Patients Treated for Pancreatic Adenocarcinoma</t>
  </si>
  <si>
    <t>Discovery of Soluble Biomarkers for Pancreatic Cancer Using Innovative All-Patient Inclusive Methodology</t>
  </si>
  <si>
    <t>Phase 2 Nab® -Paclitaxel (Abraxane®) Plus Gemcitabine in Subjects With Locally Advanced Pancreatic Cancer (LAPC)</t>
  </si>
  <si>
    <t>Study of Lanreotide Autogel 120 mg in Patients With Non-functioning Entero- Pancreatic Endocrine Tumour</t>
  </si>
  <si>
    <t>Combination With Gemcitabine in Advanced Pancreatic Cancer</t>
  </si>
  <si>
    <t>Multidom Remote Monitoring of Patient With Advanced Pancreatic Cancer Treated With Florinox Using the PiCaDo Plateform</t>
  </si>
  <si>
    <t>AG-013736 In Combination With Gemcitabine Versus Gemcitabine Alone For Patients With Metastatic Pancreatic Cancer</t>
  </si>
  <si>
    <t>Gemcitabine, Oxaliplatin and Radiotherapy in Treating Patients With Completely Resected Pancreatic Cancer</t>
  </si>
  <si>
    <t>S-1 Versus 5-FU Bolus in Metastatic Pancreatic Cancer Patients Previously Treated With Gemcitabine-Based Regimen</t>
  </si>
  <si>
    <t>NEOadjuvant Gemcitabine/Oxaliplatin Plus Adjuvant Gemcitabine in Resectable PAncreatic Cancer</t>
  </si>
  <si>
    <t>Immunostimulating Interstitial Laser Thermotherapy in Pancreatic Cancer</t>
  </si>
  <si>
    <t>Efficacy and Safety of Radiofrequency Ablation in Pancreatic Neuroendocrine and Cystic Tumor</t>
  </si>
  <si>
    <t>Early (4 Days) Versus Standard Drainage of the Abdominal Cavity After Pancreaticoduodenectomy</t>
  </si>
  <si>
    <t>Neoadjuvant Treatment of Resectable or Locally Advanced Borderline Pancreatic Adenocarcinoma: Reproducibility of Tumor Measurement in CT VS MRI</t>
  </si>
  <si>
    <t>A Study of AGS-1C4D4 Given in Combination With Gemcitabine in Subjects With Metastatic Pancreatic Cancer</t>
  </si>
  <si>
    <t>Gemcitabine and Oxaliplatin Followed By Radiation Therapy, Fluorouracil, and Oxaliplatin in Treating Patients With Locally Advanced Pancreatic Cancer That Cannot Be Removed By Surgery</t>
  </si>
  <si>
    <t>Rollover Study to Provide Continued Access to Napabucasin for Patients Enrolled in Boston Biomedical-sponsored Protocols</t>
  </si>
  <si>
    <t>Preoperative Prehabilitation for Sarcopenic Patients Prior to Pancreatic Surgery for Cancer</t>
  </si>
  <si>
    <t>A Phase 3 Trial of ALIMTA (LY231514, Pemetrexed) Plus GEMZAR Versus GEMZAR in Patients With Unresectable or Metastatic Cancer of the Pancreas.</t>
  </si>
  <si>
    <t>Gemcitabine, Capecitabine, and Erlotinib in Treating Patients With Advanced Pancreatic Cancer</t>
  </si>
  <si>
    <t>Pancreatico-biliary Tumor Mutation Profiling in Bile Samples</t>
  </si>
  <si>
    <t>Combination Chemotherapy in Treating Patients With Metastatic Pancreatic Cancer That Cannot Be Removed By Surgery</t>
  </si>
  <si>
    <t>Comparison of Two Needles (ProCore vs EchoTip) for the Diagnosis of Pancreatic Solid Mass Under EUS</t>
  </si>
  <si>
    <t>INTER-Regional COHORTE of Long Term Pancreatic Cancer Survivors</t>
  </si>
  <si>
    <t>Distal Pancreatectomy, Minimally Invasive or Open, for Malignancy (DIPLOMA)</t>
  </si>
  <si>
    <t>The Efficacy and Safety of Gemcitabine in Combination With Docetaxel to Treat Pancreatic or Biliary Cancer</t>
  </si>
  <si>
    <t>A Study to Find a Safe and Effective Dose of BI 905711 in Patients With Advanced Gastrointestinal Cancer</t>
  </si>
  <si>
    <t>Intraoperative Endoscopic Ultrasound for Pancreatic Cancer</t>
  </si>
  <si>
    <t>Combination Chemotherapy as First-Line Therapy in Treating Patients With Metastatic Pancreatic Cancer</t>
  </si>
  <si>
    <t>PAncreas Borderline and Locally Advanced Snapshot Study</t>
  </si>
  <si>
    <t>Radiation Therapy and Docetaxel With Either Fluorouracil or Cisplatin as First-Line Therapy in Treating Patients With Metastatic Pancreatic Cancer That Cannot Be Removed By Surgery</t>
  </si>
  <si>
    <t>Epigenomic and Machine Learning Models to Predict Pancreatic Cancer</t>
  </si>
  <si>
    <t>Surgery for Pancreatic Cancer With Oligo-Metastasis</t>
  </si>
  <si>
    <t>Fluorouracil With or Without Cisplatin in Treating Patients With Advanced or Metastatic Cancer of the Pancreas</t>
  </si>
  <si>
    <t>Study Comparing Pancreatic EUS-FNB With the 20-gauge Procore® and the 22-gauge Acquire® Needles</t>
  </si>
  <si>
    <t>Clinical Trial of SOT102 Antibody Drug Conjugate in Patients With Advanced Gastric and Pancreatic Adenocarcinoma</t>
  </si>
  <si>
    <t>AS703569 and Gemcitabine Combination in Advanced Malignancies</t>
  </si>
  <si>
    <t>Efficacy and Safety of BEZ235 Compared to Everolimus in Patients With Advanced Pancreatic Neuroendocrine Tumors</t>
  </si>
  <si>
    <t>Correlation of Portal and Peripheral Venous ctDNA in Pancreatic Adenocarcinoma</t>
  </si>
  <si>
    <t>Docetaxel and Gemcitabine Compared With Docetaxel and Cisplatin in Treating Patients With Metastatic or Locally Advanced Pancreatic Cancer</t>
  </si>
  <si>
    <t>Evaluation of GEMCITEST in Patients With Pancreatic Cancer and Treated by Chemotherapy</t>
  </si>
  <si>
    <t>Phase 3 Trial of 90Y-Clivatuzumab Tetraxetan &amp; Gemcitabine vs Placebo &amp; Gemcitabine in Metastatic Pancreatic Cancer</t>
  </si>
  <si>
    <t>Gemcitabine and Oxaliplatin in Treating Patients With Metastatic Pancreatic Cancer</t>
  </si>
  <si>
    <t>Intra-ductal Confocal Endomicroscopy for Characterization of Pancreas and Bile Duct Tumor</t>
  </si>
  <si>
    <t>Two Chemotherapy Regimens Compared With Observation in Treating Patients With Completely Resected Pancreatic Cancer</t>
  </si>
  <si>
    <t>A Study of Ruxolitinib in Pancreatic Cancer Patients</t>
  </si>
  <si>
    <t>Cetuximab and Trastuzumab in Treating Patients With Metastatic Pancreatic Cancer That Progressed After Previous Treatment With Gemcitabine</t>
  </si>
  <si>
    <t>Dasatinib Added to Gemcitabine for Subjects With Locally-advanced Pancreatic Cancer</t>
  </si>
  <si>
    <t>Gemcitabine Hydrochloride in Treating Patients With Pancreatic Cancer That Has Been Removed by Surgery</t>
  </si>
  <si>
    <t>Gemcitabine and Oxaliplatin in Treating Patients With Locally Advanced or Metastatic Pancreatic Cancer</t>
  </si>
  <si>
    <t>Glufosfamide With or Without Hydration in Treating Patients With Advanced Pancreatic Cancer</t>
  </si>
  <si>
    <t>Efavirenz as Second-Line Therapy in Treating Patients With Metastatic Pancreatic Cancer</t>
  </si>
  <si>
    <t>Fluorouracil Plus Radiation Therapy Following Surgery in Treating Patients With Pancreatic Cancer</t>
  </si>
  <si>
    <t>Phase 2 Study of TTX-030 and Chemotherapy With or Without Budigalimab for 1L mPDAC Patients</t>
  </si>
  <si>
    <t>A Pan-European Post-Authorisation Safety Study: Risk of Pancreatic Cancer Among Type 2 Diabetes Patients Who Initiated Exenatide as Compared With Those Who Initiated Other Non-Glucagon-Like Peptide 1 Receptor Agonists Based Glucose Lowering Drugs</t>
  </si>
  <si>
    <t>A Study of Zolbetuximab (IMAB362) in Adults With Pancreatic Cancer</t>
  </si>
  <si>
    <t>Gemcitabine With or Without Oxaliplatin in Treating Patients With Locally Advanced or Metastatic Unresectable Pancreatic Adenocarcinoma</t>
  </si>
  <si>
    <t>BEZ235 Phase II Trial in Patients With Advanced Pancreatic Neuroendocrine Tumors (pNET) After Failure of mTOR Inhibitor Therapy.</t>
  </si>
  <si>
    <t>A Study in Metastatic Cancer and Advanced or Metastatic Unresectable Pancreatic Cancer</t>
  </si>
  <si>
    <t>Evaluation of Survival Prognostic Factors for Patients With Exocrine Pancreatic Cancer Resectable or Potentially Resectable</t>
  </si>
  <si>
    <t>Gemcitabine and Radiation Therapy Compared With Gemcitabine Alone in Treating Patients Who Have Undergone Surgery for Pancreatic Cancer</t>
  </si>
  <si>
    <t>Masitinib in Combination With Gemcitabine for Treatment of Patients With Advanced/Metastatic Pancreatic Cancer</t>
  </si>
  <si>
    <t>ABTL0812 in Combination With FOLFIRINOX for First-line Treatment of Metastatic Pancreatic Study</t>
  </si>
  <si>
    <t>Study of Pegilodecakin (LY3500518) With FOLFOX Compared to FOLFOX Alone Second-line Tx in Participants With Metastatic Pancreatic Cancer</t>
  </si>
  <si>
    <t>Gemcitabine With or Without Capecitabine and/or Radiation Therapy or Gemcitabine With or Without Erlotinib in Treating Patients With Locally Advanced Pancreatic Cancer That Cannot Be Removed by Surgery</t>
  </si>
  <si>
    <t>Adjuvant Versus Neoadjuvant Plus Adjuvant Chemotherapy in Resectable Pancreatic Cancer</t>
  </si>
  <si>
    <t>Study of Safety and Efficacy of Alpelisib With Everolimus or Alpelisib With Everolimus and Exemestane in Advanced Breast Cancer Patients, Renal Cell Cancer and Pancreatic Tumors</t>
  </si>
  <si>
    <t>Clinical Evaluation Of Needle-based Confocal Laser Endomicroscopy in The Lymph Nodes Along With Masses and Cystic Tumors of the Pancreas</t>
  </si>
  <si>
    <t>Expanded Access Program Using IMM-101 for Patients With Advanced Pancreatic Cancer</t>
  </si>
  <si>
    <t>Correlation Between Complications After Pancreaticoduodenectomy and Microbiota</t>
  </si>
  <si>
    <t>A Study of Avastin (Bevacizumab) Added to a Chemotherapeutic Regimen in Patients With Metastatic Pancreatic Cancer</t>
  </si>
  <si>
    <t>Two Chemotherapy Regimens Plus or Minus Bevacizumab</t>
  </si>
  <si>
    <t>A Study Evaluating Lanreotide as Maintenance Therapy in Patients With Non-Resectable Duodeno-Pancreatic Neuroendocrine Tumors (REMINET)</t>
  </si>
  <si>
    <t>A Dose-Escalation to Rash Study of Tarceva (Erlotinib) Plus Gemcitabine in Patients With Metastatic Pancreatic Cancer</t>
  </si>
  <si>
    <t>QUILT-2.014: Gemcitabine and AMG 479 in Metastatic Adenocarcinoma of the Pancreas</t>
  </si>
  <si>
    <t>Nonfunctioning Small (≤2 cm) Neuroendocrine Pancreatic Incidentaloma</t>
  </si>
  <si>
    <t>A Study to Collect Survival Data on Patients Previously Enrolled in Abraxane Pancreatic Cancer Study CA046.</t>
  </si>
  <si>
    <t>Surgery Impact on Circulating Tumor DNA in Pancreatic Cancer</t>
  </si>
  <si>
    <t>Pancreatectomy for NET: External Evaluation of WHO 2017 Grading System</t>
  </si>
  <si>
    <t>Phase II Study to Evaluate Efficacy and Safety of RP101 in Combination With Gemcitabine</t>
  </si>
  <si>
    <t>Evaluation of an Early Radiomic Signature in Patients With Metastatic Pancreatic Adenocarcinoma Treated With First-line Chemotherapy</t>
  </si>
  <si>
    <t>Effect of Tumor Treating Fields (TTFields, 150 kHz) as Front-Line Treatment of Locally-advanced Pancreatic Adenocarcinoma Concomitant With Gemcitabine and Nab-paclitaxel (PANOVA-3)</t>
  </si>
  <si>
    <t>A Study Of The Efficacy And Safety Of Sunitinib In Patients With Advanced Well-Differentiated Pancreatic Neuroendocrine Tumors</t>
  </si>
  <si>
    <t>A Study of GB201 in Combination With Weekly Paclitaxel and Low-dose Gemcitabine in Patients With Pancreatic Cancer</t>
  </si>
  <si>
    <t>First-line Metastatic Pancreatic Cancer : FOLFIRINOX +/- LV5FU2 in Maintenance Versus Firgem</t>
  </si>
  <si>
    <t>Niraparib as First Line Therapy With Metastatic Homologous Repair-deficient Pancreatic Cancer</t>
  </si>
  <si>
    <t>Kinetics of Microparticles Under Chemotherapy in Patients With Gastric or Pancreatic Cancer</t>
  </si>
  <si>
    <t>FIrst Line Treatment of Metastatic Pancreatic Cancer: Sequential Nab-paclitaxel + Gemcitabine/FOLFIRI.3 VS Nab-paclitaxel + Gemcitabine</t>
  </si>
  <si>
    <t>A Study to Evaluate Chemotherapy With or Without INCB161734 in Previously Untreated, KRAS G12D-Mutated Metastatic Pancreatic Ductal Adenocarcinoma</t>
  </si>
  <si>
    <t>Study of Pasireotide in Patients With Rare Tumors of Neuroendocrine Origin</t>
  </si>
  <si>
    <t>Comparison of Two Needles (19G Flex Versus 22G Standard) for Pancreatic Solid Tumors Diagnosis</t>
  </si>
  <si>
    <t>18 Fluoro-deoxy-glucose Positrons Emission Tomography Combined With Computed Tomography (18-FDG TEP-CT ) in the Diagnosis of the Degeneration of Intraductal Papillary Mucinous Tumor of the Pancreas</t>
  </si>
  <si>
    <t>A Randomized Phase III Trial Comparing Folfirinox to Gemcitabine in Locally Advanced Pancreatic Carcinoma</t>
  </si>
  <si>
    <t>Efficacy of ABI-007 Plus Gemcitabine or sLV5FU2 as First-line Therapy in Patients With Metastatic Pancreatic Cancer</t>
  </si>
  <si>
    <t>Relationship Between Evolution of Resting Energy Expenditure and Tumoral Response to Chemotherapy in Patients Suffering From Pancreas Cancer</t>
  </si>
  <si>
    <t>Study of MM-398 With or Without 5-FU/LV, Versus 5-FU/LV in Patients With Metastatic Pancreatic Cancer</t>
  </si>
  <si>
    <t>Sequentiality of Everolimus and STZ-5FU in Advanced Pancreatic Neuroendocrine Tumor</t>
  </si>
  <si>
    <t>First Line Metastatic Pancreatic Cancer : 5FU/LV+Nal-IRI, Gemcitabine+Nab-paclitaxel or a Sequential Regimen of 2 Months 5FU/LV+Nal-IRI</t>
  </si>
  <si>
    <t>A Study of Galunisertib (LY2157299) and Durvalumab (MEDI4736) in Participants With Metastatic Pancreatic Cancer</t>
  </si>
  <si>
    <t>Study of Lanreotide Autogel in Non-functioning Entero-pancreatic Endocrine Tumours</t>
  </si>
  <si>
    <t>Phase III Study of ABI-007(Albumin-bound Paclitaxel) Plus Gemcitabine Versus Gemcitabine in Metastatic Adenocarcinoma of the Pancreas</t>
  </si>
  <si>
    <t>Chemotherapy With or Without Dalteparin in Treating Patients With Metastatic Pancreatic Cancer</t>
  </si>
  <si>
    <t>EndoTAG-1+GEM vs GEM in Patients With Locally Advanced/Metastatic Pancreatic Adenocarcinoma Failed on FOLFIRINOX</t>
  </si>
  <si>
    <t>Quality of Life in Elderly Patients After Pancreatic Cancer Surgery</t>
  </si>
  <si>
    <t>Safety and Efficacy of Clopidogrel in Locally Advanced and Metastatic Pancreatic Adenocarcinoma Treated With Chemotherapy</t>
  </si>
  <si>
    <t>Detection of Circulating Tumor Cells for the Diagnostic of Pancreatic Adenocarcinoma.</t>
  </si>
  <si>
    <t>Phase 3 Study of Daraxonrasib (RMC-6236) in Patients With Previously Treated Metastatic Pancreatic Ductal Adenocarcinoma (PDAC)</t>
  </si>
  <si>
    <t>Diagnostic Accuracy of Circulating Tumor Cells (CTCs) and Onco-exosome Quantification in the Diagnosis of Pancreatic Cancer - PANC-CTC</t>
  </si>
  <si>
    <t>Brightline-2: A Study to Test Whether Brigimadlin (BI 907828) Helps People With Cancer in the Biliary Tract, Pancreas, Lung or Bladder</t>
  </si>
  <si>
    <t>Study Evaluating Efficacy and Safety of FFX Versus Combination of CPI-613 With mFFX in Patients With Metastatic Adenocarcinoma of the Pancreas</t>
  </si>
  <si>
    <t>Phase 2b Study of GC4711 in Combination With SBRT for Nonmetastatic Pancreatic Cancer</t>
  </si>
  <si>
    <t>Portal Vein Stenting for Malignant Obstruction: Feasibility, Safety, and Clinical Outcomes</t>
  </si>
  <si>
    <t>Efficacy and Safety of Everolimus (RAD001) Compared to Placebo in Patients With Advanced Neuroendocrine Tumors</t>
  </si>
  <si>
    <t>A Study of PEGylated Recombinant Human Hyaluronidase in Combination With Nab-Paclitaxel Plus Gemcitabine Compared With Placebo Plus Nab-Paclitaxel and Gemcitabine in Participants With Hyaluronan-High Stage IV Previously Untreated Pancreatic Ductal Adenocarcinoma</t>
  </si>
  <si>
    <t>Moray Micro Forceps and Pancreatic Cyst</t>
  </si>
  <si>
    <t>Antitumor Efficacy of Peptide Receptor Radionuclide Therapy With 177Lutetium -Octreotate Randomized vs Sunitinib in Unresectable Progressive Well-differentiated Neuroendocrine Pancreatic Tumor: First Randomized Phase II</t>
  </si>
  <si>
    <t>Predictive Biomarkers of Response to Sunitinib in the Treatment of Poorly-differentiated NEURO-Endocrine Tumors</t>
  </si>
  <si>
    <t>A Registry of Patients Undergoing Cellvizio Endomicroscopy and Endoscopic Retrograde Cholangiopancreatography(ERCP) Imaging Procedures for Diagnosing Pancreatic and Bile Duct Cancers</t>
  </si>
  <si>
    <t>GV1001 and Gemcitabine in Sequential Combination to Gemcitabine Monotherapy in Pancreatic Cancer</t>
  </si>
  <si>
    <t>A Study of Mipasetamab Uzoptirine (ADCT-601) in Participants With Solid Tumors</t>
  </si>
  <si>
    <t>Prospective Evaluation of the Resection Margins and the Ganglionic Status Using a Quality Standard Resection for Adenocarcinoma of the Head of the Pancreas</t>
  </si>
  <si>
    <t>Study of AMG 199 in Subjects With MUC17-Positive Solid Tumors Including Gastric, Gastroesophageal Junction, Colorectal, and Pancreatic Cancers</t>
  </si>
  <si>
    <t>A Study of BMS-986504 Monotherapy and in Combination With Other Agents in Participants With Advanced and/or Metastatic Solid Tumors With Homozygous MTAP Deletion (MountainTAP-5)</t>
  </si>
  <si>
    <t>Nab-paclitaxel and Gemcitabine vs Gemcitabine Alone as Adjuvant Therapy for Patients With Resected Pancreatic Cancer (the "Apact" Study)</t>
  </si>
  <si>
    <t>Chemotherapy in Treating Patients With Locally Advanced or Metastatic Cancer of the Pancreas or Bile Duct</t>
  </si>
  <si>
    <t>Effect of Intratumoral Injection of Gene Therapy for Locally Advanced Pancreatic Cancer</t>
  </si>
  <si>
    <t>Biological Effect of Nab-paclitaxel Combined to Gemcitabine in Metastatic Pancreatic Cancer</t>
  </si>
  <si>
    <t>Gene Therapy of Pancreatic Ductal Adenocarcinoma</t>
  </si>
  <si>
    <t>A Study Comparing CO-1.01 With Gemcitabine as First Line Therapy in Patients With Metastatic Pancreatic Adenocarcinoma (LEAP)</t>
  </si>
  <si>
    <t>Phase Ib/II Study of MCS110 in Combination With PDR001 in Patients With Advanced Malignancies</t>
  </si>
  <si>
    <t>Oncologic Impact of Pancreatic Fistula</t>
  </si>
  <si>
    <t>Feasibility of Molecular Biology in Pancreatic Cyst Tumors</t>
  </si>
  <si>
    <t>Carcinoid Syndrome Efficacy Study Featuring an Oral Daily Paltusotine Regimen</t>
  </si>
  <si>
    <t>Evaluation of Efficacy and Safety of Neoadjuvant Treatment With Pamrevlumab in Combination With Chemotherapy (Either Gemcitabine Plus Nab-paclitaxel or FOLFIRINOX) in Participants With Locally Advanced, Unresectable Pancreatic Cancer</t>
  </si>
  <si>
    <t>A Phase 3 Study of Ersodetug in Patients With Tumor Hyperinsulinism</t>
  </si>
  <si>
    <t>Study of LY3537982 in Cancer Patients With a Specific Genetic Mutation (KRAS G12C)</t>
  </si>
  <si>
    <t>Evaluation of Safety and Activity of an Anti-PDL1 Antibody (DURVALUMAB) Combined With CSF-1R TKI (PEXIDARTINIB) in Patients With Metastatic/Advanced Pancreatic or Colorectal Cancers</t>
  </si>
  <si>
    <t>Early Palliative Care in Patients With Metastatic Upper Gastrointestinal Cancers Treated With First-line Chemotherapy</t>
  </si>
  <si>
    <t>Biological and Clinical Database for Pancreatic Adenocarcinoma</t>
  </si>
  <si>
    <t>Efficacy and Tolerance Evaluation in FOLFIRINOX Dose Adjusted in Elderly Patients With a Metastatic Pancreatic Cancer</t>
  </si>
  <si>
    <t>Prevalence of Pancreatic Anomalies of Patients With a 1st Degree Familial History of Pancreatic Adenocarcinoma</t>
  </si>
  <si>
    <t>Ambulatory Measurement of Physical Activity in Pancreatic Cancer Patients</t>
  </si>
  <si>
    <t>131Iodine-Tenatumomab Treatment in Tenascin-C Positive Cancer Patients</t>
  </si>
  <si>
    <t>First-in-human Navigation Endoscopic Ultrasound (EUS) System Clinical Study</t>
  </si>
  <si>
    <t>OPALINE : A Study Of Morbidity And Mortality At 2 Years</t>
  </si>
  <si>
    <t>A Study of the Safety and Tolerance of CAN04 in Combination With FOLFIRINOX in Subjects With Metastatic Pancreatic Ductal Adenocarcinoma</t>
  </si>
  <si>
    <t>9-ING-41 in Patients With Advanced Cancers</t>
  </si>
  <si>
    <t>A Study of PF-08046049/SGN-BB228 in Advanced Melanoma and Other Solid Tumors</t>
  </si>
  <si>
    <t>Study of Eryaspase in Combination With Chemotherapy Versus Chemotherapy Alone as 2nd-Line Treatment in PAC</t>
  </si>
  <si>
    <t>A Study of LY4170156 in Participants With Selected Advanced Solid Tumors</t>
  </si>
  <si>
    <t>A Study to Assess the Effectiveness and Safety of Irinotecan Liposome Injection, 5-fluorouracil/Leucovorin Plus Oxaliplatin in Patients Not Previously Treated for Metastatic Pancreatic Cancer, Compared to Nab-paclitaxel+Gemcitabine Treatment</t>
  </si>
  <si>
    <t>Evaluation of an Adapted Physical Activity Program in Patients With Unresectable Pancreatic Cancer</t>
  </si>
  <si>
    <t>Lutetium 177Lu-Edotreotide Versus Best Standard of Care in Well-differentiated Aggressive Grade-2 and Grade-3 GastroEnteroPancreatic NeuroEndocrine Tumors (GEP-NETs) - COMPOSE</t>
  </si>
  <si>
    <t>Safety and Efficacy of Mitazalimab in Combination With Chemotherapy in Pancreatic Cancer Patients</t>
  </si>
  <si>
    <t>Safety/Efficacy of Everolimus in Adults With Advanced Pancreatic Neuroendocrine Cancer Not Responsive to Chemotherapy</t>
  </si>
  <si>
    <t>A Study of Abemaciclib (LY2835219) Alone or in Combination With Other Agents in Participants With Previously Treated Pancreatic Ductal Adenocarcinoma</t>
  </si>
  <si>
    <t>Real World Efficacy, Safety of Nanoliposomal Irinotecan With Fluorouracil and Folinic Acid in Metastatic Pancreatic Cancer After Previous Gemcitabine-based Therapy</t>
  </si>
  <si>
    <t>Study of RYZ101 Compared With SOC in Pts w Inoperable SSTR+ Well-differentiated GEP-NET That Has Progressed Following 177Lu-SSA Therapy</t>
  </si>
  <si>
    <t>Integrated Care Pathway in Oncology (PASSION)</t>
  </si>
  <si>
    <t>Study of Anti-CEACAM5 ADC M9140 in Participants With Advanced Solid Tumors (PROCEADE PanTumor)</t>
  </si>
  <si>
    <t>Masitinib Plus Gemcitabine in Pancreatic Cancer</t>
  </si>
  <si>
    <t>Olaparib in gBRCA Mutated Pancreatic Cancer Whose Disease Has Not Progressed on First Line Platinum-Based Chemotherapy</t>
  </si>
  <si>
    <t>A Study to Test KISIMA-02 Vaccine-based Immunotherapy and Ezabenlimab in People With Pancreatic Cancer</t>
  </si>
  <si>
    <t>POP-UP: a Single-arm, Two-cohort Study: an 8-week Trimodal Pre-habilitation Program for Patients With Pancreatic Ductal Adenocarcinoma and Oesogastric</t>
  </si>
  <si>
    <t>Efficacy and Safety of 177Lu-edotreotide PRRT in GEP-NET Patients</t>
  </si>
  <si>
    <t>A Study of Zenocutuzumab (MCLA-128) in Patients With Solid Tumors Harboring an NRG1 Fusion (eNRGy)</t>
  </si>
  <si>
    <t>Efficacy of Everolimus Alone or in Combination With Pasireotide LAR in Advanced PNET</t>
  </si>
  <si>
    <t>Study of [68Ga]-FF58 in Patients With Selected Solid Tumors Expected to Overexpress αvβ3 and αvβ5 Integrins.</t>
  </si>
  <si>
    <t>Study to Assess the Safety and Efficacy of Intravenous Injection of the Imaging Agent 111In-IPN01087 in Patients With Locally Advanced or Metastatic Pancreatic or Colorectal Cancer.</t>
  </si>
  <si>
    <t>Efficacy and Safety of L-asparaginase Encapsulated in RBC Combined With Gemcitabine or FOLFOX in 2nd Line for Progressive Metastatic Pancreatic Carcinoma</t>
  </si>
  <si>
    <t>A Study to Compare Onivyde Manufactured at Two Different Production Sites in Adult Participants With Advanced Cancer in the Pancreas</t>
  </si>
  <si>
    <t>Study of Quemliclustat and Chemotherapy Versus Placebo and Chemotherapy in Patients With Metastatic Pancreatic Ductal Adenocarcinoma</t>
  </si>
  <si>
    <t>Delay to Diagnosis in Digestive Cancerology by the General Practitioner Related to Covid-19 Pandemic Confinement</t>
  </si>
  <si>
    <t>Belzutifan/MK-6482 for the Treatment of Advanced Pheochromocytoma/Paraganglioma (PPGL), Pancreatic Neuroendocrine Tumor (pNET), Von Hippel-Lindau (VHL) Disease-Associated Tumors, Advanced Gastrointestinal Stromal Tumor (wt GIST), or Solid Tumors With HIF-2α Related Genetic Alterations (MK-6482-015)</t>
  </si>
  <si>
    <t>Phase 1b Multi-indication Study of Anetumab Ravtansine in Mesothelin Expressing Advanced Solid Tumors</t>
  </si>
  <si>
    <t>A Study to Find a Suitable Dose of BI 765883 and to Test Whether it Helps People With Advanced Pancreatic Cancer When Taken Alone or Together With Chemotherapy</t>
  </si>
  <si>
    <t>A Study to Evaluate INCB161734 in Participants With Advanced or Metastatic Solid Tumors With KRAS G12D Mutation</t>
  </si>
  <si>
    <t>Safety, Pharmacokinetics and Pharmacodynamics of BEZ235 Plus MEK162 in Selected Advanced Solid Tumor Patients</t>
  </si>
  <si>
    <t>Quality of Life of Patients Over 75 Yars Undergoing Palliative Chemotherapy</t>
  </si>
  <si>
    <t>Phase I Dose Escalation Trial of Efavirenz in Solid Tumours or Non-Hodgkin Lymphoma in Therapeutic Failure.</t>
  </si>
  <si>
    <t>A Study of the Efficacy and Safety of Adjuvant Autogene Cevumeran Plus Atezolizumab and mFOLFIRINOX Versus mFOLFIRINOX Alone in Participants With Resected PDAC</t>
  </si>
  <si>
    <t>Prospective Evaluation of a Program for Early Identification of Needs and Multidisciplinary Intervention in Supportive Care in Digestive Oncology</t>
  </si>
  <si>
    <t>Effects Of Nadroparin In Patients With Lung, Pancreas Or Prostate Cancer</t>
  </si>
  <si>
    <t>A Study of MEK162 and AMG 479 in Patients With Selected Solid Tumors</t>
  </si>
  <si>
    <t>A Study of the GSK MEK Inhibitor GSK1120212 and Everolimus in Cancer Subjects</t>
  </si>
  <si>
    <t>A Study to Assess IPN01194 When Administered Alone in Adults With Advanced Solid Tumours</t>
  </si>
  <si>
    <t>A Study of the Pan-KRAS Inhibitor LY4066434 in Participants With KRAS Mutant Solid Tumors</t>
  </si>
  <si>
    <t>Pembrolizumab In Combination With Debio 1143 In Pancreatic and Colorectal Advanced/Metastatic Adenocarcinoma</t>
  </si>
  <si>
    <t>Efficacy and Safety of TPIAT for Resectable Adenocarcinoma of the Pancreas Region at High Risk of Postoperative Fistula</t>
  </si>
  <si>
    <t>OSE2101+FOLFIRI, or FOLFIRI Maintenance After FOLFIRINOX-based Induction Therapy in Advanced or Metastatic PDAC</t>
  </si>
  <si>
    <t>Phase I Study of [177Lu]Lu-NNS309 in Patients With Pancreatic, Lung, Breast and Colorectal Cancers</t>
  </si>
  <si>
    <t>A Trial to Learn Whether Regorafenib in Combination With Nivolumab Can Improve Tumor Responses and How Safe it is for Participants With Solid Tumors</t>
  </si>
  <si>
    <t>A Study to Find a Suitable Dose of ASP5834 in Adults With Solid Tumors</t>
  </si>
  <si>
    <t>A Phase 1 Study of CC-486 as a Single Agent and in Combination With Carboplatin or ABI-007 in Subjects With Relapsed or Refractory Solid Tumors</t>
  </si>
  <si>
    <t>A Study of BMS-986466 With Adagrasib With or Without Cetuximab in Participants With Kirsten Rat Sarcoma Virus Glycine 12 to Cysteine (KRAS G12C)-Mutant Solid Tumors</t>
  </si>
  <si>
    <t>Combining Epigenetic And Immune Therapy to Beat Cancer.</t>
  </si>
  <si>
    <t>A Study of SGN-STNV in Advanced Solid Tumors</t>
  </si>
  <si>
    <t>A Study of ASP2138 Given by Itself or Given With Other Cancer Treatments in Adults With Stomach Cancer, Gastroesophageal Junction Cancer, or Pancreatic Cancer</t>
  </si>
  <si>
    <t>Open-Label Safety and Tolerability Study of INCB057643 in Subjects With Advanced Malignancies</t>
  </si>
  <si>
    <t>ESPERANZA: External Control Arm Study for T-DXd for Patients With HER2 IHC3+ Solid Tumors</t>
  </si>
  <si>
    <t>Impact of Consumption of Ultra-processed Foods in Individuals at High Risk of Cancer</t>
  </si>
  <si>
    <t>Assessment of the Efficacy of Bevacizumab in Combination With Folfiri as Second-line Treatment in Patients Suffering From an Advanced Inoperable Poorly Differentiated Neuroendocrine Carcinoma of an Unknown or Gastroentero-pancreatic Primary Cancer</t>
  </si>
  <si>
    <t>MOONRAY-01, A Study of LY3962673 in Participants With KRAS G12D-Mutant Solid Tumors</t>
  </si>
  <si>
    <t>S095035 as a Single Agent and in Combination in Adult Participants With Advanced or Metastatic Solid Tumors With Deletion of MTAP</t>
  </si>
  <si>
    <t>Study of Elironrasib and Daraxonrasib as Monotherapies and Combination Therapy in Participants With Advanced KRAS G12C Mutant Solid Tumors</t>
  </si>
  <si>
    <t>Viewpoints on the Social Representations and Rationale Concerning the Choices of Patients, Doctors and Caregivers With Regard to the Management of Patients With Non-resectable Metastatic Cancer of the Colon, Stomach, Bile Ducts, Rectum, Pancreas or Lung, or Gastrointestinal Neuroendocrine Tumours</t>
  </si>
  <si>
    <t>Study of AZD5863 in Adult Participants With Advanced or Metastatic Solid Tumors</t>
  </si>
  <si>
    <t>Safety and Tolerability of TNG908 in Patients With MTAP-deleted Solid Tumors</t>
  </si>
  <si>
    <t>A Study of ABBV-927 and ABBV-181, an Immunotherapy, in Participants With Advanced Solid Tumors</t>
  </si>
  <si>
    <t>AMG 410 Alone and in Combination With Other Agents in Participants With KRAS Altered Advanced or Metastatic Solid Tumors</t>
  </si>
  <si>
    <t>Dose Escalation and Dose Expansion Study of RMC-6291 Monotherapy in Subjects With Advanced KRASG12C Mutant Solid Tumors</t>
  </si>
  <si>
    <t>A Study of Anvumetostat in Participants With Advanced MTAP-null Solid Tumors (MTAPESTRY 101)</t>
  </si>
  <si>
    <t>Study to Determine the Safety, Tolerability, Pharmacokinetics and Recommended Phase 2 Dose (RP2D) of Livmoniplimab (ABBV-151) as a Single Agent and in Combination With Budigalimab (ABBV-181) in Participants With Locally Advanced or Metastatic Solid Tumors</t>
  </si>
  <si>
    <t>Psychological and Emotional Impact in Patients Undergoing Treatment For Metastatic Cancer Either in a Clinical Trial or as Standard Off-Trial Therapy</t>
  </si>
  <si>
    <t>Efficacy and Safety of Pembrolizumab (MK-3475) Plus Lenvatinib (E7080/MK-7902) in Previously Treated Participants With Select Solid Tumors (MK-7902-005/E7080-G000-224/LEAP-005)</t>
  </si>
  <si>
    <t>A Study of Anti-PD-L1 Checkpoint Antibody (LY3300054) Alone and in Combination in Participants With Advanced Refractory Solid Tumors</t>
  </si>
  <si>
    <t>A Study to Test the Safety and Effectiveness of Nivolumab Combined With Daratumumab in Patients With Pancreatic, Non-Small Cell Lung or Triple Negative Breast Cancers, That Have Advanced or Have Spread</t>
  </si>
  <si>
    <t>Evolution of Corporeal Composition in the PeriOperative Period</t>
  </si>
  <si>
    <t>Study to Evaluate the Safety and Activity (Including Distribution) of 177Lu-3BP-227 in Subjects With Solid Tumours Expressing Neurotensin Receptor Type 1.</t>
  </si>
  <si>
    <t>Expanded Access for the Treatment of Cancers With Rearranged During Transfection (RET) Activation</t>
  </si>
  <si>
    <t>Assessment of Quality of Life in Patients With Symptomatic Chemotherapy-induced Anaemia</t>
  </si>
  <si>
    <t>Stereotactic Body Radiotherapy in Patients With Rare Oligometastatic Cancers (OligoRARE)</t>
  </si>
  <si>
    <t>A Study of SGN-CD228A in Advanced Solid Tumors</t>
  </si>
  <si>
    <t>A Study of T-DXd for the Treatment of Solid Tumors Harboring HER2 Activating Mutations</t>
  </si>
  <si>
    <t>A Study of LGK974 in Patients With Malignancies Dependent on Wnt Ligands</t>
  </si>
  <si>
    <t>A Study to Learn More About How Well Treatment With Sevabertinib (BAY 2927088) Tablets Works and How Safe it is in Participants Who Have a Solid Tumor With Mutations of the Human Epidermal Growth Factor Receptor 2 (HER2)</t>
  </si>
  <si>
    <t>A Study of HER3-DXd in Subjects With Locally Advanced or Metastatic Solid Tumors</t>
  </si>
  <si>
    <t>A Study of ART0380 for the Treatment of Advanced or Metastatic Solid Tumors</t>
  </si>
  <si>
    <t>Pharmacokinetic Study of Lurbinectedin in Combination With Irinotecan in Patients With Selected Solid Tumors</t>
  </si>
  <si>
    <t>Study of IMM 101 in Combination With Standard of Care in Patients With Metastatic or Unresectable Cancer</t>
  </si>
  <si>
    <t>Phase 2 Futibatinib in Combination With PD-1 Antibody Based Standard of Care in Solid Tumors</t>
  </si>
  <si>
    <t>Study of Romiplostim for Chemotherapy-induced Thrombocytopenia in Adult Subjects With Gastrointestinal, Pancreatic, or Colorectal Cancer</t>
  </si>
  <si>
    <t>A Study of Sigvotatug Vedotin in Advanced Solid Tumors</t>
  </si>
  <si>
    <t>Phase II Study of Brivanib (BMS-582664) to Treat Multiple Tumor Types</t>
  </si>
  <si>
    <t>Study of Efficacy and Safety of PDR001 in Patients With Advanced or Metastatic, Well-differentiated, Non-functional Neuroendocrine Tumors of Pancreatic, Gastrointestinal (GI), or Thoracic Origin or Poorly-differentiated Gastroenteropancreatic Neuroendocrine Carcinoma (GEP-NEC)</t>
  </si>
  <si>
    <t>A Study of PF-08046054/SGN-PDL1V in Advanced Solid Tumors</t>
  </si>
  <si>
    <t>GEN1042 Safety Trial and Anti-tumor Activity in Participants With Malignant Solid Tumors</t>
  </si>
  <si>
    <t>Evaluation of MRI Sequences for Ultra-rapid Acquisition of Bile Ducts Images</t>
  </si>
  <si>
    <t>A Continuation Study Using Sunitinib Malate For Patients Leaving Treatment On A Previous Sunitinib Study.</t>
  </si>
  <si>
    <t>Phase I Study of [177Lu]Lu-DFC413 in Patients With Solid Tumors</t>
  </si>
  <si>
    <t>Psychological Effect of the pancréatectomy: a Feeling of Strangeness</t>
  </si>
  <si>
    <t>A Study of LY4052031 in Participants With Advanced or Metastatic Urothelial Cancer or Other Solid Tumors</t>
  </si>
  <si>
    <t>A Study of LY4101174 in Participants With Recurrent, Advanced or Metastatic Solid Tumors</t>
  </si>
  <si>
    <t>Study of XB002 in Subjects With Solid Tumors (JEWEL-101)</t>
  </si>
  <si>
    <t>Feasibility Study for Robotic Endomicroscopy to Better Define Resection Strategies (PERSEE)</t>
  </si>
  <si>
    <t>Study to Assess Safety, Pharmacokinetics, and Efficacy of Oral CC-223 for Patients With Advanced Solid Tumors, Non-Hodgkin Lymphoma or Multiple Myeloma</t>
  </si>
  <si>
    <t>A Phase 2 Study of NIR178 in Combination With PDR001 in Patients With Solid Tumors and Non-Hodgkin Lymphoma</t>
  </si>
  <si>
    <t>Basket Study of Entrectinib (RXDX-101) for the Treatment of Patients With Solid Tumors Harboring NTRK 1/2/3 (Trk A/B/C), ROS1, or ALK Gene Rearrangements (Fusions)</t>
  </si>
  <si>
    <t>Study Of Bosutinib With Capecitabine In Solid Tumors And Locally Advanced Or Metastatic Breast Cancer</t>
  </si>
  <si>
    <t>INCB106385 Alone or in Combination With Immunotherapy in Advanced Solid Tumors</t>
  </si>
  <si>
    <t>Tovorafenib (DAY101) Monotherapy for Patients With Melanoma and Other Solid Tumors</t>
  </si>
  <si>
    <t>Basket Trial Exploring the Efficacy and Safety of the Combination of Niraparib and Dostarlimab</t>
  </si>
  <si>
    <t>Irreversible Electroporation (NanoKnife) for the Treatment of Pancreatic Adenocarcinoma</t>
  </si>
  <si>
    <t>Prolactin Receptor and Breast Diseases</t>
  </si>
  <si>
    <t>A Study to Assess Safety, Tolerability and Imaging Characteristics of [68Ga]Ga-DPI-4452 and to Assess Safety, Tolerability, and Efficacy of [177Lu]Lu-DPI-4452 in Participants With Unresectable Locally Advanced or Metastatic Solid Tumors</t>
  </si>
  <si>
    <t>A Phase 3 Study of Tabelecleucel for Participants With Epstein-Barr Virus-Associated Post-Transplant Lymphoproliferative Disease After Failure With Rituximab or Rituximab and Chemotherapy</t>
  </si>
  <si>
    <t>Development of a New Tool for Dyspnea Measurement in Chronic Respiratory Diseases</t>
  </si>
  <si>
    <t>Registrar Performances in MIDP</t>
  </si>
  <si>
    <t>A Study To Evaluate The Efficacy And Safety Of Ifinatamab Deruxtecan (I-DXd) In Subjects With Recurrent Or Metastatic Solid Tumors (IDeate-PanTumor02)</t>
  </si>
  <si>
    <t>https://clinicaltrials.gov/study/NCT05528614</t>
  </si>
  <si>
    <t>https://clinicaltrials.gov/study/NCT01692873</t>
  </si>
  <si>
    <t>https://clinicaltrials.gov/study/NCT00428597</t>
  </si>
  <si>
    <t>https://clinicaltrials.gov/study/NCT06211933</t>
  </si>
  <si>
    <t>https://clinicaltrials.gov/study/NCT02150408</t>
  </si>
  <si>
    <t>https://clinicaltrials.gov/study/NCT00471146</t>
  </si>
  <si>
    <t>https://clinicaltrials.gov/study/NCT02993731</t>
  </si>
  <si>
    <t>https://clinicaltrials.gov/study/NCT03444051</t>
  </si>
  <si>
    <t>https://clinicaltrials.gov/study/NCT03961646</t>
  </si>
  <si>
    <t>https://clinicaltrials.gov/study/NCT02830620</t>
  </si>
  <si>
    <t>https://clinicaltrials.gov/study/NCT00574275</t>
  </si>
  <si>
    <t>https://clinicaltrials.gov/study/NCT02651987</t>
  </si>
  <si>
    <t>https://clinicaltrials.gov/study/NCT02676349</t>
  </si>
  <si>
    <t>https://clinicaltrials.gov/study/NCT05155475</t>
  </si>
  <si>
    <t>https://clinicaltrials.gov/study/NCT01774019</t>
  </si>
  <si>
    <t>https://clinicaltrials.gov/study/NCT06360354</t>
  </si>
  <si>
    <t>https://clinicaltrials.gov/study/NCT05546970</t>
  </si>
  <si>
    <t>https://clinicaltrials.gov/study/NCT04422730</t>
  </si>
  <si>
    <t>https://clinicaltrials.gov/study/NCT06705335</t>
  </si>
  <si>
    <t>https://clinicaltrials.gov/study/NCT04370574</t>
  </si>
  <si>
    <t>https://clinicaltrials.gov/study/NCT02301143</t>
  </si>
  <si>
    <t>https://clinicaltrials.gov/study/NCT00842348</t>
  </si>
  <si>
    <t>https://clinicaltrials.gov/study/NCT01251640</t>
  </si>
  <si>
    <t>https://clinicaltrials.gov/study/NCT04263948</t>
  </si>
  <si>
    <t>https://clinicaltrials.gov/study/NCT00219557</t>
  </si>
  <si>
    <t>https://clinicaltrials.gov/study/NCT00191568</t>
  </si>
  <si>
    <t>https://clinicaltrials.gov/study/NCT00602745</t>
  </si>
  <si>
    <t>https://clinicaltrials.gov/study/NCT01521702</t>
  </si>
  <si>
    <t>https://clinicaltrials.gov/study/NCT02973217</t>
  </si>
  <si>
    <t>https://clinicaltrials.gov/study/NCT02330497</t>
  </si>
  <si>
    <t>https://clinicaltrials.gov/study/NCT01368094</t>
  </si>
  <si>
    <t>https://clinicaltrials.gov/study/NCT05511116</t>
  </si>
  <si>
    <t>https://clinicaltrials.gov/study/NCT00902291</t>
  </si>
  <si>
    <t>https://clinicaltrials.gov/study/NCT00275119</t>
  </si>
  <si>
    <t>https://clinicaltrials.gov/study/NCT04299880</t>
  </si>
  <si>
    <t>https://clinicaltrials.gov/study/NCT04469504</t>
  </si>
  <si>
    <t>https://clinicaltrials.gov/study/NCT00035035</t>
  </si>
  <si>
    <t>https://clinicaltrials.gov/study/NCT00885066</t>
  </si>
  <si>
    <t>https://clinicaltrials.gov/study/NCT02893085</t>
  </si>
  <si>
    <t>https://clinicaltrials.gov/study/NCT00303758</t>
  </si>
  <si>
    <t>https://clinicaltrials.gov/study/NCT01479803</t>
  </si>
  <si>
    <t>https://clinicaltrials.gov/study/NCT04436679</t>
  </si>
  <si>
    <t>https://clinicaltrials.gov/study/NCT04483726</t>
  </si>
  <si>
    <t>https://clinicaltrials.gov/study/NCT00268840</t>
  </si>
  <si>
    <t>https://clinicaltrials.gov/study/NCT04137289</t>
  </si>
  <si>
    <t>https://clinicaltrials.gov/study/NCT04899739</t>
  </si>
  <si>
    <t>https://clinicaltrials.gov/study/NCT00112658</t>
  </si>
  <si>
    <t>https://clinicaltrials.gov/study/NCT05470738</t>
  </si>
  <si>
    <t>https://clinicaltrials.gov/study/NCT00112697</t>
  </si>
  <si>
    <t>https://clinicaltrials.gov/study/NCT06334458</t>
  </si>
  <si>
    <t>https://clinicaltrials.gov/study/NCT04196816</t>
  </si>
  <si>
    <t>https://clinicaltrials.gov/study/NCT00003029</t>
  </si>
  <si>
    <t>https://clinicaltrials.gov/study/NCT03567863</t>
  </si>
  <si>
    <t>https://clinicaltrials.gov/study/NCT05525286</t>
  </si>
  <si>
    <t>https://clinicaltrials.gov/study/NCT01097512</t>
  </si>
  <si>
    <t>https://clinicaltrials.gov/study/NCT01628913</t>
  </si>
  <si>
    <t>https://clinicaltrials.gov/study/NCT06478056</t>
  </si>
  <si>
    <t>https://clinicaltrials.gov/study/NCT00004884</t>
  </si>
  <si>
    <t>https://clinicaltrials.gov/study/NCT03599154</t>
  </si>
  <si>
    <t>https://clinicaltrials.gov/study/NCT01956812</t>
  </si>
  <si>
    <t>https://clinicaltrials.gov/study/NCT00268411</t>
  </si>
  <si>
    <t>https://clinicaltrials.gov/study/NCT00930410</t>
  </si>
  <si>
    <t>https://clinicaltrials.gov/study/NCT00058201</t>
  </si>
  <si>
    <t>https://clinicaltrials.gov/study/NCT02119663</t>
  </si>
  <si>
    <t>https://clinicaltrials.gov/study/NCT00923299</t>
  </si>
  <si>
    <t>https://clinicaltrials.gov/study/NCT01395017</t>
  </si>
  <si>
    <t>https://clinicaltrials.gov/study/NCT01416662</t>
  </si>
  <si>
    <t>https://clinicaltrials.gov/study/NCT00006117</t>
  </si>
  <si>
    <t>https://clinicaltrials.gov/study/NCT00005053</t>
  </si>
  <si>
    <t>https://clinicaltrials.gov/study/NCT00964171</t>
  </si>
  <si>
    <t>https://clinicaltrials.gov/study/NCT00010062</t>
  </si>
  <si>
    <t>https://clinicaltrials.gov/study/NCT06119217</t>
  </si>
  <si>
    <t>https://clinicaltrials.gov/study/NCT05663515</t>
  </si>
  <si>
    <t>https://clinicaltrials.gov/study/NCT03816163</t>
  </si>
  <si>
    <t>https://clinicaltrials.gov/study/NCT00075452</t>
  </si>
  <si>
    <t>https://clinicaltrials.gov/study/NCT01658436</t>
  </si>
  <si>
    <t>https://clinicaltrials.gov/study/NCT01373164</t>
  </si>
  <si>
    <t>https://clinicaltrials.gov/study/NCT02818907</t>
  </si>
  <si>
    <t>https://clinicaltrials.gov/study/NCT00064207</t>
  </si>
  <si>
    <t>https://clinicaltrials.gov/study/NCT00789633</t>
  </si>
  <si>
    <t>https://clinicaltrials.gov/study/NCT04431258</t>
  </si>
  <si>
    <t>https://clinicaltrials.gov/study/NCT02923921</t>
  </si>
  <si>
    <t>https://clinicaltrials.gov/study/NCT00634725</t>
  </si>
  <si>
    <t>https://clinicaltrials.gov/study/NCT01314027</t>
  </si>
  <si>
    <t>https://clinicaltrials.gov/study/NCT02077933</t>
  </si>
  <si>
    <t>https://clinicaltrials.gov/study/NCT01563133</t>
  </si>
  <si>
    <t>https://clinicaltrials.gov/study/NCT04137822</t>
  </si>
  <si>
    <t>https://clinicaltrials.gov/study/NCT04931069</t>
  </si>
  <si>
    <t>https://clinicaltrials.gov/study/NCT01214720</t>
  </si>
  <si>
    <t>https://clinicaltrials.gov/study/NCT03351296</t>
  </si>
  <si>
    <t>https://clinicaltrials.gov/study/NCT02288377</t>
  </si>
  <si>
    <t>https://clinicaltrials.gov/study/NCT00652366</t>
  </si>
  <si>
    <t>https://clinicaltrials.gov/study/NCT01231347</t>
  </si>
  <si>
    <t>https://clinicaltrials.gov/study/NCT03022188</t>
  </si>
  <si>
    <t>https://clinicaltrials.gov/study/NCT02021500</t>
  </si>
  <si>
    <t>https://clinicaltrials.gov/study/NCT03435536</t>
  </si>
  <si>
    <t>https://clinicaltrials.gov/study/NCT03791346</t>
  </si>
  <si>
    <t>https://clinicaltrials.gov/study/NCT00550004</t>
  </si>
  <si>
    <t>https://clinicaltrials.gov/study/NCT07243288</t>
  </si>
  <si>
    <t>https://clinicaltrials.gov/study/NCT03377491</t>
  </si>
  <si>
    <t>https://clinicaltrials.gov/study/NCT01525550</t>
  </si>
  <si>
    <t>https://clinicaltrials.gov/study/NCT03721744</t>
  </si>
  <si>
    <t>https://clinicaltrials.gov/study/NCT02352337</t>
  </si>
  <si>
    <t>https://clinicaltrials.gov/study/NCT05442749</t>
  </si>
  <si>
    <t>https://clinicaltrials.gov/study/NCT03471468</t>
  </si>
  <si>
    <t>https://clinicaltrials.gov/study/NCT02827201</t>
  </si>
  <si>
    <t>https://clinicaltrials.gov/study/NCT07522073</t>
  </si>
  <si>
    <t>https://clinicaltrials.gov/study/NCT00958841</t>
  </si>
  <si>
    <t>https://clinicaltrials.gov/study/NCT02078232</t>
  </si>
  <si>
    <t>https://clinicaltrials.gov/study/NCT01485679</t>
  </si>
  <si>
    <t>https://clinicaltrials.gov/study/NCT02539537</t>
  </si>
  <si>
    <t>https://clinicaltrials.gov/study/NCT01964534</t>
  </si>
  <si>
    <t>https://clinicaltrials.gov/study/NCT02921646</t>
  </si>
  <si>
    <t>https://clinicaltrials.gov/study/NCT01494506</t>
  </si>
  <si>
    <t>https://clinicaltrials.gov/study/NCT02246127</t>
  </si>
  <si>
    <t>https://clinicaltrials.gov/study/NCT03693677</t>
  </si>
  <si>
    <t>https://clinicaltrials.gov/study/NCT02734160</t>
  </si>
  <si>
    <t>https://clinicaltrials.gov/study/NCT00353496</t>
  </si>
  <si>
    <t>https://clinicaltrials.gov/study/NCT00844649</t>
  </si>
  <si>
    <t>https://clinicaltrials.gov/study/NCT00662688</t>
  </si>
  <si>
    <t>https://clinicaltrials.gov/study/NCT03126435</t>
  </si>
  <si>
    <t>https://clinicaltrials.gov/study/NCT06079229</t>
  </si>
  <si>
    <t>https://clinicaltrials.gov/study/NCT02404363</t>
  </si>
  <si>
    <t>https://clinicaltrials.gov/study/NCT02072616</t>
  </si>
  <si>
    <t>https://clinicaltrials.gov/study/NCT06625320</t>
  </si>
  <si>
    <t>https://clinicaltrials.gov/study/NCT03032913</t>
  </si>
  <si>
    <t>https://clinicaltrials.gov/study/NCT05512377</t>
  </si>
  <si>
    <t>https://clinicaltrials.gov/study/NCT03504423</t>
  </si>
  <si>
    <t>https://clinicaltrials.gov/study/NCT04698915</t>
  </si>
  <si>
    <t>https://clinicaltrials.gov/study/NCT07252570</t>
  </si>
  <si>
    <t>https://clinicaltrials.gov/study/NCT00510068</t>
  </si>
  <si>
    <t>https://clinicaltrials.gov/study/NCT02715804</t>
  </si>
  <si>
    <t>https://clinicaltrials.gov/study/NCT04200131</t>
  </si>
  <si>
    <t>https://clinicaltrials.gov/study/NCT02230176</t>
  </si>
  <si>
    <t>https://clinicaltrials.gov/study/NCT01215578</t>
  </si>
  <si>
    <t>https://clinicaltrials.gov/study/NCT00779688</t>
  </si>
  <si>
    <t>https://clinicaltrials.gov/study/NCT00358566</t>
  </si>
  <si>
    <t>https://clinicaltrials.gov/study/NCT05389462</t>
  </si>
  <si>
    <t>https://clinicaltrials.gov/study/NCT00918853</t>
  </si>
  <si>
    <t>https://clinicaltrials.gov/study/NCT04117958</t>
  </si>
  <si>
    <t>https://clinicaltrials.gov/study/NCT07492680</t>
  </si>
  <si>
    <t>https://clinicaltrials.gov/study/NCT01964430</t>
  </si>
  <si>
    <t>https://clinicaltrials.gov/study/NCT00010088</t>
  </si>
  <si>
    <t>https://clinicaltrials.gov/study/NCT02806687</t>
  </si>
  <si>
    <t>https://clinicaltrials.gov/study/NCT02174887</t>
  </si>
  <si>
    <t>https://clinicaltrials.gov/study/NCT01274455</t>
  </si>
  <si>
    <t>https://clinicaltrials.gov/study/NCT01124786</t>
  </si>
  <si>
    <t>https://clinicaltrials.gov/study/NCT02807844</t>
  </si>
  <si>
    <t>https://clinicaltrials.gov/study/NCT04348084</t>
  </si>
  <si>
    <t>https://clinicaltrials.gov/study/NCT03305146</t>
  </si>
  <si>
    <t>https://clinicaltrials.gov/study/NCT07087054</t>
  </si>
  <si>
    <t>https://clinicaltrials.gov/study/NCT03941093</t>
  </si>
  <si>
    <t>https://clinicaltrials.gov/study/NCT06881992</t>
  </si>
  <si>
    <t>https://clinicaltrials.gov/study/NCT04956640</t>
  </si>
  <si>
    <t>https://clinicaltrials.gov/study/NCT02777710</t>
  </si>
  <si>
    <t>https://clinicaltrials.gov/study/NCT02853474</t>
  </si>
  <si>
    <t>https://clinicaltrials.gov/study/NCT02818829</t>
  </si>
  <si>
    <t>https://clinicaltrials.gov/study/NCT02143219</t>
  </si>
  <si>
    <t>https://clinicaltrials.gov/study/NCT02810730</t>
  </si>
  <si>
    <t>https://clinicaltrials.gov/study/NCT03490604</t>
  </si>
  <si>
    <t>https://clinicaltrials.gov/study/NCT02602067</t>
  </si>
  <si>
    <t>https://clinicaltrials.gov/study/NCT05515705</t>
  </si>
  <si>
    <t>https://clinicaltrials.gov/study/NCT02264665</t>
  </si>
  <si>
    <t>https://clinicaltrials.gov/study/NCT04990037</t>
  </si>
  <si>
    <t>https://clinicaltrials.gov/study/NCT03678883</t>
  </si>
  <si>
    <t>https://clinicaltrials.gov/study/NCT05571839</t>
  </si>
  <si>
    <t>https://clinicaltrials.gov/study/NCT03665441</t>
  </si>
  <si>
    <t>https://clinicaltrials.gov/study/NCT06400472</t>
  </si>
  <si>
    <t>https://clinicaltrials.gov/study/NCT04083235</t>
  </si>
  <si>
    <t>https://clinicaltrials.gov/study/NCT02184663</t>
  </si>
  <si>
    <t>https://clinicaltrials.gov/study/NCT04919226</t>
  </si>
  <si>
    <t>https://clinicaltrials.gov/study/NCT04888312</t>
  </si>
  <si>
    <t>https://clinicaltrials.gov/study/NCT00363051</t>
  </si>
  <si>
    <t>https://clinicaltrials.gov/study/NCT02981342</t>
  </si>
  <si>
    <t>https://clinicaltrials.gov/study/NCT06006728</t>
  </si>
  <si>
    <t>https://clinicaltrials.gov/study/NCT05477576</t>
  </si>
  <si>
    <t>https://clinicaltrials.gov/study/NCT04235556</t>
  </si>
  <si>
    <t>https://clinicaltrials.gov/study/NCT06710132</t>
  </si>
  <si>
    <t>https://clinicaltrials.gov/study/NCT03766295</t>
  </si>
  <si>
    <t>https://clinicaltrials.gov/study/NCT02184195</t>
  </si>
  <si>
    <t>https://clinicaltrials.gov/study/NCT05846516</t>
  </si>
  <si>
    <t>https://clinicaltrials.gov/study/NCT06275737</t>
  </si>
  <si>
    <t>https://clinicaltrials.gov/study/NCT03049189</t>
  </si>
  <si>
    <t>https://clinicaltrials.gov/study/NCT02912949</t>
  </si>
  <si>
    <t>https://clinicaltrials.gov/study/NCT01374451</t>
  </si>
  <si>
    <t>https://clinicaltrials.gov/study/NCT04712721</t>
  </si>
  <si>
    <t>https://clinicaltrials.gov/study/NCT04632199</t>
  </si>
  <si>
    <t>https://clinicaltrials.gov/study/NCT02195180</t>
  </si>
  <si>
    <t>https://clinicaltrials.gov/study/NCT05383352</t>
  </si>
  <si>
    <t>https://clinicaltrials.gov/study/NCT06608927</t>
  </si>
  <si>
    <t>https://clinicaltrials.gov/study/NCT06118125</t>
  </si>
  <si>
    <t>https://clinicaltrials.gov/study/NCT04924075</t>
  </si>
  <si>
    <t>https://clinicaltrials.gov/study/NCT03102320</t>
  </si>
  <si>
    <t>https://clinicaltrials.gov/study/NCT06528093</t>
  </si>
  <si>
    <t>https://clinicaltrials.gov/study/NCT06179160</t>
  </si>
  <si>
    <t>https://clinicaltrials.gov/study/NCT01337765</t>
  </si>
  <si>
    <t>https://clinicaltrials.gov/study/NCT04517448</t>
  </si>
  <si>
    <t>https://clinicaltrials.gov/study/NCT01878890</t>
  </si>
  <si>
    <t>https://clinicaltrials.gov/study/NCT05968326</t>
  </si>
  <si>
    <t>https://clinicaltrials.gov/study/NCT04478175</t>
  </si>
  <si>
    <t>https://clinicaltrials.gov/study/NCT00312013</t>
  </si>
  <si>
    <t>https://clinicaltrials.gov/study/NCT01562899</t>
  </si>
  <si>
    <t>https://clinicaltrials.gov/study/NCT00955773</t>
  </si>
  <si>
    <t>https://clinicaltrials.gov/study/NCT06305247</t>
  </si>
  <si>
    <t>https://clinicaltrials.gov/study/NCT06607185</t>
  </si>
  <si>
    <t>https://clinicaltrials.gov/study/NCT03871959</t>
  </si>
  <si>
    <t>https://clinicaltrials.gov/study/NCT05116072</t>
  </si>
  <si>
    <t>https://clinicaltrials.gov/study/NCT03806309</t>
  </si>
  <si>
    <t>https://clinicaltrials.gov/study/NCT06562192</t>
  </si>
  <si>
    <t>https://clinicaltrials.gov/study/NCT04704154</t>
  </si>
  <si>
    <t>https://clinicaltrials.gov/study/NCT07094204</t>
  </si>
  <si>
    <t>https://clinicaltrials.gov/study/NCT01478685</t>
  </si>
  <si>
    <t>https://clinicaltrials.gov/study/NCT06024174</t>
  </si>
  <si>
    <t>https://clinicaltrials.gov/study/NCT04705818</t>
  </si>
  <si>
    <t>https://clinicaltrials.gov/study/NCT04665921</t>
  </si>
  <si>
    <t>https://clinicaltrials.gov/study/NCT05365581</t>
  </si>
  <si>
    <t>https://clinicaltrials.gov/study/NCT02711137</t>
  </si>
  <si>
    <t>https://clinicaltrials.gov/study/NCT06973161</t>
  </si>
  <si>
    <t>https://clinicaltrials.gov/study/NCT07436312</t>
  </si>
  <si>
    <t>https://clinicaltrials.gov/study/NCT02820857</t>
  </si>
  <si>
    <t>https://clinicaltrials.gov/study/NCT06586515</t>
  </si>
  <si>
    <t>https://clinicaltrials.gov/study/NCT06188702</t>
  </si>
  <si>
    <t>https://clinicaltrials.gov/study/NCT06128551</t>
  </si>
  <si>
    <t>https://clinicaltrials.gov/study/NCT03328065</t>
  </si>
  <si>
    <t>https://clinicaltrials.gov/study/NCT06005493</t>
  </si>
  <si>
    <t>https://clinicaltrials.gov/study/NCT05275478</t>
  </si>
  <si>
    <t>https://clinicaltrials.gov/study/NCT02988960</t>
  </si>
  <si>
    <t>https://clinicaltrials.gov/study/NCT07094113</t>
  </si>
  <si>
    <t>https://clinicaltrials.gov/study/NCT05462717</t>
  </si>
  <si>
    <t>https://clinicaltrials.gov/study/NCT05094336</t>
  </si>
  <si>
    <t>https://clinicaltrials.gov/study/NCT03821935</t>
  </si>
  <si>
    <t>https://clinicaltrials.gov/study/NCT00896467</t>
  </si>
  <si>
    <t>https://clinicaltrials.gov/study/NCT03797326</t>
  </si>
  <si>
    <t>https://clinicaltrials.gov/study/NCT02791334</t>
  </si>
  <si>
    <t>https://clinicaltrials.gov/study/NCT03098550</t>
  </si>
  <si>
    <t>https://clinicaltrials.gov/study/NCT02143869</t>
  </si>
  <si>
    <t>https://clinicaltrials.gov/study/NCT03525392</t>
  </si>
  <si>
    <t>https://clinicaltrials.gov/study/NCT03906331</t>
  </si>
  <si>
    <t>https://clinicaltrials.gov/study/NCT01444456</t>
  </si>
  <si>
    <t>https://clinicaltrials.gov/study/NCT04498767</t>
  </si>
  <si>
    <t>https://clinicaltrials.gov/study/NCT04042480</t>
  </si>
  <si>
    <t>https://clinicaltrials.gov/study/NCT04639219</t>
  </si>
  <si>
    <t>https://clinicaltrials.gov/study/NCT01351103</t>
  </si>
  <si>
    <t>https://clinicaltrials.gov/study/NCT06760819</t>
  </si>
  <si>
    <t>https://clinicaltrials.gov/study/NCT06172478</t>
  </si>
  <si>
    <t>https://clinicaltrials.gov/study/NCT04657068</t>
  </si>
  <si>
    <t>https://clinicaltrials.gov/study/NCT02611024</t>
  </si>
  <si>
    <t>https://clinicaltrials.gov/study/NCT03009058</t>
  </si>
  <si>
    <t>https://clinicaltrials.gov/study/NCT05945823</t>
  </si>
  <si>
    <t>https://clinicaltrials.gov/study/NCT03362177</t>
  </si>
  <si>
    <t>https://clinicaltrials.gov/study/NCT04389632</t>
  </si>
  <si>
    <t>https://clinicaltrials.gov/study/NCT00633789</t>
  </si>
  <si>
    <t>https://clinicaltrials.gov/study/NCT02955069</t>
  </si>
  <si>
    <t>https://clinicaltrials.gov/study/NCT04083599</t>
  </si>
  <si>
    <t>https://clinicaltrials.gov/study/NCT03852836</t>
  </si>
  <si>
    <t>https://clinicaltrials.gov/study/NCT00428220</t>
  </si>
  <si>
    <t>https://clinicaltrials.gov/study/NCT07261631</t>
  </si>
  <si>
    <t>https://clinicaltrials.gov/study/NCT03686592</t>
  </si>
  <si>
    <t>https://clinicaltrials.gov/study/NCT06465069</t>
  </si>
  <si>
    <t>https://clinicaltrials.gov/study/NCT06238479</t>
  </si>
  <si>
    <t>https://clinicaltrials.gov/study/NCT04925284</t>
  </si>
  <si>
    <t>https://clinicaltrials.gov/study/NCT02312167</t>
  </si>
  <si>
    <t>https://clinicaltrials.gov/study/NCT01177397</t>
  </si>
  <si>
    <t>https://clinicaltrials.gov/study/NCT03207867</t>
  </si>
  <si>
    <t>https://clinicaltrials.gov/study/NCT02568267</t>
  </si>
  <si>
    <t>https://clinicaltrials.gov/study/NCT00959946</t>
  </si>
  <si>
    <t>https://clinicaltrials.gov/study/NCT04580485</t>
  </si>
  <si>
    <t>https://clinicaltrials.gov/study/NCT04985604</t>
  </si>
  <si>
    <t>https://clinicaltrials.gov/study/NCT04779151</t>
  </si>
  <si>
    <t>https://clinicaltrials.gov/study/NCT03105921</t>
  </si>
  <si>
    <t>https://clinicaltrials.gov/study/NCT00842465</t>
  </si>
  <si>
    <t>https://clinicaltrials.gov/study/NCT05706129</t>
  </si>
  <si>
    <t>https://clinicaltrials.gov/study/NCT03394365</t>
  </si>
  <si>
    <t>https://clinicaltrials.gov/study/NCT02229994</t>
  </si>
  <si>
    <t>https://clinicaltrials.gov/study/NCT04429074</t>
  </si>
  <si>
    <t>https://clinicaltrials.gov/study/NCT06330064</t>
  </si>
  <si>
    <t>University Hospital, Strasbourg, France</t>
  </si>
  <si>
    <t>GCS Ramsay Santé pour l'Enseignement et la Recherche</t>
  </si>
  <si>
    <t>Assistance Publique - Hôpitaux de Paris</t>
  </si>
  <si>
    <t>Pfizer</t>
  </si>
  <si>
    <t>Centre Leon Berard</t>
  </si>
  <si>
    <t>Assistance Publique Hopitaux De Marseille</t>
  </si>
  <si>
    <t>Sumitomo Pharma America, Inc.</t>
  </si>
  <si>
    <t>Société Française d'Endoscopie Digestive</t>
  </si>
  <si>
    <t>Fondation Hôpital Saint-Joseph</t>
  </si>
  <si>
    <t>Centre Hospitalier Universitaire de Nice</t>
  </si>
  <si>
    <t>Sanofi</t>
  </si>
  <si>
    <t>Ipsen</t>
  </si>
  <si>
    <t>Ramsay Générale de Santé</t>
  </si>
  <si>
    <t>University Hospital, Montpellier</t>
  </si>
  <si>
    <t>Hopital Foch</t>
  </si>
  <si>
    <t>Boston Scientific Corporation</t>
  </si>
  <si>
    <t>Amgen</t>
  </si>
  <si>
    <t>Celgene</t>
  </si>
  <si>
    <t>Institut du Cancer de Montpellier - Val d'Aurelle</t>
  </si>
  <si>
    <t>Bayer</t>
  </si>
  <si>
    <t>Eli Lilly and Company</t>
  </si>
  <si>
    <t>Clinical Laserthermia Systems AB</t>
  </si>
  <si>
    <t>Centre Hospitalier Universitaire, Amiens</t>
  </si>
  <si>
    <t>Astellas Pharma Inc</t>
  </si>
  <si>
    <t>Centre Hospitalier Universitaire de Besancon</t>
  </si>
  <si>
    <t>GERCOR - Multidisciplinary Oncology Cooperative Group</t>
  </si>
  <si>
    <t>University Hospital, Lille</t>
  </si>
  <si>
    <t>Federation Francophone de Cancerologie Digestive</t>
  </si>
  <si>
    <t>VANBIERVLIET</t>
  </si>
  <si>
    <t>ARCAGY/ GINECO GROUP</t>
  </si>
  <si>
    <t>Boehringer Ingelheim</t>
  </si>
  <si>
    <t>IHU Strasbourg</t>
  </si>
  <si>
    <t>UNICANCER</t>
  </si>
  <si>
    <t>University Hospital, Clermont-Ferrand</t>
  </si>
  <si>
    <t>European Institute of Oncology</t>
  </si>
  <si>
    <t>Central Hospital, Nancy, France</t>
  </si>
  <si>
    <t>European Organisation for Research and Treatment of Cancer - EORTC</t>
  </si>
  <si>
    <t>Alpha Tau Medical LTD.</t>
  </si>
  <si>
    <t>SOTIO Biotech a.s.</t>
  </si>
  <si>
    <t>Merck KGaA, Darmstadt, Germany</t>
  </si>
  <si>
    <t>Novartis Pharmaceuticals</t>
  </si>
  <si>
    <t>University Hospital, Rouen</t>
  </si>
  <si>
    <t>Centre Georges Francois Leclerc</t>
  </si>
  <si>
    <t>Gilead Sciences</t>
  </si>
  <si>
    <t>Royal Liverpool University Hospital</t>
  </si>
  <si>
    <t>Incyte Corporation</t>
  </si>
  <si>
    <t>Otsuka Pharmaceutical Development &amp; Commercialization, Inc.</t>
  </si>
  <si>
    <t>Trishula Therapeutics, Inc.</t>
  </si>
  <si>
    <t>AstraZeneca</t>
  </si>
  <si>
    <t>Astellas Pharma Global Development, Inc.</t>
  </si>
  <si>
    <t>AB Science</t>
  </si>
  <si>
    <t>Ability Pharmaceuticals SL</t>
  </si>
  <si>
    <t>University of Zurich</t>
  </si>
  <si>
    <t>Mauna Kea Technologies</t>
  </si>
  <si>
    <t>Impatients N.V. trading as myTomorrows</t>
  </si>
  <si>
    <t>University Hospital, Toulouse</t>
  </si>
  <si>
    <t>Hoffmann-La Roche</t>
  </si>
  <si>
    <t>Gustave Roussy, Cancer Campus, Grand Paris</t>
  </si>
  <si>
    <t>NantCell, Inc.</t>
  </si>
  <si>
    <t>SciClone Pharmaceuticals</t>
  </si>
  <si>
    <t>University Hospital, Bordeaux</t>
  </si>
  <si>
    <t>NovoCure Ltd.</t>
  </si>
  <si>
    <t>Panbela Therapeutics, Inc.</t>
  </si>
  <si>
    <t>1Globe Health Institute LLC</t>
  </si>
  <si>
    <t>Poitiers University Hospital</t>
  </si>
  <si>
    <t>French Society of Digestive Endoscopy</t>
  </si>
  <si>
    <t>Center Eugene Marquis</t>
  </si>
  <si>
    <t>Merrimack Pharmaceuticals</t>
  </si>
  <si>
    <t>Grupo Espanol de Tumores Neuroendocrinos</t>
  </si>
  <si>
    <t>SynCore Biotechnology Co., Ltd.</t>
  </si>
  <si>
    <t>Revolution Medicines, Inc.</t>
  </si>
  <si>
    <t>Cornerstone Pharmaceuticals</t>
  </si>
  <si>
    <t>Galera Therapeutics, Inc.</t>
  </si>
  <si>
    <t>Halozyme Therapeutics</t>
  </si>
  <si>
    <t>Pharmexa A/S</t>
  </si>
  <si>
    <t>ADC Therapeutics S.A.</t>
  </si>
  <si>
    <t>Bristol-Myers Squibb</t>
  </si>
  <si>
    <t>Clovis Oncology, Inc.</t>
  </si>
  <si>
    <t>Hospital St. Joseph, Marseille, France</t>
  </si>
  <si>
    <t>Crinetics Pharmaceuticals Inc.</t>
  </si>
  <si>
    <t>Kyntra Bio</t>
  </si>
  <si>
    <t>Rezolute</t>
  </si>
  <si>
    <t>Institut Cancerologie de l'Ouest</t>
  </si>
  <si>
    <t>Centre Hospitalier Saint Joseph Saint Luc de Lyon</t>
  </si>
  <si>
    <t>Centre Hospitalier Universitaire Dijon</t>
  </si>
  <si>
    <t>sigma-tau i.f.r. S.p.A.</t>
  </si>
  <si>
    <t>Cantargia AB</t>
  </si>
  <si>
    <t>Actuate Therapeutics Inc.</t>
  </si>
  <si>
    <t>ERYtech Pharma</t>
  </si>
  <si>
    <t>ITM Solucin GmbH</t>
  </si>
  <si>
    <t>Alligator Bioscience AB</t>
  </si>
  <si>
    <t>RayzeBio, Inc.</t>
  </si>
  <si>
    <t>EMD Serono Research &amp; Development Institute, Inc.</t>
  </si>
  <si>
    <t>IRCCS San Raffaele</t>
  </si>
  <si>
    <t>Partner Therapeutics, Inc.</t>
  </si>
  <si>
    <t>Centre Hospitalier Universitaire de Saint Etienne</t>
  </si>
  <si>
    <t>Arcus Biosciences, Inc.</t>
  </si>
  <si>
    <t>Cure 51</t>
  </si>
  <si>
    <t>University of Bordeaux</t>
  </si>
  <si>
    <t>GlaxoSmithKline</t>
  </si>
  <si>
    <t>Merck Sharp &amp; Dohme LLC</t>
  </si>
  <si>
    <t>Centre Hospitalier de la côte Basque</t>
  </si>
  <si>
    <t>Genentech, Inc.</t>
  </si>
  <si>
    <t>Seagen Inc.</t>
  </si>
  <si>
    <t>Servier Bio-Innovation LLC</t>
  </si>
  <si>
    <t>Weprom</t>
  </si>
  <si>
    <t>Oncodesign SA</t>
  </si>
  <si>
    <t>Light Chain Bioscience - Novimmune SA</t>
  </si>
  <si>
    <t>Tango Therapeutics, Inc.</t>
  </si>
  <si>
    <t>AbbVie</t>
  </si>
  <si>
    <t>Hôpital Européen Marseille</t>
  </si>
  <si>
    <t>Sabine Rhode</t>
  </si>
  <si>
    <t>Daiichi Sankyo</t>
  </si>
  <si>
    <t>Artios Pharma Ltd</t>
  </si>
  <si>
    <t>PharmaMar</t>
  </si>
  <si>
    <t>Immodulon Therapeutics Ltd</t>
  </si>
  <si>
    <t>Taiho Oncology, Inc.</t>
  </si>
  <si>
    <t>Genmab</t>
  </si>
  <si>
    <t>Exelixis</t>
  </si>
  <si>
    <t>Apollomics Inc.</t>
  </si>
  <si>
    <t>Kura Oncology, Inc.</t>
  </si>
  <si>
    <t>Day One Biopharmaceuticals, Inc.</t>
  </si>
  <si>
    <t>ITM Oncologics GmbH</t>
  </si>
  <si>
    <t>Guardant Health, Inc.</t>
  </si>
  <si>
    <t>Guerbet</t>
  </si>
  <si>
    <t>Pierre Fabre Medicament</t>
  </si>
  <si>
    <t>https://clinicaltrials.gov/study/NCT03472716</t>
  </si>
  <si>
    <t>https://clinicaltrials.gov/study/NCT01315548</t>
  </si>
  <si>
    <t>https://clinicaltrials.gov/study/NCT06776146</t>
  </si>
  <si>
    <t>https://clinicaltrials.gov/study/NCT06893536</t>
  </si>
  <si>
    <t>https://clinicaltrials.gov/study/NCT06892054</t>
  </si>
  <si>
    <t>https://clinicaltrials.gov/study/NCT01989624</t>
  </si>
  <si>
    <t>https://clinicaltrials.gov/study/NCT01765036</t>
  </si>
  <si>
    <t>https://clinicaltrials.gov/study/NCT05776342</t>
  </si>
  <si>
    <t>https://clinicaltrials.gov/study/NCT01526135</t>
  </si>
  <si>
    <t>https://clinicaltrials.gov/study/NCT03943667</t>
  </si>
  <si>
    <t>https://clinicaltrials.gov/study/NCT05546853</t>
  </si>
  <si>
    <t>https://clinicaltrials.gov/study/NCT03974854</t>
  </si>
  <si>
    <t>https://clinicaltrials.gov/study/NCT01204372</t>
  </si>
  <si>
    <t>https://clinicaltrials.gov/study/NCT01964287</t>
  </si>
  <si>
    <t>https://clinicaltrials.gov/study/NCT02487836</t>
  </si>
  <si>
    <t>https://clinicaltrials.gov/study/NCT02436668</t>
  </si>
  <si>
    <t>https://clinicaltrials.gov/study/NCT04348045</t>
  </si>
  <si>
    <t>https://clinicaltrials.gov/study/NCT04935359</t>
  </si>
  <si>
    <t>https://clinicaltrials.gov/study/NCT07034703</t>
  </si>
  <si>
    <t>https://clinicaltrials.gov/study/NCT02979483</t>
  </si>
  <si>
    <t>https://clinicaltrials.gov/study/NCT02959879</t>
  </si>
  <si>
    <t>https://clinicaltrials.gov/study/NCT04390763</t>
  </si>
  <si>
    <t>https://clinicaltrials.gov/study/NCT00909103</t>
  </si>
  <si>
    <t>https://clinicaltrials.gov/study/NCT06458712</t>
  </si>
  <si>
    <t>https://clinicaltrials.gov/study/NCT03870386</t>
  </si>
  <si>
    <t>https://clinicaltrials.gov/study/NCT03978702</t>
  </si>
  <si>
    <t>https://clinicaltrials.gov/study/NCT00841191</t>
  </si>
  <si>
    <t>https://clinicaltrials.gov/study/NCT06989437</t>
  </si>
  <si>
    <t>https://clinicaltrials.gov/study/NCT03485209</t>
  </si>
  <si>
    <t>https://clinicaltrials.gov/study/NCT03525067</t>
  </si>
  <si>
    <t>CHRU Nancy, Vandœuvre-lès-Nancy, France, 54511, France</t>
  </si>
  <si>
    <t>Clinique Convert, Bourg-en-Bresse, France</t>
  </si>
  <si>
    <t>Centre Léon Bérard, Lyon, 69008, France</t>
  </si>
  <si>
    <t>Hopital haut-Léveque CHU Bordeaux - Service d'Hépato- Gastroentérologie et d'Oncologie digestive, Pessac, Bordeaux, 33604, France</t>
  </si>
  <si>
    <t>Paoli-Calmettes Institut, Marseille, France</t>
  </si>
  <si>
    <t>Chu D'Angers, Angers, France</t>
  </si>
  <si>
    <t>CHU Bordeaux, Pessac, France</t>
  </si>
  <si>
    <t>Pitié Salpetriere Hospital, Paris, France</t>
  </si>
  <si>
    <t>Service de Chirurgie Viscérale et Digestive - CHU de Strasbourg - France, Strasbourg, 67091, France</t>
  </si>
  <si>
    <t>Sainte Catherine - Institut Avignon Provence, Avignon, France, France</t>
  </si>
  <si>
    <t>University Hospital Bordeaux, Bordeaux, 33604, France</t>
  </si>
  <si>
    <t>CH Gabriel Martin, Saint-Paul, La Réunion, 97866, France</t>
  </si>
  <si>
    <t>Toulouse Universitary Hospital (Rangueil), Department of Gastroenterology At Rangueil Hospital, Toulouse, 31059, France</t>
  </si>
  <si>
    <t>Groupe Hospitalier Paris Saint-Joseph, Paris, 75014, France</t>
  </si>
  <si>
    <t>APHP - Groupe Hospitalier Pitié-Salpêtrière, Paris, 75013, France</t>
  </si>
  <si>
    <t>Société Française d'Endoscopie Digrestive, Paris, 75006, France</t>
  </si>
  <si>
    <t>APHP Hôpital Beaujon, Clichy, 32110, France</t>
  </si>
  <si>
    <t>CHU Jean Minjoz, Besançon, France</t>
  </si>
  <si>
    <t>Institut Paoli-Calmettes, Marseille, 13009, France</t>
  </si>
  <si>
    <t>CHRU de Tours - Hôpital Trousseau, Chambray-lès-Tours, 37170, France</t>
  </si>
  <si>
    <t>Institut de Cancerologie, Brest, 29609, France</t>
  </si>
  <si>
    <t>Hop Claude Huriez Chu Lille, Lille, 59037, France</t>
  </si>
  <si>
    <t>CHU Nord, Amiens, France</t>
  </si>
  <si>
    <t>Local Institution - 0067, Lyon, Auvergne-Rhône-Alpes, 69003, France</t>
  </si>
  <si>
    <t>CHU Saint-Etienne, Saint-Etienne, France</t>
  </si>
  <si>
    <t>CH de Bayeux, Bayeux, France</t>
  </si>
  <si>
    <t>CHU de GRENOBLE ALPES, Grenoble, Alpes, 38043, France</t>
  </si>
  <si>
    <t>For additional information regarding investigative sites for this trial, contact 1-877-CTLILLY (1-877-285-4559, 1-317-615-4559) Mon - Fri from 9 AM to 5 PM Eastern Time (UTC/GMT - 5 hours, EST), or speak with your personal physician., Lyon, 69373, France</t>
  </si>
  <si>
    <t>CHU de Rouen, Rouen, France</t>
  </si>
  <si>
    <t>Institut Bergonié, Comprehensive Cancer Center, Bordeaux, France</t>
  </si>
  <si>
    <t>Centre Hospitalier de la Cote Basque, Bayonne, 64109, France</t>
  </si>
  <si>
    <t>CHU de Bordeaux, Pessac, 33604, France</t>
  </si>
  <si>
    <t>University Hospital of Besançon, Besançon, France</t>
  </si>
  <si>
    <t>Centre Hospitalier Régional Universitaire de Lille, Lille, 59037, France</t>
  </si>
  <si>
    <t>Centre Léon Bérard, Lyon, 69373, France</t>
  </si>
  <si>
    <t>Centre Val d'Aurelle, Montpellier, 34298, France</t>
  </si>
  <si>
    <t>Institut Curie Saint-Cloud, Saint-Cloud, 92210, France</t>
  </si>
  <si>
    <t>David Karsenti, Charenton-le-Pont, Île-de-France Region, 94220, France</t>
  </si>
  <si>
    <t>Institut regional du Cancer - Val d Aurelle, Montpellier, 34298, France</t>
  </si>
  <si>
    <t>CTR Leon Berard, Lyon, 69373, France</t>
  </si>
  <si>
    <t>Institut Paoli Calmettes, Marseille, 13009, France</t>
  </si>
  <si>
    <t>Institut BERGONIE Centre de Lutte Contre le Cancer, Bordeaux, France</t>
  </si>
  <si>
    <t>Hôpital Beaujon - APHP, Clichy, France</t>
  </si>
  <si>
    <t>Saint Catherine Institute, Avignon, 84918, France</t>
  </si>
  <si>
    <t>Institut Paoli Calmettes, Marseille, France</t>
  </si>
  <si>
    <t>Centre Antoine Lacassagne, Nice, Alpes Maritimes, 06189, France</t>
  </si>
  <si>
    <t>Chu Dijon Bourogne, Dijon, 21000, France</t>
  </si>
  <si>
    <t>Institut Sainte Catherine, Avignon, France</t>
  </si>
  <si>
    <t>Hopital Saint Joseph, Marseille, 13008, France</t>
  </si>
  <si>
    <t>CHU de la Timone, Marseille, 13385, France</t>
  </si>
  <si>
    <t>CHU Amiens, Amiens, France</t>
  </si>
  <si>
    <t>Research Site, Dijon, France</t>
  </si>
  <si>
    <t>EDOG - Institut Bergonie - PPDS, Bordeaux, 33000, France</t>
  </si>
  <si>
    <t>Institut Bergonie, Bordeaux, 33076, France</t>
  </si>
  <si>
    <t>Hôpital Jean Mermoz, Lyon, 69008, France</t>
  </si>
  <si>
    <t>University Hospital, Rouen, Rouen, 76031, France</t>
  </si>
  <si>
    <t>Centre Hospitalier Universitaire de Bordeaux - Hôpital Haut-Lévêque,, Bordeaux, France</t>
  </si>
  <si>
    <t>Site FR33008, Besançon, Besancon Cedex, 6XG7+42, France</t>
  </si>
  <si>
    <t>Novartis Investigative Site, Nice, Alpes Maritimes, 06189, France</t>
  </si>
  <si>
    <t>Site FR33005, Vaillant, Villejuif, France</t>
  </si>
  <si>
    <t>Centre d'Oncologie du Pays-Basque, Bayonne, 64100, France</t>
  </si>
  <si>
    <t>CHU de Rouen, Rouen, France, 76031, France</t>
  </si>
  <si>
    <t>Institut Curie -site Saint-Cloud, Saint-Cloud, 92210, France</t>
  </si>
  <si>
    <t>Rouen University Hospital, Rouen, France</t>
  </si>
  <si>
    <t>Béthune hospital center, Béthune, 62408, France</t>
  </si>
  <si>
    <t>Chu de Bordeaux, Bordeaux, France</t>
  </si>
  <si>
    <t>Centre d'Endoscopie Digestive, Strasbourg, France</t>
  </si>
  <si>
    <t>Novartis Investigative Site, Paris, 75475, France</t>
  </si>
  <si>
    <t>CHU de Besançon, Besançon, France</t>
  </si>
  <si>
    <t>CHU Poitiers, Poitiers, 86000, France</t>
  </si>
  <si>
    <t>Institute Paoli Calmettes, Marseille, France</t>
  </si>
  <si>
    <t>Institut Paoli Calmettes, Marseille, Bouches-du-Rhône, 13009, France</t>
  </si>
  <si>
    <t>Service d'oncologie digestive - Institut Sainte Catherine, Avignon, 84918, France</t>
  </si>
  <si>
    <t>Institut Gustave Roussy, Paris, France</t>
  </si>
  <si>
    <t>Julie PERINEL, Lyon, 69003, France</t>
  </si>
  <si>
    <t>Institut Régional du Cancer de Montpellier, Montpellier, Occ, 34298, France</t>
  </si>
  <si>
    <t>Research Site, Amiens, 80054, France</t>
  </si>
  <si>
    <t>Centre Paul Papin, Angers, 49036, France</t>
  </si>
  <si>
    <t>Hôpital Privé Jean Mermoz, Lyon, 69008, France</t>
  </si>
  <si>
    <t>Research Site, Brest, 29609, France</t>
  </si>
  <si>
    <t>Hopitaux de La Timone, Marseille, Bouches-du-Rhône, 13005, France</t>
  </si>
  <si>
    <t>Hôpital Cochin, Paris, 75014, France</t>
  </si>
  <si>
    <t>CHU Angers, Angers, France</t>
  </si>
  <si>
    <t>ICO site St HERBLAIN, Saint-Herblain, 44805, France</t>
  </si>
  <si>
    <t>Centre Hospitalier Universitaire Dijon Bourgogne, Dijon, France</t>
  </si>
  <si>
    <t>Centre Radiotherapie Oncologie Moyenne Garonne, Agen, 47000, France</t>
  </si>
  <si>
    <t>Centre Léon Bérard, Léon, 69008, France</t>
  </si>
  <si>
    <t>Hôpital Beaujon, Clichy, 92210, France</t>
  </si>
  <si>
    <t>Centre Regional de lutte contre le cancer Paul Papin, Angers, 49933, France</t>
  </si>
  <si>
    <t>Hôpital Sud - CHU Amiens Picardie, Amiens, 80054, France</t>
  </si>
  <si>
    <t>University Hospital, Toulouse, 31059, France</t>
  </si>
  <si>
    <t>CHU Montpellier, Montpellier, 34090, France</t>
  </si>
  <si>
    <t>Gustave Roussy Cancer Campus, Grand Paris, Villejuif, 94805, France</t>
  </si>
  <si>
    <t>For additional information regarding investigative sites for this trial, contact 1-877-CTLILLY (1-877-285-4559, 1-317-615-4559) MON-FRI 9 AM - 5PM Eastern time (UTC/GMT - 5 hours, EST) or speak with your personal physician, Grenoble, France</t>
  </si>
  <si>
    <t>Marseille CRLCC, Marseille, France</t>
  </si>
  <si>
    <t>CHU Estaing de Clermont-Ferrand, Clermont-Ferrand, 63000, France</t>
  </si>
  <si>
    <t>Chu Reims, France, Reims, 51092, France</t>
  </si>
  <si>
    <t>CHRU Brest - Hôpital Morvan, Brest, 29609, France</t>
  </si>
  <si>
    <t>Clinique De Rochebelle, Alès, F-30100, France</t>
  </si>
  <si>
    <t>Uh Montpellier, Montpellier, 34295, France</t>
  </si>
  <si>
    <t>Bordeaux, France</t>
  </si>
  <si>
    <t>Investigative Site, Besançon, 25030, France</t>
  </si>
  <si>
    <t>ICO René Gauducheau, Nantes, Cedex 1, 44093, France</t>
  </si>
  <si>
    <t>Novartis Investigative Site, Lyon, 69373, France</t>
  </si>
  <si>
    <t>Hôpital Gabriel Montpied, Clermont-Ferrand, France</t>
  </si>
  <si>
    <t>Centre d'Etudes Cliniques en Oncologie, Centre Paul Papin, Angers, 49933, France</t>
  </si>
  <si>
    <t>CHU de Montpellier, Montpellier, Hérault, 34295, France</t>
  </si>
  <si>
    <t>Hopital Duffaut, Avignon, 84902, France</t>
  </si>
  <si>
    <t>Centre Antoine Lacassagne, Nice, 06100, France</t>
  </si>
  <si>
    <t>Pfizer Investigative Site, Toulouse, 31059, France</t>
  </si>
  <si>
    <t>Centre Hospitalier Universitaire d'Amiens, Amiens, 80054, France</t>
  </si>
  <si>
    <t>Chu Estaing, Clermont-Ferrand, France</t>
  </si>
  <si>
    <t>Centre Eugene Marquis, Rennes, Brittany Region, France</t>
  </si>
  <si>
    <t>Centre Regional de Lutte Contre le Cancer - Centre Val d'Aurelle, Montpellier, 34298, France</t>
  </si>
  <si>
    <t>Hopital Tenon, Paris, 75970, France</t>
  </si>
  <si>
    <t>Research Site, Toulouse, 31059, France</t>
  </si>
  <si>
    <t>Centre Hospitalier d'Abbeville, Abbeville, 80101, France</t>
  </si>
  <si>
    <t>Centre Antoine Lacassagne, Nice, 06189, France</t>
  </si>
  <si>
    <t>Institut Sainte Catherine, Avignon, 84082, France</t>
  </si>
  <si>
    <t>Marseille Institute of Cancer - Institut J. Paoli and I. Calmettes, Marseille, 13273, France</t>
  </si>
  <si>
    <t>Service de Radiologie et d'Echographie, NHC Strasbourg, Strasbourg, 67 091, France</t>
  </si>
  <si>
    <t>UH Rouen, Rouen, 76031, France</t>
  </si>
  <si>
    <t>Centre Leon Berard, Lyon, 69373, France</t>
  </si>
  <si>
    <t>CHU Ambroise Pare, Boulogne-Billancourt, F-92104, France</t>
  </si>
  <si>
    <t>Clinique De Savoie, Annemasse, 74100, France</t>
  </si>
  <si>
    <t>ICO Paul Papin, Angers, 49000, France</t>
  </si>
  <si>
    <t>Hôpital Beaujon, Clichy, 92110, France</t>
  </si>
  <si>
    <t>Clinique de l'Europe, Amiens, France</t>
  </si>
  <si>
    <t>Hôpital Hôtel Dieu, Paris, 75004, France</t>
  </si>
  <si>
    <t>Institut de Cancérologie de l'Ouest, Angers, France</t>
  </si>
  <si>
    <t>Pfizer Investigational Site, Clichy, 92118, France</t>
  </si>
  <si>
    <t>Pfizer Investigational Site, Paris, Be1 05677, 75571, France</t>
  </si>
  <si>
    <t>CTR Georges-François Leclerc, Dijon, 21079, France</t>
  </si>
  <si>
    <t>Gustave Roussy, Villejuif, Val De Marne, 94805, France</t>
  </si>
  <si>
    <t>Investigative Site FR013, Brest, 29200, France</t>
  </si>
  <si>
    <t>Institut Bergonié - Service d'Oncologie Médicale, Bordeaux, France</t>
  </si>
  <si>
    <t>CHU Estaing, Clermont-Ferrand, 63000, France</t>
  </si>
  <si>
    <t>West Cancer Institute, Angers, 49055, France</t>
  </si>
  <si>
    <t>Center Hospitalier Universitaire d' Angers, Angers, 49033, France</t>
  </si>
  <si>
    <t>Centre Hospitalier de Meaux, Meaux, 77104, France</t>
  </si>
  <si>
    <t>HOP Jean Minjoz, Besançon, 25030, France</t>
  </si>
  <si>
    <t>Gustave Roussy, Villejuif, France, 94800, France</t>
  </si>
  <si>
    <t>Site FR33003, Bordeaux, New Aquitaine, France</t>
  </si>
  <si>
    <t>Institut Gustave Roussy, Villejuif, Paris, 94805, France</t>
  </si>
  <si>
    <t>CHU Brest, Brest, France</t>
  </si>
  <si>
    <t>Uhmontpellier, Montpellier, 34295, France</t>
  </si>
  <si>
    <t>Institut Curie, Paris, 75005, France</t>
  </si>
  <si>
    <t>Centre Léon Bérard - Lyon, Lyon, France</t>
  </si>
  <si>
    <t>Gustave Roussy, Villejuif, Val de Marne, 94800, France</t>
  </si>
  <si>
    <t>Novartis Investigative Site, Bron, 69677, France</t>
  </si>
  <si>
    <t>ICO, Angers, 49055, France</t>
  </si>
  <si>
    <t>Novartis Investigative Site, Billancourt, 92100, France</t>
  </si>
  <si>
    <t>Institut Bergonie, Bordeaux, 33000, France</t>
  </si>
  <si>
    <t>Novartis Investigative Site, Bordeaux, 33075, France</t>
  </si>
  <si>
    <t>Hôpital Beaujon, Clichy, Hauts de Seine, 92110, France</t>
  </si>
  <si>
    <t>Institut Gustave Roussy, Villejuif, 94805, France</t>
  </si>
  <si>
    <t>Local Institution, Paris, 75651, France</t>
  </si>
  <si>
    <t>Centre Hospitalier Regional Universitaire de Lille, Lille, 59037, France</t>
  </si>
  <si>
    <t>Institut Gustave Roussy, Villejuif, Other, 94805, France</t>
  </si>
  <si>
    <t>Center Hospitalier Universitaire d' Angers, Angers, 49100, France</t>
  </si>
  <si>
    <t>Center Hospitalier Regional Universitaire de Besancon - Site Jean Minjoz, Besançon, Bourgogne-Franche-Comté, 25030, France</t>
  </si>
  <si>
    <t>Chu de Caen, Caen, 14033, France</t>
  </si>
  <si>
    <t>CHRU Tours - Hopital Trousseau, Chambray-lès-Tours, 37170, France</t>
  </si>
  <si>
    <t>CHU de Nantes, Nantes, France</t>
  </si>
  <si>
    <t>Institut Gustave Roussy, Villejuif, Cedex, 94805, France</t>
  </si>
  <si>
    <t>CHU Besançon, Besançon, 25000, France</t>
  </si>
  <si>
    <t>Research Facility, Clichy, France</t>
  </si>
  <si>
    <t>Centre Léon Bérard, Lyon, France</t>
  </si>
  <si>
    <t>Novartis Investigative Site, Vandœuvre-lès-Nancy, 54511, France</t>
  </si>
  <si>
    <t>Service d'Hépato-Gastroenterologie et Oncologie Digestive, Hôpital Sud, CHU d'Amiens, Amiens, 80054, France</t>
  </si>
  <si>
    <t>Centre hospitalier Universitaire de Bordeaux, Bordeaux, France</t>
  </si>
  <si>
    <t>GSK Investigational Site, Paris, 75010, France</t>
  </si>
  <si>
    <t>Centre Hospitalier Universitaire, Grenoble, France</t>
  </si>
  <si>
    <t>Hôpital Saint André - CHU Bordeaux, Bordeaux, 33075, France</t>
  </si>
  <si>
    <t>Institut Bergonié - Centre Régional de Lutte Contre Le Cancer de Bordeaux et Sud Ouest, Bordeaux, Aquitaine, 33076, France</t>
  </si>
  <si>
    <t>Hôpital Privé des Peupliers, Paris, France</t>
  </si>
  <si>
    <t>Centre Leon Berard, Lyon, 69495, France</t>
  </si>
  <si>
    <t>CHRU de Brest - Hôpital Morvan, Brest, France</t>
  </si>
  <si>
    <t>Centre Leon Berard, Lyon, 69008, France</t>
  </si>
  <si>
    <t>Centre Antoine Lacassagne, Nice, Cedex 02, 06189, France</t>
  </si>
  <si>
    <t>Novartis Investigative Site, Villejuif, 94800, France</t>
  </si>
  <si>
    <t>Centre Georges Francois Leclerc, Dijon, 21079, France</t>
  </si>
  <si>
    <t>Local Institution - 0020, Lille, 59037, France</t>
  </si>
  <si>
    <t>Centre Oscar Lambret, Lille, 59020, France</t>
  </si>
  <si>
    <t>CHU de Brest, Brest, 29200, France</t>
  </si>
  <si>
    <t>Centre Jean Perrin, Clermont-Ferrand, 63011, France</t>
  </si>
  <si>
    <t>Institut Bergonié, Bordeaux, 33000, France</t>
  </si>
  <si>
    <t>Institut Claudius Regaud, Toulouse, 31052, France</t>
  </si>
  <si>
    <t>Hopital de La Timone - APHM, Marseille, Bouches-du-Rhône, France</t>
  </si>
  <si>
    <t>Hopital Jean Minjoz, Besançon, 25030, France</t>
  </si>
  <si>
    <t>Institut de Cancerologie de l Ouest, Angers, 49055, France</t>
  </si>
  <si>
    <t>Institut Bergonie /ID# 162665, Bordeaux, Gironde, 33000, France</t>
  </si>
  <si>
    <t>Institut Bergonié, Bordeaux, 33076, France</t>
  </si>
  <si>
    <t>Novartis Investigative Site, Marseille, 13273, France</t>
  </si>
  <si>
    <t>CHU Toulouse - Hopital Purpan /ID# 218667, Toulouse, Haute-Garonne, 31059, France</t>
  </si>
  <si>
    <t>Groupe Hospitalier Pitie-Salpetriere, Paris, 75013, France</t>
  </si>
  <si>
    <t>Centre Georges Francois Leclerc, Dijon, 21000, France</t>
  </si>
  <si>
    <t>Institut Bergonie - Unicancer Nouvelle Aquitaine, Bordeaux, 33076, France</t>
  </si>
  <si>
    <t>CHU de Grenoble - Hopital Michallon, Grenoble, 38043, France</t>
  </si>
  <si>
    <t>Centre Léon Bérard, Lyon, Rhone, 69008, France</t>
  </si>
  <si>
    <t>Infirmerie Protestante, Caluire-et-Cuire, 69300, France</t>
  </si>
  <si>
    <t>Centre Hospitalier de Bretagne Sud /Site du Scorff, Lorient, 56322, France</t>
  </si>
  <si>
    <t>Chu Besançon - Hôpital Jean Minjoz, Besançon, France, France</t>
  </si>
  <si>
    <t>Beaujon Hospital, Clichy, 92110, France</t>
  </si>
  <si>
    <t>CHIAP, Aix-en-Provence, 13616, France</t>
  </si>
  <si>
    <t>Hôpital privé Jean Mermoz, Lyon, 69008, France</t>
  </si>
  <si>
    <t>Hôpital Beaujon, Clichy, France</t>
  </si>
  <si>
    <t>ICO Paul Papin, Angers, France</t>
  </si>
  <si>
    <t>Centre Hospitalier Universitaire Estaing, Clermont-Ferrand, Auvergne, 63100, France</t>
  </si>
  <si>
    <t>Institut Cancérologique Lucien Newirth (ICLN), Saint-Priest-en-Jarez, 42270, France</t>
  </si>
  <si>
    <t>CH Simone Veil, Beauvais, France</t>
  </si>
  <si>
    <t>CHU de BORDEAUX, Bordeaux, 33404, France</t>
  </si>
  <si>
    <t>For additional information regarding investigative sites for this trial, contact 1-877-CTLILLY (1-877-285-4559, 1-317-615-4559) Mon - Fri from 9 AM to 5 PM Eastern Time (UTC/GMT - 5 hours, EST), or speak with your personal physician., Paris, 75014, France</t>
  </si>
  <si>
    <t>Hôpital Saint André, Service d'Oncologie Médicale, Bordeaux, 33000, France</t>
  </si>
  <si>
    <t>Hôpital Nord Franche-Comté, Montbéliard, France</t>
  </si>
  <si>
    <t>Institut Gustave Roussy, Villejuif, 94800, France</t>
  </si>
  <si>
    <t>CTR Eugène Marquis, Rennes, 35042, France</t>
  </si>
  <si>
    <t>Centre GEORGES FRANÇOIS LECLERC, Dijon, France</t>
  </si>
  <si>
    <t>CHU Saint Eloi - Montpellier, Montpellier, France</t>
  </si>
  <si>
    <t>Centre Paul Strauss, Strasbourg, Bas Rhin, 67091, France</t>
  </si>
  <si>
    <t>CHRU Jean Minjoz, Besançon, France</t>
  </si>
  <si>
    <t>Research Site, Lille, France</t>
  </si>
  <si>
    <t>EDOG Institut de Cancerologie de l'Ouest - PPDS, Nantes, 44100, France</t>
  </si>
  <si>
    <t>Centre Lyon Berard, Lyon, France</t>
  </si>
  <si>
    <t>Site FR33010, Brest, Brest Cedex, 9GV7+4G, France</t>
  </si>
  <si>
    <t>Novartis Investigative Site, Avignon, 84082, France</t>
  </si>
  <si>
    <t>Site FR33003, Lyon, France</t>
  </si>
  <si>
    <t>Centre Eugene Marquis, Rennes, 35042, France</t>
  </si>
  <si>
    <t>Haut-Lévêque Hospital, Bordeaux, 33604, France</t>
  </si>
  <si>
    <t>Department of hepato-gastroenterology, Strasbourg, France</t>
  </si>
  <si>
    <t>Novartis Investigative Site, Toulouse, 31054, France</t>
  </si>
  <si>
    <t>CHU de Grenoble, La Tronche, France</t>
  </si>
  <si>
    <t>CHU Carémeau, Nîmes, Gard, 30029, France</t>
  </si>
  <si>
    <t>CHU Besançon, Besançon, France</t>
  </si>
  <si>
    <t>Xavier MULLER, Lyon, 69004, France</t>
  </si>
  <si>
    <t>Research Site, Besançon, 25000, France</t>
  </si>
  <si>
    <t>C.H.G. Beauvais, Beauvais, 60021, France</t>
  </si>
  <si>
    <t>Research Site, Clermont-Ferrand, 63003, France</t>
  </si>
  <si>
    <t>Centre François Baclesse, Caen, Calvados, 14076, France</t>
  </si>
  <si>
    <t>CHRU - Besançon, Besançon, France</t>
  </si>
  <si>
    <t>Institut Daniel Hollard - Groupe Hospitalier Mutualiste de Grenoble, Grenoble, France</t>
  </si>
  <si>
    <t>Centre Hospitalier d'Aix en Provence, Aix-en-Provence, 13616, France</t>
  </si>
  <si>
    <t>CHRU de Nancy - Hôpital de Brabois, Nancy, 54511, France</t>
  </si>
  <si>
    <t>Hôpital HENRI MONDOR, Créteil, 94010, France</t>
  </si>
  <si>
    <t>Hôpital Saint Antoine, Paris, 75571, France</t>
  </si>
  <si>
    <t>Hôpital Trousseau, CHRU de Tours, Chambray-lès-Tours, 37170, France</t>
  </si>
  <si>
    <t>For additional information regarding investigative sites for this trial, contact 1-877-CTLILLY (1-877-285-4559, 1-317-615-4559) MON-FRI 9 AM - 5PM Eastern time (UTC/GMT - 5 hours, EST) or speak with your personal physician, Lyon, France</t>
  </si>
  <si>
    <t>CHU Hôtel Dieu, Nantes, France</t>
  </si>
  <si>
    <t>Centre Hospitalier Victor Dupouy, Argenteuil, 95107, France</t>
  </si>
  <si>
    <t>Brest, France</t>
  </si>
  <si>
    <t>Investigative Site, Dijon, 21079, France</t>
  </si>
  <si>
    <t>Institut Paoli-Calmettes, Marseille, Cedex 9, 13273, France</t>
  </si>
  <si>
    <t>Centre Hospitalier Départemental, La Roche-sur-Yon, France</t>
  </si>
  <si>
    <t>Oncologie Medicale, Clinic Pasteur, Évreux, 27000, France</t>
  </si>
  <si>
    <t>Centre Jean Bernard, Oncologie médicale, Le Mans, France</t>
  </si>
  <si>
    <t>Hospitalier Jean Minjoz, Besançon, Franche-Comté, France</t>
  </si>
  <si>
    <t>Research Site, Villejuif, 94805, France</t>
  </si>
  <si>
    <t>Hopital Saint Andre, Bordeaux, 33075, France</t>
  </si>
  <si>
    <t>Centre Alexis Vautrin, Vandœuvre-lès-Nancy, 54511, France</t>
  </si>
  <si>
    <t>Centre Hospitalier d'Annecy, Annecy, 74011 Cedex, France</t>
  </si>
  <si>
    <t>Clinique Floreal, Bagnolet, 28630, France</t>
  </si>
  <si>
    <t>CH Vendée, La Roche-sur-Yon, 85925, France</t>
  </si>
  <si>
    <t>Hôpital Sud CHU Amiens, Amiens, France</t>
  </si>
  <si>
    <t>Institut du Cancer Avignon-Provence, Avignon, France</t>
  </si>
  <si>
    <t>Pfizer Investigational Site, La Chaussée-Saint-Victor, 41260, France</t>
  </si>
  <si>
    <t>Pfizer Investigational Site, Paris, Cedex, 75679, France</t>
  </si>
  <si>
    <t>Investigative Site FR012, Chambray-lès-Tours, 37170, France</t>
  </si>
  <si>
    <t>Centre d'Essais Precoces en Cancerologie de Marseille (CEPCM) - AP-HM Hopital de La Timone, Marseille, 13005, France</t>
  </si>
  <si>
    <t>Centre Georges François Leclerc - Unité de Phase I, Dijon, France</t>
  </si>
  <si>
    <t>Hôpital Bicêtre, Le Kremlin-Bicêtre, 94270, France</t>
  </si>
  <si>
    <t>Local Institution - 253, Angers, 49033, France</t>
  </si>
  <si>
    <t>Centre Hospitalier Intercommunal Le Raincy - Montfermeil, Montfermeil, 93370, France</t>
  </si>
  <si>
    <t>Institut Bergonié, Bordeaux, France</t>
  </si>
  <si>
    <t>Site FR33002, Lyon, France</t>
  </si>
  <si>
    <t>Gustave Roussy, Villejuif, 94800, France</t>
  </si>
  <si>
    <t>Hopital Foch (AP-HP), Clichy, France</t>
  </si>
  <si>
    <t>Hôpital Européen Georges Pompidou, Paris, 75015, France</t>
  </si>
  <si>
    <t>Paris Saint-Louis, Paris, France</t>
  </si>
  <si>
    <t>CHU Bordeaux Hospital Saint-Andre, Bordeaux, 33000, France</t>
  </si>
  <si>
    <t>Novartis Investigative Site, Clichy, 92118, France</t>
  </si>
  <si>
    <t>CHRU Brest, Brest, 29200, France</t>
  </si>
  <si>
    <t>Institut Godinot, Reims, 51100, France</t>
  </si>
  <si>
    <t>Novartis Investigative Site, Bordeaux, 33076, France</t>
  </si>
  <si>
    <t>Local Institution, Paris, 75908, France</t>
  </si>
  <si>
    <t>Centre Hospitalier Regional Universitaire Poitiers, Poitiers, 86000, France</t>
  </si>
  <si>
    <t>Centre de Lutte contre le Cancer (CLCC) - Centre Antoine Lacassagne, Nice, 06189, France</t>
  </si>
  <si>
    <t>CHRU Brest Hopital Morvan, Brest, Brittany Region, 29200, France</t>
  </si>
  <si>
    <t>Chu Dijon Bourgogne, Dijon, 21000, France</t>
  </si>
  <si>
    <t>Hopital Beaujun - APHP, Clichy, 92110, France</t>
  </si>
  <si>
    <t>AP-HP - Site de Beaujon, Paris, France</t>
  </si>
  <si>
    <t>Institut Bergonie, Bordeau, 33076, France</t>
  </si>
  <si>
    <t>Hôpital Franco-Britannique, Levallois-Perret, 92300, France</t>
  </si>
  <si>
    <t>Research Facility, Lille, France</t>
  </si>
  <si>
    <t>CHU Timone, Marseille, 13385, France</t>
  </si>
  <si>
    <t>Service d'Hépatogastroentérologie, CHU d'Angers, Angers, 49933, France</t>
  </si>
  <si>
    <t>Centre Antoine Lacassagne, Nice, France</t>
  </si>
  <si>
    <t>GSK Investigational Site, Paris, 75012, France</t>
  </si>
  <si>
    <t>Centre Hospitalier Universitaire, Lille, France</t>
  </si>
  <si>
    <t>Clinique Ambroise Pare, Neuilly-sur-Seine, 92200, France</t>
  </si>
  <si>
    <t>AP-HM, Marseille, 13005, France</t>
  </si>
  <si>
    <t>Oncologie médicale - Pitié-Salpêtrière, Paris, 75013, France</t>
  </si>
  <si>
    <t>Centre Leon Berard, Lyon, France</t>
  </si>
  <si>
    <t>Gustave Roussy, Villejuif, 94805, France</t>
  </si>
  <si>
    <t>Hopital Beaujon, Clichy, Cedex, 92118, France</t>
  </si>
  <si>
    <t>Universitaire Du Cancer de Toulouse Institut Claudius Regaud Iuct-Oncopole, Toulouse, 31059, France</t>
  </si>
  <si>
    <t>Laboratoire URECA, Villeneuve-d'Ascq, 59653, France</t>
  </si>
  <si>
    <t>Centre Berard Leon, Lyon, 69373, France</t>
  </si>
  <si>
    <t>Centre Georges François Leclerc, Dijon, 21079, France</t>
  </si>
  <si>
    <t>Institut Gustave Roussy Faculte de Medecine Paris Sud Service de pneumologie, Villejuif, 94800, France</t>
  </si>
  <si>
    <t>Hôpital Henri Mondor, Créteil, 94010, France</t>
  </si>
  <si>
    <t>Duplicate_Institut Regional du Cancer /ID# 163609, Montpellier, Herault, 34298, France</t>
  </si>
  <si>
    <t>Centre Georges-François Leclerc, Dijon, 21079, France</t>
  </si>
  <si>
    <t>Centre Leon Berard /ID# 218515, Lyon, Rhone, 69373, France</t>
  </si>
  <si>
    <t>CHU Strasbourg - Hôpital Hautepierre, Strasbourg, 67200, France</t>
  </si>
  <si>
    <t>UNICANCER - Centre Leon Berard (CLB), Lyon, 69008, France</t>
  </si>
  <si>
    <t>Centre Hospital Universitaire Hop Huriez, Lille, 59037, France</t>
  </si>
  <si>
    <t>Chu Besançon - Hôpital Jean Minjoz, Besançon, 25000, France</t>
  </si>
  <si>
    <t>Clinique du Val d'Ouest, Écully, 69130, France</t>
  </si>
  <si>
    <t>Hopital Ambroise Pare, Boulogne, France</t>
  </si>
  <si>
    <t>Chu Brest - Hôpital Morvan, Brest, France, France</t>
  </si>
  <si>
    <t>University Hospital Lille, Lille, 59037, France</t>
  </si>
  <si>
    <t>CH Angoulême, Angoulême, France</t>
  </si>
  <si>
    <t>CHU - Henri Mondor, Créteil, France</t>
  </si>
  <si>
    <t>Hôpital Edouard Herriot, Lyon, 69003, France</t>
  </si>
  <si>
    <t>Hôpital Avicenne, Bobigny, France</t>
  </si>
  <si>
    <t>Centre Georges François Leclerc, Dijon, Côte-d'Or, 21079, France</t>
  </si>
  <si>
    <t>CHRU Lille, Lille, 59037, France</t>
  </si>
  <si>
    <t>For additional information regarding investigative sites for this trial, contact 1-877-CTLILLY (1-877-285-4559, 1-317-615-4559) Mon - Fri from 9 AM to 5 PM Eastern Time (UTC/GMT - 5 hours, EST), or speak with your personal physician., Pessac, 33604, France</t>
  </si>
  <si>
    <t>Clinique François Chénieux, Limoges, 87039, France</t>
  </si>
  <si>
    <t>CH Mulhouse, Mulhouse, France</t>
  </si>
  <si>
    <t>Institut Paoli Calmettes, Marseille, 13273, France</t>
  </si>
  <si>
    <t>INS Gustave Roussy, Villejuif, 94805, France</t>
  </si>
  <si>
    <t>Centre Hospitalier Lyon Sud, Pierre-Bénite, 69495, France</t>
  </si>
  <si>
    <t>Centre Hospitalier Orléans, Orléans, France</t>
  </si>
  <si>
    <t>Hopital Beaujon, Clichy, 92118, France</t>
  </si>
  <si>
    <t>Hôpital de la Timone, Marseille, Bouches-du-Rhône, 13385, France</t>
  </si>
  <si>
    <t>Polyclinique Bordeaux Nord Aquitaine, Bordeaux, France</t>
  </si>
  <si>
    <t>Research Site, Lyon, France</t>
  </si>
  <si>
    <t>EDOG - Centre Eugene Marquis Centre Regional de Lutte Contre Le Cancer - PPDS, Rennes, France</t>
  </si>
  <si>
    <t>Institut Paoli-Calmettes, Marseille, France</t>
  </si>
  <si>
    <t>Site FR33015, Caen, Cedex 5, 14076, France</t>
  </si>
  <si>
    <t>Novartis Investigative Site, Besançon, 25030, France</t>
  </si>
  <si>
    <t>Site FR33004, Marseille, France</t>
  </si>
  <si>
    <t>CHU Brest, Brest, 29200, France</t>
  </si>
  <si>
    <t>Hopital Paul Brousse, Villejuif, 94804, France</t>
  </si>
  <si>
    <t>Hôpital Henri Mondor, Créteil, France</t>
  </si>
  <si>
    <t>Huriez Hospital, Lille, 59037, France</t>
  </si>
  <si>
    <t>CHU de Lille, Lille, France</t>
  </si>
  <si>
    <t>CHU Saint-Eloi, Montpellier, Herault, 34295, France</t>
  </si>
  <si>
    <t>CHU Bordeaux, Bordeaux, France</t>
  </si>
  <si>
    <t>Aurélien DUPRE, Lyon, 69008, France</t>
  </si>
  <si>
    <t>Research Site, Bordeaux, 33075, France</t>
  </si>
  <si>
    <t>Research Site, Pessac, 33604, France</t>
  </si>
  <si>
    <t>Hopital Jean Minjoz, Besançon, Doubs, 25030, France</t>
  </si>
  <si>
    <t>Hopital Haut Leveque, Bordeaux, France</t>
  </si>
  <si>
    <t>Centre Hospitalier Universitaire de Lille, Lille, France</t>
  </si>
  <si>
    <t>CHU de Nantes - Hôpital Hôtel Dieu, Nantes, 44087, France</t>
  </si>
  <si>
    <t>Hôpital Claude Hurriez, Lille, 59037, France</t>
  </si>
  <si>
    <t>Hôpital Beaujon, Paris, 92118, France</t>
  </si>
  <si>
    <t>Hopital Edourard Herriot, Lyon, 69437, France</t>
  </si>
  <si>
    <t>For additional information regarding investigative sites for this trial, contact 1-877-CTLILLY (1-877-285-4559, 1-317-615-4559) MON-FRI 9 AM - 5PM Eastern time (UTC/GMT - 5 hours, EST) or speak with your personal physician, Marseille, France</t>
  </si>
  <si>
    <t>Hôpital Européen Georges Pompidou, Paris, France</t>
  </si>
  <si>
    <t>Centre Hospitalier Départemental Vendée - Hôpital de la Roche-sur-Yon, La Roche-sur-Yon, 85925, France</t>
  </si>
  <si>
    <t>Centre D'Oncologie Du Pays-Basqu, Bayonne, F-64100, France</t>
  </si>
  <si>
    <t>Dijon, France</t>
  </si>
  <si>
    <t>Investigative Site, Lille, 59000, France</t>
  </si>
  <si>
    <t>Institut Bergonie, Bordeaux, Cedex, 33076, France</t>
  </si>
  <si>
    <t>Centre Eugene Marquis, Service d'Oncologie Medicale, Rennes, France</t>
  </si>
  <si>
    <t>Hepatogastroenterology Dpt, University Hospital Center of Grenoble, Grenoble, France</t>
  </si>
  <si>
    <t>Hopital Drevon, Dijon, 21000, France</t>
  </si>
  <si>
    <t>Centre Hospitalier General, Belfort, 90000, France</t>
  </si>
  <si>
    <t>Polyclinique des Quatre Pavillons, Lormont, 33310, France</t>
  </si>
  <si>
    <t>Centre Régional de Lutte Contre le Cancer-Centre Oscar Lambret, Lille, France</t>
  </si>
  <si>
    <t>ICM Val d'Aurelle Saint Eloi - Departement Oncologie, Montpellier, Hérault, France</t>
  </si>
  <si>
    <t>Centre de Lutte Contre le Cancer, Georges-Francois Leclerc, Dijon, 21079, France</t>
  </si>
  <si>
    <t>Centre Hospitalier de Blois, Blois, 41016, France</t>
  </si>
  <si>
    <t>Clinique Tivoli, Bordeaux, F-33000, France</t>
  </si>
  <si>
    <t>Centre Eugene Marquis, Rennes, 35064, France</t>
  </si>
  <si>
    <t>Institut Gustave Roussy, Villejuif, F-94805, France</t>
  </si>
  <si>
    <t>Clinique Tivoli, Bordeaux, F-33030, France</t>
  </si>
  <si>
    <t>CH Beauvais, Beauvais, France</t>
  </si>
  <si>
    <t>Pfizer Investigational Site, Marseille, 13385 CEDEX 5, France</t>
  </si>
  <si>
    <t>Pfizer Investigational Site, Clichy, France, 92118, France</t>
  </si>
  <si>
    <t>Investigative Site FR014, Dijon, 21000, France</t>
  </si>
  <si>
    <t>Oncopole Claudius Regaud, Toulouse, 31059, France</t>
  </si>
  <si>
    <t>Centre Oscar Lambret - cancerologie generale, Lille, France</t>
  </si>
  <si>
    <t>Chru Lille - Hopital Huriez, Lille, 59000, France</t>
  </si>
  <si>
    <t>Hospital Louise Pradel, Bron, 69500, France</t>
  </si>
  <si>
    <t>Hopital Henri Mondor, Créteil, 94010, France</t>
  </si>
  <si>
    <t>Hopital Bichat - Claude Bernard, Paris, 75018, France</t>
  </si>
  <si>
    <t>HOP la Milétrie, Poitiers, 86021, France</t>
  </si>
  <si>
    <t>Centre Georges François Leclerc, Dijon, France</t>
  </si>
  <si>
    <t>Site FR33004, Pierre-Bénite, France</t>
  </si>
  <si>
    <t>Chu Nantes, Nantes, France</t>
  </si>
  <si>
    <t>Centre Eugène Marquis, Rennes, 35042, France</t>
  </si>
  <si>
    <t>Institut de Cancerologie de l'Ouest (St-Herblain), Saint-Herblain, France</t>
  </si>
  <si>
    <t>Novartis Investigative Site, Lyon, 03, France</t>
  </si>
  <si>
    <t>Novartis Investigative Site, Paris, 75970, France</t>
  </si>
  <si>
    <t>Centre Hospitalier Universitaire de Poitiers, Poitiers, 86021, France</t>
  </si>
  <si>
    <t>Hopital Claude Huriez, Lille, Hauts-de-France, 59037, France</t>
  </si>
  <si>
    <t>Institut de Cancérologie de Bourgogne, Dijon, 21000, France</t>
  </si>
  <si>
    <t>APHM- Hopital de la Timone, Marseille, 13005, France</t>
  </si>
  <si>
    <t>Marseille University Hospital Timone, Marseille, 13005, France</t>
  </si>
  <si>
    <t>Research Facility, Montpellier, France</t>
  </si>
  <si>
    <t>Service d'Oncologie et Radiothérapie, Institut Sainte Catherine, Avignon, 84918, France</t>
  </si>
  <si>
    <t>Gustave Roussy, Villejuif, France</t>
  </si>
  <si>
    <t>GSK Investigational Site, Villejuif, 94805, France</t>
  </si>
  <si>
    <t>Hospices civils de Lyon, Lyon, France</t>
  </si>
  <si>
    <t>lnstitut Curie Pharmacy, Paris, 75005, France</t>
  </si>
  <si>
    <t>Hopital Européen Georges Pompidou, Paris, 75015, France</t>
  </si>
  <si>
    <t>Centre d'Essais Precoces en Cancerologie de Marseille, Marseille, France</t>
  </si>
  <si>
    <t>Groupe Hospitalier Cochin, Cancer Quest AP-HP, Paris, Cedex, 75679, France</t>
  </si>
  <si>
    <t>Institut de Cancerologie de l'Ouest - Hôpital Saint Herblain - PPDS, Saint-Herblain, 44805, France</t>
  </si>
  <si>
    <t>CHU de Grenoble-Alpes, Boulevard de la Chantourne, Grenoble, 38043, France</t>
  </si>
  <si>
    <t>EDOG Institut de Cancerologie de l'Ouest, Saint-Herblain, 44805, France</t>
  </si>
  <si>
    <t>Centre Oscar Lambret - Lille, Lille, 59020, France</t>
  </si>
  <si>
    <t>Centre Leon Berard /ID# 162663, Lyon, Rhone, 69373, France</t>
  </si>
  <si>
    <t>Hôpital de la Timone (Marseille), Marseille, 13385, France</t>
  </si>
  <si>
    <t>Institut Gustave Roussy /ID# 218668, Villejuif, Val-de-Marne, 94805, France</t>
  </si>
  <si>
    <t>Hopitaux Universitaires Pitie Salpetriere - Charles Foix, Paris, 75013, France</t>
  </si>
  <si>
    <t>APHP-Hopital la Pitie Salpetriere, Paris, 75651, France</t>
  </si>
  <si>
    <t>Clinique Saint Jean, Lyon, 69008, France</t>
  </si>
  <si>
    <t>Groupe Hospitalier Mutualiste des Eaux Claires, Grenoble, 38028, France</t>
  </si>
  <si>
    <t>Service d'Oncologie médicale du Pr. Andre, Hôpital Saint-Antoine, Paris, 75012, France</t>
  </si>
  <si>
    <t>Chu de Clermont-Ferrand, Clermont-Ferrand, France</t>
  </si>
  <si>
    <t>Chu de Lille - Claude Huriez, Lille, France, France</t>
  </si>
  <si>
    <t>University Hospital of Lille, Lille, 59037, France</t>
  </si>
  <si>
    <t>CH d'Aubenas, Aubenas, 07200, France</t>
  </si>
  <si>
    <t>CHU de Marseille Hôpital Nord, Marseille, 13015, France</t>
  </si>
  <si>
    <t>CHU Lille, Lille, France</t>
  </si>
  <si>
    <t>Chu Jean Minjoz, Besançon, Doubs, 25000, France</t>
  </si>
  <si>
    <t>Hôpital Duchenne, Boulogne-sur-Mer, France</t>
  </si>
  <si>
    <t>Centre Hospitalier Régional Universitaire Hôpital Saint Eloi, Montpellier, 34295, France</t>
  </si>
  <si>
    <t>CHU Nancy, Nancy, France</t>
  </si>
  <si>
    <t>Institut de Cancérologie de Lorraine, Vandœuvre-lès-Nancy, 54519, France</t>
  </si>
  <si>
    <t>Chu La Miletrie, Poitiers, France</t>
  </si>
  <si>
    <t>Institut Mutualiste Montsouris, Paris, France</t>
  </si>
  <si>
    <t>Hospital Henri Mondor, Créteil, 94010, France</t>
  </si>
  <si>
    <t>Centre François Baclesse, Caen, France</t>
  </si>
  <si>
    <t>Hôpital Haut Lévêque, Bordeaux, France</t>
  </si>
  <si>
    <t>Research Site, Poitiers, France</t>
  </si>
  <si>
    <t>Institut de Cancerologie de l'Ouest, Saint-Herblain, 44805, France</t>
  </si>
  <si>
    <t>Site FR33006, Chambray, Cedex 9, 37170, France</t>
  </si>
  <si>
    <t>Novartis Investigative Site, Créteil, 94010, France</t>
  </si>
  <si>
    <t>Site FR33006, Poitiers, France</t>
  </si>
  <si>
    <t>Centre Hospitalier Carcassone, Carcassonne, 11010, France</t>
  </si>
  <si>
    <t>Institut Hospitalier Franco-Britannique, Levallois-Perret, France</t>
  </si>
  <si>
    <t>Jean Mermoz private hosptila, Lyon, 69008, France</t>
  </si>
  <si>
    <t>Institut Curie, Paris, France</t>
  </si>
  <si>
    <t>Institut régional du Cancer de Montpellier, Montpellier, Hérault, 34298, France</t>
  </si>
  <si>
    <t>CHU clermont-ferrand, Clermont-Ferrand, 63000, France</t>
  </si>
  <si>
    <t>Jean-Christophe LIFANTE, Pierre-Bénite, 69495, France</t>
  </si>
  <si>
    <t>Hôpital de Rangueil, Toulouse, Haute-Garonne, 69437, France</t>
  </si>
  <si>
    <t>CHRU Brest - Hôpital Morvan, Brest, France</t>
  </si>
  <si>
    <t>Hospital La Timone, Marseille, France</t>
  </si>
  <si>
    <t>Polyclinique Sainte Marguerite, Auxerre, 89000, France</t>
  </si>
  <si>
    <t>Institut Paoli-Calmettes, Marseille, 13573, France</t>
  </si>
  <si>
    <t>CHU-Hôtel Dieu, Nantes, 44093, France</t>
  </si>
  <si>
    <t>For additional information regarding investigative sites for this trial, contact 1-877-CTLILLY (1-877-285-4559, 1-317-615-4559) MON-FRI 9 AM - 5PM Eastern time (UTC/GMT - 5 hours, EST) or speak with your personal physician, Montpellier, France</t>
  </si>
  <si>
    <t>Hôpital Saint Antoine, Paris, France</t>
  </si>
  <si>
    <t>L'ICM, Institut régional du Cancer de Montpellier, Montpellier, 34000, France</t>
  </si>
  <si>
    <t>Lyon, France</t>
  </si>
  <si>
    <t>Investigative Site, Paris, 75013, France</t>
  </si>
  <si>
    <t>Centre Léon Bérard Cancerologie Medicale, Lyon, 69008, France</t>
  </si>
  <si>
    <t>Service de Medicine Interne, CHRU de Lille, Lille, 59037, France</t>
  </si>
  <si>
    <t>Centre Hospitalier de Dreux, Dreux, 28100, France</t>
  </si>
  <si>
    <t>Centre Hospitalier Regional de Besancon - Hopital Jean Minjoz, Besançon, 25030, France</t>
  </si>
  <si>
    <t>Hôpital du Haut Lèvêque, Service d'Hepato Gastroentérologie, Pessac, France</t>
  </si>
  <si>
    <t>ICO - Site Ren Gauducheau, Saint-Herblain, Loire-Atlantique, France</t>
  </si>
  <si>
    <t>Hopital Perpetuel Secours, Levallois-Perret, 92300, France</t>
  </si>
  <si>
    <t>Centre Hospitalier Universitaire Ambroise Pare - Boulogne, Boulogne, F-92104, France</t>
  </si>
  <si>
    <t>Centre Henri Becquerel, Rouen, 76038, France</t>
  </si>
  <si>
    <t>Centre Regional Francois Baclesse, Caen, 14076, France</t>
  </si>
  <si>
    <t>ICM (Val d'Aurelle), Montpellier, 34298, France</t>
  </si>
  <si>
    <t>CHU Morvan, Brest, France</t>
  </si>
  <si>
    <t>Pfizer Investigational Site, Montpellier, 34298, France</t>
  </si>
  <si>
    <t>Pfizer Investigational Site, Bordeaux, 33000, France</t>
  </si>
  <si>
    <t>Investigative Site FR002, Lille, 59037, France</t>
  </si>
  <si>
    <t>Hopital Albert Calmette - CHU Lille - CHU Lille - Institut Coeur Poumon, Lille, France</t>
  </si>
  <si>
    <t>Hôpital Croix Rousse, HCL, Lyon, 69000, France</t>
  </si>
  <si>
    <t>Oscar Lambret Center of Lillle, Lille, 59000, France</t>
  </si>
  <si>
    <t>CHRU de Lille France, Lille, 59037, France</t>
  </si>
  <si>
    <t>Hopital Saint Antoine, Paris, 75571, France</t>
  </si>
  <si>
    <t>Site FR33001, Villejuif, France</t>
  </si>
  <si>
    <t>IGR-Villejuif, Villejuif, France</t>
  </si>
  <si>
    <t>Centre Oscar Lambret, Lille, 59000, France</t>
  </si>
  <si>
    <t>Novartis Investigative Site, Reims, France</t>
  </si>
  <si>
    <t>Novartis Investigative Site, Villejuif, 94805, France</t>
  </si>
  <si>
    <t>Institute de Cancerologie de Lorraine, Vandœuvre-lès-Nancy, Meurthe-et-Moselle, 54500, France</t>
  </si>
  <si>
    <t>Chu de Limoges - Dupuytren, Limoges, 87042, France</t>
  </si>
  <si>
    <t>Centre Hospitalier Universitaire Nantes, Nantes, 44093, France</t>
  </si>
  <si>
    <t>Saint-Louis Hospital, Paris, 75010, France</t>
  </si>
  <si>
    <t>Ambroise Paré-Hartmann, Neuilly, 92200, France</t>
  </si>
  <si>
    <t>Research Facility, Nantes, France</t>
  </si>
  <si>
    <t>Service de Gastroentérologie et Oncologie Digestive, Hôpital Avicenne, Bobigny, 93000, France</t>
  </si>
  <si>
    <t>Centre du Cancer, Montpellier, France</t>
  </si>
  <si>
    <t>Institut Curie, Paris, 75248, France</t>
  </si>
  <si>
    <t>Institut Universitaire du Cancer Toulouse - Oncopole, Toulouse, 31059, France</t>
  </si>
  <si>
    <t>Hopital Bichat - Claude Bernard - AP-HP, Paris, France</t>
  </si>
  <si>
    <t>CHU-Hôpital Jean Minjoz, Besançon, 25030, France</t>
  </si>
  <si>
    <t>Institute Gustav Roussy, Villejuif, 94805, France</t>
  </si>
  <si>
    <t>Institut Oncopole Claudius Regaud, Toulouse, 31059, France</t>
  </si>
  <si>
    <t>Hôpital de la Timone, Marseille, 13385, France</t>
  </si>
  <si>
    <t>Institut Gustave Roussy /ID# 162666, Villejuif, Val-de-Marne, 94805, France</t>
  </si>
  <si>
    <t>Institut Gustave Roussy, Paris, 94805, France</t>
  </si>
  <si>
    <t>Centre Jean Perrin /ID# 218669, Clermont-Ferrand, 63011, France</t>
  </si>
  <si>
    <t>Institut de Cancerologie Ouest - Saint-Herblain, Saint-Herblain, 44800, France</t>
  </si>
  <si>
    <t>Centre des maladies du foie et de l'appareil digestif, Irigny, France</t>
  </si>
  <si>
    <t>Hôpital Privé des Côtes d'Armor, Plérin, 22190, France</t>
  </si>
  <si>
    <t>Hopital Beaujon, Clichy, France</t>
  </si>
  <si>
    <t>Hôpital Léon Berard, Lyon, France, France</t>
  </si>
  <si>
    <t>CH Auch, Auch, 32008, France</t>
  </si>
  <si>
    <t>Institut régional du Cancer, Montpellier, 34298, France</t>
  </si>
  <si>
    <t>Hopital Prive Jean Mermoz, Lyon, 69008, France</t>
  </si>
  <si>
    <t>CHU Côte de Nacre, Caen, France</t>
  </si>
  <si>
    <t>CHU Rangueil, Toulouse, Haute-Garonne, 31059, France</t>
  </si>
  <si>
    <t>CH du Cotentin, Cherbourg, France</t>
  </si>
  <si>
    <t>AP-HP Pitié Salpetrière, Paris, 75013, France</t>
  </si>
  <si>
    <t>Centre Regional de Lutte contre le Cancer Val d'Aurelle, Montpellier, 34298, France</t>
  </si>
  <si>
    <t>CHU Reims, Reims, France</t>
  </si>
  <si>
    <t>Centre PAUL STRAUSS, Strasbourg, France</t>
  </si>
  <si>
    <t>Hôpital Paul Brousse, Villejuif, France</t>
  </si>
  <si>
    <t>Groupe Hospitalier Mutualiste Grenoble, Grenoble, 38028, France</t>
  </si>
  <si>
    <t>CHU Besançon - Hôpital Jean Minjoz, Besançon, Doubs, 25030, France</t>
  </si>
  <si>
    <t>Hôpital Estaing, Clermont-Ferrand, France</t>
  </si>
  <si>
    <t>Research Site, Villejuif, France</t>
  </si>
  <si>
    <t>Institute de Cancérologie de Lorraine, Vandœuvre-lès-Nancy, France</t>
  </si>
  <si>
    <t>Site FR33012, Herblain, Herblain Cedex, 44805, France</t>
  </si>
  <si>
    <t>Novartis Investigative Site, Lyon 08, 69373, France</t>
  </si>
  <si>
    <t>Site FR33001, Saint-Herblain, France</t>
  </si>
  <si>
    <t>Centre Jean PERRIN, Clermont-Ferrand, 63011, France</t>
  </si>
  <si>
    <t>Saint Eloi Hospital, Montpellier, 34295, France</t>
  </si>
  <si>
    <t>Pitié Salpêtrière Hospital, Paris, France</t>
  </si>
  <si>
    <t>CHU Dijon, Dijon, France</t>
  </si>
  <si>
    <t>Research Site, Clichy, 92118, France</t>
  </si>
  <si>
    <t>CMC Bligny, Briis-sous-Forges, 91640, France</t>
  </si>
  <si>
    <t>EDOG - Centre Eugene Marquis Centre Regional de Lutte Contre Le Cancer - PPDS, Rennes, Ille-et-Vilaine, 35000, France</t>
  </si>
  <si>
    <t>Centre Hospitalier de Cholet, Cholet, France</t>
  </si>
  <si>
    <t>CHU de Reims, Reims, France</t>
  </si>
  <si>
    <t>Centre Hospitalier d'Auxerre, Auxerre, 89011, France</t>
  </si>
  <si>
    <t>CHU Robert Debré, Reims, 51092, France</t>
  </si>
  <si>
    <t>For additional information regarding investigative sites for this trial, contact 1-877-CTLILLY (1-877-285-4559, 1-317-615-4559) MON-FRI 9 AM - 5PM Eastern time (UTC/GMT - 5 hours, EST) or speak with your personal physician, Paris, France</t>
  </si>
  <si>
    <t>Hôpital Foch, Suresnes, 92150, France</t>
  </si>
  <si>
    <t>CHU de Nantes - Hôpital Nord Laennec, Nantes, 44093, France</t>
  </si>
  <si>
    <t>Nancy, France</t>
  </si>
  <si>
    <t>Investigative Site, Poitiers, 86021, France</t>
  </si>
  <si>
    <t>Institut Paoli-Calmettes, Marseille, 13273, France</t>
  </si>
  <si>
    <t>Oncologie Midicale CHR Lorient, Lorient, 56100, France</t>
  </si>
  <si>
    <t>Centre Hospitalier Departemental, La Roche-sur-Yon, F-85025, France</t>
  </si>
  <si>
    <t>Hopital Avicenne, Bobigny, 93009, France</t>
  </si>
  <si>
    <t>Centre Hospitalier Universitaire de Poitiers, Poitiers, France</t>
  </si>
  <si>
    <t>CHU Estaing, Clermont-Ferrand, Puy-de-Dôme, France</t>
  </si>
  <si>
    <t>Centre Hospital Regional Universitaire de Limoges, Limoges, 87042, France</t>
  </si>
  <si>
    <t>Centre Hospitalier Docteur Duchenne, Boulogne-sur-Mer, 62200, France</t>
  </si>
  <si>
    <t>CHU de Grenoble - Hopital de la Tronche, Grenoble, F-38043, France</t>
  </si>
  <si>
    <t>Clinique Saint - Jean, Cagne-sur-Mer, 06800, France</t>
  </si>
  <si>
    <t>Centre Eugène marquis, Rennes, 35042, France</t>
  </si>
  <si>
    <t>Clinique Tivoli Ducos, Bordeaux, France</t>
  </si>
  <si>
    <t>Pfizer Investigational Site, Paris, 75015, France</t>
  </si>
  <si>
    <t>Pfizer Investigational Site, Lyon, 69003, France</t>
  </si>
  <si>
    <t>Investigative Site FR011, Lyon, 69008, France</t>
  </si>
  <si>
    <t>Hôpital Européen Georges Pompidou - Hématologie Oncologie, Paris, France</t>
  </si>
  <si>
    <t>Hôpital Edouard Herriot, HCL, Lyon, 69000, France</t>
  </si>
  <si>
    <t>Local Institution - 257, Lille, 59037, France</t>
  </si>
  <si>
    <t>CHU Pitie-Salpetriere, Paris, 75651, France</t>
  </si>
  <si>
    <t>Institut de Cancérologie de l'Ouest, Saint-Herblain, France</t>
  </si>
  <si>
    <t>Novartis Investigative Site, Toulouse, France</t>
  </si>
  <si>
    <t>Institut Gustave Roussy Department de Pharmacie Clinique(-1), Villejuif, 94805., France</t>
  </si>
  <si>
    <t>Institut Bergonie, Bordeaux, New Aquitaine, 33076, France</t>
  </si>
  <si>
    <t>Centre Hospitalier de Saint Malo, St-Malo, 35403, France</t>
  </si>
  <si>
    <t>Hospital de la Pitié-Salpêtrière, Paris, 75013, France</t>
  </si>
  <si>
    <t>APHP Tenon Hospital - Sorbonne, Paris, 75020, France</t>
  </si>
  <si>
    <t>Research Facility, Vandœuvre-lès-Nancy, France</t>
  </si>
  <si>
    <t>Service de Gastroentérologie et Pancréatologie, Hôpital Beaujon, APHP, Clichy, 92118, France</t>
  </si>
  <si>
    <t>Gustave Roussy Institute - Service pharmacie, Villejuif, 94805, France</t>
  </si>
  <si>
    <t>Hopital Saint-Andre, Bordeaux, 33075, France</t>
  </si>
  <si>
    <t>AP-HM - Hopital de la Timone, Marseille, 13005, France</t>
  </si>
  <si>
    <t>C.H.U. Timone, Marseille, 13385, France</t>
  </si>
  <si>
    <t>Hôpital Nord - AP-HM Marseille#, Marseille, 13915, France</t>
  </si>
  <si>
    <t>Institut Claudius Regaud - iUCT Oncopole, Toulouse, 31059, France</t>
  </si>
  <si>
    <t>Centre Hospitalier Saint Joseph Saint Luc, Lyon, 69007, France</t>
  </si>
  <si>
    <t>Institut de Cancérologie de l'Ouest, Saint-Herblain, 44805, France</t>
  </si>
  <si>
    <t>Hopital Henri Mondor, Créteil, France</t>
  </si>
  <si>
    <t>Chu Bordeaux - Hôpital Haut Lévêque, Pessac, France, France</t>
  </si>
  <si>
    <t>Private Hospital Jean Mermoz, Lyon, 69008, France</t>
  </si>
  <si>
    <t>CH Robert Ballanger, Aulnay-sous-Bois, France</t>
  </si>
  <si>
    <t>Rangueil Hospital, Toulouse, 31059, France</t>
  </si>
  <si>
    <t>HRU Nancy Site Brabois, Nancy, France</t>
  </si>
  <si>
    <t>Centre Antoine-Lacassagne, Nice, 06189, France</t>
  </si>
  <si>
    <t>Institut Curie - site Saint-Cloud, Saint-Cloud, Hauts-de-Seine, 92210, France</t>
  </si>
  <si>
    <t>Centre René Gauducheau, Saint-Herblain, 44805, France</t>
  </si>
  <si>
    <t>Centre Hospitalier Departemental Vendee - Les Oudairies, La Roche-sur-Yon, 85925, France</t>
  </si>
  <si>
    <t>Groupe Hospitalier Saint André - Hôpital Saint André, Bordeaux, Gironde, 33000, France</t>
  </si>
  <si>
    <t>GHPSO Site de Creil, Creil, France</t>
  </si>
  <si>
    <t>Hôpital François Mitterrand, Dijon, France</t>
  </si>
  <si>
    <t>Site FR33016, La Chaussée-Saint-Victor, Loir-et-Cher, 41260, France</t>
  </si>
  <si>
    <t>Site FR33002, Toulouse, France</t>
  </si>
  <si>
    <t>CH Layne, Mont-de-Marsan, France</t>
  </si>
  <si>
    <t>Regional Cancer Center From Montpellier, Montpellier, 34298, France</t>
  </si>
  <si>
    <t>Saint-Antoine Hospital, Paris, France</t>
  </si>
  <si>
    <t>Research Site, La Roche-sur-Yon, 85925, France</t>
  </si>
  <si>
    <t>Hopital Louis Pasteur, Chartres, 28018, France</t>
  </si>
  <si>
    <t>CENTRE HOSPITALIER UNIVERSITAIRE ROUEN - CHU Charles Nicolle, Rouen, France</t>
  </si>
  <si>
    <t>Institut Sainte Catherine, Avignon, 84000, France</t>
  </si>
  <si>
    <t>Institut Curie, Saint-Cloud, 92210, France</t>
  </si>
  <si>
    <t>Hopital Europeen Georges Pompidou, Paris, 75015, France</t>
  </si>
  <si>
    <t>For additional information regarding investigative sites for this trial, contact 1-877-CTLILLY (1-877-285-4559, 1-317-615-4559) MON-FRI 9 AM - 5PM Eastern time (UTC/GMT - 5 hours, EST) or speak with your personal physician, Pierre-Bénite, France</t>
  </si>
  <si>
    <t>CHU Hopitaux de Bordeaux - Hôpital Saint-André, Pessac, 33600, France</t>
  </si>
  <si>
    <t>CRLC Val D'Aurelle, Montpellier, 34298, France</t>
  </si>
  <si>
    <t>Hôpital de la Roche / Yon &lt;&lt;Les Oudaires&gt;&gt;, Centre Hospitalier Départmentale, Moreau, 85925, France</t>
  </si>
  <si>
    <t>Hopital Saint - Louis, La Rochelle, 17000, France</t>
  </si>
  <si>
    <t>Centre Regional Rene Gauducheau, Nantes-Saint Herblain, 44805, France</t>
  </si>
  <si>
    <t>Hôpital Charles Nicolle, Rouen, France</t>
  </si>
  <si>
    <t>Hopital Edouard Herriot, Lyon, Rhône, France</t>
  </si>
  <si>
    <t>American Hospital of Paris, Neuilly-sur-Seine, F-92202, France</t>
  </si>
  <si>
    <t>Hopital Notre-Dame de Bon Secours, Metz, 55038, France</t>
  </si>
  <si>
    <t>C.H. Bourg En Bresse, Bourg-en-Bresse, 01012, France</t>
  </si>
  <si>
    <t>Polyclinique Saint Jean, Cagnes-sur-Mer, France</t>
  </si>
  <si>
    <t>ICO René Gauducheau, Saint-Herblain, 44805, France</t>
  </si>
  <si>
    <t>Centre Jean Perrin, Clermont-Ferrand, France</t>
  </si>
  <si>
    <t>Pfizer Investigational Site, Paris, 75651, France</t>
  </si>
  <si>
    <t>Pfizer Investigational Site, Marseille, 13385, France</t>
  </si>
  <si>
    <t>Investigative Site FR016, Lyon, 69373, France</t>
  </si>
  <si>
    <t>Hôpital Saint-Antoine - Oncologie Médicale, Paris, France</t>
  </si>
  <si>
    <t>Hôpital La Timone, Marseille, 13000, France</t>
  </si>
  <si>
    <t>Cancer Institute of Montpellier, Montpellier, 34298, France</t>
  </si>
  <si>
    <t>Hopital prive Jean Mermoz, Lyon, 69008, France</t>
  </si>
  <si>
    <t>Hopital Foch, Suresnes, 92151, France</t>
  </si>
  <si>
    <t>Institut de Cancérologie de Lorraine, Vandœuvre-lès-Nancy, France</t>
  </si>
  <si>
    <t>CHU Nantes, Nantes, 44093, France</t>
  </si>
  <si>
    <t>Novartis Investigative Site, Villejuif, France</t>
  </si>
  <si>
    <t>lnstitut Gustave Roussy, Departement d'lnnovation Therapeutique et d'Essais Precoces (DITEP), Villejuif, 94805., France</t>
  </si>
  <si>
    <t>Insitut de Cancerologie de l'Ouest, Saint-Herblain, Pays de la Loire Region, 44800, France</t>
  </si>
  <si>
    <t>CH de Troyes, Troyes, 10003, France</t>
  </si>
  <si>
    <t>CHU Bordeaux - Hopital Haut-Leveque, Pessac, 33600, France</t>
  </si>
  <si>
    <t>Research Facility, Villejuif, France</t>
  </si>
  <si>
    <t>Service de Gastroentérologie, CHU Henri Mondor, Créteil, 94000, France</t>
  </si>
  <si>
    <t>CHU de Nantes, Nantes, 44093, France</t>
  </si>
  <si>
    <t>Centre René Gauducheau, Nantes, 44805, France</t>
  </si>
  <si>
    <t>Institut de Recherche en Cancérologie de Montpellier, Montpellier, 34090, France</t>
  </si>
  <si>
    <t>Gustave Roussy - Departement Oncologie-Radiotherapie, Villejuif, 94805, France</t>
  </si>
  <si>
    <t>Institut Régional Du Cancer de Montpellier, Montpellier, 34298, France</t>
  </si>
  <si>
    <t>Centre de Lutte Contre le Cancer (CLCC) - Centre Paul Strauss, Strasbourg, 67000, France</t>
  </si>
  <si>
    <t>Hopital de L'Antiquaille, Lyon, France</t>
  </si>
  <si>
    <t>Chu Poitiers, Poitiers, France, France</t>
  </si>
  <si>
    <t>Hopital La Timone, Marseille, 13000, France</t>
  </si>
  <si>
    <t>CH Avignon, Avignon, France</t>
  </si>
  <si>
    <t>Hôpital Georges Pompidou, Paris, France</t>
  </si>
  <si>
    <t>Hopital Saint Louis, Paris, 75010, France</t>
  </si>
  <si>
    <t>Hôpital Louis Pasteur, Colmar, France</t>
  </si>
  <si>
    <t>Local Institution - 0029, Montpellier, Hérault, 34298, France</t>
  </si>
  <si>
    <t>CHU de REIMS, Reims, 51092, France</t>
  </si>
  <si>
    <t>Institut Gustave-Roussy - Centre de Lutte Contre le Cancer, Villejuif, 94805, France</t>
  </si>
  <si>
    <t>CHU de Toulouse - Hôpital Rangueil, Toulouse, Haute Garonne, 31059, France</t>
  </si>
  <si>
    <t>CHU Lille - Hôpital Claude Huriez, Lille, France</t>
  </si>
  <si>
    <t>Site FR33009, Nancy, Nancy Cedex, 54000, France</t>
  </si>
  <si>
    <t>Novartis Investigative Site, Montpellier, 34295, France</t>
  </si>
  <si>
    <t>Grope Hospitalier Paris Saint Joseph, Paris, France</t>
  </si>
  <si>
    <t>PAU hospital, Pau, 6400, France</t>
  </si>
  <si>
    <t>CHU de Poitiers, Poitiers, France</t>
  </si>
  <si>
    <t>Hôpital Pitié Salpétriêre, Paris, 75013, France</t>
  </si>
  <si>
    <t>Hospices Civils de Lyon, Lyon, France</t>
  </si>
  <si>
    <t>Research Site, Lille, 59020, France</t>
  </si>
  <si>
    <t>Chu-Hopital Gabriel Montpied, Clermont-Ferrand, F-63000, France</t>
  </si>
  <si>
    <t>INSTITUT CURIE de SAint Cloud, Saint-Cloud, France</t>
  </si>
  <si>
    <t>Hôpital PAUL BROUSSE 12 Avenue Paul Vaillant Couturier, Villejuif, 94800, France</t>
  </si>
  <si>
    <t>Poitiers University Hospital, Poitiers, 86021, France</t>
  </si>
  <si>
    <t>CHU de Poitiers, Poitiers, 86000, France</t>
  </si>
  <si>
    <t>Clinique Saint-Jean, Cagne-sur-Mer, 06800, France</t>
  </si>
  <si>
    <t>Hopital Cochin, Paris, 75014, France</t>
  </si>
  <si>
    <t>Oncologie Médicale, Centre Cathrine de Siennes, Nantes, 44200, France</t>
  </si>
  <si>
    <t>Hopital Louis Pasteur - Le Coudray, Le Coudray, 28630, France</t>
  </si>
  <si>
    <t>Institut De Cancerologie Gustave Roussy, Villejuif, Val-de-Marne, France</t>
  </si>
  <si>
    <t>Centre Hospitalier de Montlucon, Montluçon, 03109, France</t>
  </si>
  <si>
    <t>Centre Hospitalier Pierre Oudot, Bourgoin, 38300, France</t>
  </si>
  <si>
    <t>Clinique Victor Hugo, Le Mans, F-72000, France</t>
  </si>
  <si>
    <t>Hopital Fontenoy, Chartres, 28018, France</t>
  </si>
  <si>
    <t>Pfizer Investigational Site, Pessac, 33600, France</t>
  </si>
  <si>
    <t>Pfizer Investigational Site, Rennes, 35062, France</t>
  </si>
  <si>
    <t>Investigative Site FR006, Marseille, 13385, France</t>
  </si>
  <si>
    <t>ICO - Site René Gauducheau - Service d'Oncologie medicale, Saint-Herblain, France</t>
  </si>
  <si>
    <t>Local Institution - 252, Lyon, 69008, France</t>
  </si>
  <si>
    <t>ICANS, Strasbourg, 67200, France</t>
  </si>
  <si>
    <t>Hopital de la Timone, Marseille, 13005, France</t>
  </si>
  <si>
    <t>Service d'Hépato-Gastroentérologie et Oncologie Digestive, CHU de Dijon, Dijon, 21000, France</t>
  </si>
  <si>
    <t>Polyclinique du Bois, Lille, 59000, France</t>
  </si>
  <si>
    <t>IUCT - Oncopole, Toulouse, 31100, France</t>
  </si>
  <si>
    <t>Centre Antoine Lacassagne, Nice, 06102, France</t>
  </si>
  <si>
    <t>Institut Curie - Site de Paris, Paris, 75005, France</t>
  </si>
  <si>
    <t>Clinique des Portes du Sud, Vénissieux, 69694, France</t>
  </si>
  <si>
    <t>Clinique Sainte Anne - Groupe Hospitalier Saint-Vincent, Strasbourg Oncologie Libérale, Strasbourg, 67000, France</t>
  </si>
  <si>
    <t>Hopital de La Croix-Rousse, Lyon, France</t>
  </si>
  <si>
    <t>Chu Reims - Hôpital Robert Debré, Reims, France, France</t>
  </si>
  <si>
    <t>Hospital Nord, Marseille, 13000, France</t>
  </si>
  <si>
    <t>CH Bagnols sur Ceze, Bagnols-sur-Cèze, France</t>
  </si>
  <si>
    <t>CHU Bordeaux - Hopital Haut-Leveque, Pessac, 33604, France</t>
  </si>
  <si>
    <t>CHU de Dijon - Site Bocage, Dijon, France</t>
  </si>
  <si>
    <t>Centre Hospitalier Régional Universitaire de Nancy - Hôpitaux de Brabois, Vandœuvre-lès-Nancy, Meurthe-et-Moselle, 54511, France</t>
  </si>
  <si>
    <t>CHU Rennes, Rennes, 35033, France</t>
  </si>
  <si>
    <t>Cnetre Leon Berard, Lyon, 69373, France</t>
  </si>
  <si>
    <t>Hôpital Nord Franche Comté, Doubs, Montbeliard, 25209, France</t>
  </si>
  <si>
    <t>Hôpital Claude Huriez, Lille, France</t>
  </si>
  <si>
    <t>Site FR33017, Rouen, Normandy, 76000, France</t>
  </si>
  <si>
    <t>Novartis Investigative Site, Nantes, 44093, France</t>
  </si>
  <si>
    <t>Hôpital Cochin, Paris, France</t>
  </si>
  <si>
    <t>Rangueil hospital, Toulouse, 31059, France</t>
  </si>
  <si>
    <t>APHM, Marseille, France</t>
  </si>
  <si>
    <t>Research Site, Lyon, 69437, France</t>
  </si>
  <si>
    <t>Hôpital Privé Jean Mermoz, Lyon, France</t>
  </si>
  <si>
    <t>Institut de Cancerologie de L'Ouest Rene Gauducheau, Saint-Herblain, France</t>
  </si>
  <si>
    <t>Centre Hospitalier de la Cote Basque, Bayonne, 64100, France</t>
  </si>
  <si>
    <t>Service de Cancerologie, Hospital Europeen Georges Pompidou, Paris, 75015, France</t>
  </si>
  <si>
    <t>Polyclinique Bordeaux Nord Aquitaine, Bordeaux, 33300, France</t>
  </si>
  <si>
    <t>Centre Rene Huguenin, Saint-Cloud, 92210, France</t>
  </si>
  <si>
    <t>Institut de Cancérologie de l'Ouest - Site Paul Papin, Angers, France</t>
  </si>
  <si>
    <t>Clinique Hartmann, Neuilly-sur-Seine, 92200, France</t>
  </si>
  <si>
    <t>Centre Hospitalier Universitaire d'Amiens, Caen, 14076, France</t>
  </si>
  <si>
    <t>Polyclinique Bordeaux Nord Aquitaine, Boucher, 33300, France</t>
  </si>
  <si>
    <t>Pfizer Investigational Site, Rouen, 76041, France</t>
  </si>
  <si>
    <t>Investigative Site FR015, Montpellier, 34298, France</t>
  </si>
  <si>
    <t>Hôpital Foch - Service d'Oncologie Médicale, Suresnes, France</t>
  </si>
  <si>
    <t>Institut Mutualiste Montsouris, Paris, 75014, France</t>
  </si>
  <si>
    <t>Institute of Cancer of Strasbourg, Strasbourg, 67033, France</t>
  </si>
  <si>
    <t>Hopital Edouard Herriot - Hepato-gastroenterologie, Lyon, 69437, France</t>
  </si>
  <si>
    <t>Service d'Hépatogastroentéologie, Hôpital Michallon, CHU de Grenoble, Grenoble, 38043, France</t>
  </si>
  <si>
    <t>CHRU de Nancy - Hopitaux de Brabois, Vandœuvre-lès-Nancy, 54511, France</t>
  </si>
  <si>
    <t>Institut De Cancerologie De L'ouest - Rene Gauducheau - Biology, Saint-Herblain, 44805, France</t>
  </si>
  <si>
    <t>CRLCC Eugene Marquis, Rennes, 35042, France</t>
  </si>
  <si>
    <t>Hôpital de Villefranche, Villefranche-sur-Saône, 69655, France</t>
  </si>
  <si>
    <t>Chu Toulouse, Toulouse, France, France</t>
  </si>
  <si>
    <t>Institut Regional du Cancer de Montpellier, Montpellier, 34000, France</t>
  </si>
  <si>
    <t>CH Bayeux, Bayeux, 14400, France</t>
  </si>
  <si>
    <t>Centre Hospitalier Universitaire de Poitiers - Poitiers University Hospital, Poitiers, 86021, France</t>
  </si>
  <si>
    <t>CHD Vendée, La Roche-sur-Yon, France</t>
  </si>
  <si>
    <t>Institut Paoli-Calmettes, Marseille, Provence-Alpes-Côte d'Azur Region, 13273, France</t>
  </si>
  <si>
    <t>CHU La Timone, Marseille, France</t>
  </si>
  <si>
    <t>CHU St Etienne, Saint-Etienne, 42055, France</t>
  </si>
  <si>
    <t>Institut Regional du Cancer-Montpellier Val d'Aurelle, Montpellier, 34298, France</t>
  </si>
  <si>
    <t>Hôpital Saint-Antoine, Paris, Paris, 75571, France</t>
  </si>
  <si>
    <t>CHU Grenoble Alpes Hôpital Michallon, Grenoble, France</t>
  </si>
  <si>
    <t>CHU Dupuytren 1, Limoges, France</t>
  </si>
  <si>
    <t>Site FR33003, Aquitaine, Pessac, 33604, France</t>
  </si>
  <si>
    <t>Novartis Investigative Site, Paris, 75015, France</t>
  </si>
  <si>
    <t>Institut régional du Cancer de Montpellier, Montpellier, 34298, France</t>
  </si>
  <si>
    <t>Hôpital Pitié Salpêtrière, Paris, France</t>
  </si>
  <si>
    <t>Institute Curie, Saint-Cloud, France</t>
  </si>
  <si>
    <t>Hopital Paul Brousse, Villejuif, France</t>
  </si>
  <si>
    <t>Institut Paoli-Calmettes d'Unicancer, Marseille, France</t>
  </si>
  <si>
    <t>Research Site, Nice, 06189, France</t>
  </si>
  <si>
    <t>Hopital Louis Mourier, Colombes, F-92701, France</t>
  </si>
  <si>
    <t>La Timone, Marseille, France</t>
  </si>
  <si>
    <t>Groupe hospitalier Rance Emeraude (CHU Saint-Malo), St-Malo, France</t>
  </si>
  <si>
    <t>Centre Hospitalier de Beauvais, Beauvais, 72037, France</t>
  </si>
  <si>
    <t>Clinique Saint Anne, Strasbourg, 67000, France</t>
  </si>
  <si>
    <t>Institut de Cancérologie de Lorraine, Vandœuvre-lès-Nancy, 54500, France</t>
  </si>
  <si>
    <t>Medical Oncology Dpt, Armoricaine Private Hospital of Radiology, Saint-Brieuc, France</t>
  </si>
  <si>
    <t>Hopital Ambroise Pare, Boulogne-Billancourt, F-92104, France</t>
  </si>
  <si>
    <t>Hôpital Haut-Leveque, Bordeaux, France</t>
  </si>
  <si>
    <t>Polyclinique De Courlancy, Reims, F-51100, France</t>
  </si>
  <si>
    <t>Hopital Saint-Louis, Paris, 75475, France</t>
  </si>
  <si>
    <t>Centre Hospitalier de Chalons-en-Champagne, Châlons-en-Champagne, 51000, France</t>
  </si>
  <si>
    <t>Marseille Institute of Cancer - Institut J. Paoli and I. Calmettes, Marseille, 13009, France</t>
  </si>
  <si>
    <t>Centre Hospitalier Universitaire Ambroise Pare - Boulogne, Boulogne-Billancourt, F-92104, France</t>
  </si>
  <si>
    <t>Hopital Louis Mourier, Colombes, France</t>
  </si>
  <si>
    <t>Pfizer Investigational Site, Saint-Herblain, 44805, France</t>
  </si>
  <si>
    <t>Investigative Site FR003, Paris, 75013, France</t>
  </si>
  <si>
    <t>Institut Claudius Regaud - Service d'oncologie médicale, Toulouse, France</t>
  </si>
  <si>
    <t>CHU ROUEN - Site Charles Nicolle, Rouen, 76000, France</t>
  </si>
  <si>
    <t>Local Institution - 258, Lyon, 69437, France</t>
  </si>
  <si>
    <t>Département de Cancérologie Urologique et Digestive, Centre Oscar Lambret, Lille, 59020, France</t>
  </si>
  <si>
    <t>Hôpital de la Milétrie, Poitiers, 86021, France</t>
  </si>
  <si>
    <t>Institut Claudius Regaud, Toulouse, 31059, France</t>
  </si>
  <si>
    <t>Ico - Site René Gauducheau, Saint-Herblain, 44800, France</t>
  </si>
  <si>
    <t>Chu La Conception, Marseille, France</t>
  </si>
  <si>
    <t>Hôpital Paul-Brousse, Villejuif, France, France</t>
  </si>
  <si>
    <t>University Hospital Montpellier, Montpellier, 34000, France</t>
  </si>
  <si>
    <t>CH Béziers, Béziers, 34500, France</t>
  </si>
  <si>
    <t>CHU Poitiers, Poitiers, France</t>
  </si>
  <si>
    <t>Strasbourg Oncologie Liberale, Strasbourg, 67000, France</t>
  </si>
  <si>
    <t>Hôpital Huriez, Lille, France</t>
  </si>
  <si>
    <t>Centre Hospitalier de la Côte Basque, Bayonne, Pyrénées-Atlantiques, 64109, France</t>
  </si>
  <si>
    <t>Hôpital Européen de Marseille, Marseille, France</t>
  </si>
  <si>
    <t>Institute Mutualiste Montsouris, Paris, 75014, France</t>
  </si>
  <si>
    <t>CHU Poitiers - Hôpital la Milétrie, Poitiers, Vienne, 86021, France</t>
  </si>
  <si>
    <t>Hôpital Franco-Britannique, Levallois-Perret, France</t>
  </si>
  <si>
    <t>Site FR33013, Villejuif, Villejuif Cedex, 94805, France</t>
  </si>
  <si>
    <t>CHU Nîmes, Nîmes, 30029, France</t>
  </si>
  <si>
    <t>CHU de Saint Etienne, Saint-Etienne, France</t>
  </si>
  <si>
    <t>CHU Montpellier, Montpellier, France</t>
  </si>
  <si>
    <t>Research Site, Paris, 75014, France</t>
  </si>
  <si>
    <t>Institut de Cancérologie de Lorraine, Nancy, France</t>
  </si>
  <si>
    <t>Centre Hospitalier Universitaire Tours - Hopital Trousseau, Tours, France</t>
  </si>
  <si>
    <t>Hopital Civil de strasbourg, Strasbourg, 67091, France</t>
  </si>
  <si>
    <t>Gustave Roussy Cancer Campus Grand Paris (Institut de Cancerologie Gustave-Roussy), Villejuif, 94805, France</t>
  </si>
  <si>
    <t>Clinic Saint Vincent, Saint-Grégoire, 35760, France</t>
  </si>
  <si>
    <t>Henri Mondor - Albert Chevenier, Créteil, France</t>
  </si>
  <si>
    <t>Hopital Cochin, Paris, 75674, France</t>
  </si>
  <si>
    <t>CHR Clermont Ferrand, Hotel dieu, Clermont-Ferrand, 63003, France</t>
  </si>
  <si>
    <t>Hôpital la Timone, Marseille, France</t>
  </si>
  <si>
    <t>Investigative Site FR009, Paris, 75015, France</t>
  </si>
  <si>
    <t>Institut Gustave Roussy - Pathologie Thoracique, Villejuif, France</t>
  </si>
  <si>
    <t>Hôpital Rangueil, Toulouse, 31000, France</t>
  </si>
  <si>
    <t>Département de cancérologie médicale - Groupe des tumeurs endocrines, Centre Léon Bérard, Lyon, 69008, France</t>
  </si>
  <si>
    <t>Hopital Edouard Herriot, Lyon, 69437, France</t>
  </si>
  <si>
    <t>Hôpital Pontchaillou, Rennes, 35033, France</t>
  </si>
  <si>
    <t>University Hospital of NICE, Nice, 06202, France</t>
  </si>
  <si>
    <t>CH Blois, Blois, 41016, France</t>
  </si>
  <si>
    <t>Gustave Roussy, Villejuif, Val-de-Marne, 94800, France</t>
  </si>
  <si>
    <t>Hôpital Saint-Joseph, Marseille, France</t>
  </si>
  <si>
    <t>Hospital Saint Antoine, Paris, 75571, France</t>
  </si>
  <si>
    <t>CHRU Lille, Lille, France</t>
  </si>
  <si>
    <t>Hôpital de la Croix-Rousse, Lyon, France</t>
  </si>
  <si>
    <t>Site FR33001, Bayonne, 64109, France</t>
  </si>
  <si>
    <t>Hôpital européen Georges-Pompidou, Paris, 75015, France</t>
  </si>
  <si>
    <t>Hopitaux du Léman, Thonon-les-Bains, France</t>
  </si>
  <si>
    <t>Hôpital d'Instruction des Armées Bégin, Saint-Mandé, France</t>
  </si>
  <si>
    <t>Research Site, Paris, 75674, France</t>
  </si>
  <si>
    <t>Centre Antoine-Lacassagne, Nice, France</t>
  </si>
  <si>
    <t>Hopital de Beziers, Béziers, 34525, France</t>
  </si>
  <si>
    <t>Institute de Cancerologie de Lorraine, Vandœuvre-lès-Nancy, 54519, France</t>
  </si>
  <si>
    <t>Centre D'Oncologie Dunkerquois, Dunkirk, 59240, France</t>
  </si>
  <si>
    <t>CHU de Caen, Caen, 14033, France</t>
  </si>
  <si>
    <t>Centre Rene Huguenin, Saint-Cloud, 92211, France</t>
  </si>
  <si>
    <t>Clinique Claude Bernard, Ermont, 95120, France</t>
  </si>
  <si>
    <t>Investigative Site FR004, Pessac, 33604, France</t>
  </si>
  <si>
    <t>Hôpital Paul-Brousse, Villejuif, 94800, France</t>
  </si>
  <si>
    <t>Local Institution - 250, Paris, 75015, France</t>
  </si>
  <si>
    <t>Service d'Oncologie Médicale - Hôpital Edouard Herriot - Hospices Civils de Lyon, Lyon, 69437, France</t>
  </si>
  <si>
    <t>Chu La Timone, Marseille, 13385, France</t>
  </si>
  <si>
    <t>Centre Eugène Marquis - Rennes Cedex, Rennes, 35062, France</t>
  </si>
  <si>
    <t>Centre Val D'Aurelle Paul Lamarque, Montpellier, France</t>
  </si>
  <si>
    <t>CH Bourg en Bresse, Bourg-en-Bresse, France</t>
  </si>
  <si>
    <t>CHU Pontchaillou, Rennes, France</t>
  </si>
  <si>
    <t>Centre Hospitalier Universitaire de Poitiers, Poitiers, Vienne, 86021, France</t>
  </si>
  <si>
    <t>Hospital Pitie Salpetriere, Paris, 75651, France</t>
  </si>
  <si>
    <t>centre Léon Bérard, Lyon, France</t>
  </si>
  <si>
    <t>Hôpital Saint Eloi, Montpellier, France</t>
  </si>
  <si>
    <t>Site FR33018, Bordeaux, France</t>
  </si>
  <si>
    <t>Hôpital Tenon AP-HP, Paris, 75020, France</t>
  </si>
  <si>
    <t>CHU Tours - Hôpital Trousseau, Tours, France</t>
  </si>
  <si>
    <t>Paul Brousse Hospital, Villejuif, France</t>
  </si>
  <si>
    <t>CHU Nantes, Nantes, France</t>
  </si>
  <si>
    <t>Research Site, Poitiers, 86021, France</t>
  </si>
  <si>
    <t>Hopital La Pitié Salpétrière, Paris, France</t>
  </si>
  <si>
    <t>Polyclinique De La Foret, Fontaineblea, 7300, France</t>
  </si>
  <si>
    <t>Hopital Privé Jean Mermoz, Lyon, France</t>
  </si>
  <si>
    <t>Hopital Bellevue, Saint-Etienne, 42055, France</t>
  </si>
  <si>
    <t>Hopital Louis Pasteur, Colmar, 68024, France</t>
  </si>
  <si>
    <t>Clinique Pasteur, Évreux, 27000, France</t>
  </si>
  <si>
    <t>Investigative Site FR008, Poitiers, 86021, France</t>
  </si>
  <si>
    <t>Département d'Oncologie Médicale, Institut Paoli Calmettes, Marseille, 13009, France</t>
  </si>
  <si>
    <t>Hotel Dieu, Nantes, France</t>
  </si>
  <si>
    <t>Clinique du Trocadero, Paris, 75016, France</t>
  </si>
  <si>
    <t>CH de Bourges, Bourges, 18000, France</t>
  </si>
  <si>
    <t>Institut Curie, Saint-Cloud, France</t>
  </si>
  <si>
    <t>Hôpital Nord Franche Comté, Montbéliard, France</t>
  </si>
  <si>
    <t>CHU de Poitiers, Poitiers, 42109, France</t>
  </si>
  <si>
    <t>Hôpitaux de Brabois, Nancy, France</t>
  </si>
  <si>
    <t>Site FR33002, Grenoble, France</t>
  </si>
  <si>
    <t>HU Pitié-Salpêtrière, Paris, 75651, France</t>
  </si>
  <si>
    <t>CHU Nice, Nice, France</t>
  </si>
  <si>
    <t>Research Site, Strasbourg, 67065, France</t>
  </si>
  <si>
    <t>Centre Hospitalier de Lagny, Lagny-sur-Marne, 77405, France</t>
  </si>
  <si>
    <t>CH Saint Jean, Perpignan, 66046, France</t>
  </si>
  <si>
    <t>CHR de Grenoble - La Tronche, Grenoble, 38043, France</t>
  </si>
  <si>
    <t>Clinique de l'Orangerie, Strasbourg, 67010, France</t>
  </si>
  <si>
    <t>Hopital Du Bocage, Dijon, 21034, France</t>
  </si>
  <si>
    <t>Polyclinique Jeanne d'Arc - service de Radiotherapie Oncologie, Gien, 45500, France</t>
  </si>
  <si>
    <t>Hôpital Edouard Herriot, Lyon, France</t>
  </si>
  <si>
    <t>Investigative Site FR010, Reims, 51100, France</t>
  </si>
  <si>
    <t>Hopital Pitie Salpetriere, Paris, 75651, France</t>
  </si>
  <si>
    <t>Service d'Hépato-Gastroentérologie et d'Oncologie Digestive, Hôpital de la Timone, APHM, Marseille, 13365, France</t>
  </si>
  <si>
    <t>Hopital Saint-Antoine, Paris, 75012, France</t>
  </si>
  <si>
    <t>Hopital Cochin, Paris, France</t>
  </si>
  <si>
    <t>Pau Hospital, Pau, 64000, France</t>
  </si>
  <si>
    <t>CH Nord Deux Sèvres, Bressuire, France</t>
  </si>
  <si>
    <t>IHU - Institut de chirurgie guidée par l'imagerie, Strasbourg, France</t>
  </si>
  <si>
    <t>CHU Nord, Marseille, France</t>
  </si>
  <si>
    <t>Hôpital Universitaire Paul Brousse, Villejuif, 94800, France</t>
  </si>
  <si>
    <t>CHU Reims, Reims, 51100, France</t>
  </si>
  <si>
    <t>Hôpital Saint Joseph Saint Luc, Lyon, France</t>
  </si>
  <si>
    <t>Site FR33019, La Roche-sur-Yon, France</t>
  </si>
  <si>
    <t>CHU Bordeaux Haut-Lévêque, Pessac, 33604, France</t>
  </si>
  <si>
    <t>APHP Hopital Beaujon, Paris, France</t>
  </si>
  <si>
    <t>Hopital Andre Mignot, Le Chesnay, 78157, France</t>
  </si>
  <si>
    <t>Centre Eugène Marquis, Rennes, France</t>
  </si>
  <si>
    <t>Centre De Charlebourg, La Garenne-Colombes, 92250, France</t>
  </si>
  <si>
    <t>CHR Clermont Ferrand, Hotel Dieu, Clermont-Ferrand, 63058, France</t>
  </si>
  <si>
    <t>Centre de Lutte Contre le Cancer Georges-Francois Leclerc, Dijon, 21079, France</t>
  </si>
  <si>
    <t>CHR de Grenoble - La Tronche, Grenoble, F-38043, France</t>
  </si>
  <si>
    <t>Hôpital la Croix Rousse, Lyon, France</t>
  </si>
  <si>
    <t>CHU de Bordeaux - Hôpital Haut -Lèvêque, Pessac, France</t>
  </si>
  <si>
    <t>Investigative Site FR005, Rennes, 35042, France</t>
  </si>
  <si>
    <t>Local Institution - 259, Paris, 75651, France</t>
  </si>
  <si>
    <t>Service d'Oncologie Médicale, Hôpital Saint Eloi, CHU de Montpellier, Montpellier, 34298, France</t>
  </si>
  <si>
    <t>Hopital Pitie-Salpetriere, Paris, France</t>
  </si>
  <si>
    <t>University Hospital Toulouse, Toulouse, 31059, France</t>
  </si>
  <si>
    <t>CH Saint Camille, Bry-sur-Marne, France</t>
  </si>
  <si>
    <t>CHU Timone Adulte, Marseille, France</t>
  </si>
  <si>
    <t>Hôpital Saint-Louis, Paris, 75011, France</t>
  </si>
  <si>
    <t>CHU Toulouse - Rangueil, Toulouse, 31059, France</t>
  </si>
  <si>
    <t>Hôpital Ambroise Paré, Paris, France</t>
  </si>
  <si>
    <t>Site FR33021, Nice, France</t>
  </si>
  <si>
    <t>APHP Hopital Cochin, Paris, France</t>
  </si>
  <si>
    <t>Research Site, Villejuif, 94800, France</t>
  </si>
  <si>
    <t>Centre Jean Bernard, Le Mans, 72000, France</t>
  </si>
  <si>
    <t>Clinique Sainte Anne/Strasbourg Oncologie Leberale, Strasbourg, France</t>
  </si>
  <si>
    <t>Clinique Du Cap D'OR, LA Seyne Sur Me, 83500, France</t>
  </si>
  <si>
    <t>C.H. Senlis, Senlis, 60309, France</t>
  </si>
  <si>
    <t>Hopitaux Civils de Colmar, Colmar, 68024, France</t>
  </si>
  <si>
    <t>Hôpital Beaujon, Clichy, Île-de-France Region, France</t>
  </si>
  <si>
    <t>Centre Hospitalier Draguignan, Draguignan, 83300, France</t>
  </si>
  <si>
    <t>Louis Mourier Hospital, Colombes, 92701, France</t>
  </si>
  <si>
    <t>Hôpital Lyon Sud Hospices Civils de Lyon, Lyon, France</t>
  </si>
  <si>
    <t>Investigative Site FR007, Toulouse, 31059, France</t>
  </si>
  <si>
    <t>CHU La Miletrie, Poitiers, 86021, France</t>
  </si>
  <si>
    <t>Service d'Hépatogastroentérologie, CHR d'Orléans, Orléans, 45067, France</t>
  </si>
  <si>
    <t>Hopital Tenon, Paris, France</t>
  </si>
  <si>
    <t>HPA Castres Mazamet, Castres, 81108, France</t>
  </si>
  <si>
    <t>Fondation Ambroise Paré / Hôpital Européen, Marseille, France</t>
  </si>
  <si>
    <t>CHU de Tours, Tours, 37044, France</t>
  </si>
  <si>
    <t>Hôpital Européen, Marseille, France</t>
  </si>
  <si>
    <t>Hôpital Beaujon, Paris, France</t>
  </si>
  <si>
    <t>Site FR33023, Pierre-Bénite, France</t>
  </si>
  <si>
    <t>APHP Hopital de la Pitié-Salpétrière, Paris, France</t>
  </si>
  <si>
    <t>C. H. Du Mans, Le Mans, 72037, France</t>
  </si>
  <si>
    <t>Centre Hospitalier Universitaire Henri Mondor, Créteil, 94000, France</t>
  </si>
  <si>
    <t>Centre Hospitalier De Dunkerque - CHD, Dunkirk, 59240, France</t>
  </si>
  <si>
    <t>Centre Hospitalier Universitaire Henri Mondor, Créteil, 94010, France</t>
  </si>
  <si>
    <t>Institut Jean Godinot, Reims, France</t>
  </si>
  <si>
    <t>Investigative Site FR001, Villejuif, 94805, France</t>
  </si>
  <si>
    <t>Local Institution - 251, Poitiers, 86021, France</t>
  </si>
  <si>
    <t>Département d'Oncologie Médicale, Hôpital Saint-Antoine, Paris, 75012, France</t>
  </si>
  <si>
    <t>Hopitial Saint Antoine, Paris, France</t>
  </si>
  <si>
    <t>CH Chambery, Chambéry, France</t>
  </si>
  <si>
    <t>Hôpital Pitié-Salpétrière, Paris, France</t>
  </si>
  <si>
    <t>Institut Paoli Calmette, Marseille, France</t>
  </si>
  <si>
    <t>Site FR33014, Plérin, 22190, France</t>
  </si>
  <si>
    <t>ORLAM, Villeurbanne, 69100, France</t>
  </si>
  <si>
    <t>APHP Hopital Paul Brousse, Paris, France</t>
  </si>
  <si>
    <t>Hopital Robert Boulin, Libourne, 33500, France</t>
  </si>
  <si>
    <t>Hopital de la Croix Rousse, Lyon, 69317, France</t>
  </si>
  <si>
    <t>Centre Hospitalier Intercommunal St. Aubin les Elbeuf, Elbeuf, 76503, France</t>
  </si>
  <si>
    <t>Centre Hospitalier de Dax, Dax, 40107, France</t>
  </si>
  <si>
    <t>Local Institution - 256, Toulose, 31059, France</t>
  </si>
  <si>
    <t>Service de Gastroentérologie, Hôpital Cochin, APHP, Paris, 75014, France</t>
  </si>
  <si>
    <t>Hopital Pontchaillou, Rennes, France</t>
  </si>
  <si>
    <t>CH Chartres, Chartres, 28630, France</t>
  </si>
  <si>
    <t>CH Layné, Mont-de-Marsan, France</t>
  </si>
  <si>
    <t>Institut Godinot, Reims, France</t>
  </si>
  <si>
    <t>Hôpital de la Pitié Salpêtrière, Paris, France</t>
  </si>
  <si>
    <t>Site FR33005, Pringy, 74374, France</t>
  </si>
  <si>
    <t>Assistance Publique Hopitaux de Marseille Hopitaux Sud, Marseille, 13274, France</t>
  </si>
  <si>
    <t>CHU de Grenoble - Hopital de la Tronche, Grenoble, 38043, France</t>
  </si>
  <si>
    <t>Hopital Laennec, Paris, 75007, France</t>
  </si>
  <si>
    <t>Pole Des Specialites Medicales, Hopital Purpan, Toulose, 31059, France</t>
  </si>
  <si>
    <t>Service d'Hépato-Gastroenterologie et Oncologie Digestive, Hôpital Européen Georges Pompidou, APHP, Paris, 75015, France</t>
  </si>
  <si>
    <t>Hopitaux Universitaires de Strasbourg, Strasbourg, France</t>
  </si>
  <si>
    <t>CH Chalons en champagne, Châlons-en-Champagne, France</t>
  </si>
  <si>
    <t>CHU De ST Eloi, Montpellier, France</t>
  </si>
  <si>
    <t>GH Diaconesses Croix Saint Simon, Paris, France</t>
  </si>
  <si>
    <t>Hôpital Charles-Nicolle, Rouen, France</t>
  </si>
  <si>
    <t>Site FR33007, Strasbourg, 67000, France</t>
  </si>
  <si>
    <t>CHU Rennes, Rennes, France</t>
  </si>
  <si>
    <t>Polyclinique Du Parc, Caen, 14052, France</t>
  </si>
  <si>
    <t>Clinique Pasteur, Guilherand-Granges, 07500, France</t>
  </si>
  <si>
    <t>Service d'Hépato-Gastroentérologie et d'Oncologie Digestive, Hôpital Haut Lévêque, CHU Bordeaux, Pessac, 33604, France</t>
  </si>
  <si>
    <t>Chu Purpan, Toulouse, France</t>
  </si>
  <si>
    <t>CH Haut Anjou, Château-Gontier, France</t>
  </si>
  <si>
    <t>CRCL Val d'Aurelle, Montpellier, France</t>
  </si>
  <si>
    <t>CHU Rouen, Rouen, France</t>
  </si>
  <si>
    <t>CHU Strasbourg, Strasbourg, France</t>
  </si>
  <si>
    <t>Hopital Beaujon, Clichy, 92110, France</t>
  </si>
  <si>
    <t>Hopital Clinique Claude Bernard, Metz, 57070, France</t>
  </si>
  <si>
    <t>Clinique Saint Vincent, Épernay, 51200, France</t>
  </si>
  <si>
    <t>CHU de Toulouse Hôpital Rangueil, Toulouse, France</t>
  </si>
  <si>
    <t>Pôle Régional de Cancérologie, CHU de Poitiers, Poitiers, 86021, France</t>
  </si>
  <si>
    <t>CH Châteauroux, Châteauroux, 36000, France</t>
  </si>
  <si>
    <t>Hôpital Rangueil, Toulouse, France</t>
  </si>
  <si>
    <t>Hopital Notre-Dame de Bon Secours, Metz, 57038, France</t>
  </si>
  <si>
    <t>Intercommunal Hospital, Montfermeil, 93370, France</t>
  </si>
  <si>
    <t>Gustave Roussy Grand Paris, Villejuif, France</t>
  </si>
  <si>
    <t>Service d'Hépato-Gastroentérologie et Cancérologie, Hôpital Robert Debré, CHU de Reims, Reims, 51100, France</t>
  </si>
  <si>
    <t>Ch Cholet, Cholet, France</t>
  </si>
  <si>
    <t>CHR Orléans - La Source, Orléans, France</t>
  </si>
  <si>
    <t>CHU de Saint-Etienne, Saint-Etienne, France</t>
  </si>
  <si>
    <t>CHU Toulouse, Toulouse, France</t>
  </si>
  <si>
    <t>Centre Hospitalier Compiegne, Compiègne, 60321, France</t>
  </si>
  <si>
    <t>Centre Hospitalier De Moulins Yzeure, Moulins, 03006 Cedex, France</t>
  </si>
  <si>
    <t>CMC Les Ormeaux, Le Havre, 76600, France</t>
  </si>
  <si>
    <t>Centre Hospitalier Regional et Universitaire de Lille, Lille, 59037, France</t>
  </si>
  <si>
    <t>Clinique Ste - Marie, Pontoise, 95301, France</t>
  </si>
  <si>
    <t>Hôpital Saint-Antoine, Paris, Île-de-France Region, France</t>
  </si>
  <si>
    <t>Service d'Hépatogastroentérologie, Hôpital Pontchaillou, CHU de Rennes, Rennes, 35000, France</t>
  </si>
  <si>
    <t>CH Compiègne Noyon, Compiègne, France</t>
  </si>
  <si>
    <t>Groupe Hospitalier Paris Saint Joseph, Paris, France</t>
  </si>
  <si>
    <t>Institut Gustave Roussy, Villejuif, France</t>
  </si>
  <si>
    <t>CHU Tours, Tours, France</t>
  </si>
  <si>
    <t>Centre Hospitalier de Mulhouse, Mulhouse, 68051, France</t>
  </si>
  <si>
    <t>Hopital Claude Gallien, Quincy-sous-Sénart, 91480, France</t>
  </si>
  <si>
    <t>CHU Robert Debré, Reims, France</t>
  </si>
  <si>
    <t>Service de Gastroentérologie, CHU de Rouen, Rouen, 76031, France</t>
  </si>
  <si>
    <t>CH sud francilien, Corbeil-Essonnes, France</t>
  </si>
  <si>
    <t>Groupe Hospitalier Pitié-Salpêtrière, Paris, France</t>
  </si>
  <si>
    <t>Hôpital Broussais, St-Malo, France</t>
  </si>
  <si>
    <t>Centre Hospitalier de Dax, Dax, 40100, France</t>
  </si>
  <si>
    <t>CHR Hotel Dieu, Nantes, 44093, France</t>
  </si>
  <si>
    <t>Hopital Saint Vincent de Paul, Lille, F-59020, France</t>
  </si>
  <si>
    <t>Service de Gastro-Entérologie, Hôpital Nord, CHU de ST-Etienne, Saint-Priest-en-Jarez, 42270, France</t>
  </si>
  <si>
    <t>CH de Creil, Creil, 60109, France</t>
  </si>
  <si>
    <t>Hôpital Saint-Jean, Perpignan, France</t>
  </si>
  <si>
    <t>Hôpital Trousseau, Tours, France</t>
  </si>
  <si>
    <t>Centre Hospitalier de Digne les Bains, Digne-les-Bains, 04003, France</t>
  </si>
  <si>
    <t>Clinique Saint Vincent, Saint-Grégoire, 35700, France</t>
  </si>
  <si>
    <t>Centre Paul Strauss, Strasbourg, France</t>
  </si>
  <si>
    <t>Service d'Oncologie Médicale, Hôpital Civil, CHU de Strasbourg, Strasbourg, 67200, France</t>
  </si>
  <si>
    <t>CHI Créteil, Créteil, 94000, France</t>
  </si>
  <si>
    <t>Hôpital Haut-Lévêque, Pessac, France</t>
  </si>
  <si>
    <t>ICO Site de Saint Herblain, Saint-Herblain, France</t>
  </si>
  <si>
    <t>Hopital de la Croix St. Simon, Paris, 75020, France</t>
  </si>
  <si>
    <t>CHR D'Orleans - Hopital de la Source, Orléans, 45067, France</t>
  </si>
  <si>
    <t>CHU Nord, Marseille, 13915, France</t>
  </si>
  <si>
    <t>Centre du Rouget, Sarcelles, 95250, France</t>
  </si>
  <si>
    <t>Clinique Pasteur, Toulouse, France</t>
  </si>
  <si>
    <t>Service d'Oncologie Endocrinienne, Institut Gustave Roussy, Villejuif, 94805, France</t>
  </si>
  <si>
    <t>CH Dourdan, Dourdan, France</t>
  </si>
  <si>
    <t>Centre hospitalier de Reims, Reims, France</t>
  </si>
  <si>
    <t>Centre Hospitalier de Martigues, Martigues, 13698, France</t>
  </si>
  <si>
    <t>Hôpital TROUSSEAU, Tours, France</t>
  </si>
  <si>
    <t>CH Draguignan, Draguignan, France</t>
  </si>
  <si>
    <t>CHU Toulouse IUCT Rangueil, Toulouse, France</t>
  </si>
  <si>
    <t>Clinique Du Mont Louis, Paris, 75011, France</t>
  </si>
  <si>
    <t>Hopital Edouard Herriot - Lyon, Lyon, 69437, France</t>
  </si>
  <si>
    <t>Centre Hospitalier General de Mont de Marsan, Mont-de-Marsan, 40000, France</t>
  </si>
  <si>
    <t>Centre Medico-Chirurgical Foch, Suresnes, 92151, France</t>
  </si>
  <si>
    <t>Insitut de Cancérologie de Lorraine, Vandœuvre-lès-Nancy, France</t>
  </si>
  <si>
    <t>CH Dreux, Dreux, 28100, France</t>
  </si>
  <si>
    <t>Centre René Gauducheau, Saint-Herblain, France</t>
  </si>
  <si>
    <t>Hopital Rothschild, Paris, 75012, France</t>
  </si>
  <si>
    <t>Hopital Ambroise Pare, Marseille, 13291, France</t>
  </si>
  <si>
    <t>Clinique Pasteur, Toulouse, 31076, France</t>
  </si>
  <si>
    <t>CH Simone Veil, Eaubonne, 95600, France</t>
  </si>
  <si>
    <t>Hopital Saint Joseph, Paris, 75014, France</t>
  </si>
  <si>
    <t>CH Forcilles, Férolles, France</t>
  </si>
  <si>
    <t>Maison Medicale Marzet, Pau, 64000, France</t>
  </si>
  <si>
    <t>L'Institut Mutualiste Montsouris Jourdan, Paris, 75014, France</t>
  </si>
  <si>
    <t>CHR D'Orleans - Hopital de la Source, Orléans, 45100, France</t>
  </si>
  <si>
    <t>C.H.U. de Nimes - Groupe Hospitals-Universitaire Caremeau, Nîmes, 30029, France</t>
  </si>
  <si>
    <t>Chicas, Gap, France</t>
  </si>
  <si>
    <t>Centre Alexis Vautrin, Vandœuvre-lès-Nancy, France</t>
  </si>
  <si>
    <t>Hopital Haut Leveque, Pessac, 33604, France</t>
  </si>
  <si>
    <t>Hopital Boucicaut, Paris, 75015, France</t>
  </si>
  <si>
    <t>CH Gonesse, Gonesse, 95500, France</t>
  </si>
  <si>
    <t>Hôpital de Brabois-CHU de Nancy, Vandœuvre-lès-Nancy, France</t>
  </si>
  <si>
    <t>Centre Hospitalier Universitaire de Bicetre, Le Kremlin-Bicêtre, 94275, France</t>
  </si>
  <si>
    <t>Centre hospitalier départemental Vendée, La Roche-sur-Yon, 85925, France</t>
  </si>
  <si>
    <t>Clinique Ste - Marie, Pontoise, 95300, France</t>
  </si>
  <si>
    <t>Centre Hospitalier de Lagny, Lagny-sur-Marne, 77400, France</t>
  </si>
  <si>
    <t>CH du Mans, Le Mans, France</t>
  </si>
  <si>
    <t>C. H. De Saumur, Saumur, 49403, France</t>
  </si>
  <si>
    <t>Polyclinique Du Bois, Lille, 59000, France</t>
  </si>
  <si>
    <t>Hopital De La Croix, Paris, Cedex 20, France</t>
  </si>
  <si>
    <t>CHU - Robert Debre, Reims, 51092, France</t>
  </si>
  <si>
    <t>Lens, Lens, France</t>
  </si>
  <si>
    <t>Clinique Bizet, Paris, CEDEX, France</t>
  </si>
  <si>
    <t>Centre Hospitalier Côté de lumière, Les Sables-d'Olonne, 85100, France</t>
  </si>
  <si>
    <t>Centre Hospitalier St. Joseph St. Luc, Lyon, 69007, France</t>
  </si>
  <si>
    <t>Hopital Saint Michel, Paris, 75674, France</t>
  </si>
  <si>
    <t>Hopital Charles Nicolle, Rouen, 76031, France</t>
  </si>
  <si>
    <t>C.H.G. De Pau, Pau, 64000, France</t>
  </si>
  <si>
    <t>Hôpital des chanaux, Mâcon, France</t>
  </si>
  <si>
    <t>Clinique Ste-Marie, Pontoise, 95301, France</t>
  </si>
  <si>
    <t>Centre Hospitalier de Perpignan, Perpignan, 66046, France</t>
  </si>
  <si>
    <t>Clinique Armoricaine De Radiologie, Saint-Brieuc, F-22015, France</t>
  </si>
  <si>
    <t>Centre Hospitalier de Meaux, Meaux, 77100, France</t>
  </si>
  <si>
    <t>Centre Joliot Curie Des Docteurs Jean-Christophe Chardon Jacques Hernandez Et Laurent Gasnault, Saint-Martin-Boulogne, 62280, France</t>
  </si>
  <si>
    <t>CHU Poitiers, Poitiers, 86021, France</t>
  </si>
  <si>
    <t>CH Melun, Melun, France</t>
  </si>
  <si>
    <t>Institut Jean Godinot, Reims, 51056, France</t>
  </si>
  <si>
    <t>Centre Hospitalier de Saint-Quentin, Saint-Quentin, 02321, France</t>
  </si>
  <si>
    <t>CHR de Mercy-Metz, Metz, France</t>
  </si>
  <si>
    <t>Oncologie Medicale, Saint-Jean, 31240, France</t>
  </si>
  <si>
    <t>Centre Hospitalier de Semur en Auxois, Semur-en-Auxois, 21140, France</t>
  </si>
  <si>
    <t>Centre Paul Strauss, Strasbourg, 67065, France</t>
  </si>
  <si>
    <t>CHAM, Montargis, 45207, France</t>
  </si>
  <si>
    <t>Centre Hospitalier de Soissons, Soissons, 02209, France</t>
  </si>
  <si>
    <t>Hopital Universitaire Hautepierre, Strasbourg, 67098, France</t>
  </si>
  <si>
    <t>CH Montauban, Montauban, France</t>
  </si>
  <si>
    <t>C.H. Senlis, Senlis, 60300, France</t>
  </si>
  <si>
    <t>Centre Hospitalier Universitaire Bretonneau de Tours, Tours, 37044, France</t>
  </si>
  <si>
    <t>Centre Hospitalier Montelimar, Montélimar, 26200, France</t>
  </si>
  <si>
    <t>Centre Gray, Maubeuge, 59600, France</t>
  </si>
  <si>
    <t>Centre Hospitalier Intercommunal Toulon - La Seyne/Mer, Toulon, 83056, France</t>
  </si>
  <si>
    <t>Centre Hospitalier de Tarbes, Tarbes, 65013, France</t>
  </si>
  <si>
    <t>CH Montfermeil, Montfermeil, France</t>
  </si>
  <si>
    <t>Centre Hospitalier Chanaux, Mâcon, 71018, France</t>
  </si>
  <si>
    <t>Nouvelle Clinique Generale, Valence, 26000, France</t>
  </si>
  <si>
    <t>CH Niort, Niort, France</t>
  </si>
  <si>
    <t>Polyclinique Flemming, Tours, 37000, France</t>
  </si>
  <si>
    <t>Clinique Charcot, Sainte-Foy-lès-Lyon, 69110, France</t>
  </si>
  <si>
    <t>CHG Oloron, Oloron-Sainte-Marie, France</t>
  </si>
  <si>
    <t>Centre Saint-Yves, Vannes, 56001, France</t>
  </si>
  <si>
    <t>CHR Orléans, Orléans, 45000, France</t>
  </si>
  <si>
    <t>Centre Hospitalier de Montelimar, Montélimar, 26200, France</t>
  </si>
  <si>
    <t>CH François Mitterand, Pau, France</t>
  </si>
  <si>
    <t>Clinique De Valdegour, Nîmes, 30900, France</t>
  </si>
  <si>
    <t>CHI Poissy Saint Germain, Poissy, 78600, France</t>
  </si>
  <si>
    <t>CH Pontoise, Pontoise, France</t>
  </si>
  <si>
    <t>Hopital Pitie-Salpetriere, Paris, 75013, France</t>
  </si>
  <si>
    <t>CH de la région d'Annecy, Pringy, 74374, France</t>
  </si>
  <si>
    <t>CH Quimper, Quimper, 29107, France</t>
  </si>
  <si>
    <t>CH Roubaix, Roubaix, France</t>
  </si>
  <si>
    <t>Centre hospitalier Yves Le Foll, Saint-Brieuc, 22200, France</t>
  </si>
  <si>
    <t>CH de la Fontaine, Saint-Denis, France</t>
  </si>
  <si>
    <t>Hopital Saint Joseph, Paris, 75674, France</t>
  </si>
  <si>
    <t>CH Saint Quentin, Saint-Quentin, France</t>
  </si>
  <si>
    <t>Centre Hospitalier de Bigorre, Tarbes, 65013, France</t>
  </si>
  <si>
    <t>Centre Catalan d'Oncologie, Perpignan, 66000, France</t>
  </si>
  <si>
    <t>CH Sainte Musse, Toulon, France</t>
  </si>
  <si>
    <t>CH Tourcoing, Tourcoing, France</t>
  </si>
  <si>
    <t>CH Valenciennes, Valenciennes, France</t>
  </si>
  <si>
    <t>CHBA de Vannes, Vannes, 56017, France</t>
  </si>
  <si>
    <t>Hopital Rene Dubos, Pontoise, 95300, France</t>
  </si>
  <si>
    <t>CHIV Villeneuve Saint-Georges, Villeneuve-Saint-Georges, 94190, France</t>
  </si>
  <si>
    <t>Centre Hospitalier, Saint-Omer, 62505, France</t>
  </si>
  <si>
    <t>Centre Hospitalier Regional Metz Thionville, Thionville, 57126, France</t>
  </si>
  <si>
    <t>CHRU de Tours - Hopital Trousseau, Tours, 37000, France</t>
  </si>
  <si>
    <t>Centre Hospitalier Bretagne Atlantique, Vannes, 56016, France</t>
  </si>
  <si>
    <t>Service de Chirurgie Générale, Hépatique, Endocrinienne et Transplantation - CHU de Strasbourg - France, Strasbourg, 67091, France</t>
  </si>
  <si>
    <t>Marine GILABERT, MD, Marseille, 13009, France</t>
  </si>
  <si>
    <t>CHI Toulon La Seyne, Toulon, 83056, France</t>
  </si>
  <si>
    <t>CHU Estaing, Clermont-Ferrand, Auvergne-Rhône-Alpes, 63003, France</t>
  </si>
  <si>
    <t>Assistance Publique Hopitaux de Marseille, Marseille, 13005, France</t>
  </si>
  <si>
    <t>Service d'Oncologie - CHU de Strasbourg - France, Strasbourg, 67091, France</t>
  </si>
  <si>
    <t>Clinique PARIS-BERCY, Charenton-le-Pont, 94220, France</t>
  </si>
  <si>
    <t>CHU de Nice, Nice, 06000, France</t>
  </si>
  <si>
    <t>Sanofi-Aventis Administrative Office, Paris, France</t>
  </si>
  <si>
    <t>Hôpital Beaujon, Clichy, 92118, France</t>
  </si>
  <si>
    <t>Institut Paoli Calmettes, Marseille, Bouches du Rhone, 13009, France</t>
  </si>
  <si>
    <t>Hôpital Jean Mermoz, Lyon, 69008 Lyon, France</t>
  </si>
  <si>
    <t>Service d'Anesthésie, Réanimation et Médecine péri-Opératoire - CHU de Strasbourg - France, Strasbourg, 67091, France</t>
  </si>
  <si>
    <t>Uh Montpellier, Montpellier, Montpellier, 34280, France</t>
  </si>
  <si>
    <t>NOUGARET Stephanie, Montpellier, 34298, France</t>
  </si>
  <si>
    <t>Institut Paoli Calmettes, Marseille, Bouches du Rhône, 13009, France</t>
  </si>
  <si>
    <t>Clermont-Ferrand, 63003, France</t>
  </si>
  <si>
    <t>Clinique du Mousseau, Évry, IDF, 91000, France</t>
  </si>
  <si>
    <t>Service Oncologie Medicale, Saint-Herblain, Saint Herblain Cedex, 44805, France</t>
  </si>
  <si>
    <t>Institut J. Paoli et L. Calmettes (IPC), Marseille, 13009, France</t>
  </si>
  <si>
    <t>Gustave Roussy, Villejuif, Île-de-France Region, 94800, France</t>
  </si>
  <si>
    <t>Barthet, Marseille, 13000, France</t>
  </si>
  <si>
    <t>CHU Amiens, Amiens, Picardie, 80000, France</t>
  </si>
  <si>
    <t>CHU de Besançon, Besançon, 25000, France</t>
  </si>
  <si>
    <t>Hop Claude Huriez Chu Lille, Lille, France</t>
  </si>
  <si>
    <t>Strasbourg, Cedex, France</t>
  </si>
  <si>
    <t>Service D'Hematologie Et D'Oncologie, Strasbourg, 67098, France</t>
  </si>
  <si>
    <t>Hôpital L'Archet 2, CHU Nice, BP 3079, Nice, 06202, France</t>
  </si>
  <si>
    <t>Service de Chirurgie Digestive et Endocrinienne, Strasbourg, 67000, France</t>
  </si>
  <si>
    <t>Toulouse University Hospital, Toulouse, France</t>
  </si>
  <si>
    <t>CHU de Bordeaux, Bordeaux, France</t>
  </si>
  <si>
    <t>Novartis Investigative Site, Lyon, 69437, France</t>
  </si>
  <si>
    <t>Service Inter-Hospitalier de Canderologie Bichat-Beaujon (SIHC) Hopital Beaujon, Clichy, 92118, France</t>
  </si>
  <si>
    <t>Institut PAOLI-CALMETTES, Marseille, France</t>
  </si>
  <si>
    <t>Centre Georges François Leclerc, Dijon, 21000, France</t>
  </si>
  <si>
    <t>Clermont-Ferrand, Auvergne, 63003, France</t>
  </si>
  <si>
    <t>Research Site, Paris, France</t>
  </si>
  <si>
    <t>For additional information regarding investigative sites for this trial, contact 1-877-CTLILLY (1-877-285-4559, 1-317-615-4559) Mon - Fri from 9 AM to 5 PM Eastern Time (UTC/GMT - 5 hours, EST), or speak with your personal physician., Besançon, 25030, France</t>
  </si>
  <si>
    <t>Centre Hospitalier Régional Universitaire de Besançon, Besançon, 25000, France</t>
  </si>
  <si>
    <t>CHU Amiens, Amiens, 80000, France</t>
  </si>
  <si>
    <t>CGFL Dijon, Dijon, 21000, France</t>
  </si>
  <si>
    <t>CHU de Besancon Hopital Jean Minjoz, Besançon, 25030, France</t>
  </si>
  <si>
    <t>University Hospital of Marseille, Marseille, France</t>
  </si>
  <si>
    <t>Service d'Anesthésiologie - Réanimation Chirurgicale - CHU de Strasbourg - France, Strasbourg, 67091, France</t>
  </si>
  <si>
    <t>France, Paris, France</t>
  </si>
  <si>
    <t>Hôpital Saint-Philibert, Lomme, 59462, France</t>
  </si>
  <si>
    <t>CHU de Toulouse, Toulouse, 31059, France</t>
  </si>
  <si>
    <t>Besançon, 25030, France</t>
  </si>
  <si>
    <t>Centre Antoine Lacassagne, Nice, Alpes-Maritimes, 06189, France</t>
  </si>
  <si>
    <t>CHU d'Angers - Hôtel Dieu, Angers, France</t>
  </si>
  <si>
    <t>Angers, 49933, France</t>
  </si>
  <si>
    <t>Hopital Sud, Amiens, France</t>
  </si>
  <si>
    <t>GENRE, Marseille, 13273, France</t>
  </si>
  <si>
    <t>Centre Georges-François Leclerc, Dijon, 21000, France</t>
  </si>
  <si>
    <t>CHU Grenoble, Grenoble, Auvergne-Rhône-Alpes, 38000, France</t>
  </si>
  <si>
    <t>Institut de Cancerologie de Lorraine, Bourgogne, France</t>
  </si>
  <si>
    <t>CHU - Hôtel Dieu, Angers, France</t>
  </si>
  <si>
    <t>CHU of Poitiers, Poitiers, 86000, France</t>
  </si>
  <si>
    <t>Clinique Privée Claude Bernard, Albi, France</t>
  </si>
  <si>
    <t>Novartis Investigative Site, Strasbourg, France, 67098, France</t>
  </si>
  <si>
    <t>CHU Nord, Amiens, France, 80080, France</t>
  </si>
  <si>
    <t>Centre Hospitalier Intercommunal Aix-Pertuis, Aix-en-Provence, 13100, France</t>
  </si>
  <si>
    <t>Institut de cancérologie de l'Ouest - Paul Papin, Angers, France</t>
  </si>
  <si>
    <t>Brest Hopital Augustin Morvan, Institut de Cancero-Hemato, Brest, Brest Cedex, 29609, France</t>
  </si>
  <si>
    <t>Clinique privée de l'Europe, Amiens, 80000, France</t>
  </si>
  <si>
    <t>Hôpital A. Paré, Boulogne-Billancourt, 92100, France</t>
  </si>
  <si>
    <t>Rangueil hospital, Toulouse, France</t>
  </si>
  <si>
    <t>Caen, France</t>
  </si>
  <si>
    <t>Service de Gériatrie aigue, Hôpital Edouard Herriot, Hospices Civils de Lyon, Lyon, 69003, France</t>
  </si>
  <si>
    <t>CHU de NICE, Nice, Alpes Maritimes, 06000, France</t>
  </si>
  <si>
    <t>CHU Nancy, Vandœuvre-lès-Nancy, 54511, France</t>
  </si>
  <si>
    <t>University hospital of Archet II, Nice, 06202, France</t>
  </si>
  <si>
    <t>Ambroise Pare Hospital, Boulogne-Billancourt, Haut de Seine, 92100, France</t>
  </si>
  <si>
    <t>Centre intercommunal de Créteil, Créteil, France</t>
  </si>
  <si>
    <t>Institut Bergonié, Bordeaux, Gironde, 33076, France</t>
  </si>
  <si>
    <t>Local Institution - 0078, Dijon, Côte-d'Or, 21079, France</t>
  </si>
  <si>
    <t>Chu de Reims, Reims, France, 51092, France</t>
  </si>
  <si>
    <t>Novartis Investigative Site, Saint-Herblain, 44805, France</t>
  </si>
  <si>
    <t>Clinique de Bercy, Charenton-le-Pont, 94220, France</t>
  </si>
  <si>
    <t>Investigative Site, Clichy, Île-de-France Region, 92110, France</t>
  </si>
  <si>
    <t>CHRU Jean Minjoz, Besançon, 25030, France</t>
  </si>
  <si>
    <t>CHRU Jean Minjoz, Besançon, 25000, France</t>
  </si>
  <si>
    <t>Institut de cancérologie de l'Ouest-site PAUL, Angers, France</t>
  </si>
  <si>
    <t>Gustave Roussy, Villejuif, Val De Marne, 94800, France</t>
  </si>
  <si>
    <t>Institut Bergonnie, Bordeaux, 33076, France</t>
  </si>
  <si>
    <t>Pôle Hépato-Digestif, NHC, Strasbourg, 67000, France</t>
  </si>
  <si>
    <t>CHU d'Amiens, Amiens, 80054, France</t>
  </si>
  <si>
    <t>Insitut Gustave Roussy, Villejuif, Cedex, 94805, France</t>
  </si>
  <si>
    <t>Haut-Leveque Hospital, Department of Hepatogastroenterology and Digestive Tract Oncology, Pessac, Bordeaux, 33604, France</t>
  </si>
  <si>
    <t>AP-HP Hôpital européen Georges-Pompidou, Paris, France</t>
  </si>
  <si>
    <t>Polyclinique de Limoges site CHENIEUX, Limoges, 87000, France</t>
  </si>
  <si>
    <t>Hospices civils de Lyon, Bron, 69677, France</t>
  </si>
  <si>
    <t>Hôpital la pitié salpêtrière, APHP, Paris, France</t>
  </si>
  <si>
    <t>Blanc-Bisson Christele, Bordeaux, 33076, France</t>
  </si>
  <si>
    <t>CHU Strasbourg-Hautepierre-Medecine Interne, Endocrinologie et Nutrition ( Site 0402), Strasbourg, Alsace, 67098, France</t>
  </si>
  <si>
    <t>Pfizer Investigative Site, Villejuif, 94805, France</t>
  </si>
  <si>
    <t>Institut régional du cancer de Montpellier, Montpellier, Hérault, 34298, France</t>
  </si>
  <si>
    <t>CH Côte Basque, Bayonne, 64109, France</t>
  </si>
  <si>
    <t>GSK Investigational Site, Béthune, 62408, France</t>
  </si>
  <si>
    <t>GSK Investigational Site, Paris, 75970, France</t>
  </si>
  <si>
    <t>HÔPITAL SAINT-LOUIS, Service Hématologie Adultes, Paris, 75010, France</t>
  </si>
  <si>
    <t>Research Site, Caen, France</t>
  </si>
  <si>
    <t>Institut Sainte Catherine, Avignon, 84918, France</t>
  </si>
  <si>
    <t>Clinique Victor Hugo/Centre Jean Bernard, Le Mans, 72000, France</t>
  </si>
  <si>
    <t>Centre Leon Berard, Lyon, Auvergne-Rhône-Alpes, 69000, France</t>
  </si>
  <si>
    <t>Edouard Herriot Hospital - medical oncology department, Lyon, 69003, France</t>
  </si>
  <si>
    <t>C.H.U. Poitiers, Poitiers, 86000, France</t>
  </si>
  <si>
    <t>Centre Antoine Lacassagne ( Site 0404), Nice, Alpes-Maritimes, 06189, France</t>
  </si>
  <si>
    <t>Institut Bergonié - Centre Régional de Lutte Contre Le Cancer de Bordeaux et Sud Ouest, Bordeaux, 33076, France</t>
  </si>
  <si>
    <t>Local Institution, Lyon, 69373, France</t>
  </si>
  <si>
    <t>Hôpital Européen Marseille, Marseille, France</t>
  </si>
  <si>
    <t>Research Site, Aix-en-Provence, 13100, France</t>
  </si>
  <si>
    <t>Research Site, Bordeaux, 33076, France</t>
  </si>
  <si>
    <t>Centre Hospitalier Lyon Sud - Service oncologie medicale, Pierre-Bénite, Auvergne-Rhône-Alpes, 69310, France</t>
  </si>
  <si>
    <t>Chu Bordeaux, Bordeaux, 33000, France</t>
  </si>
  <si>
    <t>Service de NEURO-ONCOLOGIE du Groupement Hospitalier EST, Bron, France</t>
  </si>
  <si>
    <t>CHRU de Besançon- Hopital Jean Minjoz, Besançon, Doubs, 25030, France</t>
  </si>
  <si>
    <t>Centre Léon Bérard, Dpt Medecine &amp; INSERM, Lyon, 69373, France</t>
  </si>
  <si>
    <t>Christus Saint Frances Cabrini Hospital, Alexandria, Louisiana, 71301, United States</t>
  </si>
  <si>
    <t>Institut Gustave Roussy (Igr), Villejuif, 94805, France</t>
  </si>
  <si>
    <t>Exelixis Clinical Site#69, Lyon, Auvergne-Rhône-Alpes, 69373, France</t>
  </si>
  <si>
    <t>Mutualiste Montsouris Institute, Paris, Paris, 75014, France</t>
  </si>
  <si>
    <t>CHRU Nancy, Nancy, Grand Est, 54035, France</t>
  </si>
  <si>
    <t>CHU Angers, Angers, 49100, France</t>
  </si>
  <si>
    <t>Pitié Salpêtrière Hospital, Paris, 75013, France</t>
  </si>
  <si>
    <t>Centre Hospitalier de Bastia, Bastia, Corsica, 20604, France</t>
  </si>
  <si>
    <t>Centre Georges-François Leclerc, Dijon, Côte d'Or, 21000, France</t>
  </si>
  <si>
    <t>Centre Hospitalier Universitaire de Bordeaux (Adults only), Pessac, Aquitaine, 33600, France</t>
  </si>
  <si>
    <t>Service de Pneumologie AP-HP, Hôpitaux Universitaires Paris Centre, Paris, 75006, France</t>
  </si>
  <si>
    <t>Hôpital Cochin, Maternité Port-Royal, service de Gynécologie obstétrique, Paris, 75014, France</t>
  </si>
  <si>
    <t>Centre Léon Bérard, Lyon, Auvergne-Rhône-Alpes, 69008, France</t>
  </si>
  <si>
    <t>Hôpital Edouard Herriot, Lyon, 69437, France</t>
  </si>
  <si>
    <t>Polyclinique Bordeaux Nord, Bordeaux, France</t>
  </si>
  <si>
    <t>CHRU Besancon, Besançon, 25000, France</t>
  </si>
  <si>
    <t>CAC Oscar Lambret, Lille, 59020, France</t>
  </si>
  <si>
    <t>Assistance Publique des Hôpitaux de Marseille, Marseille, Bouches du Rhône, 13385, France</t>
  </si>
  <si>
    <t>Hopital La Timone, Marseille, 13005, France</t>
  </si>
  <si>
    <t>Centre Hospitalier de Beauvais, Beauvais, 60000, France</t>
  </si>
  <si>
    <t>CHU de Brest, Brest, France</t>
  </si>
  <si>
    <t>Lille, France</t>
  </si>
  <si>
    <t>Novartis Investigative Site, Montpellier, 34298, France</t>
  </si>
  <si>
    <t>Unite d'Oncologie Medicale Hopital COCHIN, Paris, 75679, France</t>
  </si>
  <si>
    <t>Paris, Cedex 14, 75674, France</t>
  </si>
  <si>
    <t>For additional information regarding investigative sites for this trial, contact 1-877-CTLILLY (1-877-285-4559, 1-317-615-4559) Mon - Fri from 9 AM to 5 PM Eastern Time (UTC/GMT - 5 hours, EST), or speak with your personal physician., Clermont-Ferrand, 63003, France</t>
  </si>
  <si>
    <t>Hôpital Privé d'Antony, Antony, 92160, France</t>
  </si>
  <si>
    <t>Institute Paoli-Calmettes, Marseille, 13009, France</t>
  </si>
  <si>
    <t>Hopital de la Pitie Salpetriere, Paris, 75651, France</t>
  </si>
  <si>
    <t>University Hospital of Strasbourg, Strasbourg, France</t>
  </si>
  <si>
    <t>Bordeaux, 33000, France</t>
  </si>
  <si>
    <t>CHU de Caen, Caen, Calvados, 14033, France</t>
  </si>
  <si>
    <t>CHU - Hôpital Avicenne, Bobigny, France</t>
  </si>
  <si>
    <t>CHU St Etienne, Saint-Etienne, Auvergne-Rhône-Alpes, 42000, France</t>
  </si>
  <si>
    <t>Unité de Recherche Clinique en Cancérologie, Institut de cancérologie et d'hématologie, Brest, France</t>
  </si>
  <si>
    <t>CH, Auxerre, France</t>
  </si>
  <si>
    <t>Centre Hospitalier Universitaire Grenoble Alpes, Grenoble, 38043, France</t>
  </si>
  <si>
    <t>CH, Blois, France</t>
  </si>
  <si>
    <t>Novartis Investigative Site, Angers, 49033, France</t>
  </si>
  <si>
    <t>Maison de Haut Lévêque CHU, Bordeaux, France, 33604, France</t>
  </si>
  <si>
    <t>CHU Amiens - Hôpital Nord, Amiens, France</t>
  </si>
  <si>
    <t>Clichy Neuroendocrine Tumor (NET) Center Hôpital Beaujon, Clichy, Clichy Cedex, 92118, France</t>
  </si>
  <si>
    <t>CHU Hôtel Dieu, Angers, 49000, France</t>
  </si>
  <si>
    <t>CHRU de Brest Hôpital Morvan, Brest, 29200, France</t>
  </si>
  <si>
    <t>Institut Léon Bérard, Lyon, 69008, France</t>
  </si>
  <si>
    <t>Local Institution - 0075, Pierre-Bénite, Rhône, 69310, France</t>
  </si>
  <si>
    <t>Centre Hospitalier Universitaire Dupuytren, Limoges, 87000, France</t>
  </si>
  <si>
    <t>CHU Estaing, Clermont-Ferrand, 63003, France</t>
  </si>
  <si>
    <t>Centre Leon Berard, Lyon, Auvergne-Rhône-Alpes, 69008, France</t>
  </si>
  <si>
    <t>IUCT-oncopole, Toulouse, 31059, France</t>
  </si>
  <si>
    <t>CH de Béthune, Beuvry, 62660, France</t>
  </si>
  <si>
    <t>CHU d'Angers, Angers, 49100, France</t>
  </si>
  <si>
    <t>Institut de Cancerologie de l'Ouest - site St-Herblain, Saint-Herblain, 44805, France</t>
  </si>
  <si>
    <t>Nantes University Hospital Center - Hotel Dieu Hospital, Nantes, Cedex, 44093, France</t>
  </si>
  <si>
    <t>Centre Hospitalier de Longjumeau, Longjumeau, 91160, France</t>
  </si>
  <si>
    <t>Hospital Louis Pradel, FR, Lyon, France</t>
  </si>
  <si>
    <t>Novartis Investigative Site, Clichy, 92110, France</t>
  </si>
  <si>
    <t>Hôpital Edouard Herriot-oncologie ( Site 0405), Lyon, Auvergne-Rhône-Alpes, 69003, France</t>
  </si>
  <si>
    <t>GSK Investigational Site, Clermont-Ferrand, 63000, France</t>
  </si>
  <si>
    <t>Eugène Marquis, Rennes, 25042, France</t>
  </si>
  <si>
    <t>Clinique privé du Confluent, Nantes, 44000, France</t>
  </si>
  <si>
    <t>Chu de Besancon, Besançon, Bourgogne-Franche-Comté, 25000, France</t>
  </si>
  <si>
    <t>Croix Rousse Hospital Hepatology and Gastroenterology Department, Lyon, 69004, France</t>
  </si>
  <si>
    <t>Centre Leon Berard ( Site 0405), Lyon, Auvergne, 69373, France</t>
  </si>
  <si>
    <t>Local Institution, Marseille, 13273, France</t>
  </si>
  <si>
    <t>Research Site, Aix-en-Provence, 13616, France</t>
  </si>
  <si>
    <t>Research Site, Lyon, 69008, France</t>
  </si>
  <si>
    <t>CHU Brest - Hopital La Cavale Blanche - service oncologie medicale, Brest, Brittany Region, 29200, France</t>
  </si>
  <si>
    <t>Chu Brest, Brest, 29200, France</t>
  </si>
  <si>
    <t>Centre Georges Franăois Leclerc, Dijon, 21079, France</t>
  </si>
  <si>
    <t>Service d'ONCOLOGIE DIGESTIVE et HEPATOLOGIE de l'hôpital de la Croix-Rousse, Lyon, France</t>
  </si>
  <si>
    <t>Laboratoire Oriade Noviale Medipole, Bourgoin, 38300, France</t>
  </si>
  <si>
    <t>Gustave Roussy Cancer Center, Villejuif, 94805, France</t>
  </si>
  <si>
    <t>Centre Hospitalier Universitaire de Brest, Brest, 29609, France</t>
  </si>
  <si>
    <t>Exelixis Clinical Site #45, Bordeaux, 33000, France</t>
  </si>
  <si>
    <t>Groupe Hospitalier Pellegrin - Chu, Bordeaux, 33076, France</t>
  </si>
  <si>
    <t>Institut Curie - Saint-Cloud site, Saint-Cloud, Haut de Seine, 92210, France</t>
  </si>
  <si>
    <t>Centre Hospitalier Régional Universitaire de Lille (Adults and Pediatrics), Lille, Hauts-de-France, 59037, France</t>
  </si>
  <si>
    <t>Institut Paoli Calmette, Marseille, 13273, France</t>
  </si>
  <si>
    <t>Centre Hospitalier Belfort Montbeliard, Besançon, France</t>
  </si>
  <si>
    <t>Centre Hospitalier Saint-Martin, Caen, 14050, France</t>
  </si>
  <si>
    <t>Marseille, France</t>
  </si>
  <si>
    <t>Centre Jean PERRIN - Clermont-Ferrand, Clermont-Ferrand, France</t>
  </si>
  <si>
    <t>Angers, Maine-et-Loire, 49933, France</t>
  </si>
  <si>
    <t>For additional information regarding investigative sites for this trial, contact 1-877-CTLILLY (1-877-285-4559, 1-317-615-4559) Mon - Fri from 9 AM to 5 PM Eastern Time (UTC/GMT - 5 hours, EST), or speak with your personal physician., Marseille, 13273, France</t>
  </si>
  <si>
    <t>Centre Hospitalier Universitaire de Dijon, Dijon, France</t>
  </si>
  <si>
    <t>Institut Sainte-Catherine, Avignon, 84000, France</t>
  </si>
  <si>
    <t>CHU la Miletrie, Poitiers, 86021, France</t>
  </si>
  <si>
    <t>Boulogne-Billancourt, 92104, France</t>
  </si>
  <si>
    <t>CHU de Dijon, Dijon, Côte d'Or, 21000, France</t>
  </si>
  <si>
    <t>Brest, 29609, France</t>
  </si>
  <si>
    <t>Institut GODINOT, Reims, Grand Est, 51100, France</t>
  </si>
  <si>
    <t>CH - Henri Duffaut, Avignon, France</t>
  </si>
  <si>
    <t>Hôpital Beaujon APHP, Clichy, France, 92110, France</t>
  </si>
  <si>
    <t>CHU d'Angers, Angers, France</t>
  </si>
  <si>
    <t>Institut Gustave-Roussy, Villejuif, Paris, France</t>
  </si>
  <si>
    <t>Hôpital privé, Antony, 92160, France</t>
  </si>
  <si>
    <t>Villejuif, France</t>
  </si>
  <si>
    <t>Institu Daniel Hollard, Grenoble, France</t>
  </si>
  <si>
    <t>Local Institution - 0116, Villejuif, Val-de-Marne, 94800, France</t>
  </si>
  <si>
    <t>Hopital Edouard Herriot, Lyon, 69003, France</t>
  </si>
  <si>
    <t>Hopital BEAUJON, Clichy, 92118, France</t>
  </si>
  <si>
    <t>Institut du Cancer de Montpellier - Val d'aurelle, Montpellier, 34298, France</t>
  </si>
  <si>
    <t>Centre Hospitalier Boulogne sur Mer, Boulogne-sur-Mer, 62200, France</t>
  </si>
  <si>
    <t>Icm Val D'Aurelle, Montpellier, 34298, France</t>
  </si>
  <si>
    <t>Hopital Saint-Andre, Bordeaux, 33000, France</t>
  </si>
  <si>
    <t>Edouard Herriot Hospital, Medical Oncology Unit, Lyon, 69003, France</t>
  </si>
  <si>
    <t>HP Hôpital Beaujon, Clichy, 92110, France</t>
  </si>
  <si>
    <t>Institut Paoli-Calmettes-Oncology ( Site 0406), Marseille, Bouches-du-Rhone, 13009, France</t>
  </si>
  <si>
    <t>GSK Investigational Site, Lille, 59000, France</t>
  </si>
  <si>
    <t>Research Site, Marseille, France</t>
  </si>
  <si>
    <t>CGFL, Dijon, Bourgogne-Franche-Comté, 21000, France</t>
  </si>
  <si>
    <t>Lyon Sud Hospital - Hepatology and Gastroenterology Department, Lyon, 69310, France</t>
  </si>
  <si>
    <t>Institut Claudius Regaud IUCT Oncopole ( Site 0403), Toulouse, Haute-Garonne, 31059, France</t>
  </si>
  <si>
    <t>Centre Paul Strauss, Strasbourg, 67085, France</t>
  </si>
  <si>
    <t>Research Site, Amiens, 80000, France</t>
  </si>
  <si>
    <t>Centre Oscar Lambret - Service Oncologie, Lille, Hauts-de-France, 59000, France</t>
  </si>
  <si>
    <t>Centre François Baclesse, Caen, 14076, France</t>
  </si>
  <si>
    <t>Hopital Claude Huriez - Chu Lille, Lille, 59000, France</t>
  </si>
  <si>
    <t>Service d'ONCOLOGIE DIGESTIVE et HEPATOLOGIE de l'Hôpital E. Herriot, Lyon, France</t>
  </si>
  <si>
    <t>Laboratoire Oriade Noviale Tixier, Bourgoin, 38300, France</t>
  </si>
  <si>
    <t>Exelixis Clinical Site #41, Pierre-Bénite, 69310, France</t>
  </si>
  <si>
    <t>CHU de Brest - Hôpital de la Cavale Blanche, Brest, 29609, France</t>
  </si>
  <si>
    <t>CHU Amiens - Hôpital Nord, Amiens, 80054, France</t>
  </si>
  <si>
    <t>Hôpital Necker-Enfants Malades (Pediatrics only), Paris, Île-de-France Region, 75015, France</t>
  </si>
  <si>
    <t>Chu Colmar, Colmar, France</t>
  </si>
  <si>
    <t>Hôpital R. Debré, Reims, 51092, France</t>
  </si>
  <si>
    <t>Centre Hospitalier Régional Universitaire Claude Huriez, Lille, 59037, France</t>
  </si>
  <si>
    <t>Paris, France</t>
  </si>
  <si>
    <t>Centre Georges François Leclerc Dijon, Dijon, France</t>
  </si>
  <si>
    <t>Novartis Investigative Site, Reims, 51092, France</t>
  </si>
  <si>
    <t>Saint-Priest-en-Jarez, Pays de la Loire Region, 42271, France</t>
  </si>
  <si>
    <t>For additional information regarding investigative sites for this trial, contact 1-877-CTLILLY (1-877-285-4559, 1-317-615-4559) Mon - Fri from 9 AM to 5 PM Eastern Time (UTC/GMT - 5 hours, EST), or speak with your personal physician., Montbéliard, 25250, France</t>
  </si>
  <si>
    <t>Centre Hospitalier Universitaire de Nancy, Nancy, France</t>
  </si>
  <si>
    <t>Hôpital Jean Minjoz, Besançon, France</t>
  </si>
  <si>
    <t>Hôpital Nord Franche-Comté, Trévenans, 90400, France</t>
  </si>
  <si>
    <t>Clichy, 92118, France</t>
  </si>
  <si>
    <t>Hôpital Haut-Lévêque, Pessac, Gironde, 33600, France</t>
  </si>
  <si>
    <t>CHU Estaing, Clermont-Ferrand, France</t>
  </si>
  <si>
    <t>Paris, 75679, France</t>
  </si>
  <si>
    <t>Hopital du Haut Leveque, Bordeaux, France</t>
  </si>
  <si>
    <t>CHU St Eloi, Montpellier, Herault, 34295, France</t>
  </si>
  <si>
    <t>Centre d'oncologie et de radiothérapie, Bayonne, France</t>
  </si>
  <si>
    <t>Novartis Investigative Site, Le Kremlin-Bicêtre, 94275, France</t>
  </si>
  <si>
    <t>Hôpital C Huriez, Lille, France, 59037, France</t>
  </si>
  <si>
    <t>Centre hospitalier d'Auxerre, Auxerre, France</t>
  </si>
  <si>
    <t>Hôpitaux Universitaires de Strasbourg Hôpital de Hautepierre, Strasbourg, Strasbourg Cedex, 67098, France</t>
  </si>
  <si>
    <t>CH, Auxerre, 89000, France</t>
  </si>
  <si>
    <t>Institut régional du Cancer de Montpellier, Montpellier, 34090, France</t>
  </si>
  <si>
    <t>Novartis Investigative Site, Dijon, 21079, France</t>
  </si>
  <si>
    <t>Local Institution - 0074, Paris, 75010, France</t>
  </si>
  <si>
    <t>Hopital Mermoz, Lyon, 69008, France</t>
  </si>
  <si>
    <t>Institut Claudius Regaud - IUCT Oncopole, Toulouse, 31052, France</t>
  </si>
  <si>
    <t>Centre François Baclesse, Caen, Caen, France</t>
  </si>
  <si>
    <t>CHU de Caen, Caen, 14000, France</t>
  </si>
  <si>
    <t>IUCT Oncopole - Institut Universitaire du Cancer de Toulouse, Toulouse, 31059, France</t>
  </si>
  <si>
    <t>Institut de Recherche en Cancérologie de Montpellier (IRCM), Montpellier, 34298, France</t>
  </si>
  <si>
    <t>Novartis Investigative Site, Marseille, 13385, France</t>
  </si>
  <si>
    <t>Hôpitaux Universitaires Paris Sud - Hôpital Bicêtre ( Site 0407), Le Kremlin-Bicêtre, Paris, 94270, France</t>
  </si>
  <si>
    <t>GSK Investigational Site, Lyon, 69275, France</t>
  </si>
  <si>
    <t>Research Site, Nice, France</t>
  </si>
  <si>
    <t>Chu Dijon Bourgogne, Dijon, Bourgogne-Franche-Comté, 21000, France</t>
  </si>
  <si>
    <t>Centre Oscar Lambret ( Site 0401), Lille, Nord, 59000, France</t>
  </si>
  <si>
    <t>Research Site, Aubagne, 13675, France</t>
  </si>
  <si>
    <t>Institut Bergonie - Unicancer Nouvelle Aquitaine - Service Oncologie medicale, Bordeaux, New Aquitaine, 33000, France</t>
  </si>
  <si>
    <t>Service d'Oto-Rhino-Laryngologie de l'Hôpital de la Croix-Rousse, Lyon, France</t>
  </si>
  <si>
    <t>The Centre Léon Bérard, Lyon, 69373, France</t>
  </si>
  <si>
    <t>Hopital Foch, Suresnes, 92150, France</t>
  </si>
  <si>
    <t>CHU Strasbourg-Hautepierre, Strasbourg, 67098, France</t>
  </si>
  <si>
    <t>Exelixis Clinical Site#68, Poitiers, 86000, France</t>
  </si>
  <si>
    <t>Chu de Caen Normandie, Caen, 14000, France</t>
  </si>
  <si>
    <t>ICO - Centre Paul Papin, Angers, 49933, France</t>
  </si>
  <si>
    <t>Hôpital Saint Antoine (Adults only), Paris, Île-de-France Region, 75571, France</t>
  </si>
  <si>
    <t>Hôpital Henri Mondor (APHP), Créteil, France</t>
  </si>
  <si>
    <t>Hopital Saint Antoine, Paris, 75012, France</t>
  </si>
  <si>
    <t>Centre Hospitalier Charles Nicolle, Rouen, 76 031, France</t>
  </si>
  <si>
    <t>Rennes, France</t>
  </si>
  <si>
    <t>For additional information regarding investigative sites for this trial, contact 1-877-CTLILLY (1-877-285-4559, 1-317-615-4559) Mon - Fri from 9 AM to 5 PM Eastern Time (UTC/GMT - 5 hours, EST), or speak with your personal physician., Paris, 75674, France</t>
  </si>
  <si>
    <t>Institut de cancérologie de Lorraine, Nancy, France</t>
  </si>
  <si>
    <t>Hôpital Saint-André, Bordeaux, France</t>
  </si>
  <si>
    <t>Limoges, 87042, France</t>
  </si>
  <si>
    <t>IUCT - Hôpital Rangueil, Toulouse, Haute-Garonne, 31400, France</t>
  </si>
  <si>
    <t>Saint-Priest-en-Jarez, 42271, France</t>
  </si>
  <si>
    <t>CH, Bayonne, France</t>
  </si>
  <si>
    <t>CH Pierre Oudot, Bourgoin, France</t>
  </si>
  <si>
    <t>Novartis Investigative Site, Lille, 59037, France</t>
  </si>
  <si>
    <t>Hospices Civils de Lyon, Lyon, France, 69437, France</t>
  </si>
  <si>
    <t>Centre hospitalier Henri Duffaut, Avignon, France</t>
  </si>
  <si>
    <t>UTTIOM Unité Transversale de Thérapeutiques Innovantes en Oncologie Médicale CHU Angers, Angers, France</t>
  </si>
  <si>
    <t>CH de la Côte Basque, Bayonne, 64100, France</t>
  </si>
  <si>
    <t>CHU la Timone, Marseille, 13385, France</t>
  </si>
  <si>
    <t>Tenon Hospital, Paris, 75020, France</t>
  </si>
  <si>
    <t>Novartis Investigative Site, Lille, 59020, France</t>
  </si>
  <si>
    <t>Hopital Europeen, Marseille, 13003, France</t>
  </si>
  <si>
    <t>CHU Grenoble Alpes, La Tronche, 38700, France</t>
  </si>
  <si>
    <t>Centre Georges Francois Leclerc de DIJON, Dijon, 21000, France</t>
  </si>
  <si>
    <t>Cabinet Medical, Challes-les-Eaux, 73190, France</t>
  </si>
  <si>
    <t>Hopital Curie, Paris, France</t>
  </si>
  <si>
    <t>CHU de Nantes - Hôtel Dieu, Nantes, 44093, France</t>
  </si>
  <si>
    <t>Hopitaux Universitaires Paris Centre-Hopital Cochin ( Site 0404), Paris, 75014, France</t>
  </si>
  <si>
    <t>GSK Investigational Site, Marseille, 13005, France</t>
  </si>
  <si>
    <t>Institut de Cancerologie de Lorraine, Nancy, Grand Est, 54000, France</t>
  </si>
  <si>
    <t>Institut de Cancerologie de l Ouest Centre Rene Gauducheau ( Site 0402), Saint-Herblain, Val-de-Marne, 44805, France</t>
  </si>
  <si>
    <t>Research Site, Bayonne, 64100, France</t>
  </si>
  <si>
    <t>ICM - Institut du Cancer de Montpellier - Val d'Aurelle - CIPP, Montpellier, Occitanie, 34298, France</t>
  </si>
  <si>
    <t>Hăpital de La Timone, Marseille, 13005, France</t>
  </si>
  <si>
    <t>Service d'Urologie de l'Hôpital E. Herriot, Lyon, France</t>
  </si>
  <si>
    <t>Lbmms Du Chu de Lyon, Lyon, 69424 CEDEX 03, France</t>
  </si>
  <si>
    <t>Exelixis Clinical Site #50, Rennes, 35042, France</t>
  </si>
  <si>
    <t>Chu de Clermont-Ferrand, Clermont-Ferrand, 63000, France</t>
  </si>
  <si>
    <t>Centre Hospitalier d'Angoulème, Angoulême, 16959, France</t>
  </si>
  <si>
    <t>Hôpital Universitaire Pitié Salpêtrière (Adults only), Paris, Île-de-France Region, 75651, France</t>
  </si>
  <si>
    <t>Centre Oscar Lambret, Lille, France</t>
  </si>
  <si>
    <t>Hôpital privé Jean Mermoz, Lyon, France</t>
  </si>
  <si>
    <t>Rouen, France</t>
  </si>
  <si>
    <t>Clichy, 92110, France</t>
  </si>
  <si>
    <t>Centre Hospitalier Universitaire Robert Debré, Reims, France</t>
  </si>
  <si>
    <t>CHU de la Cavale Blanche, Brest, 29600, France</t>
  </si>
  <si>
    <t>Marseille, 13273, France</t>
  </si>
  <si>
    <t>Hôpital Beaujon, Clichy, Hauts-de-Seine, 92110, France</t>
  </si>
  <si>
    <t>CHU Le Bocage Service d'HGE, Dijon, 21079, France</t>
  </si>
  <si>
    <t>Hopital Bocage central, Dijon, France</t>
  </si>
  <si>
    <t>Centre Catalan d'Oncologie, Perpignan, Pyrénées-Orientales, 66000, France</t>
  </si>
  <si>
    <t>Ch - Ch Beauvais, Beauvais, France</t>
  </si>
  <si>
    <t>Institut Paoli Calmettes, Marseille, France, 13273, France</t>
  </si>
  <si>
    <t>Hôpital Avicenne, Bobigny, 93000, France</t>
  </si>
  <si>
    <t>University Hospital of Bordeaux Hôpital Saint-André, Bordeaux, 33075, France</t>
  </si>
  <si>
    <t>CHU Avicenne, Bobigny, 93022, France</t>
  </si>
  <si>
    <t>CHU de Bordeaux, Hôpital Haut-Lévêque, Pessac, 33600, France</t>
  </si>
  <si>
    <t>CHRU de Tours - Hôpital TROUSSEAU, Chambray-lès-Tours, 37170, France</t>
  </si>
  <si>
    <t>IUCT-Oncopole, Toulouse, 31059, France</t>
  </si>
  <si>
    <t>Gustave Roussy ( Site 0403), Villejuif, Île-de-France Region, 94805, France</t>
  </si>
  <si>
    <t>Research Site, Saint-Herblain, France</t>
  </si>
  <si>
    <t>Institut Godinot, Reims, Grand Est, 51100, France</t>
  </si>
  <si>
    <t>Institut Gustave Roussy ( Site 0400), Villejuif, Val-de-Marne, 94800, France</t>
  </si>
  <si>
    <t>Research Site, Besançon, 25030, France</t>
  </si>
  <si>
    <t>Institut Gustave Roussy - Departement d'Innovation Therapeutique et d'Essais Precoces (DITEP), Villejuif, Île-de-France Region, 94805, France</t>
  </si>
  <si>
    <t>Hôpital La Timone, Marseille, 13005, France</t>
  </si>
  <si>
    <t>Chu Nantes - Hătel Dieu, Nantes, 44093, France</t>
  </si>
  <si>
    <t>Service de Gynécologie de l'hôpital de la Croix-Rousse, Lyon, France</t>
  </si>
  <si>
    <t>CEPCM/CHU Timone, Batiment 3 -1er etage, Marseille, 13005, France</t>
  </si>
  <si>
    <t>Exelixis Clinical Site#63, Strasbourg, 67200, France</t>
  </si>
  <si>
    <t>Chu de Lille, Lille, France</t>
  </si>
  <si>
    <t>Institut Sainte-Catherine, Avignon, 84918, France</t>
  </si>
  <si>
    <t>Chru Lille, Lille, France</t>
  </si>
  <si>
    <t>CHR d'Orléans, Orléans, France</t>
  </si>
  <si>
    <t>Toulouse, France</t>
  </si>
  <si>
    <t>CHU Grenoble Alpes, Grenoble, France</t>
  </si>
  <si>
    <t>Lille, 59037, France</t>
  </si>
  <si>
    <t>Paris, 75674, France</t>
  </si>
  <si>
    <t>ICM Val d'Aurelle, Montpellier, Hérault, 34298, France</t>
  </si>
  <si>
    <t>CH Les Oudairies, La Roche-sur-Yon, France</t>
  </si>
  <si>
    <t>Centre Hospitalier Lyon Sud, Lyon, France</t>
  </si>
  <si>
    <t>CH de Perpignan, Perpignan, Pyrénées-Orientales, 66046, France</t>
  </si>
  <si>
    <t>CHU, Besançon, France</t>
  </si>
  <si>
    <t>CHR côte de Nacre, Caen, France</t>
  </si>
  <si>
    <t>Novartis Investigative Site, Pessac, 33604, France</t>
  </si>
  <si>
    <t>CHU Nord, Marseille, France, 13915, France</t>
  </si>
  <si>
    <t>CHU la Timone, Marseille, France</t>
  </si>
  <si>
    <t>CH Duchenne, Boulogne-sur-Mer, 62200, France</t>
  </si>
  <si>
    <t>CHI Frejus St Raphael, Saint-Raphaël, 83300, France</t>
  </si>
  <si>
    <t>Hôpital Saint Vincent de Paul, Lille, 59020, France</t>
  </si>
  <si>
    <t>Hopital d'Estaing, Clermont-Ferrand, 63003, France</t>
  </si>
  <si>
    <t>GSK Investigational Site, Paris, 75015, France</t>
  </si>
  <si>
    <t>Hopitaux Universitaires de Strasbourg, Strasbourg, Grand Est, 67000, France</t>
  </si>
  <si>
    <t>Research Site, Bordeaux, 33077, France</t>
  </si>
  <si>
    <t>Institut Claudius Regaud, Toulouse, 31100, France</t>
  </si>
  <si>
    <t>Service de Gynécologie du Groupement Hospitalier Est, Lyon, France</t>
  </si>
  <si>
    <t>Hopital prive du Confluent S.A.S., Nantes, 44277, France</t>
  </si>
  <si>
    <t>Exelixis Clinical Site#53, Villejuif, 94805, France</t>
  </si>
  <si>
    <t>Service Rhumatologie, pavillon F Hopital E. Herriot, Lyon, 69437, France</t>
  </si>
  <si>
    <t>CHU Besançon, Besançon, 25030, France</t>
  </si>
  <si>
    <t>Infirmerie Protestante de Lyon, Lyon, France</t>
  </si>
  <si>
    <t>Hôpital Privé Mermoz - Lyon, Lyon, France</t>
  </si>
  <si>
    <t>Lyon, 69437, France</t>
  </si>
  <si>
    <t>CHU de Strasbourg - Hautepierre, Strasbourg, France</t>
  </si>
  <si>
    <t>CHU Hôtel Dieu, Clermont-Ferrand, 63000, France</t>
  </si>
  <si>
    <t>Hôpital Trousseau CHU Tours, Chambray-lès-Tours, Indre-et-Loire, 37170, France</t>
  </si>
  <si>
    <t>Hopital Edouard Herriot, Lyon, France</t>
  </si>
  <si>
    <t>Bezier Ch, Béziers, 34525, France</t>
  </si>
  <si>
    <t>Centre Hospitalier Sud Francilien, Corbeil-Essonnes, France</t>
  </si>
  <si>
    <t>CHU, Nantes, France, 44093, France</t>
  </si>
  <si>
    <t>Polyclinique Bordeaux Nord, Bordeaux, 33077, France</t>
  </si>
  <si>
    <t>Centre Hospitalier Layné, Mont-de-Marsan, France</t>
  </si>
  <si>
    <t>Hôpital La Timone, Marseille, France</t>
  </si>
  <si>
    <t>Hôpital Privé Sainte Marie, Chalon-sur-Saône, 71100, France</t>
  </si>
  <si>
    <t>Hôpital Rangueil, Toulouse, 31059, France</t>
  </si>
  <si>
    <t>CHU NANTES Institut des Maladies de l'Appareil Digestif, Nantes, 44000, France</t>
  </si>
  <si>
    <t>Groupe Hospitalier Pitié Salpêtrière, Paris, 750013, France</t>
  </si>
  <si>
    <t>CHRU, Hôpital Claude HURIEZ, Lille, 59037, France</t>
  </si>
  <si>
    <t>Hopital du Bocage, Dijon, 21079, France</t>
  </si>
  <si>
    <t>GSK Investigational Site, Paris, 75651, France</t>
  </si>
  <si>
    <t>Chu de Poitiers, Poitiers, New Aquitaine, 86000, France</t>
  </si>
  <si>
    <t>Research Site, Boulogne Sur Mer Cédex, 62321, France</t>
  </si>
  <si>
    <t>ICL - Alexis Vautrin, Vandœuvre-lès-Nancy, 54500, France</t>
  </si>
  <si>
    <t>Service de Pneumologie de l'hôpital de la Croix-Rousse, Lyon, France</t>
  </si>
  <si>
    <t>L'hôpital Privé du Confluent - Pharmacie, Nantes, 44277, France</t>
  </si>
  <si>
    <t>Exelixis Clinical Site#87, Paris, Île-de-France Region, 75013, France</t>
  </si>
  <si>
    <t>Assistance Publique - Hopitaux de Marseille (Ap-Hm, Marseille, 13009, France</t>
  </si>
  <si>
    <t>Groupe Hospitalier Pellegrin, Bordeaux, 33076, France</t>
  </si>
  <si>
    <t>Marseille, Marseille, France</t>
  </si>
  <si>
    <t>Saint-Priest-en-Jarez, 42277, France</t>
  </si>
  <si>
    <t>Groupement Hospitalier Universitaire Nord - Beaujon, Clichy, 92, France</t>
  </si>
  <si>
    <t>Rouen, 76031, France</t>
  </si>
  <si>
    <t>Institut de Cancérologie de l'Ouest site René Gauducheau, Saint-Herblain, Loire-Atlantique, 44800, France</t>
  </si>
  <si>
    <t>Centre GF Leclerc, Dijon, France</t>
  </si>
  <si>
    <t>CHU Hôpital Pontchaillou, Rennes, France, 35033, France</t>
  </si>
  <si>
    <t>CH Boulogne sur Mer, Boulogne-sur-Mer, 62321, France</t>
  </si>
  <si>
    <t>Unité de gastro enterologie IGR, Villejuif, 94805, France</t>
  </si>
  <si>
    <t>Chu L'Archet 2, Nice, 06200, France</t>
  </si>
  <si>
    <t>Haut-Lévêque, Pessac, 33604, France</t>
  </si>
  <si>
    <t>Centre Léon Bérard de LYON, Lyon, 69373, France</t>
  </si>
  <si>
    <t>Unite d'Oncologie Digestive, Departement d'HGE, Grenoble, 38043, France</t>
  </si>
  <si>
    <t>CH Saint Joseph Saint Luc, Lyon, France</t>
  </si>
  <si>
    <t>GSK Investigational Site, Paris, 75908, France</t>
  </si>
  <si>
    <t>Institut Paoli Calmettes, Marseille, PACA, 13000, France</t>
  </si>
  <si>
    <t>Research Site, Bourg-en-Bresse, 01012, France</t>
  </si>
  <si>
    <t>Service de Pneumologie du Groupement Hospitalier Est, Lyon, France</t>
  </si>
  <si>
    <t>Synlab Bourgogne Pont de Vaux, Pont-de-Vaux, 01190, France</t>
  </si>
  <si>
    <t>Chu de Montpellier, Montpellier, 34295, France</t>
  </si>
  <si>
    <t>CHU Henri Mondor, Créteil, 94000, France</t>
  </si>
  <si>
    <t>Saint-Herblain, 44805, France</t>
  </si>
  <si>
    <t>CHR d'Orléans, Orléans, Loiret, 45067, France</t>
  </si>
  <si>
    <t>Hôpital de la Source, Orléans, France</t>
  </si>
  <si>
    <t>Hopital de la Timone, Marseille, France</t>
  </si>
  <si>
    <t>CH de la Dracénie, Draguignan, France</t>
  </si>
  <si>
    <t>Hôpital de Hautepierre, Strasbourg, France, 67098, France</t>
  </si>
  <si>
    <t>CHU Côte de Nacre, Caen, 14033, France</t>
  </si>
  <si>
    <t>Hôpital Pitié-Salpêtrière, Paris, France</t>
  </si>
  <si>
    <t>Hopitaux civils de Colmar, Colmar, 68026, France</t>
  </si>
  <si>
    <t>Novartis Investigative Site, Paris, 75651, France</t>
  </si>
  <si>
    <t>Institut de Cancérologie de l'Ouest Pays de Loire, Saint-Herblain, 44805, France</t>
  </si>
  <si>
    <t>Institut Paoli-Calmettes de MARSEILLE, Marseille, France</t>
  </si>
  <si>
    <t>GSK Investigational Site, Pierre-Bénite, 69495, France</t>
  </si>
  <si>
    <t>APHP - Hôpital Beaujon, Clichy, Paris, 92110, France</t>
  </si>
  <si>
    <t>Research Site, Brive-la-Gaillarde, 19312, France</t>
  </si>
  <si>
    <t>Service d'Hématologie de l'Hôpital Lyon Sud, Pierre-Bénite, France</t>
  </si>
  <si>
    <t>Laboratoire Cerballiance Portes Les Valence, Portes-lès-Valence, 26800, France</t>
  </si>
  <si>
    <t>CHU de Nice, Nice, 06200, France</t>
  </si>
  <si>
    <t>Centre Hospitalier Jacques Coeur, Bourges, 18020, France</t>
  </si>
  <si>
    <t>Institut Paoli CALMETTES, Marseille, France</t>
  </si>
  <si>
    <t>CHU Henri Mondor, Créteil, France</t>
  </si>
  <si>
    <t>Strasbourg, 67091, France</t>
  </si>
  <si>
    <t>CHU Angers, Angers, Maine-et-Loire, 49100, France</t>
  </si>
  <si>
    <t>CHU Cochin, Paris, France</t>
  </si>
  <si>
    <t>Hopital Nord, Marseille, France</t>
  </si>
  <si>
    <t>CH -Duchenne, Boulogne-sur-Mer, France</t>
  </si>
  <si>
    <t>Ch Jacques Monod, Flers, France</t>
  </si>
  <si>
    <t>Hôpital St-Antoine, Paris, 75012, France</t>
  </si>
  <si>
    <t>CH Sud Francilien, Corbeil-Essonnes, 91100, France</t>
  </si>
  <si>
    <t>Centre Hospitalier Jacques Lacarin, Vichy, 03207, France</t>
  </si>
  <si>
    <t>Institut du Cancer de Montpellier, Montpellier, France</t>
  </si>
  <si>
    <t>Chu Dupuytren Service Oncologie, Limoges, 87000, France</t>
  </si>
  <si>
    <t>CH Mont de Marsan, Mont-de-Marsan, France</t>
  </si>
  <si>
    <t>GSK Investigational Site, Saint-Priest-en-Jarez, 42271, France</t>
  </si>
  <si>
    <t>Institut Curie, Paris, 75000, France</t>
  </si>
  <si>
    <t>Research Site, Carcassonne, 11890, France</t>
  </si>
  <si>
    <t>IUCT Oncopôle, Toulouse, 31052, France</t>
  </si>
  <si>
    <t>Service d'ONCOLOGIE DIGESTIVE et HEPATOLOGIE du Centre Hospitalier Lyon Sud, Pierre-Bénite, France</t>
  </si>
  <si>
    <t>Hôpital Foch Pharmacie - Essais Cliniques, Suresnes, 92150, France</t>
  </si>
  <si>
    <t>Assistance Publique - Hopitaux de Paris (Ap-Hp), Paris, 75010, France</t>
  </si>
  <si>
    <t>CHU Morvan de Brest, Brest, 29200, France</t>
  </si>
  <si>
    <t>Gustave Roussy Institute, Villejuif, France</t>
  </si>
  <si>
    <t>Hôpital Victor Jousselin, Dreux, France</t>
  </si>
  <si>
    <t>Hôpital Haut-Lévêque, Reims, Marne, 51092, France</t>
  </si>
  <si>
    <t>Hôpital Haut Lévêque Bat Magellan, Service d'hépato-gastroentérologie, Pessac, France</t>
  </si>
  <si>
    <t>Hopital Privé Européen, Marseille, France</t>
  </si>
  <si>
    <t>CH, Fréjus, France</t>
  </si>
  <si>
    <t>CHU Rangueil, Toulouse, 31059, France</t>
  </si>
  <si>
    <t>Hôpital Trousseau, Chambray-lès-Tours, France</t>
  </si>
  <si>
    <t>Centre GF Leclerc, Dijon, 21000, France</t>
  </si>
  <si>
    <t>Institut de cancérologie de Lorraine, Nancy, Nancy, France</t>
  </si>
  <si>
    <t>CH Bretagne Sud, Lorient, 56100, France</t>
  </si>
  <si>
    <t>Centre Hospitalier de Belfort, Montbéliard, France</t>
  </si>
  <si>
    <t>GSK Investigational Site, Strasbourg, 67085, France</t>
  </si>
  <si>
    <t>Research Site, Clermont-Ferrand, 63000, France</t>
  </si>
  <si>
    <t>Service d'Oncologie médicale du Centre hospitalier Lyon Sud, Pierre-Bénite, France</t>
  </si>
  <si>
    <t>Centre Gastro-Loire, Gien, 45500, France</t>
  </si>
  <si>
    <t>Institut de Cancérologie de Lorraine, Vandœuvre-lès-Nancy, Meurthe-et-Moselle, 54519, France</t>
  </si>
  <si>
    <t>Hôpital de la Milétrie, Poitiers, France</t>
  </si>
  <si>
    <t>Hopital Saint Joseph, Marseille, France</t>
  </si>
  <si>
    <t>CHU, Le Kremlin-Bicêtre, France</t>
  </si>
  <si>
    <t>Hôpitaux civils de Colmar, Colmar, France</t>
  </si>
  <si>
    <t>CHU de Reims Hôpital Robert Debré, Reims, France</t>
  </si>
  <si>
    <t>CHU, Dijon, 21000, France</t>
  </si>
  <si>
    <t>Institut de cancérologie de l'Ouest, Nantes, Nantes, France</t>
  </si>
  <si>
    <t>Hopital Edouard Herriot - Pavillon H - Service d'oncologie digestive, Lyon, 69437, France</t>
  </si>
  <si>
    <t>Research Site, Clermont-Ferrand, 63011, France</t>
  </si>
  <si>
    <t>Service d'Urologie de l'hôpital Lyon Sud, Pierre-Bénite, France</t>
  </si>
  <si>
    <t>LBM UNIBIO Jean Herve Lebras, Tain-l'Hermitage, 26600, France</t>
  </si>
  <si>
    <t>Chu de Rennes, Rennes, 35203, France</t>
  </si>
  <si>
    <t>Centre Hospitalier Hôtel Dieu, Chambéry, 73011, France</t>
  </si>
  <si>
    <t>Hôpital Cochin (APHP), Paris, France</t>
  </si>
  <si>
    <t>Institut Daniel Hollard, Grenoble, 38000, France</t>
  </si>
  <si>
    <t>Hôpital Edouard Herriot, Lyon, Rhône, 69437, France</t>
  </si>
  <si>
    <t>Hôpital Robert Debré, Reims, France</t>
  </si>
  <si>
    <t>Hôpitaux Civils de Colmar, Colmar, France</t>
  </si>
  <si>
    <t>CH, Le Mans, France</t>
  </si>
  <si>
    <t>CH de Dijon, Dijon, France</t>
  </si>
  <si>
    <t>Institut de Cancérologie de l'Ouest - Réné Gauducheau, Saint-Herblain, 44805, France</t>
  </si>
  <si>
    <t>Institut de cancérologie de Bourgogne, Dijon, 21000, France</t>
  </si>
  <si>
    <t>Centre Antoine LACASSAGNE DE NICE, Nice, 06100, France</t>
  </si>
  <si>
    <t>Hopital Edouard Herriot - Service d'Oncologie Digestive, Pavillon H, Lyon, 69437, France</t>
  </si>
  <si>
    <t>Research Site, Colmar, 68024, France</t>
  </si>
  <si>
    <t>Service de Chirurgie de l'hôpital Lyon Sud, Pierre-Bénite, France</t>
  </si>
  <si>
    <t>Laboratoire Trevoux-Dyomedea Neolab, Trévoux, 01600, France</t>
  </si>
  <si>
    <t>Chu de Saint-Etienne, Saint-Etienne, 42055, France</t>
  </si>
  <si>
    <t>CHU de Toulouse, Toulouse, France</t>
  </si>
  <si>
    <t>CHD Les Oudairies, La Roche-sur-Yon, 85925, France</t>
  </si>
  <si>
    <t>CHU de Rennes - Hôpital Pontchaillou, Rennes, France</t>
  </si>
  <si>
    <t>CH Compiègne-Noyon, Compiègne, France</t>
  </si>
  <si>
    <t>CHU, Limoges, France</t>
  </si>
  <si>
    <t>CHD Vendée, La Roche-sur-Yon, 85925, France</t>
  </si>
  <si>
    <t>Hôpital Trousseau - CHRU Tours, Tours, France</t>
  </si>
  <si>
    <t>Hôpital Emile Roux, Le Puy-en-Velay, 43000, France</t>
  </si>
  <si>
    <t>Institut Curie, site de Saint Cloud, Hopital, Saint-Cloud, France</t>
  </si>
  <si>
    <t>Hopital Edouard Herriot, Pavillion O, Oncologie Medicale, Lyon, 69437, France</t>
  </si>
  <si>
    <t>Research Site, Dijon, 21034, France</t>
  </si>
  <si>
    <t>Service de Dermatologie de l'hôpital Lyon Sud, Pierre-Bénite, France</t>
  </si>
  <si>
    <t>Hopitaux Universitaires de Strasbourg, Strasbourg, 67091, France</t>
  </si>
  <si>
    <t>Hôpital Civil de Colmar, Colmar, 68024, France</t>
  </si>
  <si>
    <t>Pitié Salpêtrière (APHP), Paris, France</t>
  </si>
  <si>
    <t>Hôpital André Mignot, Le Chesnay, 78150, France</t>
  </si>
  <si>
    <t>Hôpital Croix St Simon, Paris, 75012, France</t>
  </si>
  <si>
    <t>CHU Charles Nicolle, Rouen, France</t>
  </si>
  <si>
    <t>Hopital de l'archet 2, Nice, France</t>
  </si>
  <si>
    <t>CHG, Corbeil-Essonnes, France</t>
  </si>
  <si>
    <t>Clinique Chenieux, Limoges, France</t>
  </si>
  <si>
    <t>Centre Hospitalier de Laon, Laon, 02000, France</t>
  </si>
  <si>
    <t>CH Docteur Schaffner, Lens, 62218, France</t>
  </si>
  <si>
    <t>CHU de Nantes, CHU - hôpital Nord Laennec,, Saint-Herblain, 44800, France</t>
  </si>
  <si>
    <t>Hopital La Timone Service de Gastroenterologie et Oncologie Digestive, Marseille, 13005, France</t>
  </si>
  <si>
    <t>Hôpital FOCH, Suresnes, France</t>
  </si>
  <si>
    <t>Research Site, Draguignan, 83007, France</t>
  </si>
  <si>
    <t>Service de Gynécologie de l'hôpital Lyon Sud, Pierre-Bénite, France</t>
  </si>
  <si>
    <t>Chu de Toulouse, Toulouse, 31300, France</t>
  </si>
  <si>
    <t>CHU de Dijon, Dijon, 21079, France</t>
  </si>
  <si>
    <t>Hôpital Robert Boulin, Libourne, 33500, France</t>
  </si>
  <si>
    <t>Hôpital Saint-Antoine, Paris, 75012, France</t>
  </si>
  <si>
    <t>CHU de Saint Etienne, Saint-Priest-en-Jarez, France</t>
  </si>
  <si>
    <t>Clinique du Trocadero, Paris, France</t>
  </si>
  <si>
    <t>CHU - Hôpital François Mitterand, Dijon, France</t>
  </si>
  <si>
    <t>CH, Longjumeau, France</t>
  </si>
  <si>
    <t>CHU Dupuytren, Limoges, 87000, France</t>
  </si>
  <si>
    <t>Centre Hospitalier Universitaire de STRASBOURG, Strasbourg, France</t>
  </si>
  <si>
    <t>CHR d'Annecy, Metz-Tessy, 74370, France</t>
  </si>
  <si>
    <t>Institut de cancérologie de Lorraine, Vandœuvre-lès-Nancy, France</t>
  </si>
  <si>
    <t>Research Site, La Seyne-sur-Mer, 83500, France</t>
  </si>
  <si>
    <t>Service de Pneumologie de l'Hôpital Lyon Sud, Pierre-Bénite, France</t>
  </si>
  <si>
    <t>CHU de Grenoble, Grenoble, 38043, France</t>
  </si>
  <si>
    <t>Hôpital Claude Huriez, Lille, 59000, France</t>
  </si>
  <si>
    <t>CH, Dunkirk, France</t>
  </si>
  <si>
    <t>CH Pierre Benite, Lyon, France</t>
  </si>
  <si>
    <t>CHU de Limoges, Limoges, France</t>
  </si>
  <si>
    <t>CH, Longjumeau, 91160, France</t>
  </si>
  <si>
    <t>Centre Paul Strauss, Strasbourg, Strasbourg, France</t>
  </si>
  <si>
    <t>Centre Val D'Aurelle-Paul Lamarque, Montpellier, 34298, France</t>
  </si>
  <si>
    <t>Research Site, Le Mans, 72037, France</t>
  </si>
  <si>
    <t>Centre Hospitalier de Longjumeau, Longjumeau, 91164, France</t>
  </si>
  <si>
    <t>Hopital Européen George Pompidou, Paris, France</t>
  </si>
  <si>
    <t>CHU de Grenoble, Grenoble, France</t>
  </si>
  <si>
    <t>Hopital Europeen Marseille, Marseille, 13331, France</t>
  </si>
  <si>
    <t>Hôpital Edouard Herriot - Lyon, Lyon, 69437, France</t>
  </si>
  <si>
    <t>Clinique privée Jean Mermoz, Lyon, 69000, France</t>
  </si>
  <si>
    <t>Centre Hospitalier de Tourcoing, Tourcoing, France</t>
  </si>
  <si>
    <t>CRLC Val d'Aurelle, Montpellier, 34298, France</t>
  </si>
  <si>
    <t>Research Site, Longjumeau, 91161, France</t>
  </si>
  <si>
    <t>Groupe Hospitalier La Rochelle-Ré-Aunis, La Rochelle, 17019, France</t>
  </si>
  <si>
    <t>Chu Rouen, Rouen, France</t>
  </si>
  <si>
    <t>Hôpital Privé Jean Mermoz, Lyon, 69000, France</t>
  </si>
  <si>
    <t>Centre Eugène Marquis, Rennes, Île-et-Vilaine, 35000, France</t>
  </si>
  <si>
    <t>Hopital Robert Debré, Reims, France</t>
  </si>
  <si>
    <t>Institut Daniel Hollard / Groupe Hospitalier Mutualiste, Grenoble, France</t>
  </si>
  <si>
    <t>H Layné, Mont-de-Marsan, France</t>
  </si>
  <si>
    <t>Hôpital Européen, Marseille, 13000, France</t>
  </si>
  <si>
    <t>Centre Hospitalier de Valenciennes, Valenciennes, 59322, France</t>
  </si>
  <si>
    <t>Hopital de LA Source, Centre Hospitalier Regional, Orléans, 45067, France</t>
  </si>
  <si>
    <t>Research Site, Marseille, 13009, France</t>
  </si>
  <si>
    <t>Hôpital Flaubert, Le Havre, 76083, France</t>
  </si>
  <si>
    <t>CHP Saint Grégoire, Saint-Grégoire, France</t>
  </si>
  <si>
    <t>CHU Rangueil, Toulouse, France</t>
  </si>
  <si>
    <t>Clinique Sainte Marguerite, Hyères, France</t>
  </si>
  <si>
    <t>HEGP, Paris, 75020, France</t>
  </si>
  <si>
    <t>Hôptal Européen, Marseille, 13003, France</t>
  </si>
  <si>
    <t>Institut Paoli Calmettes, Marseille, 13000, France</t>
  </si>
  <si>
    <t>CH Pitie Salpetriere, Paris, 75013, France</t>
  </si>
  <si>
    <t>Research Site, Marseille, 13331, France</t>
  </si>
  <si>
    <t>CH Marne La Vallée Jossigny, Jossigny, France</t>
  </si>
  <si>
    <t>Hôpital La Pitié Salpêtrière, Paris, 75651, France</t>
  </si>
  <si>
    <t>Hôpital De La Timone, Marseille, 13365, France</t>
  </si>
  <si>
    <t>CH, Meaux, 77100, France</t>
  </si>
  <si>
    <t>Research Site, Mont-de-Marsan, 40000, France</t>
  </si>
  <si>
    <t>Chru Lille, Lille, 59037, France</t>
  </si>
  <si>
    <t>Chru Tours, Tours, France</t>
  </si>
  <si>
    <t>Assistance Publique des Hôpitaux de Marseille, Marseille, 13000, France</t>
  </si>
  <si>
    <t>CHD, La Roche-sur-Yon, France</t>
  </si>
  <si>
    <t>Centre Hospitalier de Meaux, Meaux, 77000, France</t>
  </si>
  <si>
    <t>CH, Niort, 79000, France</t>
  </si>
  <si>
    <t>Groupe Hospitalier Cochin, Paris, 75679, France</t>
  </si>
  <si>
    <t>Research Site, Montauban, 82013, France</t>
  </si>
  <si>
    <t>CHU Dupuytren, Limoges, 87042, France</t>
  </si>
  <si>
    <t>Chru Nancy, Vandœuvre-lès-Nancy, France</t>
  </si>
  <si>
    <t>Hôpital Saint Joseph, Marseille, 13000, France</t>
  </si>
  <si>
    <t>CHU - Claude Huriez, Lille, France</t>
  </si>
  <si>
    <t>CH St Jean, Perpignan, France</t>
  </si>
  <si>
    <t>Groupe Hospitalier du Havre Jacques Monod, Montivilliers, France</t>
  </si>
  <si>
    <t>Centre médical Oncogard, Nîmes, 30000, France</t>
  </si>
  <si>
    <t>Hopital Saint Jean, Perpignan, 66046, France</t>
  </si>
  <si>
    <t>Research Site, Nancy, 54100, France</t>
  </si>
  <si>
    <t>Hospices Civils de Lyon, Lyon, 69229, France</t>
  </si>
  <si>
    <t>Centre Hospitalier Belfort - Montbéliard, Montbéliard, 25200, France</t>
  </si>
  <si>
    <t>Hôpital du Scorff, Lorient, France</t>
  </si>
  <si>
    <t>Hôpital Haut Lévèque, Pessac, France</t>
  </si>
  <si>
    <t>CHU Hotel Dieu, Nantes, France</t>
  </si>
  <si>
    <t>CH Privé Sainte Marie, Osny, 95520, France</t>
  </si>
  <si>
    <t>Hôpital Haut Lévèque, Pessac, 33600, France</t>
  </si>
  <si>
    <t>Research Site, Orléans, 45000, France</t>
  </si>
  <si>
    <t>Hôpital Paul Brousse, Villejuif, 94804, France</t>
  </si>
  <si>
    <t>CHU Hôtel Dieu, Nantes, 44000, France</t>
  </si>
  <si>
    <t>CHU - Hôpital Edouard Herriot, Lyon, France</t>
  </si>
  <si>
    <t>Centre Cario - Hpca Saint Brieuc, Plérin, France</t>
  </si>
  <si>
    <t>Groupe Hospitalier La Pitié Salpêtrière, Paris, 75013, France</t>
  </si>
  <si>
    <t>Hopital de Cornouaille, Quimper, 29107, France</t>
  </si>
  <si>
    <t>Research Site, Paris, 75020, France</t>
  </si>
  <si>
    <t>Centre Catherine de Sienne, Nantes, 44200, France</t>
  </si>
  <si>
    <t>Clinique de la Sauvegarde, Lyon, France</t>
  </si>
  <si>
    <t>Hôpitaux Drome Nord, Romans-sur-Isère, France</t>
  </si>
  <si>
    <t>CHR d'Orléans La Source, Orléans, France</t>
  </si>
  <si>
    <t>Hôpital Cochin, Paris, 75679, France</t>
  </si>
  <si>
    <t>C.H.U. de Reims - Hôpital Robert Debré, Reims, 51092, France</t>
  </si>
  <si>
    <t>Research Site, Périgueux, 24004, France</t>
  </si>
  <si>
    <t>CHU La Timone, Marseille, 13385, France</t>
  </si>
  <si>
    <t>Hôpital de la Source, Orléans, 45000, France</t>
  </si>
  <si>
    <t>Hôpital de la Croix Rousse, Lyon, France</t>
  </si>
  <si>
    <t>CHU, Rouen, France</t>
  </si>
  <si>
    <t>Hôpital Tenon, Paris, 75970, France</t>
  </si>
  <si>
    <t>Hopital Robert Debre, Service D'Hepato-gastro-enterolo, Reims, 51092, France</t>
  </si>
  <si>
    <t>Research Site, Pontoise, 95301, France</t>
  </si>
  <si>
    <t>CHU Arnaud de Villeneuve, Montpellier, 34295, France</t>
  </si>
  <si>
    <t>Groupe Hospitalier Diaconesse Croix Saint Simon, Paris, 75000, France</t>
  </si>
  <si>
    <t>CHP, Saint-Grégoire, France</t>
  </si>
  <si>
    <t>Groupe hospitalier Paris Saint Joseph, Paris, France</t>
  </si>
  <si>
    <t>Hopital Européen Georges Pompidou, Paris, France</t>
  </si>
  <si>
    <t>Clinique Armoricaine, Saint-Brieuc, France</t>
  </si>
  <si>
    <t>Research Site, Pringy, 74374, France</t>
  </si>
  <si>
    <t>Centre Catherine de Sienne, Nantes, 44202, France</t>
  </si>
  <si>
    <t>Hôpital Tenon, Paris, 75020, France</t>
  </si>
  <si>
    <t>La Timone, Marseille, 13000, France</t>
  </si>
  <si>
    <t>Clinique Privée, Strasbourg, France</t>
  </si>
  <si>
    <t>Groupe hospitalier Pitié Salpétrière, Paris, France</t>
  </si>
  <si>
    <t>CH Saint Jean, Perpignan, 66000, France</t>
  </si>
  <si>
    <t>Pôle Hospitalier Mutualiste, Saint-Nazaire, 44600, France</t>
  </si>
  <si>
    <t>Research Site, Reims, 51056, France</t>
  </si>
  <si>
    <t>Hôpital Hôtel Dieu, Paris, France</t>
  </si>
  <si>
    <t>Hopitaux Du Leman, Thonon-les-Bains, France</t>
  </si>
  <si>
    <t>CH Annecy Genevois, Pringy, France</t>
  </si>
  <si>
    <t>Centre Cario HPCA, Plérin, 22190, France</t>
  </si>
  <si>
    <t>Clinique Mutualiste de l'estuaire, Saint-Nazaire, 44606, France</t>
  </si>
  <si>
    <t>Research Site, Reims, 51092, France</t>
  </si>
  <si>
    <t>Centre Hospitalier Georges Renon, Niort, 79021, France</t>
  </si>
  <si>
    <t>Hôpital Saint-Joseph, Paris, France</t>
  </si>
  <si>
    <t>Hôpital privé, Marseille, France</t>
  </si>
  <si>
    <t>Clinique Pasteur Groupe ONCORAD GARONNE, Toulouse, France</t>
  </si>
  <si>
    <t>CH Jacques Puel, Rodez, 12000, France</t>
  </si>
  <si>
    <t>CHU de Strasbourg - Hopital de Hautepierre / Service de Medecine Interne et Nutrition, Strasbourg, 67098, France</t>
  </si>
  <si>
    <t>Research Site, Reims, 51100, France</t>
  </si>
  <si>
    <t>CHRU Caremeau, Nîmes, 30029, France</t>
  </si>
  <si>
    <t>Hôpital Haut-Lévêque, Pessac, 33600, France</t>
  </si>
  <si>
    <t>CH - Centre Hospitalier de Meaux, Meaux, France</t>
  </si>
  <si>
    <t>Clinique Privée Pasteur, Toulouse, France</t>
  </si>
  <si>
    <t>CHU Charles Nicolle, Rouen, 76000, France</t>
  </si>
  <si>
    <t>Hopital Foch, Onco Hermatologie, Suresnes, 92151, France</t>
  </si>
  <si>
    <t>Research Site, Rennes, 35033, France</t>
  </si>
  <si>
    <t>Hôpital de la Source, Orléans, 45067, France</t>
  </si>
  <si>
    <t>Polyclinique Francheville, Périgueux, 24000, France</t>
  </si>
  <si>
    <t>Centre Antoine Lassagne, Nice, France</t>
  </si>
  <si>
    <t>Clinique Privée Saint Jean, Toulouse, France</t>
  </si>
  <si>
    <t>CHI Elbeuf, Saint-Aubin-lès-Elbeuf, France</t>
  </si>
  <si>
    <t>CH Foch, Suresnes, 92150, France</t>
  </si>
  <si>
    <t>Cabinet Medical, Vannes, 56000, France</t>
  </si>
  <si>
    <t>Research Site, Rouen, 76000, France</t>
  </si>
  <si>
    <t>Hôpital Hautepierre, Strasbourg, 67200, France</t>
  </si>
  <si>
    <t>Hôpital de la Source -service HGE et cancérologie digestive, Orléans, France</t>
  </si>
  <si>
    <t>Clinique St Jean Languedoc, Toulouse, France</t>
  </si>
  <si>
    <t>Hôpital Privé des Côtes d'Armor, Saint-Brieuc, 22190, France</t>
  </si>
  <si>
    <t>CHRU de Nancy, Vandœuvre-lès-Nancy, 54500, France</t>
  </si>
  <si>
    <t>Research Site, Saint-Grégoire, 35768, France</t>
  </si>
  <si>
    <t>Groupe Hospitalier Pitié-Salpêtrière, Paris, 75013, France</t>
  </si>
  <si>
    <t>CHU Brabois, Vandœuvre-lès-Nancy, 54500, France</t>
  </si>
  <si>
    <t>Hôpital de la Source- service d'oncologie, Orléans, France</t>
  </si>
  <si>
    <t>Centre Regional René Gauducheau, Saint-Herblain, France</t>
  </si>
  <si>
    <t>CHU Clarac, Fort-de-France, 97200, Martinique</t>
  </si>
  <si>
    <t>Research Site, Saint-Quentin, 02321, France</t>
  </si>
  <si>
    <t>Hôpital Paul Brousse, Villejuif, 94800, France</t>
  </si>
  <si>
    <t>CHU AP - HP - Hôpital Européen Georges Pompidou, Paris, France</t>
  </si>
  <si>
    <t>Clinique mutualiste de l'Estuaire, Saint-Nazaire, France</t>
  </si>
  <si>
    <t>Research Site, Soissons, 02209, France</t>
  </si>
  <si>
    <t>Hôpital Saint-Louis, Paris, 75475, France</t>
  </si>
  <si>
    <t>Hotel Dieu de France, Beirut, Lebanon</t>
  </si>
  <si>
    <t>Groupe Hospitalier Saint Joseph, Paris, France</t>
  </si>
  <si>
    <t>Institut de cancérologie Lucien Neuwirth, Saint-Priest-en-Jarez, 42271, France</t>
  </si>
  <si>
    <t>Research Site, Soyaux, 16800, France</t>
  </si>
  <si>
    <t>HEGP, Paris, 75908, France</t>
  </si>
  <si>
    <t>Hôpital La Pitié Salpetière, Paris, France</t>
  </si>
  <si>
    <t>Hôpital privé Saint Claude, Saint-Quentin, France</t>
  </si>
  <si>
    <t>Research Site, Strasbourg, 67000, France</t>
  </si>
  <si>
    <t>Centre Hospitalier Intercommunal Poissy -Saint Germain-en-Laye, Poissy, 78303, France</t>
  </si>
  <si>
    <t>CH Pau, Pau, France</t>
  </si>
  <si>
    <t>Research Site, Vichy, 03207, France</t>
  </si>
  <si>
    <t>CHU La Milétrie, Poitiers, 86021, France</t>
  </si>
  <si>
    <t>Centre Hospitalier Annecy Genevois, Pringy, France</t>
  </si>
  <si>
    <t>Research Site, Villefranche-sur-Saône, 69400, France</t>
  </si>
  <si>
    <t>CHU de Reims, Reims, 51092, France</t>
  </si>
  <si>
    <t>Centre Paul Strass, Strasbourg, France</t>
  </si>
  <si>
    <t>Research Site, Villejuif, 94804, France</t>
  </si>
  <si>
    <t>ICC Courlancy, Reims, 51100, France</t>
  </si>
  <si>
    <t>Polyclinique de l'Ormeau-GROP, Tarbes, France</t>
  </si>
  <si>
    <t>Institut Jean Godinot, Reims, 51100, France</t>
  </si>
  <si>
    <t>CHU - Charles Nicolle, Rouen, France</t>
  </si>
  <si>
    <t>Centre Hospitalier de Rangueil, Toulouse, 31059, France</t>
  </si>
  <si>
    <t>CHU, Saint-Etienne, France</t>
  </si>
  <si>
    <t>CH, Soissons, France</t>
  </si>
  <si>
    <t>CHU de Rouen, Rouen, 76031, France</t>
  </si>
  <si>
    <t>CH, St-Malo, France</t>
  </si>
  <si>
    <t>CHU Saint Etienne, Saint-Etienne, 42055, France</t>
  </si>
  <si>
    <t>ICO - Centre René Gauducheau, Saint-Herblain, 44804, France</t>
  </si>
  <si>
    <t>Clinique Sainte Anne, Strasbourg, France</t>
  </si>
  <si>
    <t>CLCC Paul Strauss, Strasbourg, 67033, France</t>
  </si>
  <si>
    <t>CH - Bigorra, Tarbes, France</t>
  </si>
  <si>
    <t>Hopital de Hautepierre - Hôpital Universitaire, Strasbourg, 67200, France</t>
  </si>
  <si>
    <t>Hôpityal Trousseau, Tours, France</t>
  </si>
  <si>
    <t>Institut Claudius Regaud - IUCT - Oncopole, Toulouse, 31059, France</t>
  </si>
  <si>
    <t>CH, Valenciennes, France</t>
  </si>
  <si>
    <t>CHU Bretonneau, Tours, 37044, France</t>
  </si>
  <si>
    <t>CH Simone VEIL, Troyes, 10003, France</t>
  </si>
  <si>
    <t>Hôpital Privé de Villeneuve d'Ascq, Villeneuve-d'Ascq, France</t>
  </si>
  <si>
    <t>Centre Hospitalier de Valence, Valence, 26953, France</t>
  </si>
  <si>
    <t>CHU Nancy - Hôpital Brabois, Vandœuvre-lès-Nancy, 54511, France</t>
  </si>
  <si>
    <t>Institut Curie - Paris site, Paris, Île-de-France Region, 75005, France</t>
  </si>
  <si>
    <t>CHU de Fort de France, Fort-de-France, 97261, Martinique</t>
  </si>
  <si>
    <t>The βIG-H3 Protein: a New Marker in PANCreatic Adenocarcinoma (BIGHPANC)</t>
  </si>
  <si>
    <t>Contrast Enhanced Harmonic Endoscopic Ultrasound (CEH-EUS) in Focal Pancreatic Masses</t>
  </si>
  <si>
    <t>University of Medicine and Pharmacy Craiova</t>
  </si>
  <si>
    <t>Proteomic Profiling to Differentiate Pancreatic and Biliary Adenocarcinomas</t>
  </si>
  <si>
    <t>Impact of Perioperative Nutritional Status and Management in the Context of Resectable Pancreatic Adenocarcinoma</t>
  </si>
  <si>
    <t>Sotorasib Combined With First-line Chemotherapy for Advanced Pancreatic Adenocarcinoma</t>
  </si>
  <si>
    <t>Spanish Cooperative Group for the Treatment of Digestive Tumours (TTD)</t>
  </si>
  <si>
    <t>PAncreatic Adenocarcinoma in Hospital</t>
  </si>
  <si>
    <t>Centre Hospitalier Departemental Vendee</t>
  </si>
  <si>
    <t>Contrast-harmonic Endoscopic Ultrasound (CH-EUS) for the Diagnosis of Pancreatic Adenocarcinoma</t>
  </si>
  <si>
    <t>Prognostic and Predictive Markers of Treatment Response in Patients With PAC.</t>
  </si>
  <si>
    <t>Trial Comparing Adjuvant Chemotherapy With Gemcitabine Versus mFolfirinox to Treat Resected Pancreatic Adenocarcinoma</t>
  </si>
  <si>
    <t>Gemcitabine and Paclitaxel vs Gemcitabine Alone After FOLFIRINOX Failure in Metastatic Pancreatic Ductal Adenocarcinoma</t>
  </si>
  <si>
    <t>Study Investigating the Association of NP137 With mFOLFIRINOX in Locally Advanced Pancreatic Ductal Adenocarcinoma</t>
  </si>
  <si>
    <t>University Hospital, Grenoble</t>
  </si>
  <si>
    <t>Evaluation of Polychemotherapy With XELOXIRI-3 in Elderly or Frail Patients With Advanced Pancreatic Adenocarcinoma</t>
  </si>
  <si>
    <t>Trial Evaluating Combined Chemotherapy in Patients With Metastatic Pancreatic Adenocarcinoma</t>
  </si>
  <si>
    <t>First Line Treatment of Patients With Metastatic Pancreatic Adenocarcinoma.</t>
  </si>
  <si>
    <t>Trial Evaluating the Efficacy of Laying a Biliary Stent for Producing a Heavy Chemotherapy in Unresectable Pancreatic Adenocarcinomas</t>
  </si>
  <si>
    <t>Study of Ibrutinib vs Placebo, in Combination With Nab-paclitaxel and Gemcitabine, in the First Line Treatment of Patients With Metastatic Pancreatic Adenocarcinoma (RESOLVE)</t>
  </si>
  <si>
    <t>Pharmacyclics LLC.</t>
  </si>
  <si>
    <t>Maintenance With Olaparib or Selumetinib + Durvaluma for m-PDAC Guided by BRCAness and KRAS Status.</t>
  </si>
  <si>
    <t>Study of Efficacy and Safety of NIS793 in Combination With Standard of Care (SOC) Chemotherapy in First-line Metastatic Pancreatic Ductal Adenocarcinoma (mPDAC) - daNIS-2</t>
  </si>
  <si>
    <t>Prospective Cohort of Patients Treated Using Neoadjuvant Modified FOLFIRINOX 6 Cycles for Potentially Resectable Pancreatic Duct Adenocarcinoma, Candidate for Participation in the PANACHE02 Clinical Trial</t>
  </si>
  <si>
    <t>Management of Symptomatic Advanced Pancreatic Adenocarcinoma</t>
  </si>
  <si>
    <t>Neo-adjuvant FOLF(IRIN)OX for Resectable Pancreatic Adenocarcinoma</t>
  </si>
  <si>
    <t>Study of Efficacy and Safety of NIS793 (With and Without Spartalizumab) in Combination With SOC Chemotherapy in First-line Metastatic Pancreatic Ductal Adenocarcinoma (mPDAC)</t>
  </si>
  <si>
    <t>Endoscopic Ultrasound Elastography in Pancreatic Masses</t>
  </si>
  <si>
    <t>Study to Assess Safety, Tolerability and Activity of DSB2455 in Participants With Advanced Malignancies</t>
  </si>
  <si>
    <t>Duke Street Bio Ltd</t>
  </si>
  <si>
    <t>EUS Biliary Drainage vs. ERCP</t>
  </si>
  <si>
    <t>McGill University Health Centre/Research Institute of the McGill University Health Centre</t>
  </si>
  <si>
    <t>Evaluation of the Impact of Pancreatectomy on Systemic Immunity</t>
  </si>
  <si>
    <t>A Safety, Efficacy and Pharmacokinetic Study of Siltuximab (CNTO 328) in Participants With Solid Tumors</t>
  </si>
  <si>
    <t>Centocor, Inc.</t>
  </si>
  <si>
    <t>A Study to Learn About the Medicine Ponsegromab in Adults With Cancer of the Pancreas Which Has Spread and Caused Significant Body Weight Loss and Fatigue</t>
  </si>
  <si>
    <t>Efficacy and Safety Study of Tisotumab Vedotin for Patients With Solid Tumors</t>
  </si>
  <si>
    <t>Colonization of Bile Ducts and Postoperative Infectious Complications of Pancreaticoduodenectomies</t>
  </si>
  <si>
    <t>CHU Gabriel-Montpied</t>
  </si>
  <si>
    <t>https://www.chu-clermontferrand.fr/liste-services/unite-de-bilan-et-oncologie-digestive-ubod</t>
  </si>
  <si>
    <t xml:space="preserve">Hôpital Gabriel-Montpied is not the principal pancreatic cancer treatment site of CHU Clermont-Ferrand. Current CHU documentation locates dedicated HPB/pancreatic surgery, digestive endoscopy and pancreatic/digestive oncology at Hôpital Estaing. Radiotherapy is provided within Jean Perrin. </t>
  </si>
  <si>
    <t>https://www.chu-clermontferrand.fr/liste-services/chirurgie-digestive-et-hepatobiliaire/gagniere-johan</t>
  </si>
  <si>
    <t>https://www.chu-clermontferrand.fr/offres-demploi/oncologue-medical</t>
  </si>
  <si>
    <t>PANDAURA (PDAC)  Steering Committee</t>
  </si>
  <si>
    <t>560997715614368796</t>
  </si>
  <si>
    <t>Christian Bredin</t>
  </si>
  <si>
    <t>626079490518303745</t>
  </si>
  <si>
    <t>626080130963358727</t>
  </si>
  <si>
    <t>626080254242341889</t>
  </si>
  <si>
    <t>Fabien Darfeuil</t>
  </si>
  <si>
    <t>Clinique Générale Valence</t>
  </si>
  <si>
    <t>626077504632800256</t>
  </si>
  <si>
    <t>626077205553759242</t>
  </si>
  <si>
    <t>Juliette Joubert-Zakeyh</t>
  </si>
  <si>
    <t>621591710790599729</t>
  </si>
  <si>
    <t>CH de Vichy</t>
  </si>
  <si>
    <t>626078985633154057</t>
  </si>
  <si>
    <t>Institut Daniel Hollard</t>
  </si>
  <si>
    <t>ID00098</t>
  </si>
  <si>
    <t xml:space="preserve">Jean Perrin provided chemotherapy, radiotherapy, pathology and molecular profiling. </t>
  </si>
  <si>
    <t>626077360290022421</t>
  </si>
  <si>
    <t>Hervé Devaud</t>
  </si>
  <si>
    <t>CJP's 2024 activity report states that Dr Hervé Devaud performs an upper digestive EUS session for analysis and puncture, notably of pancreatic lesions.</t>
  </si>
  <si>
    <t>Sub-investigator clinical trial</t>
  </si>
  <si>
    <t>928421611939824159</t>
  </si>
  <si>
    <t>902767082217686016</t>
  </si>
  <si>
    <t>Honorary Members of ESPOIR. Author of the Pancreatic cancer guide for ARCAD. Head of the rapid pancreas diagnostic centre. Principal investigator clinical trial.</t>
  </si>
  <si>
    <t>Doctor participating in the BACAP project. Part of the team for pancreatic cancer. Principal investigator clinical trial.</t>
  </si>
  <si>
    <t>626079550882726913</t>
  </si>
  <si>
    <t>Doctor participating in the BACAP project. Principal investigator clinical trial.</t>
  </si>
  <si>
    <t>Clinical Trial Coordinator. Prepared the guide Pancreatic Cancer in Questions published by thr ARCAD Foundation for Espoir Pancreas. Author of the Pancreatic cancer guide for ARCAD. Principal investigator clinical trial.</t>
  </si>
  <si>
    <t>626079568591078407</t>
  </si>
  <si>
    <t>Head of PTBC, Director of Basic and Translational Research at CGFL. Part of the team that treats pancreatic cancer. Specialised in digestive cancers. Principal investigator clinical trial.</t>
  </si>
  <si>
    <t>Lead investigator in the BACAP project. Head of department treating pancreatic cancer. Contact person clinical trial.</t>
  </si>
  <si>
    <t>626079959902864386</t>
  </si>
  <si>
    <t>Centre Catalan d'Oncologie Saint-Pierre</t>
  </si>
  <si>
    <t>626077336273437711</t>
  </si>
  <si>
    <t>CH de Perpignan</t>
  </si>
  <si>
    <t>ID000100</t>
  </si>
  <si>
    <t>Works in Pancreatology and Digestive Oncology department where pancreatic cancer is treated. Principal investigator clinical trial.</t>
  </si>
  <si>
    <t>626077898637329409</t>
  </si>
  <si>
    <t>621591768646829098</t>
  </si>
  <si>
    <t>626077599138857985</t>
  </si>
  <si>
    <t>CHU Hôtel-Dieu</t>
  </si>
  <si>
    <t>626127797902918657</t>
  </si>
  <si>
    <t>Contact person clinical trial.</t>
  </si>
  <si>
    <t>929016751080735263</t>
  </si>
  <si>
    <t>Lead investigator in the BACAP project. Principal investigator clinical trial.</t>
  </si>
  <si>
    <t>929771110859014712</t>
  </si>
  <si>
    <t>Head of surgery treating pancreatic cancer. Principal investigator clinical trial.</t>
  </si>
  <si>
    <t>626078467099739147</t>
  </si>
  <si>
    <t>Member of the research committee of Societe Francaise Pancreas. Contact person clinical trial.</t>
  </si>
  <si>
    <t>Head of department of HPB and liver Transplanation where pancreatic cancer surgery takes place. Principal investigator clinical trial.</t>
  </si>
  <si>
    <t>Doctor participating in the project of BACAP. Principal investigator clinical trial.</t>
  </si>
  <si>
    <t>931916314406421023</t>
  </si>
  <si>
    <t>Part of the team for digestive cancers where pancreatic cancer is treated. Contact person clinical trial.</t>
  </si>
  <si>
    <t>Doctor participating in the BACAP project. Contact person clinical trial.</t>
  </si>
  <si>
    <t>626078933707670530</t>
  </si>
  <si>
    <t>Bogdan-Dumitru Badic</t>
  </si>
  <si>
    <t>https://chirurgie-viscerale-digestive.chu-brest.fr/notre-equipe/professeur-b-badic</t>
  </si>
  <si>
    <t>Professor Bogdan Badic is a renowned specialist in  colorectal, hepatobiliary, and pancreatic surgery. He joined the Brest University Hospital in 2010 to develop the  visceral and digestive surgery activity .</t>
  </si>
  <si>
    <t>626077543899874313</t>
  </si>
  <si>
    <t>Jérémie Thereaux</t>
  </si>
  <si>
    <t>https://chirurgie-viscerale-digestive.chu-brest.fr/notre-equipe/professeur-j-thereaux</t>
  </si>
  <si>
    <t>746206035395494913</t>
  </si>
  <si>
    <t>Guillaume Bouguen</t>
  </si>
  <si>
    <t>https://www.chu-rennes.fr/je-cherche/services-348/maladies-de-lappareil-digestif-5.html</t>
  </si>
  <si>
    <t>626077642784785417</t>
  </si>
  <si>
    <t>Laurent Sulpice</t>
  </si>
  <si>
    <t>Head of Hepatobiliary and digestive surgery where pancreatic cancer is treated</t>
  </si>
  <si>
    <t>https://www.chu-rennes.fr/je-cherche/services-348/chirurgie-hepatobiliaire-et-digestive-8.html</t>
  </si>
  <si>
    <t>https://www.chu-rennes.fr/je-cherche/medecins-349/bouguen-guillaume-48.html</t>
  </si>
  <si>
    <t>544957943074784276</t>
  </si>
  <si>
    <t>KOL</t>
  </si>
  <si>
    <t>Beaujon has site-level evidence for pancreatic oncology/pancreatology, pancreatic surgery, EUS/CPRE and rapid pancreatic diagnosis. These activities are organised across dedicated pancreatic, HPB surgical and digestive endoscopy services.</t>
  </si>
  <si>
    <t>Head of HPB and liver-transplant surgery where pancreatic cancer is treated</t>
  </si>
  <si>
    <t>https://www.aphp.fr/beaujon/service-de-chirurgie-hepato-bilio-pancreatique-et-transplantation-hepatique</t>
  </si>
  <si>
    <t>Leads the Hepatobiliary and pancreatic surgery consultation</t>
  </si>
  <si>
    <t>Head of pancreatic cancer consultation</t>
  </si>
  <si>
    <t>608464748220007427</t>
  </si>
  <si>
    <t>Frédéric Prat</t>
  </si>
  <si>
    <t>His service performs EUS and CPRE and treats pancreatic/biliary tumours.</t>
  </si>
  <si>
    <t>https://www.aphp.fr/beaujon/service-d-endoscopie-digestive</t>
  </si>
  <si>
    <t>560997242077447169</t>
  </si>
  <si>
    <t>Charles Honoré</t>
  </si>
  <si>
    <t>Heads the department that explicitly operates hepatobiliary-pancreatic cancers.</t>
  </si>
  <si>
    <t>626077559947281409</t>
  </si>
  <si>
    <t>Hichem Belkhodja</t>
  </si>
  <si>
    <t>Endoscopist in the department of digestive cancer who perform EUS. Pancreatic cancer is treated in this department</t>
  </si>
  <si>
    <t>626079453667148805</t>
  </si>
  <si>
    <t>Simona Cosconea Cioac</t>
  </si>
  <si>
    <t>Gustave Roussy provides pancreatic cancer diagnosis, systemic therapy, oncological surgery, EUS and weekly multidisciplinary review at Villejuif. The InstaDiag Pancreas pathway directly integrates radiology, oncology and surgery.</t>
  </si>
  <si>
    <t>Paul-Brousse combines a pancreatic/HPB surgical pathway in the Centre Hépato-Biliaire with a medical oncology service explicitly treating malignant pancreatic tumours. The site also conducts pancreatic systemic-treatment research.</t>
  </si>
  <si>
    <t>https://www.aphp.fr/cochin/service-de-gastro-enterologie-et-oncologie-digestive</t>
  </si>
  <si>
    <t>Cochin has site-level pancreatic surgery, digestive oncology and specialised pancreaticobiliary endoscopy. A dedicated rapid diagnostic pathway links gastroenterology, surgery, pathology and imaging.</t>
  </si>
  <si>
    <t>https://hopital-georgespompidou.aphp.fr/hopital-europeen-georges-pompidou-hegp/service-d-hepato-gastro-enterologie-et-oncologie-digestive</t>
  </si>
  <si>
    <t>Mehdi Karoui</t>
  </si>
  <si>
    <t>846225154492072962</t>
  </si>
  <si>
    <t>Heads the surgical service explicitly treating pancreatic cancer.</t>
  </si>
  <si>
    <t>https://hopital-georgespompidou.aphp.fr/hopital-europeen-georges-pompidou-hegp/service-de-chirurgie-digestive-generale-et-cancerologique</t>
  </si>
  <si>
    <t>560999511573398537</t>
  </si>
  <si>
    <t>Christophe Cellier</t>
  </si>
  <si>
    <t>Heads the service specialising in pancreatic and biliary disease, including pancreatic cancer.</t>
  </si>
  <si>
    <t>et</t>
  </si>
  <si>
    <t>HEGP has documented pancreatic cancer activity across medical oncology, digestive surgery and pancreaticobiliary gastroenterology/endoscopy. The oncology service also conducts clinical research.</t>
  </si>
  <si>
    <t>Léo Mas</t>
  </si>
  <si>
    <t>Pamela Funk-Debleds</t>
  </si>
  <si>
    <t>Albdelkader Taibi</t>
  </si>
  <si>
    <t>Johan Gagnière</t>
  </si>
  <si>
    <t>Leïla Bengrine-Lefevre</t>
  </si>
  <si>
    <t>Bogdan Badic</t>
  </si>
  <si>
    <t>Is the local surgical consultant for the RENATEN network for neuroendocrine tumors, he performs simple and complex pancreatic surgery . He is head of the department where pancreatic cancer surgery takes place.</t>
  </si>
  <si>
    <t>Management of Pathogenic CDH1 Variant Carriers Within the FREGAT Network: A Multicentric Retrospective Study.</t>
  </si>
  <si>
    <t>Meher Ben Abdelghani</t>
  </si>
  <si>
    <t>Anne-Marie Marion-Audibert</t>
  </si>
  <si>
    <t>626078047526732817</t>
  </si>
  <si>
    <t>Béatrice Aussilhou</t>
  </si>
  <si>
    <t>Jean-Marc Régimbeau</t>
  </si>
  <si>
    <t>Investigate</t>
  </si>
  <si>
    <t>Clinical Trial Coordinator. Member of the research committee of Societe Francaise Pancreas. Deputy Coordinator/Director of the French Research Network against Pancreatic Adenocarcinoma. Principal investigator clinical trial.</t>
  </si>
  <si>
    <t>IPC provides multidisciplinary pancreatic cancer care including surgery, systemic therapy and pancreatic-specific research.</t>
  </si>
  <si>
    <t>https://ressources-aura.fr/wp-content/uploads/2020/01/Thesaurus_CAT_patients_atteints_adenocarcinomes_pancreas_mel_20191118.pdf</t>
  </si>
  <si>
    <t>560999396699800579</t>
  </si>
  <si>
    <t>Erwan Bories</t>
  </si>
  <si>
    <t>626078431347491844</t>
  </si>
  <si>
    <t>Arthur Belle</t>
  </si>
  <si>
    <t>626077962164257812</t>
  </si>
  <si>
    <t>Pierre Michel</t>
  </si>
  <si>
    <t>626079047163593745</t>
  </si>
  <si>
    <t>Barbara Alkofer</t>
  </si>
  <si>
    <t>Reviewer of the guideline on PDAC</t>
  </si>
  <si>
    <t>Cabinet de Médecine Digestive</t>
  </si>
  <si>
    <t>ID00101</t>
  </si>
  <si>
    <t>Part of the Pancreatic Tumor Center. Reviewer of the guideline on PDAC</t>
  </si>
  <si>
    <t>626077570550481932</t>
  </si>
  <si>
    <t>Olivier Baton</t>
  </si>
  <si>
    <t>Santé Atlantique</t>
  </si>
  <si>
    <t>ID00102</t>
  </si>
  <si>
    <t>626079637411218434</t>
  </si>
  <si>
    <t>CHI de Cornouaille</t>
  </si>
  <si>
    <t>Performs pancreatic surgery. Part of the team for pancreatic cancer. Reviewer of the guideline on PDAC</t>
  </si>
  <si>
    <t>626078217572205598</t>
  </si>
  <si>
    <t>Hôpital de la Côte de Nacre</t>
  </si>
  <si>
    <t>ID00104</t>
  </si>
  <si>
    <t>Doctor participating in the BACAP project. Reviewer of the guideline on PDAC</t>
  </si>
  <si>
    <t>626077850578994177</t>
  </si>
  <si>
    <t>Honorary Members of ESPOIR. Reviewer of the guideline on PDAC</t>
  </si>
  <si>
    <t>560998232017077255</t>
  </si>
  <si>
    <t>Serge Evrard</t>
  </si>
  <si>
    <t>826810970432095232</t>
  </si>
  <si>
    <t>Delphine Farneti</t>
  </si>
  <si>
    <t>626079663231353858</t>
  </si>
  <si>
    <t>Renaud Flamein</t>
  </si>
  <si>
    <t>Clinique du Millénaire</t>
  </si>
  <si>
    <t>ID00105</t>
  </si>
  <si>
    <t>621591913526477828</t>
  </si>
  <si>
    <t>626079426798437380</t>
  </si>
  <si>
    <t>Marie-Pierre Galais</t>
  </si>
  <si>
    <t>Reference person for the rapid pancreas diagnostic centre. Principal investigator clinical trial. Reviewer of the guideline on PDAC</t>
  </si>
  <si>
    <t>560997274205815812</t>
  </si>
  <si>
    <t>Julien Genes</t>
  </si>
  <si>
    <t>Cabinet de gastro-entérologie de Riom</t>
  </si>
  <si>
    <t>ID00106</t>
  </si>
  <si>
    <t>2 Bis Rue Grégoire de Tours</t>
  </si>
  <si>
    <t>Riom</t>
  </si>
  <si>
    <t>626079664959407117</t>
  </si>
  <si>
    <t>Adeline Germain</t>
  </si>
  <si>
    <t>928848168786854431</t>
  </si>
  <si>
    <t>CH de Flers</t>
  </si>
  <si>
    <t>Pierre Emmanuel Henneresse</t>
  </si>
  <si>
    <t>626078351496332288</t>
  </si>
  <si>
    <t>Ségolène Lardenois</t>
  </si>
  <si>
    <t>Hôpital-Clinique Claude Bernard</t>
  </si>
  <si>
    <t>626079643182580737</t>
  </si>
  <si>
    <t>Clinique Mutualiste Porte de l'Orient</t>
  </si>
  <si>
    <t>Guillaume Le Roux</t>
  </si>
  <si>
    <t>626080327953040386</t>
  </si>
  <si>
    <t>Elisabeth Luporsi</t>
  </si>
  <si>
    <t>Hôpital de Mercy</t>
  </si>
  <si>
    <t>1 Allée du Château</t>
  </si>
  <si>
    <t>Ars-Laquenexy</t>
  </si>
  <si>
    <t>626080038789334017</t>
  </si>
  <si>
    <t>Sylvain Manfredi</t>
  </si>
  <si>
    <t>626077119234982913</t>
  </si>
  <si>
    <t>Yann Mouchel</t>
  </si>
  <si>
    <t>CH Bretagne-Atlantique</t>
  </si>
  <si>
    <t>608464739906896918</t>
  </si>
  <si>
    <t>Christophe Penna</t>
  </si>
  <si>
    <t>Doctor participating in the BACAP project. Member of the research committee of Societe Francaise Pancreas. Part of the team for pancreatic cancer. Study contact clinical trial. Reviewer of the guideline on PDAC</t>
  </si>
  <si>
    <t>Principal investigator clinical trial. Reviewer of the guideline on PDAC</t>
  </si>
  <si>
    <t>626077521451959300</t>
  </si>
  <si>
    <t>Polyclinique du Parc</t>
  </si>
  <si>
    <t>ID00112</t>
  </si>
  <si>
    <t>20 Avenue du Capitaine Georges Guynemer</t>
  </si>
  <si>
    <t>Emmanuel Sevin</t>
  </si>
  <si>
    <t>Doctor participating in the BACAP project. Head of Digestive, oncological and minimally invasive surgery where pancreatic cancer surgery takes place. Study director clinical trial. Reviewer of the guideline on PDAC</t>
  </si>
  <si>
    <t>608464659460146194</t>
  </si>
  <si>
    <t>Benoît Terris</t>
  </si>
  <si>
    <t>Part of the team for pancreatic cancer. Reviewer of the guideline on PDAC</t>
  </si>
  <si>
    <t>626077785231737866</t>
  </si>
  <si>
    <t>626077656407884831</t>
  </si>
  <si>
    <t>Jean-Christophe Valats</t>
  </si>
  <si>
    <t>929448594702467615</t>
  </si>
  <si>
    <t>Charles Vanbrugghe</t>
  </si>
  <si>
    <t>CHAMPCUEIL</t>
  </si>
  <si>
    <t>ANNEMASSE</t>
  </si>
  <si>
    <t>544957882114769921</t>
  </si>
  <si>
    <t>Clinique Bizet</t>
  </si>
  <si>
    <t>https://pitiesalpetriere.aphp.fr/hepato-gastro-enterologie/#1497515052454-3aaf8eee-3072</t>
  </si>
  <si>
    <t>Clinical Trial Coordinator, principal investigator clinical trial. Head of the digestive oncology unit where pancreatic cancer is treated. Member of the ARCAD pancreatic working-group steering committee. Faculty on the 2025–26 inter-university pancreatology programme, specifically teaching metastatic pancreatic cancer chemotherapy.</t>
  </si>
  <si>
    <t>Heads the Department of Digestive, Hepatobiliary and Endocrine Surgery Cochin Hospital APHP Center where pancreatic cancer is treated. Reference point for the rapid pancreas diagnostic centre. Principal investigator clinical trial. Explicitly named in Cochin's pancreatic-lesion rapid-diagnosis team as a pancreatic digestive surgeon.</t>
  </si>
  <si>
    <t>560996976485729292</t>
  </si>
  <si>
    <t>Bertrand Dousset</t>
  </si>
  <si>
    <t>Explicitly named among Cochin's pancreatic digestive surgeons in the pancreatic rapid-diagnosis pathway.</t>
  </si>
  <si>
    <t>626077826788901892</t>
  </si>
  <si>
    <t>Pierre-Philippe Massault</t>
  </si>
  <si>
    <t>Head of the department of Gastroenterology and Digestive Oncology Department where pancreatic cancer is treated. Reviewer of the guideline on PDAC. Explicitly named in Cochin's gastroenterology and pancreatology team for pancreatic lesions.</t>
  </si>
  <si>
    <t>608464691152307237</t>
  </si>
  <si>
    <t>Explicitly named in Cochin's gastroenterology and pancreatology team for pancreatic lesions.</t>
  </si>
  <si>
    <t>Specifically named in the pancreatic pathway's interventional endoscopy team.</t>
  </si>
  <si>
    <t>626078472359396386</t>
  </si>
  <si>
    <t>Catherine Brezault-Bonnet</t>
  </si>
  <si>
    <t>Pathologist involved in pancreatic cancer</t>
  </si>
  <si>
    <t>https://institutducancer-hopitauxnord-u-paris.aphp.fr/vers-laccreditation-oeci/programme-18-digestive-cancers/</t>
  </si>
  <si>
    <t>Unknown</t>
  </si>
  <si>
    <t xml:space="preserve">Lead investigator in the BACAP project. Veeva address missing. </t>
  </si>
  <si>
    <t>Clinique du Trocadéro</t>
  </si>
  <si>
    <t>929771110839943713</t>
  </si>
  <si>
    <t>Rafaële Gerometta</t>
  </si>
  <si>
    <t>https://www.trocadero-cliniques-paris.fr/les-specialistes/dr-rafaele-gerometta/</t>
  </si>
  <si>
    <t>Specialised in organs of the digestive tract uncluding the pancreas.</t>
  </si>
  <si>
    <t>Trocadéro plays a role in the diagnostic/endoscopic pancreatic pathway.</t>
  </si>
  <si>
    <t>62 Rue de la Tour</t>
  </si>
  <si>
    <t>https://curie.fr/actualite/nominations-hopital-semestre-1-2026</t>
  </si>
  <si>
    <t>https://curie.fr/personne/pauline-vaflard</t>
  </si>
  <si>
    <t>Contact person clinical trial. Specialised in breast and digestive oncology.</t>
  </si>
  <si>
    <t>918721356856574976</t>
  </si>
  <si>
    <t>Saint-Louis has documented pancreatic cancer within its digestive-oncology service.</t>
  </si>
  <si>
    <t>Part of the Pancreatic Tumor Center. Digestive Surgery Department Head of department where pancreatic cancer is treated. Current chief of digestive surgery.</t>
  </si>
  <si>
    <t>Team member of the pancreatic cancer centre</t>
  </si>
  <si>
    <t>https://www.hpsj.fr/specialites/chirurgie-digestive/</t>
  </si>
  <si>
    <t>Saint-Joseph has a structured pancreatic tumour centre incorporating endoscopy, biliary drainage, biopsy, pancreatic surgery, medical oncology, pathology and RCP.</t>
  </si>
  <si>
    <t>Bichat itself has documented pancreatic disease/cancer gastroenterology and digestive oncology.</t>
  </si>
  <si>
    <t>626078984618132488</t>
  </si>
  <si>
    <t>Hakim Bêcheur</t>
  </si>
  <si>
    <t>Head of Department of Hepatogastroenterology, Digestive Oncology and Proctology, Oncogenetics where pancreatic cancer is treated</t>
  </si>
  <si>
    <t>https://www.aphp.fr/bichat-claude-bernard/service-d-hepato-gastroenterologie-de-cancerologie-digestive-et-proctologie</t>
  </si>
  <si>
    <t>Saint-Antoine has explicit pancreatic cancer surgery through a named HPB team and integrated medical oncology/digestive care.</t>
  </si>
  <si>
    <t>https://www.aphp.fr/saint-antoine/service-d-oncologie-medicale</t>
  </si>
  <si>
    <t>Head of department where pancreatic cancer is treated. Principal investigator in clinical trial but broader gastrointestinal.</t>
  </si>
  <si>
    <t>608464697821250567</t>
  </si>
  <si>
    <t>François Paye</t>
  </si>
  <si>
    <t>Part of the dedicated HPB pancreatic team where pancreatic cancer surgery takes place</t>
  </si>
  <si>
    <t>Provide  radiotherapy for pancreatic cancer. For digestive cancers, patients go to Saint Antoine.</t>
  </si>
  <si>
    <t>The department of oncology explicitly treats cancers of the digestive system including pancreatic cancer.</t>
  </si>
  <si>
    <t>626078673769874434</t>
  </si>
  <si>
    <t>Marion Simon</t>
  </si>
  <si>
    <t>Responsible for biliary and pancreatic endoscopy (ERCP)</t>
  </si>
  <si>
    <t>https://imm.fr/nos-specialites/hepato-gastro-enterologie/equipe-hepato-gastro-enterologie/cv-docteur-marion-simon-2/</t>
  </si>
  <si>
    <t>Head of department of oncology where pancreatic cancer is treated</t>
  </si>
  <si>
    <t>https://imm.fr/nos-specialites/cancerologie-oncologie/equipe-cancerologie-oncologie/</t>
  </si>
  <si>
    <t>Principal investigator clinical trial Member of the US Task Force on Pancreas and Cancer. President of the Scientific Council of the ARCAD Foundation</t>
  </si>
  <si>
    <t>https://imm.fr/nos-specialites/cancerologie-oncologie/equipe-cancerologie-oncologie/cv-professeur-christophe-louvet/</t>
  </si>
  <si>
    <t>928880308605485599</t>
  </si>
  <si>
    <t>Émilie Soularue</t>
  </si>
  <si>
    <t>https://imm.fr/nos-specialites/cancerologie-oncologie/equipe-cancerologie-oncologie/cv-docteur-emilie-soularue-2/</t>
  </si>
  <si>
    <t>Current profile includes pancreatic cancer research among her work. Part of the oncology team where pancreatic cancer is treated.</t>
  </si>
  <si>
    <t>608464685968147478</t>
  </si>
  <si>
    <t>Olivier Soubrane</t>
  </si>
  <si>
    <t>https://imm.fr/nos-specialites/chirurgie/equipe-chirurgie-digestive/cv-professeur-olivier-soubrane/</t>
  </si>
  <si>
    <t>Head of the Digestive Surgery Department where pancreatic cancer surgery takes place. Member of the International Hepato-Pancreato-Biliary Association since 2005</t>
  </si>
  <si>
    <t>544958039090791446</t>
  </si>
  <si>
    <t>ICL Saint-Vincent de Paul</t>
  </si>
  <si>
    <t>ID00113</t>
  </si>
  <si>
    <t>Huriez has medical oncology, pancreatic surgery, pancreatic disease/endoscopy, RCP, trials and translational research. The ARS specifically authorises the CHU Lille site for complex digestive oncological surgery including the pancreas.</t>
  </si>
  <si>
    <t>Pancreatic cancer is explicitly treated, systemic therapy and EUS are available, digestive RCPs occur on site, molecular oncology exists, and the new ARS authorisation includes complex pancreatic cancer surgery.</t>
  </si>
  <si>
    <t>544957866906223617</t>
  </si>
  <si>
    <t>Clinique Tivoli Ducos</t>
  </si>
  <si>
    <t>626079825433478145</t>
  </si>
  <si>
    <t>https://www.bergonie.fr/cancer/digestif/</t>
  </si>
  <si>
    <t>626078106322486273</t>
  </si>
  <si>
    <t>Sophie Pesque</t>
  </si>
  <si>
    <t>Hôpital Suburbain du Bouscat</t>
  </si>
  <si>
    <t>ID00116</t>
  </si>
  <si>
    <t>97 Avenue Georges Clémenceau</t>
  </si>
  <si>
    <t>Le Bouscat</t>
  </si>
  <si>
    <t xml:space="preserve">Sophie strengthened the interventional activity of the Bergonié insitute from an endoscopic perspective for pancreatic cancer. </t>
  </si>
  <si>
    <t>Head of the Early Phase Trials and Sarcoma Units at Institut Bergonié. Together with Simon Pernot he is in charge of early-phase clinical trials for pancreatic cancer.</t>
  </si>
  <si>
    <t>Reviewer of the guideline on PDAC. In charge of the early-phase clinical trials in digestive oncology and pancreatic cancer.</t>
  </si>
  <si>
    <t>932692518661197180</t>
  </si>
  <si>
    <t>Fanny Castanet</t>
  </si>
  <si>
    <t>Current Bergonié report explicitly states she was recruited as a digestive surgeon trained in pancreatic surgery to strengthen the pancreatic pathway</t>
  </si>
  <si>
    <t>Institut Bergonié is Bordeaux's CLCC and a regional referral centre for digestive oncology. Its pancreatic programme spans diagnosis/EUS, bilio-pancreatic intervention, systemic therapy, pancreatic surgery, pancreas-specific surgical RCP and molecular research.</t>
  </si>
  <si>
    <t>Polyclinique Bordeaux Nord-Aquitaine</t>
  </si>
  <si>
    <t>544958361104286724</t>
  </si>
  <si>
    <t>626078583013524482</t>
  </si>
  <si>
    <t>Cédric Lécaille</t>
  </si>
  <si>
    <t>Co-animator of the current RCP that is explicitly authorised for recours chirurgie pancréas</t>
  </si>
  <si>
    <t>930477125124620831</t>
  </si>
  <si>
    <t>Antoine Thicoipe</t>
  </si>
  <si>
    <t>PBNA is a large private MCO hospital with digestive oncology, interventional gastroenterology, chemotherapy and visceral surgery.</t>
  </si>
  <si>
    <t xml:space="preserve">Clinique Tivoli-Ducos is a private Bordeaux hospital with a sizeable oncology/chemotherapy service, gastroenterology and digestive surgery. They provide care for pancreatic cancer patients. </t>
  </si>
  <si>
    <t>President pancreatic cancer congress.</t>
  </si>
  <si>
    <t>560999429306319875</t>
  </si>
  <si>
    <t>Patrice Viens</t>
  </si>
  <si>
    <t>OPENING</t>
  </si>
  <si>
    <t>https://www.onco-hdf.fr/app/uploads/2019/11/Pancreatic-Cancer-1511.pdf</t>
  </si>
  <si>
    <t>SESSION 1 SCREENING &amp; EARLY DIAGNOSIS</t>
  </si>
  <si>
    <t>Scientific committee pancreatic cancer congress</t>
  </si>
  <si>
    <t>626127782627263489</t>
  </si>
  <si>
    <t>Head of the Department of Oncological Surgery 1 where pancreatic cancer is treated. Scientific committee pancreatic cancer congress</t>
  </si>
  <si>
    <t>Molecular type and therapeutic impact</t>
  </si>
  <si>
    <t>BRCA Patients Transferred: What Support in 2020?</t>
  </si>
  <si>
    <t>SESSION 2 CLINICAL PRACTICE</t>
  </si>
  <si>
    <t>How to “prepare” a patient with an operable pancreatic adenocarcinoma?</t>
  </si>
  <si>
    <t>691807269641274369</t>
  </si>
  <si>
    <t>Cécile Bannier-Braticevic</t>
  </si>
  <si>
    <t>Is a preoperative intensive nutrition is needed:</t>
  </si>
  <si>
    <t>Locally advanced pancreatic adenocarcinoma</t>
  </si>
  <si>
    <t>What are the Limits of Surgery?</t>
  </si>
  <si>
    <t>Do we need Expert Centers to increase the survival?</t>
  </si>
  <si>
    <t>SESSION 3 LOCAL THERAPIES</t>
  </si>
  <si>
    <t>Surgical ampullectomy</t>
  </si>
  <si>
    <t>Endoscopic ampullectomy</t>
  </si>
  <si>
    <t>Folfirinox in pancreatic adenocarcinoma</t>
  </si>
  <si>
    <t>History of pancreatic surgery</t>
  </si>
  <si>
    <t>560998176241222658</t>
  </si>
  <si>
    <t>Jean-Luc Raoul</t>
  </si>
  <si>
    <t>SESSION 6 PANCREATIC ADENOCARCINOMA : WHAT’S NEW ?</t>
  </si>
  <si>
    <t>Endoscopy</t>
  </si>
  <si>
    <t>Chemotherapy</t>
  </si>
  <si>
    <t>CONDUITES À TENIR DEVANT DES PATIENTS ATTEINTS D’ADÉNOCARCINOME DU PANCRÉAS</t>
  </si>
  <si>
    <t>Cancer du pancréas – Chapitre 9, Thésaurus National de Cancérologie Digestive</t>
  </si>
  <si>
    <t>https://www.snfge.org/tncd/cancer-du-pancreas</t>
  </si>
  <si>
    <t>608464737851687954</t>
  </si>
  <si>
    <t>Pr Thomas APARICIO, is leader of Digestive Oncology at Saint-Louis Hospital where pancreatic cancer is treated. However, his main focuses are oesogastric cancer, colorectal cancer, small bowel adenocarcinoma, oncogeriatry and immunotherapy. Reviewer guideline pancreatic cancer.</t>
  </si>
  <si>
    <t>Reviewer guideline pancreatic cancer.</t>
  </si>
  <si>
    <t>626077268535428097</t>
  </si>
  <si>
    <t>Léonor Benhaim</t>
  </si>
  <si>
    <t>Guideline Reviewer Pancreatic Cancer</t>
  </si>
  <si>
    <t>626077397208286222</t>
  </si>
  <si>
    <t>Mathilde Brasseur</t>
  </si>
  <si>
    <t>621591820555535402</t>
  </si>
  <si>
    <t>Dany Gargot</t>
  </si>
  <si>
    <t>CH de Blois</t>
  </si>
  <si>
    <t>ID00118</t>
  </si>
  <si>
    <t>621591774032315427</t>
  </si>
  <si>
    <t>Reza Kianmanesh</t>
  </si>
  <si>
    <t>626078078262592522</t>
  </si>
  <si>
    <t>Dine Koriche</t>
  </si>
  <si>
    <t>626077797344887810</t>
  </si>
  <si>
    <t>626077444696196102</t>
  </si>
  <si>
    <t>Léon Maggiori</t>
  </si>
  <si>
    <t>626078461026386946</t>
  </si>
  <si>
    <t>Pascale Mariani</t>
  </si>
  <si>
    <t>621591880970290223</t>
  </si>
  <si>
    <t>CH de Rodez</t>
  </si>
  <si>
    <t>ID00119</t>
  </si>
  <si>
    <t>929771110839419431</t>
  </si>
  <si>
    <t>Benjamin Menahem</t>
  </si>
  <si>
    <t>846225389331153920</t>
  </si>
  <si>
    <t>Enam Sobkeng-Goufack</t>
  </si>
  <si>
    <t>CH de Château-Thierry</t>
  </si>
  <si>
    <t>ID00120</t>
  </si>
  <si>
    <t>621591617668662282</t>
  </si>
  <si>
    <t>Christine Silvain</t>
  </si>
  <si>
    <t>INCa – Cancers du pancréas: du diagnostic au suivi</t>
  </si>
  <si>
    <t>https://www.cancer.fr/content/download/4699/file/Cancer_du_pancreas_du_diagnostic_au_suivi_mel_20200605.pdf?version=8</t>
  </si>
  <si>
    <t>Pancreatic cancer: French clinical practice guidelines for diagnosis, treatment and follow-up (SNFGE, FFCD, GERCOR, UNICANCER, SFCD, SFED, SFRO, ACHBT, AFC)</t>
  </si>
  <si>
    <t>https://pubmed.ncbi.nlm.nih.gov/30219670/</t>
  </si>
  <si>
    <t>621591688057472001</t>
  </si>
  <si>
    <t>Bruno Heyd</t>
  </si>
  <si>
    <t>9:15-9:30: Introduction</t>
  </si>
  <si>
    <t>https://www.canceropole-est.org/journee-cancer-du-pancreas/</t>
  </si>
  <si>
    <t>Management of pancreatic cancer – Part 1</t>
  </si>
  <si>
    <t>931502753157022239</t>
  </si>
  <si>
    <t>Marine Perrier</t>
  </si>
  <si>
    <t>Translational Research and the Pancreas-CGE Cohort – Part 1</t>
  </si>
  <si>
    <t>Translational Research and the Pancreas-CGE Cohort – Part 2</t>
  </si>
  <si>
    <t>930239065010340383</t>
  </si>
  <si>
    <t>The role of pesticides in the epidemiology of pancreatic cancer</t>
  </si>
  <si>
    <t>Plasma metabolome analysis in pancreatic adenocarcinoma</t>
  </si>
  <si>
    <t>Management of pancreatic cancer – Part 2</t>
  </si>
  <si>
    <t xml:space="preserve">Sarcopenia and pancreatic cancer </t>
  </si>
  <si>
    <t>CHP Saint-Grégoire</t>
  </si>
  <si>
    <t>ID00121</t>
  </si>
  <si>
    <t>Pancreatic cancer is treated by the CCDO Bretagne team</t>
  </si>
  <si>
    <t>626079177094743046</t>
  </si>
  <si>
    <t>Litavan Khamphommala</t>
  </si>
  <si>
    <t>https://www.ccdo-bretagne.fr/docteur-litavan-khamphommala.php</t>
  </si>
  <si>
    <t>Specialised in the surgery of digestive cancers, particularly those of the stomach and pancreas.</t>
  </si>
  <si>
    <t>626079005514155010</t>
  </si>
  <si>
    <t>Claire Pery</t>
  </si>
  <si>
    <t>https://www.ccdo-bretagne.fr/docteur-claire-pery.php</t>
  </si>
  <si>
    <t xml:space="preserve"> Dr. PERY has developed expertise in cancer surgery of the stomach, liver, and pancreas. She also performs these surgeries using laparoscopic techniques (video-assisted surgery).</t>
  </si>
  <si>
    <t>Row Labels</t>
  </si>
  <si>
    <t>Grand Total</t>
  </si>
  <si>
    <t>Count of City</t>
  </si>
  <si>
    <t>ID00123</t>
  </si>
  <si>
    <t>The European Hospital has established an emergency pathway dedicated to the rapid diagnosis and treatment of suspected tumors and cancer, including pancreatic cancer.</t>
  </si>
  <si>
    <t>Doctor participating in the BACAP project. Named current cancer lead for a service explicitly treating pancreatic cancer</t>
  </si>
  <si>
    <t>https://fr.ap-hm.fr/cancer/specialites/cancers-digestifs</t>
  </si>
  <si>
    <t>626078778426147842</t>
  </si>
  <si>
    <t>Belinda Aider</t>
  </si>
  <si>
    <t>626127796275528706</t>
  </si>
  <si>
    <t>Stéphane Berdah</t>
  </si>
  <si>
    <t>https://fr.ap-hm.fr/category/disciplines/chirurgie-digestive</t>
  </si>
  <si>
    <t>Leads the service thay performs research in the field of pancreatic cancer.</t>
  </si>
  <si>
    <t>Digestive oncology service explicitly diagnoses and treats pancreatic cancer</t>
  </si>
  <si>
    <t>Hôpital Nord has a genuinely broad pancreas programme: digestive oncology, specialist pancreaticobiliary gastroenterology, interventional endoscopy and pancreatic surgery.</t>
  </si>
  <si>
    <t>Doctor participating in the BACAP project. Member of the research committee of Societe Francaise Pancreas. Head of endoscopy and digestive oncogenetics</t>
  </si>
  <si>
    <t>https://fr.ap-hm.fr/site/cancer-marseille/adulte/cancers-digestifs/equipe</t>
  </si>
  <si>
    <t>https://fr.ap-hm.fr/service/chirurgie-generale-et-transplantation-hepatique-hopital-timone</t>
  </si>
  <si>
    <t>Doctor participating in the BACAP project. Head of the digestive surger department where pancreatic cancer surgery takes place.</t>
  </si>
  <si>
    <t>Performs pancreatic cancer surgery.</t>
  </si>
  <si>
    <t>ID00124</t>
  </si>
  <si>
    <t>Clinique Bouchard</t>
  </si>
  <si>
    <t>Emilie Grégoire</t>
  </si>
  <si>
    <t>626077895567098896</t>
  </si>
  <si>
    <t>https://www.digestifmarseille.com/dr-emilie-gregoire</t>
  </si>
  <si>
    <t>Specialised in pancreatic surgery.</t>
  </si>
  <si>
    <t>931560372761199135</t>
  </si>
  <si>
    <t>Mihane Nayeri</t>
  </si>
  <si>
    <t>934912072280640863</t>
  </si>
  <si>
    <t>Caroline Bugnon</t>
  </si>
  <si>
    <t>https://www.digestifmarseille.com/copie-de-dr-mihane-nayeri</t>
  </si>
  <si>
    <t>https://www.digestifmarseille.com/dr-mihane-nayeri</t>
  </si>
  <si>
    <t>766621953434862593</t>
  </si>
  <si>
    <t>Cécilia Servajean-Defranchi</t>
  </si>
  <si>
    <t>Hôpital Européen</t>
  </si>
  <si>
    <t>Part of the urgence pancreatic cancer pathway and presented the pathway programme</t>
  </si>
  <si>
    <t>626079655589331969</t>
  </si>
  <si>
    <t>Régis Fara</t>
  </si>
  <si>
    <t>560997219856024594</t>
  </si>
  <si>
    <t>Vincent Valantin</t>
  </si>
  <si>
    <t>Presented the oncology pathway at European Hospital: emergency endoscopy: biliary drainage in the context of a biliopancreatic neoplasm</t>
  </si>
  <si>
    <t>608464700966978583</t>
  </si>
  <si>
    <t>Maxime Palazzo</t>
  </si>
  <si>
    <t>He was the responsible physician for the 2025 SFED Masterclass in diagnostic EUS at Hôpital Européen, including biliopancreatic EUS</t>
  </si>
  <si>
    <t>560998249968698376</t>
  </si>
  <si>
    <t>Saint Joseph Hospital has developed a multidisciplinary approach to facilitate early, rapid and reliable diagnosis and treatment of pancreatic, liver and bile duct emergencies.</t>
  </si>
  <si>
    <t>560996691113673747</t>
  </si>
  <si>
    <t>Arthur Laquiere</t>
  </si>
  <si>
    <t>Arthur Laquière, coordinator of the Endoscopy Department and hepatogastroenterologist at Saint Joseph Hospital, is developing a multi-center clinical study on the potential of artificial intelligence for diagnosing pancreatic cancer.</t>
  </si>
  <si>
    <t>https://www.hopital-saint-joseph.fr/espace-medias/les-actualites/les-dernieres-actualites/fondation--soutenez-letude-clinique-sur-le-diagnostic-du-cancer-du-pancreas-</t>
  </si>
  <si>
    <t>929771110847152687</t>
  </si>
  <si>
    <t>Sami Hamed</t>
  </si>
  <si>
    <t>Current Foie-Pancréas pathway surgeon and explicitly listed for pancreatic robotic surgery.</t>
  </si>
  <si>
    <t>626079040075219972</t>
  </si>
  <si>
    <t>Xavier Hanna</t>
  </si>
  <si>
    <t>Current Foie-Pancréas rapid pathway surgeon; Saint Joseph also explicitly lists him among surgeons performing pancreatic robotic surgery.</t>
  </si>
  <si>
    <t>794273500704556033</t>
  </si>
  <si>
    <t>Olivia Pietri</t>
  </si>
  <si>
    <t>Explicitly named in the current Urgences Foie-Pancréas medical team.</t>
  </si>
  <si>
    <t>929771110861636127</t>
  </si>
  <si>
    <t>Floriane Sellier</t>
  </si>
  <si>
    <t>Member of the teaching committee of Societe Francaise Pancreas. Performed research on PANCREATECTOMY after endoscopic astrojejunostomy (pancake)</t>
  </si>
  <si>
    <t>846225194379904000</t>
  </si>
  <si>
    <t>Performed research on The role of surgery in pancreatic metastases: a French multicenter experience. Study contact clinical trial.</t>
  </si>
  <si>
    <t>929771110848332337</t>
  </si>
  <si>
    <t>Elena Fernandez De Sevilla Gomez</t>
  </si>
  <si>
    <t>Performed research on Pseudopapillary and Solid Pancreatic Tumors: Management, long-term follow-up, and risk factors for recurrence</t>
  </si>
  <si>
    <t>932692518690426220</t>
  </si>
  <si>
    <t>Pierre De Mathelin</t>
  </si>
  <si>
    <t>Head of visceral and digestive surgery where pancreatic cancer surgery takes place. Lead of the study CANCER PROFILE - PREDICTIVE AND PERSONALIZED MEDICINE OF PANCREATIC CANCER</t>
  </si>
  <si>
    <t>Institut Strauss explicitly lists pancreatic cancer among cancers treated and has a current pancreatic-specific oncologist and pancreatic clinical-trial activity.</t>
  </si>
  <si>
    <t>https://www.institut-strauss.fr/praticiens/meher-ben-abdelghani/?utm_source=chatgpt.com</t>
  </si>
  <si>
    <t>626079852016976921</t>
  </si>
  <si>
    <t>Christine Belletier</t>
  </si>
  <si>
    <t>https://www.institut-strauss.fr/praticiens/christine-belletier/</t>
  </si>
  <si>
    <t>Specialised in pancreatic cancer</t>
  </si>
  <si>
    <t>933656547897183604</t>
  </si>
  <si>
    <t>https://www.institut-strauss.fr/praticiens/cecile-bigot/</t>
  </si>
  <si>
    <t>Cécile Bigot</t>
  </si>
  <si>
    <t>626079353389728773</t>
  </si>
  <si>
    <t>https://www.institut-strauss.fr/praticiens/pascale-chiappa/</t>
  </si>
  <si>
    <t>Pascale Chiappa</t>
  </si>
  <si>
    <t>544957962033038342</t>
  </si>
  <si>
    <t>Clinique de l'Orangerie</t>
  </si>
  <si>
    <t>The clinic has digestive surgery and its official ELSAN description explicitly mentions HPB surgery including pancreatic cancer as part of the surgical field. It also hosts a regional digestive RCP.</t>
  </si>
  <si>
    <t>544957589494957059</t>
  </si>
  <si>
    <t>Clinique Sainte-Anne</t>
  </si>
  <si>
    <t>802793630132618241</t>
  </si>
  <si>
    <t>Hugo Herrscher</t>
  </si>
  <si>
    <t>Research on nab-paclitaxel + gemcitabine in metastatic pancreatic cancer</t>
  </si>
  <si>
    <t>Sainte-Anne has a dedicated oncology/chemotherapy service operated with Strasbourg Oncologie Libérale, and there is direct evidence of pancreatic cancer systemic therapy at this clinic.</t>
  </si>
  <si>
    <t>Clinical Trial Coordinator, principal investigator.</t>
  </si>
  <si>
    <t>626127791267529729</t>
  </si>
  <si>
    <t>626079807691572236</t>
  </si>
  <si>
    <t>Hôpital Privé de la Loire</t>
  </si>
  <si>
    <t>https://www.chu-toulouse.fr/pr-bournet-barbara</t>
  </si>
  <si>
    <t>National Coordinator of BACAP. President of the French Association for Research on Pancreatic Cancer. Principal investigator clinical trial. Reviewer of the guideline on PDAC. current head of Gastroenterology and Pancreatology. Member of INSERM ImPact Team 10: Therapeutic Innovation in Pancreatic Cancer</t>
  </si>
  <si>
    <t>https://www.chu-toulouse.fr/pr-buscail-louis</t>
  </si>
  <si>
    <t>https://www.chu-toulouse.fr/-oncologie-medicale-</t>
  </si>
  <si>
    <t>Doctor participating in the BACAP project, gead of the HPB unit</t>
  </si>
  <si>
    <t>https://chirurgie-digestive-toulouse.fr/pr-bertrand-suc/</t>
  </si>
  <si>
    <t>https://www.chu-toulouse.fr/pr-carrere-nicolas</t>
  </si>
  <si>
    <t>Doctor participating in the BACAP project. Principal investigator clinical trial. Head of department where pancreatic cancer is treated.</t>
  </si>
  <si>
    <t>544957095280116746</t>
  </si>
  <si>
    <t>Clinique Ambroise Paré</t>
  </si>
  <si>
    <t>ID00129</t>
  </si>
  <si>
    <t>626079342048330757</t>
  </si>
  <si>
    <t>Paulo Pereira</t>
  </si>
  <si>
    <t>https://www.elsan.care/fr/praticien/chirurgien-visceral-et-digestif/pereira-paulo?layout=clinique-ambroise-par%C3%A9-toulouse</t>
  </si>
  <si>
    <t>On the occasion of World Cancer Day, Dr. Pereira shares his expertise on pancreatic cancer. He is specialised in pancreatic (cancer) surgery.</t>
  </si>
  <si>
    <t>Comprendre le cancer du pancréas et les traitements.</t>
  </si>
  <si>
    <t>https://www.youtube.com/shorts/FEh4WuOm4TE</t>
  </si>
  <si>
    <t>544958368821806083</t>
  </si>
  <si>
    <t>Clinique Pasteur Toulouse</t>
  </si>
  <si>
    <t>Gastroenterology treats pancreatic malignancy and pancreatic disease. The surgery page explicitly includes pancreatic cancer.</t>
  </si>
  <si>
    <t>626080066899559427</t>
  </si>
  <si>
    <t>Damien Andrieu</t>
  </si>
  <si>
    <t>https://www.clinique-pasteur.com/praticiens/andrieu-damien/</t>
  </si>
  <si>
    <t>Works in the department where pancreatic cancer surgery takes place.</t>
  </si>
  <si>
    <t>Lead investigator of the BACAP project . Part of the team for pancreatic cancer. Reviewer of the guideline on PDAC. Contact person clinical trial.</t>
  </si>
  <si>
    <t>Doctor participating in the BACAP project. Sub-investigator clinical trial.</t>
  </si>
  <si>
    <t>Doctor participating in the project of BACAP. Sub-investigator clinical trial.</t>
  </si>
  <si>
    <t>Doctor participating in the BACAP project. Part of the team for pancreatic cancer. Sub-investigator clinical trial.</t>
  </si>
  <si>
    <t>Pontchaillou is the CHU site where the Centre Hépato-Digestif and hepatobiliary/digestive surgery service are located. The digestive medicine service explicitly treats cancer du pancréas, while the surgical service explicitly treats pancreatic cancers and describes itself as a referral service for the Grand Ouest.</t>
  </si>
  <si>
    <t>626078551824679938</t>
  </si>
  <si>
    <t>Astrid Lièvre</t>
  </si>
  <si>
    <t>Works in the department where pancreatic cancer is treated.</t>
  </si>
  <si>
    <t>626079432116814850</t>
  </si>
  <si>
    <t>https://www.chu-rennes.fr/je-cherche/medecins-349/lievre-astrid-1435.html</t>
  </si>
  <si>
    <t>https://www.centreleonberard.fr/institution/annuaire/lledo-gerard</t>
  </si>
  <si>
    <t>Marion Deslandres-Cruchant</t>
  </si>
  <si>
    <t>Head of department of the digestive system where pancreatic cancer is treated, but his specialty is more IBD focused.</t>
  </si>
  <si>
    <t>Sub-Investigator clinical trial</t>
  </si>
  <si>
    <t>Doctor participating in the BACAP project, Sub-Investigator clinical trial</t>
  </si>
  <si>
    <t>Reste-t-il une place pour la radiothérapie avant la chirurgie du pancréas ?</t>
  </si>
  <si>
    <t>https://www.oncobretagne.fr/wp-content/uploads/2026/02/pre-programme-hepato2026.pdf</t>
  </si>
  <si>
    <t>https://www.chu-rennes.fr/je-cherche/medecins-349/sulpice-laurent-33.html</t>
  </si>
  <si>
    <t>Doctor participating in the BACAP project, Principal Investigator</t>
  </si>
  <si>
    <t>Doctor participating in the BACAP project. Reviewer of the guideline on PDAC. Head of Department / Coordinator of the Digestive Surgery Department, Sub-Investigator clinical trial</t>
  </si>
  <si>
    <t>CEM explicitly lists cancer du pancréas among digestive cancers treated and states that its clinicians collaborate with CHU Rennes. It has highly current pancreatic clinical-trial activity.</t>
  </si>
  <si>
    <t>Participated in the Revolution Medicines clinical trial with the centre. CEM explicitly quotes him describing its participation in the pancreatic trial; he is also president of the Unicancer Gastrointestinal Group.</t>
  </si>
  <si>
    <t>Lead investigator in the BACAP project, Contact Clinical trial</t>
  </si>
  <si>
    <t>https://www.centre-eugene-marquis.fr/praticien/edeline-julien/</t>
  </si>
  <si>
    <t>626077197735576583</t>
  </si>
  <si>
    <t>https://www.centre-eugene-marquis.fr/cancer-du-pancreas-un-medicament-prometteur-teste-a-rennes/</t>
  </si>
  <si>
    <t>Doctor participating in the BACAP project. Part of the team for pancreatic cancer. Reviewer of the guideline on PDAC, Sub-investigator clinical trial</t>
  </si>
  <si>
    <t>TEST_00051</t>
  </si>
  <si>
    <t>https://www.centre-eugene-marquis.fr/wp-content/uploads/2023/04/bon-de-demande-biopsie-liquide.pdf</t>
  </si>
  <si>
    <t>Generic chemotherapy authorisation exists, but no pancreatic-specific systemic-treatment activity at Hôpital Sud was found. Current CHU pages also place the Centre Hépato-Digestif and pancreatic/HPB services at Pontchaillou.</t>
  </si>
  <si>
    <t>608464750837253129</t>
  </si>
  <si>
    <t>ID00131</t>
  </si>
  <si>
    <t>544957822555653120</t>
  </si>
  <si>
    <t>Participated in a clinical trial</t>
  </si>
  <si>
    <t>Hôpital Sud de Rennes</t>
  </si>
  <si>
    <t>There is clear evidence of digestive cancer surgery at La Sagesse and cancer collaboration within the Rennes system. No evidence that pancreatic cancer surgery, pancreatic EUS/ERCP or pancreatic systemic therapy is actually performed at La Sagesse.</t>
  </si>
  <si>
    <t>Doctor participating in the BACAP project, Sub-investigator clinical trial</t>
  </si>
  <si>
    <t>ID00132</t>
  </si>
  <si>
    <t>https://www.afihge.org/offre-dinstallation-a-rennes-clinique-la-sagesse/</t>
  </si>
  <si>
    <t>Saint-Laurent has an authorised cancer chemotherapy activity, but the explicit oncology programme identified is thoracic oncology. Its digestive endoscopy service describes gastroscopy, colonoscopy, polypectomy, mucosectomy and related procedures, but not pancreatic EUS, EUS-FNA/FNB or ERCP/CPRE.</t>
  </si>
  <si>
    <t>Lead investigator in the BACAP project, Sub-investigator clinical trial</t>
  </si>
  <si>
    <t>Doctor participating in the BACAP project. Part of the team for pancreatic cancer. Sub-investigator clinical trial</t>
  </si>
  <si>
    <t xml:space="preserve">Doctor participating in the BACAP project. </t>
  </si>
  <si>
    <t>Principal investagator clinical trial</t>
  </si>
  <si>
    <t>Member of the research committee of Societe Francaise Pancreas. Deputy Coordinator/Director of the French Research Network against Pancreatic Adenocarcinoma. Contact clinical trial.</t>
  </si>
  <si>
    <t>Asmahane Benmaziane-Teillet</t>
  </si>
  <si>
    <t>https://www.sfed.org/liste-des-centres-des-rcp/</t>
  </si>
  <si>
    <t>Member of the research committee of Societe Francaise Pancreas. Reviewer of the guideline on PDAC. leads the Nice pancreatic RCP listed by SFED and coordinates the Nice competence centre for rare pancreatic diseases.</t>
  </si>
  <si>
    <t>Damien Massalou</t>
  </si>
  <si>
    <t>626080195975070724</t>
  </si>
  <si>
    <t>CHU Nice explicitly describes his robotic surgery activity as including pancreatic cancers.</t>
  </si>
  <si>
    <t>691778840296440833</t>
  </si>
  <si>
    <t>https://www.chu-nice.fr/patients-visiteurs/prise-en-charge-cancer/</t>
  </si>
  <si>
    <t>A participating centre in BACAP. The endoscopy unit performs echo-endoscopy and ERCP and oncology explicitly mentions cancer of the pancreas. Digestive cancer surgery takes place here.</t>
  </si>
  <si>
    <t>929158891597922847</t>
  </si>
  <si>
    <t>Digestive surgery for cancers takes place in Archet. The explicit EUS/ERCP service is at Archet.</t>
  </si>
  <si>
    <t>608464739965617197</t>
  </si>
  <si>
    <t>Clinical trials on pancreatic cancer. CAL has a major medical-oncology department treating digestive malignancies, a gastroenterology RCP, systemic cancer treatment and digestive endoscopy.</t>
  </si>
  <si>
    <t>Clinical Trial Coordinator. Prepared the guide Pancreatic Cancer in Questions published by thr ARCAD Foundation for Espoir Pancreas. heads the service explicitly treating pancreatic cancer. Principal investagator clinical trial</t>
  </si>
  <si>
    <t>The clinic explicitly states that its gastroenterology team manages pancreatic and hepatobiliary pathologies.</t>
  </si>
  <si>
    <t>544958096561144835</t>
  </si>
  <si>
    <t>Polyclinique Saint-George</t>
  </si>
  <si>
    <t>ID00133</t>
  </si>
  <si>
    <t>626127770237289481</t>
  </si>
  <si>
    <t>Emmanuel Benizri</t>
  </si>
  <si>
    <t>Current surgeon at Clinique Saint George; his current professional profile explicitly lists chirurgie du pancréas and digestive oncology among his treated conditions.</t>
  </si>
  <si>
    <t>https://benizri-chirurgie.com/chirurgie-digestive-nice/</t>
  </si>
  <si>
    <t>Baclesse explicitly lists cancer du pancréas among the digestive cancers it treats and has a dedicated digestive cancer pathway covering oncology, surgery and endoscopic diagnosis. Its endoscopy service explicitly diagnoses pancreatic cancers, and the centre is currently recruiting pancreatic-cancer trials.</t>
  </si>
  <si>
    <t>929460063085527583</t>
  </si>
  <si>
    <t>Mélanie Dos Santos</t>
  </si>
  <si>
    <t>Only oncologist in the digestive cancer team where pancreatic cancer is treated</t>
  </si>
  <si>
    <t>Aurélie Parzy</t>
  </si>
  <si>
    <t>626077647130084356</t>
  </si>
  <si>
    <t>https://www.baclesse.fr/specialite/endoscopies/</t>
  </si>
  <si>
    <t>691807263769248795</t>
  </si>
  <si>
    <t>Contact clinical trial</t>
  </si>
  <si>
    <t>Effect of Chemoradiotherapy vs Chemotherapy on Survival in Patients With Locally Advanced Pancreatic Cancer Controlled After 4 Months of Gemcitabine With or Without Erlotinib</t>
  </si>
  <si>
    <t>https://jamanetwork.com/journals/jama/fullarticle/2518265</t>
  </si>
  <si>
    <t>806463553564328961</t>
  </si>
  <si>
    <t>Benoît Dupont</t>
  </si>
  <si>
    <t>Reviewer guideline pancreatic cancer. Head of the department of Hepatobiliary and Pancreatic Surgery</t>
  </si>
  <si>
    <t>https://www.chu-caen.fr/page-services/chirurgie-digestive/</t>
  </si>
  <si>
    <t>626078406592709634</t>
  </si>
  <si>
    <t>CH de Carcassonne</t>
  </si>
  <si>
    <t>ID00134</t>
  </si>
  <si>
    <t>544958211736732676</t>
  </si>
  <si>
    <t>544957380945773601</t>
  </si>
  <si>
    <t>544958250123002885</t>
  </si>
  <si>
    <t>Digestive oncology is delivered locally through consultation, day-hospital and weekly hospitalisation. Have dedicated pancreatic surgery and pancreatic diseases consultation.</t>
  </si>
  <si>
    <t>Part of Polyclinique du Parc.</t>
  </si>
  <si>
    <t>ID00135</t>
  </si>
  <si>
    <t>544957405188850689</t>
  </si>
  <si>
    <t>Hôpital Privé Saint-Martin</t>
  </si>
  <si>
    <t>Head of digestive oncology where pancreatic cancer is treated, Principal investagator clinical trial</t>
  </si>
  <si>
    <t>General gastroenterology includes diseases of the pancreas, but this is a generic specialty definition rather than evidence of pancreatic cancer activity.</t>
  </si>
  <si>
    <t>931519628674007583</t>
  </si>
  <si>
    <t>The Polyclinique du Parc has an active HGE service and multiple gastroenterologists, but its current institutional description merely says gastroenterology concerns organs including the pancreas.</t>
  </si>
  <si>
    <t>CAEDA</t>
  </si>
  <si>
    <t>ID00136</t>
  </si>
  <si>
    <t>ID00137</t>
  </si>
  <si>
    <t>Clinique Victor Hugo</t>
  </si>
  <si>
    <t>Treatment Center/Day Hospital 1 clinical trial Centre d'Endoscopie Digestive de Strasbourg</t>
  </si>
  <si>
    <t>https://www.doctolib.fr/gastro-enterologue/strasbourg/irina-tchoumak</t>
  </si>
  <si>
    <t>Frédéric Viret</t>
  </si>
  <si>
    <t>626079181918192647</t>
  </si>
  <si>
    <t>Head of department treating pancreatic cancer, Contact clinical trial</t>
  </si>
  <si>
    <t>946085663936092322</t>
  </si>
  <si>
    <t>CH du Mans</t>
  </si>
  <si>
    <t>544957309072180228</t>
  </si>
  <si>
    <t>Écoline Tribillon</t>
  </si>
  <si>
    <t>ID00138</t>
  </si>
  <si>
    <t>929771110840271408</t>
  </si>
  <si>
    <t xml:space="preserve">Department of Hepatogastroenterology explicitly diagnosed pancreatic tumours. Pancreatic cancer surgery is also performed here. </t>
  </si>
  <si>
    <t>Head of Digestive and hepatobiliary surgery where pancreatic cancer surgery takes place, Principal investagator clinical trial</t>
  </si>
  <si>
    <t>Responsible for pancreatic cancer within the department of visceral surgery, Principal investagator clinical trial</t>
  </si>
  <si>
    <t>936332082938908021</t>
  </si>
  <si>
    <t>626079594788701185</t>
  </si>
  <si>
    <t>Gheorghe Petrovai</t>
  </si>
  <si>
    <t>929771110847545897</t>
  </si>
  <si>
    <t>560997957147558927</t>
  </si>
  <si>
    <t>The clinic itself highlights colorectal cancer surgery and does not explicitly document pancreatic cancer surgery, EUS-FNA, ERCP or systemic pancreatic therapy.</t>
  </si>
  <si>
    <t>928523712419267103</t>
  </si>
  <si>
    <t>Explicit pancreatic cancer surgery and pancreatic resections.</t>
  </si>
  <si>
    <t>Part of the team for pancreatic cancer, Contact clinical trial</t>
  </si>
  <si>
    <t>626078109392716801</t>
  </si>
  <si>
    <t>Alexandru Catalin Amariutei</t>
  </si>
  <si>
    <t>Maria Fernanda Mosele</t>
  </si>
  <si>
    <t>Current Pôle Santé Sud surgeon and member of the site's HPB and pancreatic surgery unit; ELSAN specifically highlights his work with Rosso on robotic pancreaticoduodenectomy for pancreatic cancer.</t>
  </si>
  <si>
    <t>941646414769294708</t>
  </si>
  <si>
    <t>https://www.elsan.care/fr/pole-sante-sud/nos-actualites/cancer-du-pancreas-les-drs-rosso-et-amariutei-mis-lhonneur-dans-une?layout=pole-sante-sud</t>
  </si>
  <si>
    <t>Pôle Santé Sud du Mans</t>
  </si>
  <si>
    <t>544957833318237196</t>
  </si>
  <si>
    <t>626078169052496898</t>
  </si>
  <si>
    <t>Xavier Chenard</t>
  </si>
  <si>
    <t>Current surgeon whose professional profile explicitly includes pancreatic surgery</t>
  </si>
  <si>
    <t>Honorary Members of ESPOIR, Contact clinical trial</t>
  </si>
  <si>
    <t>https://www.chirurgie-digestive-lemans.fr/dr-xavier-chenard</t>
  </si>
  <si>
    <t>846225208405656576</t>
  </si>
  <si>
    <t>560996398183482371</t>
  </si>
  <si>
    <t>626080064726909954</t>
  </si>
  <si>
    <t>Centre Jean Bernard</t>
  </si>
  <si>
    <t>626077224881112085</t>
  </si>
  <si>
    <t>691807260707406873</t>
  </si>
  <si>
    <t>Mustapha Atlassi</t>
  </si>
  <si>
    <t>Center Cancerologie de la Sarthe</t>
  </si>
  <si>
    <t>ID00141</t>
  </si>
  <si>
    <t>Jean David Laurent Fumet</t>
  </si>
  <si>
    <t>Head of digestive/visceral surgery, whose service explicitly performs pancreatic cancer surgery; additionally a named participant in the Le Mans Gastro-entérologie cancer RCP. He is also in the GI RCP.</t>
  </si>
  <si>
    <t>Current medical oncologist at Centre Jean Bernard / Clinique Victor Hugo within CCS. CJB explicitly treats pancreatic cancer among digestive cancers and Domont is its sole currently listed medical oncologist. This makes him the strongest defensible private-CCS pancreatic oncologist. Domont is a formal member of its Gastro-entérologie RCP.</t>
  </si>
  <si>
    <t>928880091981283871</t>
  </si>
  <si>
    <t>Benoît Seuwin</t>
  </si>
  <si>
    <t>He runs the digestive cancer MDT at a hospital that explicitly treats pancreatic cancer surgically and medically.</t>
  </si>
  <si>
    <t>Marie-Line Garcia-Larnicol</t>
  </si>
  <si>
    <t>626078450356077570</t>
  </si>
  <si>
    <t>Member of the research committee of Societe Francaise Pancreas. Head of department of digestive oncology where pancreatic cancer is treated. Principal investigator clinical trial. Reviewer of the guideline on PDAC, Contact clinical trial</t>
  </si>
  <si>
    <t>CHU Reims explicitly treats pancreatic cancers, performs biliary/pancreatic ERCP, chemotherapy and endoscopy, and in 2026 launched a dedicated “Urgence tumeur pancréas” pathway for suspected pancreatic lesions with rapid access to diagnosis and treatment.</t>
  </si>
  <si>
    <t>https://www.chu-reims.fr/medecins/olivier-bouche</t>
  </si>
  <si>
    <t>Cancer du pancréas : débat sur la chimiothérapie néoadjuvante dans les
 cancers résécables d’emblée</t>
  </si>
  <si>
    <t>https://www.onco-grandest.fr/wp-content/uploads/2026/05/Prog-prev_Dig-2026-au-260526.pdf</t>
  </si>
  <si>
    <t>626079630826161170</t>
  </si>
  <si>
    <t>Jean-Baptiste Chevaux</t>
  </si>
  <si>
    <t xml:space="preserve"> Restitution : Tumeurs kystiques du pancréas</t>
  </si>
  <si>
    <t>626079721859335180</t>
  </si>
  <si>
    <t>Sophie Deguelte-Lardière</t>
  </si>
  <si>
    <t>Cas clinique : prise en charge médico-chirurgical des tumeurs neuroendocrines du grêle et pancréas</t>
  </si>
  <si>
    <t>Top 4 des actualités Hépato-bilio-pancréatiques des derniers congrès 2026</t>
  </si>
  <si>
    <t>EVALUATION DE L'EFFICACITE ET DE LA SECURITE DE LA PANCREATECTOMIE TOTALE AVEC AUTOTRANSPLANTATION D'ILOTS INTRAPORTALE CHEZ UNE POPULATION DE PATIENTS PRESENTANT UN ADENOCARCINOME RESECABLE DE LA REGION CEPHALIQUE DU PANCREAS ET A HAUT RISQUE DE FISTULE PANCREATIQUE ET NECESSITANT UNE CHIMIOTHERAPIE ADJUVANTE SYSTEMIQUE. ÉTUDE PROSPECTIVE, MULTICENTRIQUE</t>
  </si>
  <si>
    <t>https://www.chu-reims.fr/recherche-et-innovation/etudes-en-cours</t>
  </si>
  <si>
    <t>Reviewer guideline pancreatic cancer. Principal investigator clinical trial.</t>
  </si>
  <si>
    <t>Godinot is a reference center in the management of pancreatic cancer, combining expertise in oncology, radiotherapy and surgery. Godinot is an active site in several pancreatic adenocarcinoma systemic-treatment trials, including ongoing metastatic pancreatic-cancer studies.</t>
  </si>
  <si>
    <t>Contact person clinical trial. Godinot organisational material specifically identifies him as the digestive RCP lead.</t>
  </si>
  <si>
    <t>https://www.institutgodinot.fr/media/filer_public/1e/ba/1eba0d22-3b61-481b-b30a-e0f0d5944e4d/organigramme_general-ig-avril2022.pdf</t>
  </si>
  <si>
    <t>Polyclinique Reims-Bezannes</t>
  </si>
  <si>
    <t>ID00143</t>
  </si>
  <si>
    <t>The major Courlancy group's digestive/endoscopic activity moved to the newly opened Polyclinique Reims-Bezannes in 2018. The current HGE cabinet explicitly says it is now based at Reims-Bezannes, where EUS and CPRE are provided.</t>
  </si>
  <si>
    <t>626079967066735629</t>
  </si>
  <si>
    <t>Pascal Renard</t>
  </si>
  <si>
    <t>Clinical trial Non-pancreatic specific</t>
  </si>
  <si>
    <t>932692518657396088</t>
  </si>
  <si>
    <t>Romain Chautard</t>
  </si>
  <si>
    <t>Oncocentre - Cancer du Pancréas</t>
  </si>
  <si>
    <t>https://www.youtube.com/watch?v=LaPtMKLrxyw</t>
  </si>
  <si>
    <t>560999307872830465</t>
  </si>
  <si>
    <t>Jonathan Levy</t>
  </si>
  <si>
    <t>Clinique des Cèdres</t>
  </si>
  <si>
    <t xml:space="preserve">Provided a new treatment for pancreatic cancer. </t>
  </si>
  <si>
    <t>The CHU HGE service explicitly manages pancreatic diseases and pancreatic cancer, provides digestive oncology, and is a regional expert centre for diagnostic/therapeutic/interventional echo-endoscopy. Its digestive surgery service explicitly covers pancreatic oncologic surgery.</t>
  </si>
  <si>
    <t>Frederic Borie</t>
  </si>
  <si>
    <t>621591838448436225</t>
  </si>
  <si>
    <t>The current CHU page explicitly lists his individual specialties as “Chirurgie pancréatique” and hepatobiliary surgery. He is also investigator of a CHU study specifically examining mortality risk after pancreatic surgery. Principal investigator.</t>
  </si>
  <si>
    <t>Oncogard at the ICG explicitly treats digestive cancers including pancreas, and the ICG/Oncogard site participated in FUNGEMAX, a first-line metastatic pancreatic cancer trial.</t>
  </si>
  <si>
    <t>932290362493308255</t>
  </si>
  <si>
    <t>Polyclinique Kenval</t>
  </si>
  <si>
    <t>ID00145</t>
  </si>
  <si>
    <t>Part of the team for pancreatic cancer. Head of the digestive oncology department. Contact clinical trial</t>
  </si>
  <si>
    <t>The CHU's current uro-digestive oncology day hospital explicitly lists cancer du pancréas among the cancers managed, administers chemotherapy after RCP discussion, and coordinates surgery/radiotherapy/interventional radiology</t>
  </si>
  <si>
    <t>929175045355930143</t>
  </si>
  <si>
    <t>https://www.chu-rouen.fr/medecins/profil/982/</t>
  </si>
  <si>
    <t>https://www.chu-rouen.fr/notre-organisation/les-poles-medicaux/</t>
  </si>
  <si>
    <t>Current head of the CHU visceral pole and active in the digestive-oncology day hospital</t>
  </si>
  <si>
    <t>The clinic is authorised for digestive cancer surgery, and HAS currently identifies digestive surgeons plus Alberto Zalar in interventional gastroenterology. However, no source I found explicitly states pancreatic cancer surgery, pancreatic EUS/FNA, ERCP for pancreatic disease or pancreatic systemic therapy.</t>
  </si>
  <si>
    <t>Clinique Mathilde is currently authorised for chemotherapy and digestive cancer surgery.</t>
  </si>
  <si>
    <t>Cancer.fr confirms chemotherapy and digestive cancer surgery, but these are generic cancer authorisations and do not establish pancreatic treatment specifically.</t>
  </si>
  <si>
    <t>626079286859678721</t>
  </si>
  <si>
    <t>Becquerel explicitly includes cancer du pancréas among cancers addressed by its patient-care information. Gastroenterology is centred at CHU Charles Nicolle.</t>
  </si>
  <si>
    <t>CH de Saint-Junien</t>
  </si>
  <si>
    <t>648642594879849473</t>
  </si>
  <si>
    <t>Élise Colle</t>
  </si>
  <si>
    <t>Emilie Soularue</t>
  </si>
  <si>
    <t>930399175440204332</t>
  </si>
  <si>
    <t>Karine Bouhier-Leporrier</t>
  </si>
  <si>
    <t>932472288399854943</t>
  </si>
  <si>
    <t>HIA Bégin</t>
  </si>
  <si>
    <t>Sophie Pesqué</t>
  </si>
  <si>
    <t>ID00147</t>
  </si>
  <si>
    <t>Saint-Mandé</t>
  </si>
  <si>
    <t>Cédric Lecaille</t>
  </si>
  <si>
    <t>Anne-Laure Bignon</t>
  </si>
  <si>
    <t>560998030690485264</t>
  </si>
  <si>
    <t>David-Jérémie Birnbaum</t>
  </si>
  <si>
    <t>Since the opening of the Institut de Cancérologie et d’Imagerie (ICI) at Cavale Blanche in April 2024, the major adult oncology and digestive-oncology pathway is concentrated at Cavale Blanche</t>
  </si>
  <si>
    <t>Principal investigator clinical trial. Current head of digestive oncology</t>
  </si>
  <si>
    <t>https://chirurgie-viscerale-digestive.chu-brest.fr/pole-medical-et-territoire</t>
  </si>
  <si>
    <t>Lucille Quénéhervé</t>
  </si>
  <si>
    <t>929771110857507371</t>
  </si>
  <si>
    <t>Lucille Hélène Quenéhervé</t>
  </si>
  <si>
    <t>Current medical lead of the Cavale Blanche HGE inpatient unit, which explicitly treats pancreatic diseases.</t>
  </si>
  <si>
    <t>https://www.chu-brest.fr/notre-offre-de-soin/hospitalisation-continue-dhepato-gastroenterologie</t>
  </si>
  <si>
    <t>Jean-Baptiste Nousbaum</t>
  </si>
  <si>
    <t>626078441539650564</t>
  </si>
  <si>
    <t>Inactive in Veeva. President pancreatic cancer congress. Principal investagator clinical trial</t>
  </si>
  <si>
    <t>Clinic is authorised for chemotherapy and digestive cancer surgery but no explicit evidence for pancreatic cancer care</t>
  </si>
  <si>
    <t>Pancreatic surgery as a service is explicitly offered, and the site is authorised for digestive cancer surgery.</t>
  </si>
  <si>
    <t>626078816384599055</t>
  </si>
  <si>
    <t>Dominique Lotrian</t>
  </si>
  <si>
    <t>Polyclinique de Keraudren</t>
  </si>
  <si>
    <t>ID00148</t>
  </si>
  <si>
    <t>939703297406602607</t>
  </si>
  <si>
    <t>Digestive oncologic surgeon, but no personal pancreatic focus found.</t>
  </si>
  <si>
    <t>Doctor participating in the project of BACAP, Sub-investigator clinical trial</t>
  </si>
  <si>
    <t>Doctor participating in the project of BACAP. hospital profile explicitly lists membership of the Association Française de Recherche sur le Cancer du Pancréas and Club Français du Pancréas. Sub-investigator clinical trial</t>
  </si>
  <si>
    <t>The CH HGE/digestive oncology service explicitly manages diseases of the pancreas, and the hospital is currently recruiting patients with metastatic pancreatic cancer into GABRINOX2. Its digestive surgery department explicitly provides hepatobiliary and pancreatic surgery and digestive cancer surgery.</t>
  </si>
  <si>
    <t>Clinical Trial Coordinator. Member of the research committee of Societe Francaise Pancreas. Works in Pancreatology and Digestive Oncology department where pancreatic cancer is treated. Contact clinical trial</t>
  </si>
  <si>
    <t>https://www.ch-perpignan.fr/annuaires/annuaire-des-services-137/hepato-gastro-enterologie-cancerologie-digestive-12.html?cHash=0996f767709998cc53a55df324e66b9a</t>
  </si>
  <si>
    <t>Contact person clinical trial. Head of department treating pancreatic cancer.</t>
  </si>
  <si>
    <t>Part of the team for pancreatic cancer. Contact clinical trial</t>
  </si>
  <si>
    <t>648642590089954305</t>
  </si>
  <si>
    <t>Clinique Saint-Pierre</t>
  </si>
  <si>
    <t>626077269844050971</t>
  </si>
  <si>
    <t>CH Sainte-Musse</t>
  </si>
  <si>
    <t>The clinic is officially authorised for digestive cancer surgery and has HGE/endoscopy, but the regulatory evidence does not specify pancreatic cancer surgery or pancreatic EUS/ERCP.</t>
  </si>
  <si>
    <t>The Centre Catalan d’Oncologie provides chemotherapy and works immediately adjacent to Clinique Saint-Pierre as part of the same private cancer pathway. It is an official GABRINOX2 metastatic pancreatic cancer study site</t>
  </si>
  <si>
    <t>Wrote about pancreatic cancer on the Centre Léon Bérard website. Specialised in pancreatic cancer. Contact clinical trial</t>
  </si>
  <si>
    <t>The clinic states that it is authorised fo provide pancreatic cancer chemotherapy.</t>
  </si>
  <si>
    <t>Doctor participating in the BACAP project. Part of the team for pancreatic cancer. Principal investagator clinical trial</t>
  </si>
  <si>
    <t>Doctor participating in the BACAP project. Part of the team of Digestive, oncological and minimally invasive surgery where pancreatic cancer surgery takes place. Contact clinical trial</t>
  </si>
  <si>
    <t>626077103313404930</t>
  </si>
  <si>
    <t>Alain Bardou</t>
  </si>
  <si>
    <t>Member of the four-person team explicitly performing pancreatic surgery and pancreatic cancer operations.</t>
  </si>
  <si>
    <t>560997621720679459</t>
  </si>
  <si>
    <t>Timothée Dugué</t>
  </si>
  <si>
    <t>931881467696513572</t>
  </si>
  <si>
    <t>Nicolas Peru</t>
  </si>
  <si>
    <t>Current OncoPL documentation specifically classifies the clinic for complex digestive cancer surgery B1 – Pancréas</t>
  </si>
  <si>
    <t>544958411402380300</t>
  </si>
  <si>
    <t>Clinique de l'Anjou</t>
  </si>
  <si>
    <t>ID00151</t>
  </si>
  <si>
    <t>930353562782794271</t>
  </si>
  <si>
    <t>Jean-Baptiste Finel</t>
  </si>
  <si>
    <t>https://www.chirurgie-obesite-angers.com/lequipe/#member_35</t>
  </si>
  <si>
    <t>Specialised in pancreatic cancer surgery</t>
  </si>
  <si>
    <t>935579756247125366</t>
  </si>
  <si>
    <t>Maxime Roulet</t>
  </si>
  <si>
    <t>https://www.chirurgie-obesite-angers.com/lequipe/#member_36</t>
  </si>
  <si>
    <t>Formally competent in digestive oncology and animator of the ARGON digestive-oncology RCP. He works within the same current HGE group that explicitly performs EUS/CPRE and treats pancreatic diseases</t>
  </si>
  <si>
    <t>https://www.institutpaolicalmettes.fr/annuaire_soignants/dr-jessica-moretta/</t>
  </si>
  <si>
    <t>Meical Oncology</t>
  </si>
  <si>
    <t>Jessica Moretta-Serra</t>
  </si>
  <si>
    <t>560999033917670407</t>
  </si>
  <si>
    <t>560998841197790211</t>
  </si>
  <si>
    <t>763756339519308801</t>
  </si>
  <si>
    <t>Hôpital Privé de Provence</t>
  </si>
  <si>
    <t>934594198376549727</t>
  </si>
  <si>
    <t>932573845930773855</t>
  </si>
  <si>
    <t>l'Houcine Ouafik</t>
  </si>
  <si>
    <t>https://www.aphp.fr/dr-aussilhou-beatrice</t>
  </si>
  <si>
    <t>Surgeon</t>
  </si>
  <si>
    <t>https://www.aphp.fr/pr-sa-cunha-antonio</t>
  </si>
  <si>
    <t>Pancreatic cancer is treated in this departement</t>
  </si>
  <si>
    <t>https://www.scilit.com/scholars/13884039</t>
  </si>
  <si>
    <t>Contact person clinical trial, Accreditation coordinator of  Summary Initial_managemen of pancreatic adenocarcinoma cases</t>
  </si>
  <si>
    <t>Working group Summary Initial_managemen of pancreatic adenocarcinoma cases</t>
  </si>
  <si>
    <t>Advances in Immune-Based Therapies and Vaccine Strategies for Pancreatic Cancer</t>
  </si>
  <si>
    <t>https://kgso.fr/wp-content/uploads/2026/07/JGSO2026-Preprogram-.pdf</t>
  </si>
  <si>
    <t>https://itcancer.inserm.fr/Local/gus/files/1745/PANCREATIC-2023.pdf</t>
  </si>
  <si>
    <t>History of pancreatic cancer</t>
  </si>
  <si>
    <t>Lecture Pancreatic cancer symposium</t>
  </si>
  <si>
    <t>Arcad Fondation cancerlogie digestive</t>
  </si>
  <si>
    <t>https://www.fondationarcad.org/cancers/cancer-du-pancreas/</t>
  </si>
  <si>
    <t>Scientific Council</t>
  </si>
  <si>
    <t>Sponsorship Committee</t>
  </si>
  <si>
    <t>Board of Directors</t>
  </si>
  <si>
    <t>Thierry André</t>
  </si>
  <si>
    <t>https://www.aphp.fr/pr-taieb-julien</t>
  </si>
  <si>
    <t>https://www.fondationarcad.org/webconference/26-06-2026-webconference-therapie-ciblee-et-cancer-du-pancreas-les-inhibiteurs-de-kras/</t>
  </si>
  <si>
    <t>The state of research on pancreatic and bile duct cancers</t>
  </si>
  <si>
    <t>https://www.fondationarcad.org/webconference/letat-de-la-recherche-sur-les-cancers-du-pancreas-et-des-voies-biliaires/</t>
  </si>
  <si>
    <t>Yoda</t>
  </si>
  <si>
    <t>https://www.fondationarcad.org/projets/yoda/</t>
  </si>
  <si>
    <t>Rapid</t>
  </si>
  <si>
    <t>https://www.fondationarcad.org/projets/rapid/</t>
  </si>
  <si>
    <t>Panache 02</t>
  </si>
  <si>
    <t>https://www.fondationarcad.org/projets/panache-02/</t>
  </si>
  <si>
    <t>More Neuroendocrine</t>
  </si>
  <si>
    <t>Not a clear bio</t>
  </si>
  <si>
    <t>Specialized in neuroendocrine tumors and GI cancers. </t>
  </si>
  <si>
    <t>https://www.enets.org/y-nets-member/durand-alice.html</t>
  </si>
  <si>
    <t>No clear Bio</t>
  </si>
  <si>
    <t>https://www.icm.unicancer.fr/fr/annuaire-professionnels/marc-ychou</t>
  </si>
  <si>
    <t>Yes / unicancer</t>
  </si>
  <si>
    <t>Targeted therapy and pancreatic cancer: KRAS inhibitors</t>
  </si>
  <si>
    <t>931956519582499359</t>
  </si>
  <si>
    <t>He is a board member of the Spanisch association of Pancreatology</t>
  </si>
  <si>
    <t>Enrique Perez-Cuadrado Robles</t>
  </si>
  <si>
    <t>Number</t>
  </si>
  <si>
    <t>Finessgeo</t>
  </si>
  <si>
    <t>2A0004842</t>
  </si>
  <si>
    <t>2B0000012</t>
  </si>
  <si>
    <t>2B0000038</t>
  </si>
  <si>
    <t>2A0000287</t>
  </si>
  <si>
    <t>2A0000139</t>
  </si>
  <si>
    <t>2B0005664</t>
  </si>
  <si>
    <t>2A0000154</t>
  </si>
  <si>
    <t>2B0005359</t>
  </si>
  <si>
    <t>HOPITAL ROBERT SCHUMAN DE VANTOUX -HPM</t>
  </si>
  <si>
    <t>R DU CHAMP MONTOY</t>
  </si>
  <si>
    <t>VANTOUX</t>
  </si>
  <si>
    <t>CLINIQUE MUTUALISTE DE L'ESTUAIRE</t>
  </si>
  <si>
    <t>11 BD GEORGES CHARPAK</t>
  </si>
  <si>
    <t>ST NAZAIRE CEDEX</t>
  </si>
  <si>
    <t>CH SUD FRANCILIEN SITE JEAN JAURES</t>
  </si>
  <si>
    <t>40 AV SERGE DASSAULT</t>
  </si>
  <si>
    <t>CORBEIL ESSONNES CEDEX</t>
  </si>
  <si>
    <t>CLINIQUE DE L'EUROPE</t>
  </si>
  <si>
    <t>5 ALL DES PAYS BAS</t>
  </si>
  <si>
    <t>HIA SAINTE ANNE</t>
  </si>
  <si>
    <t>BD SAINTE ANNE</t>
  </si>
  <si>
    <t>TOULON CEDEX 9</t>
  </si>
  <si>
    <t>CLINIQUE DE LA SAUVEGARDE</t>
  </si>
  <si>
    <t>480 AV DAVID BEN GOURION</t>
  </si>
  <si>
    <t>LYON CEDEX 09</t>
  </si>
  <si>
    <t>CL BEAU SOLEIL</t>
  </si>
  <si>
    <t>119 AV DE LODEVE</t>
  </si>
  <si>
    <t>CH ND LA MISERICORDE</t>
  </si>
  <si>
    <t>1180 RTE DE MADUNUCCIA -</t>
  </si>
  <si>
    <t>HOPITAL DU CONFLUENT-SITE JULES VERNE</t>
  </si>
  <si>
    <t>RTE DE PARIS</t>
  </si>
  <si>
    <t>CENTRE DE RADIOTHERAPIE SAINT LOUIS</t>
  </si>
  <si>
    <t>R NICOLAS APPERT STE MUSSE</t>
  </si>
  <si>
    <t>CMC AMBROISE PARE HARTMANN SITE 48 TER</t>
  </si>
  <si>
    <t>48 BD VICTOR HUGO</t>
  </si>
  <si>
    <t>CH DE RIOM</t>
  </si>
  <si>
    <t>79 BD ETIENNE CLEMENTEL</t>
  </si>
  <si>
    <t>RIOM</t>
  </si>
  <si>
    <t>CENTRE HOSPITALIER D'ARCACHON</t>
  </si>
  <si>
    <t>AV JEAN HAMEAU</t>
  </si>
  <si>
    <t>LA TESTE CEDEX</t>
  </si>
  <si>
    <t>CH PAUL MARTINAIS - LOCHES</t>
  </si>
  <si>
    <t>1 R DU DOCTEUR MARTINAIS</t>
  </si>
  <si>
    <t>LOCHES</t>
  </si>
  <si>
    <t>HOPITAL DU PAYS SALONAIS</t>
  </si>
  <si>
    <t>207 AV JULIEN FABRE</t>
  </si>
  <si>
    <t>SALON DE PROVENCE CEDEX</t>
  </si>
  <si>
    <t>CH REGION DE ST OMER</t>
  </si>
  <si>
    <t>RTE DE BLENDECQUES</t>
  </si>
  <si>
    <t>HELFAUT</t>
  </si>
  <si>
    <t>CH DE BRIOUDE</t>
  </si>
  <si>
    <t>2 R MICHEL DE L HOSPITAL</t>
  </si>
  <si>
    <t>BRIOUDE</t>
  </si>
  <si>
    <t>MAISON MEDICALE JEANNE GARNIER</t>
  </si>
  <si>
    <t>106 AV EMILE ZOLA</t>
  </si>
  <si>
    <t>GHRE- SITE DINAN RENE PLEVEN</t>
  </si>
  <si>
    <t>74 R CHATEAUBRIAND</t>
  </si>
  <si>
    <t>DINAN CEDEX</t>
  </si>
  <si>
    <t>HNIA PERCY</t>
  </si>
  <si>
    <t>101 AV HENRI BARBUSSE</t>
  </si>
  <si>
    <t>SAS NOUVELLE CLINIQUE DE TOURS +</t>
  </si>
  <si>
    <t>1 BD ALFRED NOBEL</t>
  </si>
  <si>
    <t>ST CYR SUR LOIRE</t>
  </si>
  <si>
    <t>ETABLISSEMENT DE SANTE DE SAINTE FEYRE</t>
  </si>
  <si>
    <t>4 LES BAINS</t>
  </si>
  <si>
    <t>STE FEYRE</t>
  </si>
  <si>
    <t>HOPITAL LES PORTES DU SUD</t>
  </si>
  <si>
    <t>2 AV DU 11 NOVEMBRE 1918</t>
  </si>
  <si>
    <t>VENISSIEUX</t>
  </si>
  <si>
    <t>CH DU CHINONAIS</t>
  </si>
  <si>
    <t>28 RTE DEPARTEMENTALE 751</t>
  </si>
  <si>
    <t>ST BENOIT LA FORET</t>
  </si>
  <si>
    <t>CH D'AMBERT</t>
  </si>
  <si>
    <t>14 AV GEORGES CLEMENCEAU</t>
  </si>
  <si>
    <t>AMBERT</t>
  </si>
  <si>
    <t>CENTRE HOSPITALIER DE LUNEVILLE</t>
  </si>
  <si>
    <t>6 R GIRARDET</t>
  </si>
  <si>
    <t>LUNEVILLE CEDEX</t>
  </si>
  <si>
    <t>CLINIQUE SAINTE-ANNE</t>
  </si>
  <si>
    <t>19 RTE DE BRANNENS</t>
  </si>
  <si>
    <t>LANGON</t>
  </si>
  <si>
    <t>CHI DU PAYS DES HAUTES FALAISES FECAMP</t>
  </si>
  <si>
    <t>AV PDT FRANCOIS MITTERRAND</t>
  </si>
  <si>
    <t>FECAMP CEDEX</t>
  </si>
  <si>
    <t>NOUVELLE CLINIQUE BORDEAUX TONDU</t>
  </si>
  <si>
    <t>46 AV JEAN ALFONSEA</t>
  </si>
  <si>
    <t>FLOIRAC</t>
  </si>
  <si>
    <t>CHU DE POITIERS - SITE DE MONTMORILLON</t>
  </si>
  <si>
    <t>2 R HENRI DUNANT</t>
  </si>
  <si>
    <t>MONTMORILLON</t>
  </si>
  <si>
    <t>CH SUD GIRONDE - SITE LANGON</t>
  </si>
  <si>
    <t>R PAUL LANGEVIN</t>
  </si>
  <si>
    <t>LANGON CEDEX</t>
  </si>
  <si>
    <t>CENTRE HOSPITALIER DE SAINT-PALAIS</t>
  </si>
  <si>
    <t>AV FREDERIC DE SAINT-JAYME</t>
  </si>
  <si>
    <t>ST PALAIS</t>
  </si>
  <si>
    <t>CENTRE HOSPITALIER ROYAN-ATLANTIQUE</t>
  </si>
  <si>
    <t>20 AV DE SAINT SORDELIN</t>
  </si>
  <si>
    <t>ROYAN CEDEX</t>
  </si>
  <si>
    <t>CH DE SAUMUR</t>
  </si>
  <si>
    <t>RTE DE FONTEVRAUD</t>
  </si>
  <si>
    <t>SAUMUR CEDEX</t>
  </si>
  <si>
    <t>CTRE MEDICO-CHIR READAPT. LES MASSUES</t>
  </si>
  <si>
    <t>92 R EDMOND LOCARD</t>
  </si>
  <si>
    <t>LYON CEDEX 05</t>
  </si>
  <si>
    <t>CHIC SITE DE CONCARNEAU</t>
  </si>
  <si>
    <t>61 RTE DE TREGUNC</t>
  </si>
  <si>
    <t>CONCARNEAU</t>
  </si>
  <si>
    <t>CENTRE HOSPITALIER DE GRASSE</t>
  </si>
  <si>
    <t>CHE DE CLAVARY</t>
  </si>
  <si>
    <t>GRASSE CEDEX</t>
  </si>
  <si>
    <t>C.H DE BERGERAC</t>
  </si>
  <si>
    <t>9 AV ALBERT CALMETTE</t>
  </si>
  <si>
    <t>BERGERAC CEDEX</t>
  </si>
  <si>
    <t>CLINIQUE DU PARC IMPERIAL</t>
  </si>
  <si>
    <t>28 BD TZAREWITCH</t>
  </si>
  <si>
    <t>NICE CEDEX 1</t>
  </si>
  <si>
    <t>CHI DE CAVAILLON LAURIS</t>
  </si>
  <si>
    <t>119 AV GEORGES CLEMENCEAU</t>
  </si>
  <si>
    <t>CAVAILLON CEDEX</t>
  </si>
  <si>
    <t>CH DE VIERZON</t>
  </si>
  <si>
    <t>33 R LEO MERIGOT</t>
  </si>
  <si>
    <t>VIERZON CEDEX</t>
  </si>
  <si>
    <t>CENTRE HOSPITALIER DE BASTIA</t>
  </si>
  <si>
    <t>BASTIA CEDEX</t>
  </si>
  <si>
    <t>CH DE PRIVAS ARDECHE</t>
  </si>
  <si>
    <t>2 AV PASTEUR</t>
  </si>
  <si>
    <t>PRIVAS CEDEX</t>
  </si>
  <si>
    <t>CH GENEVIEVE DE GAULLE ANTHONIOZ</t>
  </si>
  <si>
    <t>1 R ALBERT SCHWEITZER</t>
  </si>
  <si>
    <t>ST DIZIER CEDEX</t>
  </si>
  <si>
    <t>CENTRE HOSPITALIER DE CARPENTRAS</t>
  </si>
  <si>
    <t>RPT DE L'AMITIE</t>
  </si>
  <si>
    <t>CARPENTRAS CEDEX</t>
  </si>
  <si>
    <t>CENTRE HOSPITALIER DE MONTCEAU</t>
  </si>
  <si>
    <t>MONTCEAU LES MINES CEDEX</t>
  </si>
  <si>
    <t>CLINIQUE MUTUALISTE DU MEDOC</t>
  </si>
  <si>
    <t>64 R ARISTIDE BRIAND</t>
  </si>
  <si>
    <t>LESPARRE MEDOC</t>
  </si>
  <si>
    <t>CH LES ESCARTONS A BRIANCON</t>
  </si>
  <si>
    <t>24 AV ADRIEN DAURELLE</t>
  </si>
  <si>
    <t>BRIANCON CEDEX</t>
  </si>
  <si>
    <t>CLINIQUE DE L ALMA</t>
  </si>
  <si>
    <t>166 R DE L UNIVERSITE</t>
  </si>
  <si>
    <t>CHI L'OUEST VOSGIEN SITE NEUFCHATEAU</t>
  </si>
  <si>
    <t>1280 AV DE LA DIVISION LECLERC</t>
  </si>
  <si>
    <t>NEUFCHATEAU CEDEX</t>
  </si>
  <si>
    <t>CHIRC SITE REDON</t>
  </si>
  <si>
    <t>8 AV ETIENNE GASCON</t>
  </si>
  <si>
    <t>REDON CEDEX</t>
  </si>
  <si>
    <t>CH VERNON CH EURE-SEINE</t>
  </si>
  <si>
    <t>5 R DOCTEUR BURNET</t>
  </si>
  <si>
    <t>VERNON CEDEX</t>
  </si>
  <si>
    <t>CENTRE HOSPITALIER DE SAINT TROPEZ</t>
  </si>
  <si>
    <t>RPT GAL DIEGO BROSSET RD559</t>
  </si>
  <si>
    <t>GASSIN</t>
  </si>
  <si>
    <t>CH CORTE</t>
  </si>
  <si>
    <t>AV 9 SEPTEMBRE</t>
  </si>
  <si>
    <t>CORTE</t>
  </si>
  <si>
    <t>HOPITAL DES DIACONESSES</t>
  </si>
  <si>
    <t>12 R DU SERGENT BAUCHAT</t>
  </si>
  <si>
    <t>PARIS CEDEX 12</t>
  </si>
  <si>
    <t>GCS CENTRE JOLIOT CURIE</t>
  </si>
  <si>
    <t>RTE DE DESVRES</t>
  </si>
  <si>
    <t>ST MARTIN BOULOGNE</t>
  </si>
  <si>
    <t>HOPITAL AMERICAIN</t>
  </si>
  <si>
    <t>63 BD VICTOR HUGO</t>
  </si>
  <si>
    <t>NEUILLY SUR SEINE CEDEX</t>
  </si>
  <si>
    <t>CHD - SITE DE MONTAIGU</t>
  </si>
  <si>
    <t>54 R SAINT JACQUES</t>
  </si>
  <si>
    <t>MONTAIGU CEDEX</t>
  </si>
  <si>
    <t>CH DE THIERS</t>
  </si>
  <si>
    <t>RTE DE FAU</t>
  </si>
  <si>
    <t>THIERS CEDEX</t>
  </si>
  <si>
    <t>CH DOULLENS</t>
  </si>
  <si>
    <t>R DE ROUTEQUEUE</t>
  </si>
  <si>
    <t>DOULLENS</t>
  </si>
  <si>
    <t>MEDIPOLE HOPITAL PRIVE</t>
  </si>
  <si>
    <t>158 R LEON BLUM</t>
  </si>
  <si>
    <t>CENTRE HOSPITALIER PAIMPOL</t>
  </si>
  <si>
    <t>CHE DE KERPUNS</t>
  </si>
  <si>
    <t>PAIMPOL CEDEX</t>
  </si>
  <si>
    <t>INSTITUT PAOLI CALMETTES RADIOTH GAP</t>
  </si>
  <si>
    <t>1 PL AUGUSTE MURET</t>
  </si>
  <si>
    <t>GAP CEDEX</t>
  </si>
  <si>
    <t>ETABLISSEMENT DE SOINS HOTEL DIEU</t>
  </si>
  <si>
    <t>R ROGER SIGNOR</t>
  </si>
  <si>
    <t>PONT L ABBE CEDEX</t>
  </si>
  <si>
    <t>CENTRE HOSPITALIER D'ORTHEZ</t>
  </si>
  <si>
    <t>R DU MOULIN</t>
  </si>
  <si>
    <t>ORTHEZ</t>
  </si>
  <si>
    <t>SITE HOSPITALIER FAYE L'ABBESSE</t>
  </si>
  <si>
    <t>4 R DU DOCTEUR MICHEL BINET</t>
  </si>
  <si>
    <t>FAYE L ABBESSE</t>
  </si>
  <si>
    <t>HOPITAL PRIVE COGNACQ JAY</t>
  </si>
  <si>
    <t>15 R EUGENE MILLON</t>
  </si>
  <si>
    <t>CH DE SAINT JEAN DE MAURIENNE</t>
  </si>
  <si>
    <t>179 R DU DOCTEUR GRANGE</t>
  </si>
  <si>
    <t>ST JEAN DE MAURIENNE CEDEX</t>
  </si>
  <si>
    <t>CTRE HOSPITALIER J BOUTARD ST YRIEIX</t>
  </si>
  <si>
    <t>PL DU PRESIDENT PAUL MAGNAUD</t>
  </si>
  <si>
    <t>ST YRIEIX LA PERCHE</t>
  </si>
  <si>
    <t>CH FERDINAND GRALL LANDERNEAU</t>
  </si>
  <si>
    <t>1 RTE DE PENCRAN</t>
  </si>
  <si>
    <t>LANDERNEAU CEDEX</t>
  </si>
  <si>
    <t>CENTRE HOSPITALIER DOUARNENEZ</t>
  </si>
  <si>
    <t>83 R LAENNEC</t>
  </si>
  <si>
    <t>DOUARNENEZ CEDEX</t>
  </si>
  <si>
    <t>HÃ”PITAL LES JOCKEYS</t>
  </si>
  <si>
    <t>12 AV DU GENERAL LECLERC</t>
  </si>
  <si>
    <t>CLC - SITE CH NORD-OUEST VILLEFRANCHE</t>
  </si>
  <si>
    <t>PLT D'OUILLY</t>
  </si>
  <si>
    <t>CH VAISON LA ROMAINE</t>
  </si>
  <si>
    <t>18 R GRAND'RUE</t>
  </si>
  <si>
    <t>VAISON LA ROMAINE</t>
  </si>
  <si>
    <t>POLYCLINIQUE DU TREGOR</t>
  </si>
  <si>
    <t>R DU JACQUES FEUILLU</t>
  </si>
  <si>
    <t>LANNION CEDEX</t>
  </si>
  <si>
    <t>CENTRE HOSPITALIER DE CASTELLUCCIO</t>
  </si>
  <si>
    <t>CHE DE SAINT-ANTOINE</t>
  </si>
  <si>
    <t>AJACCIO CEDEX 1</t>
  </si>
  <si>
    <t>CH VENDOME - MONTOIRE</t>
  </si>
  <si>
    <t>98 R POTERIE</t>
  </si>
  <si>
    <t>CH D ARPAJON</t>
  </si>
  <si>
    <t>18 AV DE  VERDUN</t>
  </si>
  <si>
    <t>ARPAJON CEDEX</t>
  </si>
  <si>
    <t>ORELIANCE - REINE BLANCHE</t>
  </si>
  <si>
    <t>559 AV JACQUELINE AURIOL</t>
  </si>
  <si>
    <t>CH FONTENAY SITE POLE SANTE SUD VENDEE</t>
  </si>
  <si>
    <t>11 R DOCTEUR RENÉ LAFORGE</t>
  </si>
  <si>
    <t>FONTENAY LE COMTE CEDEX</t>
  </si>
  <si>
    <t>HÃ”PITAL SALENGRO  CHU LILLE</t>
  </si>
  <si>
    <t>R EMILE LAINE</t>
  </si>
  <si>
    <t>LILLE CEDEX</t>
  </si>
  <si>
    <t>HDJ ONCO-HEMATOLOGIE VALMY</t>
  </si>
  <si>
    <t>R LOUNES MATOUB</t>
  </si>
  <si>
    <t>CH DE SAINT NAZAIRE</t>
  </si>
  <si>
    <t>CLINIQUE MUTUALISTE JULES VERNE</t>
  </si>
  <si>
    <t>2 RTE DE PARIS</t>
  </si>
  <si>
    <t>NANTES CEDEX 3</t>
  </si>
  <si>
    <t>MAISON MEDICALE ND DU LAC RUEIL</t>
  </si>
  <si>
    <t>2 R DE ZURICH</t>
  </si>
  <si>
    <t>RUEIL MALMAISON</t>
  </si>
  <si>
    <t>HOPITAL JEAN JAURES</t>
  </si>
  <si>
    <t>9 SENTE DES DOREES</t>
  </si>
  <si>
    <t>CLINIQUE MEDICO CHIRURGICALE DU LOUVRE</t>
  </si>
  <si>
    <t>17 R DES PRETRES SAINT GERMAIN</t>
  </si>
  <si>
    <t>CLINIQUE DE BONNEVEINE</t>
  </si>
  <si>
    <t>89 BD DU SABLIER</t>
  </si>
  <si>
    <t>CLINIQUE SAINTE ELISABETH</t>
  </si>
  <si>
    <t>72 R CHAPE</t>
  </si>
  <si>
    <t>MARSEILLE CEDEX 04</t>
  </si>
  <si>
    <t>APHM HOPITAUX SUD SAINTE MARGUERITE</t>
  </si>
  <si>
    <t>270 BD DE SAINTE MARGUERITE</t>
  </si>
  <si>
    <t>MARSEILLE CEDEX 09</t>
  </si>
  <si>
    <t>MAISON DE NICODEME</t>
  </si>
  <si>
    <t>37 R GASTON TURPIN</t>
  </si>
  <si>
    <t>CLINIQUE DU PLATEAU</t>
  </si>
  <si>
    <t>5 R DES CARNETS</t>
  </si>
  <si>
    <t>MAISON DE SANTE MARIE GALENE</t>
  </si>
  <si>
    <t>30 R KLEBER</t>
  </si>
  <si>
    <t>CH CHÃ‚TEAU-THIERRY</t>
  </si>
  <si>
    <t>RTE DE VERDILLY</t>
  </si>
  <si>
    <t>CHATEAU THIERRY</t>
  </si>
  <si>
    <t>HOPITAL PRIVE SUD CORSE</t>
  </si>
  <si>
    <t>CHE D'ERBAJOLO</t>
  </si>
  <si>
    <t>CHITS CH GEORGE SAND</t>
  </si>
  <si>
    <t>AV JULES RENARD</t>
  </si>
  <si>
    <t>LA SEYNE SUR MER CEDEX</t>
  </si>
  <si>
    <t>CENTRE HOSPITALIER ROBERT MORLEVAT</t>
  </si>
  <si>
    <t>3 AV PASTEUR</t>
  </si>
  <si>
    <t>SEMUR EN AUXOIS</t>
  </si>
  <si>
    <t>CENTRE HOSPITALIER GENERAL D'AUBAGNE</t>
  </si>
  <si>
    <t>179 AV DES SOEURS GASTINE</t>
  </si>
  <si>
    <t>CH FIGEAC SITE MARTIN MALVY</t>
  </si>
  <si>
    <t>1 ESP MARTIN MALVY</t>
  </si>
  <si>
    <t>FIGEAC CEDEX</t>
  </si>
  <si>
    <t>INSTITUT COEUR POUMON CHU LILLE</t>
  </si>
  <si>
    <t>BD DU PR JULES LECLERCQ</t>
  </si>
  <si>
    <t>CH LA TOUR BLANCHE -  ISSOUDUN</t>
  </si>
  <si>
    <t>AV JEAN BONNEFONT</t>
  </si>
  <si>
    <t>ISSOUDUN CEDEX</t>
  </si>
  <si>
    <t>USP LA MIRANDIERE</t>
  </si>
  <si>
    <t>1 R DE LA GOUGE</t>
  </si>
  <si>
    <t>QUETIGNY CEDEX</t>
  </si>
  <si>
    <t>CH CAMBRAI</t>
  </si>
  <si>
    <t>516 AV DE PARIS</t>
  </si>
  <si>
    <t>CAMBRAI CEDEX</t>
  </si>
  <si>
    <t>HOSPITALITE SAINT THOMAS DE VILLENEUVE</t>
  </si>
  <si>
    <t>38 CRS DES ARTS ET METIERS</t>
  </si>
  <si>
    <t>CH DE MAUBEUGE MCO</t>
  </si>
  <si>
    <t>R SIMONE VEIL</t>
  </si>
  <si>
    <t>MAUBEUGE CEDEX</t>
  </si>
  <si>
    <t>CLINIQUE SAINT-LUC</t>
  </si>
  <si>
    <t>10 R DES FORGES</t>
  </si>
  <si>
    <t>SCHIRMECK</t>
  </si>
  <si>
    <t>CH ARIEGE COUSERANS SITE ST LIZIER</t>
  </si>
  <si>
    <t>QUA ROSES</t>
  </si>
  <si>
    <t>ST LIZIER</t>
  </si>
  <si>
    <t>HOPITAL LOUISE MICHEL - CHU63</t>
  </si>
  <si>
    <t>RTE DE CHATEAUGAY</t>
  </si>
  <si>
    <t>CEBAZAT</t>
  </si>
  <si>
    <t>CENTRE MEDICAL ANNIE ENIA</t>
  </si>
  <si>
    <t>RTE DE LA BERGERIE</t>
  </si>
  <si>
    <t>CAMBO LES BAINS</t>
  </si>
  <si>
    <t>MCO COMTE HENRI - CH DE TROYES</t>
  </si>
  <si>
    <t>37 R DE LA MARNE</t>
  </si>
  <si>
    <t>CH VILLENEUVE -POLE SANTE VILLENEUVOIS</t>
  </si>
  <si>
    <t>VILLENEUVE SUR LOT CEDEX</t>
  </si>
  <si>
    <t>CH DE HYERES MARIE JOSEE TREFFOT</t>
  </si>
  <si>
    <t>AV MARECHAL JUIN</t>
  </si>
  <si>
    <t>HYERES CEDEX</t>
  </si>
  <si>
    <t>GHU APHP UPS SITE SAINTE PERINE</t>
  </si>
  <si>
    <t>11 R CHARDON LAGACHE</t>
  </si>
  <si>
    <t>CENTRE ANTONIN BALMES CHU MONTPELLIER</t>
  </si>
  <si>
    <t>39 AV CHARLES FLAHAULT</t>
  </si>
  <si>
    <t>MONTPELLIER CEDEX 5</t>
  </si>
  <si>
    <t>POLYCLINIQUE DE GRANDE SYNTHE</t>
  </si>
  <si>
    <t>AV DE LA POLYCLINIQUE</t>
  </si>
  <si>
    <t>GRANDE SYNTHE CEDEX</t>
  </si>
  <si>
    <t>CLINIQUE BON SECOURS</t>
  </si>
  <si>
    <t>67 AV MARECHAL FOCH</t>
  </si>
  <si>
    <t>FONDATION LA MISERICORDE - BETHARRAM</t>
  </si>
  <si>
    <t>881 BD DE LA PAIX</t>
  </si>
  <si>
    <t>HEROUVILLE ST CLAIR</t>
  </si>
  <si>
    <t>INSTITUT MGEN DE LA VERRIERE</t>
  </si>
  <si>
    <t>AV DE MONTFORT</t>
  </si>
  <si>
    <t>LA VERRIERE</t>
  </si>
  <si>
    <t>CH INTERCOMMUNAL VERCORS ISERE</t>
  </si>
  <si>
    <t>1 AV FELIX FAURE</t>
  </si>
  <si>
    <t>ST MARCELLIN CEDEX</t>
  </si>
  <si>
    <t>CH PITHIVIERS</t>
  </si>
  <si>
    <t>10 BD BEAUVALLET</t>
  </si>
  <si>
    <t>PITHIVIERS CEDEX</t>
  </si>
  <si>
    <t>CLINIQUE DE TOGA</t>
  </si>
  <si>
    <t>QUARTIER TOGA</t>
  </si>
  <si>
    <t>VILLE DI PIETRABUGNO</t>
  </si>
  <si>
    <t>CHU DE NICE HOPITAL DE CIMIEZ</t>
  </si>
  <si>
    <t>4 AV REINE VICTORIA</t>
  </si>
  <si>
    <t>GHU APHP NUP SITE BRETONNEAU</t>
  </si>
  <si>
    <t>23 R JOSEPH DE MAISTRE</t>
  </si>
  <si>
    <t>PARIS CEDEX 18</t>
  </si>
  <si>
    <t>CH DOURDAN ETAMPES SITE DOURDAN</t>
  </si>
  <si>
    <t>2 R DU POTELET</t>
  </si>
  <si>
    <t>DOURDAN CEDEX</t>
  </si>
  <si>
    <t>CLINIQUE DE LA TOUSSAINT</t>
  </si>
  <si>
    <t>11 R DE LA TOUSSAINT</t>
  </si>
  <si>
    <t>STRASBOURG CEDEX</t>
  </si>
  <si>
    <t>HOPITAL D'HAYANGE - CHR</t>
  </si>
  <si>
    <t>51 R DE WENDEL</t>
  </si>
  <si>
    <t>HAYANGE CEDEX</t>
  </si>
  <si>
    <t>CLINIQUE MEDICALE DU PARC ST OUEN</t>
  </si>
  <si>
    <t>23 R DES FRERES CAPUCINS</t>
  </si>
  <si>
    <t>ST OUEN L AUMONE</t>
  </si>
  <si>
    <t>CENTRE HOSPITALIER DU PAYS D'APT</t>
  </si>
  <si>
    <t>RTE DE MARSEILLE</t>
  </si>
  <si>
    <t>APT CEDEX</t>
  </si>
  <si>
    <t>CLINIQUE DES AUGUSTINES</t>
  </si>
  <si>
    <t>4 FG SAINT MICHEL</t>
  </si>
  <si>
    <t>MALESTROIT</t>
  </si>
  <si>
    <t>CENTRE HOSPITALIER D'USSEL</t>
  </si>
  <si>
    <t>2 AV DU DOCTEUR ROULLET</t>
  </si>
  <si>
    <t>USSEL CEDEX</t>
  </si>
  <si>
    <t>CL DU MAS DE ROCHET CASTELNAU LE LEZ</t>
  </si>
  <si>
    <t>563 AV GEORGES FRECHE</t>
  </si>
  <si>
    <t>CASTELNAU LE LEZ CEDEX</t>
  </si>
  <si>
    <t>ETABLISSEMENT DE SANTE LE DIVIT</t>
  </si>
  <si>
    <t>18 R DU DIVIT</t>
  </si>
  <si>
    <t>PLOEMEUR CEDEX</t>
  </si>
  <si>
    <t>GH LES CHEMINOTS CENTRE MOYEN SEJOUR</t>
  </si>
  <si>
    <t>55 R ALBERT REMY</t>
  </si>
  <si>
    <t>HOPITAL DE RIAUMONT</t>
  </si>
  <si>
    <t>R D'ENTRE DEUX MONTS</t>
  </si>
  <si>
    <t>LIEVIN</t>
  </si>
  <si>
    <t>CENTRE DE GERIATRIE LE KEM - SOS SANTE</t>
  </si>
  <si>
    <t>129 RTE DE GUENTRANGE</t>
  </si>
  <si>
    <t>CENTRE HOSPITALIER MAMERS</t>
  </si>
  <si>
    <t>RTE DU MESLE SUR SARTHE</t>
  </si>
  <si>
    <t>MAMERS</t>
  </si>
  <si>
    <t>CH BAGNERES DE BIGORRE</t>
  </si>
  <si>
    <t>15 R GAMBETTA</t>
  </si>
  <si>
    <t>BAGNERES DE BIGORRE CEDEX</t>
  </si>
  <si>
    <t>CENTRE HOSPITALIER DE ROMILLY/SEINE</t>
  </si>
  <si>
    <t>AV PAUL V COUTURIER</t>
  </si>
  <si>
    <t>ROMILLY SUR SEINE CEDEX</t>
  </si>
  <si>
    <t>CENTRE HOSPITALIER OLORON</t>
  </si>
  <si>
    <t>AV DR FLEMING</t>
  </si>
  <si>
    <t>OLORON STE MARIE CEDEX</t>
  </si>
  <si>
    <t>HIA LAVERAN</t>
  </si>
  <si>
    <t>34 BD LAVERAN</t>
  </si>
  <si>
    <t>MARSEILLE CEDEX 13</t>
  </si>
  <si>
    <t>CH DE TREVOUX - MONTPENSIER</t>
  </si>
  <si>
    <t>14 R DE L'HOPITAL</t>
  </si>
  <si>
    <t>TREVOUX CEDEX</t>
  </si>
  <si>
    <t>CTRE D MOYEN ET LONG SEJOUR LES ORMES</t>
  </si>
  <si>
    <t>13 PL JEAN MERMOZ</t>
  </si>
  <si>
    <t>CH DE CHATEAUNEUF</t>
  </si>
  <si>
    <t>PL DE L'EGLISE</t>
  </si>
  <si>
    <t>CHATEAUNEUF SUR CHARENTE</t>
  </si>
  <si>
    <t>CH PUBLIC HAUTEVILLE - UNITE ALBARINE</t>
  </si>
  <si>
    <t>R DES NARCISSES</t>
  </si>
  <si>
    <t>PLATEAU D HAUTEVILLE</t>
  </si>
  <si>
    <t>CH DE LUYNES - ET</t>
  </si>
  <si>
    <t>28 AV DU CLOS MIGNOT</t>
  </si>
  <si>
    <t>LUYNES</t>
  </si>
  <si>
    <t>CHIC - AMBOISE- HOPITAL ROBERT DEBRE</t>
  </si>
  <si>
    <t>R DES URSULINES</t>
  </si>
  <si>
    <t>AMBOISE CEDEX</t>
  </si>
  <si>
    <t>GCS CHIRURGIE EN CHINONAIS - ET</t>
  </si>
  <si>
    <t>RTE DEPARTEMENTALE 751</t>
  </si>
  <si>
    <t>HIC PAYS DE RETZ - PORNIC</t>
  </si>
  <si>
    <t>RTE DE NANTES</t>
  </si>
  <si>
    <t>PORNIC</t>
  </si>
  <si>
    <t>CH ST NAZAIRE HEINLEX</t>
  </si>
  <si>
    <t>57 R MICHEL ANGE</t>
  </si>
  <si>
    <t>ST NAZAIRE</t>
  </si>
  <si>
    <t>CH PONT-AUDEMER</t>
  </si>
  <si>
    <t>64 RTE DE LISIEUX</t>
  </si>
  <si>
    <t>PONT AUDEMER CEDEX</t>
  </si>
  <si>
    <t>CH DUFRESNE SOMMEILLER</t>
  </si>
  <si>
    <t>498 RTE DUFRESNE SOMMEILLER</t>
  </si>
  <si>
    <t>LA TOUR</t>
  </si>
  <si>
    <t>CLINIQUE FONTVERT</t>
  </si>
  <si>
    <t>235 AV LOUIS PASTEUR</t>
  </si>
  <si>
    <t>SORGUES</t>
  </si>
  <si>
    <t>CH RIVES DE SEINE SITE DE PUTEAUX</t>
  </si>
  <si>
    <t>1 BD RICHARD WALLACE</t>
  </si>
  <si>
    <t>PUTEAUX</t>
  </si>
  <si>
    <t>CH DU HAUT BUGEY - GEOVREISSET</t>
  </si>
  <si>
    <t>1 RTE DE VEYZIAT</t>
  </si>
  <si>
    <t>OYONNAX CEDEX</t>
  </si>
  <si>
    <t>CH CHATEAUDUN</t>
  </si>
  <si>
    <t>RTE JALLANS</t>
  </si>
  <si>
    <t>CHATEAUDUN CEDEX</t>
  </si>
  <si>
    <t>CENTRE HOSPITALIER DE SEDAN</t>
  </si>
  <si>
    <t>2 AV GENERAL MARGUERITTE</t>
  </si>
  <si>
    <t>SEDAN CEDEX</t>
  </si>
  <si>
    <t>HOPITAL NOVO SITE BEAUMONT SUR OISE</t>
  </si>
  <si>
    <t>25 R EDMOND TURCQ</t>
  </si>
  <si>
    <t>BEAUMONT SUR OISE</t>
  </si>
  <si>
    <t>POLYCLINIQUE DE GRAND COGNAC</t>
  </si>
  <si>
    <t>71 AV D'ANGOULEME</t>
  </si>
  <si>
    <t>COGNAC CEDEX</t>
  </si>
  <si>
    <t>HOPITAL LOCAL EVRON</t>
  </si>
  <si>
    <t>4 R DE LA LIBERATION</t>
  </si>
  <si>
    <t>EVRON</t>
  </si>
  <si>
    <t>CENTRE HOSPITALIER DE CHAUMONT</t>
  </si>
  <si>
    <t>2 R JEANNE D'ARC</t>
  </si>
  <si>
    <t>CHAUMONT CEDEX</t>
  </si>
  <si>
    <t>CH YVES TOURAINE</t>
  </si>
  <si>
    <t>205 R LIEUTENANT RICHARD</t>
  </si>
  <si>
    <t>LE PONT DE BEAUVOISIN</t>
  </si>
  <si>
    <t>GHU APHP NUP SITE LARIBOISIERE</t>
  </si>
  <si>
    <t>2 R AMBROISE PARE</t>
  </si>
  <si>
    <t>PARIS CEDEX 10</t>
  </si>
  <si>
    <t>HOPITAL PIERRE GARRAUD - HCL</t>
  </si>
  <si>
    <t>136 R COMMANDANT CHARCOT</t>
  </si>
  <si>
    <t>CENTRE HOSPITALIER DE LONGJUMEAU</t>
  </si>
  <si>
    <t>159 R DU PDT FRANCOIS MITTERRAND</t>
  </si>
  <si>
    <t>CHU BREST SITE GUILERS</t>
  </si>
  <si>
    <t>R ALEXANDRE LEMONIER</t>
  </si>
  <si>
    <t>GUILERS</t>
  </si>
  <si>
    <t>MAISON MEDICALE JEAN XXIII</t>
  </si>
  <si>
    <t>3 PL ERASME DE ROTTERDAM</t>
  </si>
  <si>
    <t>CHPC - SITE VALOGNES</t>
  </si>
  <si>
    <t>1 AV DU 8 MAI 1945</t>
  </si>
  <si>
    <t>VALOGNES</t>
  </si>
  <si>
    <t>HNO DE TARARE</t>
  </si>
  <si>
    <t>6 BD GARIBALDI</t>
  </si>
  <si>
    <t>TARARE</t>
  </si>
  <si>
    <t>CHI ANDRE GREGOIRE</t>
  </si>
  <si>
    <t>56 BD DE LA BOISSIERE</t>
  </si>
  <si>
    <t>MONTREUIL</t>
  </si>
  <si>
    <t>CH  FALAISE</t>
  </si>
  <si>
    <t>BD DES BERCAGNES</t>
  </si>
  <si>
    <t>FALAISE</t>
  </si>
  <si>
    <t>CH SAINT AMAND-MONTROND</t>
  </si>
  <si>
    <t>44 AV JEAN JAURES</t>
  </si>
  <si>
    <t>ST AMAND MONTROND</t>
  </si>
  <si>
    <t>CH LILLEBONNE CHI CAUX VALLEE DE SEINE</t>
  </si>
  <si>
    <t>19 AV DU PRESIDENT RENE COTY</t>
  </si>
  <si>
    <t>LILLEBONNE</t>
  </si>
  <si>
    <t>L'ARBIZON SMR VYV 3 BAGNERES BIGORRE</t>
  </si>
  <si>
    <t>1 R DU PIC DE NEOUVIELLE</t>
  </si>
  <si>
    <t>BAGNERES DE BIGORRE</t>
  </si>
  <si>
    <t>GHU APHP HM SITE DUPUYTREN</t>
  </si>
  <si>
    <t>1 R EUGENE DELACROIX</t>
  </si>
  <si>
    <t>DRAVEIL</t>
  </si>
  <si>
    <t>CHRU RENNES SITE LA TAUVRAIS</t>
  </si>
  <si>
    <t>R DE LA TAUVRAIS</t>
  </si>
  <si>
    <t>CHU AMIENS SAINT VICTOR</t>
  </si>
  <si>
    <t>354 BD DE BEAUVILLÉ</t>
  </si>
  <si>
    <t>AMIENS CEDEX 1</t>
  </si>
  <si>
    <t>CH DEZARNAULDS - GIEN</t>
  </si>
  <si>
    <t>2 AV JEAN VILLEJEAN</t>
  </si>
  <si>
    <t>GIEN CEDEX</t>
  </si>
  <si>
    <t>CENTRE HOSPITALIER D'EPERNAY</t>
  </si>
  <si>
    <t>137 R DE L HOPITAL</t>
  </si>
  <si>
    <t>EPERNAY CEDEX</t>
  </si>
  <si>
    <t>30 AV DE LA VOIE ROMAINE</t>
  </si>
  <si>
    <t>CH DE MT ST MARTIN (GROUPE SOS SANTE)</t>
  </si>
  <si>
    <t>4 R ALFRED LABBE.</t>
  </si>
  <si>
    <t>MONT ST MARTIN</t>
  </si>
  <si>
    <t>CH AUTUN SITE PARPAS</t>
  </si>
  <si>
    <t>7 R DE    PARPAS</t>
  </si>
  <si>
    <t>AUTUN</t>
  </si>
  <si>
    <t>CHD-SITE DE LUCON</t>
  </si>
  <si>
    <t>41 R HENRY RENAUD</t>
  </si>
  <si>
    <t>LUCON CEDEX</t>
  </si>
  <si>
    <t>CENTRE HOSPITALIER SARLAT</t>
  </si>
  <si>
    <t>SARLAT LA CANEDA CEDEX</t>
  </si>
  <si>
    <t>CH DE LA HAUTE GIRONDE</t>
  </si>
  <si>
    <t>97 R DE L'HOPITAL</t>
  </si>
  <si>
    <t>BLAYE CEDEX</t>
  </si>
  <si>
    <t>CENTRE HOSPITALIER DE RETHEL</t>
  </si>
  <si>
    <t>1 PL HOURTOULE</t>
  </si>
  <si>
    <t>RETHEL</t>
  </si>
  <si>
    <t>GHBS - HOPITAL LA VILLENEUVE</t>
  </si>
  <si>
    <t>20 AV GENERAL LECLERC</t>
  </si>
  <si>
    <t>QUIMPERLE CEDEX</t>
  </si>
  <si>
    <t>CENTRE HOSPITALIER DE LANGRES</t>
  </si>
  <si>
    <t>10 R DE LA CHARITE</t>
  </si>
  <si>
    <t>LANGRES</t>
  </si>
  <si>
    <t>CH CLAMECY</t>
  </si>
  <si>
    <t>14 R BEAUGY</t>
  </si>
  <si>
    <t>CLAMECY</t>
  </si>
  <si>
    <t>CENTRE HOSPITALIER DE PONT A MOUSSON</t>
  </si>
  <si>
    <t>PL COLOMBE</t>
  </si>
  <si>
    <t>PONT A MOUSSON CEDEX</t>
  </si>
  <si>
    <t>CH COTE FLEURIE - SITE DE CRICQUEBOEUF</t>
  </si>
  <si>
    <t>RTE DEPARTEMENTALE 62</t>
  </si>
  <si>
    <t>CMC HOPITAUX DE LANNEMEZAN</t>
  </si>
  <si>
    <t>644 RTE DE TOULOUSE</t>
  </si>
  <si>
    <t>LANNEMEZAN</t>
  </si>
  <si>
    <t>CH ANNECY-GENEVOIS SITE ST JULIEN EN G</t>
  </si>
  <si>
    <t>1 R AMEDEE VIII DE SAVOIE</t>
  </si>
  <si>
    <t>ST JULIEN EN GENEVOIS CEDE</t>
  </si>
  <si>
    <t>CH DE CREST</t>
  </si>
  <si>
    <t>R DRISS CHRAIBI</t>
  </si>
  <si>
    <t>CREST</t>
  </si>
  <si>
    <t>GCS POLE DE SANTE DU VILLENEUVOIS</t>
  </si>
  <si>
    <t>CH DE BOURG ST MAURICE</t>
  </si>
  <si>
    <t>AV DU NANTET</t>
  </si>
  <si>
    <t>BOURG ST MAURICE CEDEX</t>
  </si>
  <si>
    <t>GHU APHP HU PSSD SITE JEAN VERDIER</t>
  </si>
  <si>
    <t>AV DU 14 JUILLET</t>
  </si>
  <si>
    <t>BONDY CEDEX</t>
  </si>
  <si>
    <t>CH NOGENT LE ROTROU - NOUVEL HOPITAL</t>
  </si>
  <si>
    <t>AV DE L'EUROPE</t>
  </si>
  <si>
    <t>NOGENT LE ROTROU CEDEX</t>
  </si>
  <si>
    <t>CH CONDOM</t>
  </si>
  <si>
    <t>21 AV MARECHAL JOFFRE</t>
  </si>
  <si>
    <t>CONDOM</t>
  </si>
  <si>
    <t>CH FABRICE MARCHIOL LA MURE</t>
  </si>
  <si>
    <t>62 R DES ALPES</t>
  </si>
  <si>
    <t>LA MURE D ISERE</t>
  </si>
  <si>
    <t>CH GHPSO SENLIS</t>
  </si>
  <si>
    <t>14 AV PAUL ROUGÉ</t>
  </si>
  <si>
    <t>SENLIS CEDEX</t>
  </si>
  <si>
    <t>CH PERONNE</t>
  </si>
  <si>
    <t>PL DU JEU DE PAUME</t>
  </si>
  <si>
    <t>PERONNE CEDEX</t>
  </si>
  <si>
    <t>CH RIVES DE SEINE SITE NEUILLY S/SEINE</t>
  </si>
  <si>
    <t>36 BD DU GENERAL LECLERC</t>
  </si>
  <si>
    <t>CH GISORS</t>
  </si>
  <si>
    <t>RTE DE ROUEN</t>
  </si>
  <si>
    <t>GISORS</t>
  </si>
  <si>
    <t>CENTRE LOCAL HOSPITALIER SAINT JOSEPH</t>
  </si>
  <si>
    <t>LES RIVIERES</t>
  </si>
  <si>
    <t>COMBOURG</t>
  </si>
  <si>
    <t>CH DECIZE</t>
  </si>
  <si>
    <t>74 RTE DE MOULINS</t>
  </si>
  <si>
    <t>DECIZE CEDEX</t>
  </si>
  <si>
    <t>SAS DE CARDIOLOGIES ET URGENCES</t>
  </si>
  <si>
    <t>CH LAVAUR SITE GUIRAUD</t>
  </si>
  <si>
    <t>1 PL VIALAS</t>
  </si>
  <si>
    <t>LAVAUR</t>
  </si>
  <si>
    <t>CH EMILE BOREL ST AFFRIQUE</t>
  </si>
  <si>
    <t>88 AV DR LUCIEN GALTIER</t>
  </si>
  <si>
    <t>ST AFFRIQUE CEDEX</t>
  </si>
  <si>
    <t>CH DE MAURIAC</t>
  </si>
  <si>
    <t>AV FERNAND TALANDIER</t>
  </si>
  <si>
    <t>MAURIAC</t>
  </si>
  <si>
    <t>CENTRE HOSPITALIER ST JEAN D'ANGELY</t>
  </si>
  <si>
    <t>18 AV DU PORT</t>
  </si>
  <si>
    <t>ST JEAN D ANGELY CEDEX</t>
  </si>
  <si>
    <t>CLINIQUE DU SUD DE LA CORSE</t>
  </si>
  <si>
    <t>R DU DOCTEUR JOURDAN</t>
  </si>
  <si>
    <t>PORTO VECCHIO CEDEX</t>
  </si>
  <si>
    <t>CH CALVI</t>
  </si>
  <si>
    <t>CALVI</t>
  </si>
  <si>
    <t>CENTRE HOSPITALIER DE COUTANCES</t>
  </si>
  <si>
    <t>R DE LA GARE</t>
  </si>
  <si>
    <t>COUTANCES CEDEX</t>
  </si>
  <si>
    <t>CH DU NORD MAYENNE</t>
  </si>
  <si>
    <t>229 BD PAUL LINTIER</t>
  </si>
  <si>
    <t>MAYENNE CEDEX</t>
  </si>
  <si>
    <t>CH INTERCOMMUNAL DE LA LAUTER</t>
  </si>
  <si>
    <t>24 RTE DE WEILER</t>
  </si>
  <si>
    <t>WISSEMBOURG CEDEX</t>
  </si>
  <si>
    <t>CH MONTGELAS</t>
  </si>
  <si>
    <t>9 AV PROFESSEUR FLEMING</t>
  </si>
  <si>
    <t>GIVORS</t>
  </si>
  <si>
    <t>CH JULES NIEL DE VALREAS</t>
  </si>
  <si>
    <t>CRS TIVOLI</t>
  </si>
  <si>
    <t>VALREAS</t>
  </si>
  <si>
    <t>GHU APHP SUN SITE CHARLES FOIX</t>
  </si>
  <si>
    <t>7 AV DE LA REPUBLIQUE</t>
  </si>
  <si>
    <t>IVRY SUR SEINE CEDEX</t>
  </si>
  <si>
    <t>CH DE LAMASTRE</t>
  </si>
  <si>
    <t>5 AV DU DOCTEUR ELISEE CHARRA</t>
  </si>
  <si>
    <t>LAMASTRE</t>
  </si>
  <si>
    <t>CTRE HOSPITALIER REG UNIVERSITAIRE DIJ</t>
  </si>
  <si>
    <t>2 R JULES VIOLLE</t>
  </si>
  <si>
    <t>GHU CUP SITE NECKER ENFANTS MALADES</t>
  </si>
  <si>
    <t>149 R DE SEVRES</t>
  </si>
  <si>
    <t>PARIS CEDEX 15</t>
  </si>
  <si>
    <t>CENTRE HOSPITALIER ISLE SUR LA SORGUE</t>
  </si>
  <si>
    <t>PL DES FRERES BRUN</t>
  </si>
  <si>
    <t>L ISLE SUR LA SORGUE CEDEX</t>
  </si>
  <si>
    <t>CH DES QUATRE VILLES SITE ST CLOUD</t>
  </si>
  <si>
    <t>3 PL SILLY</t>
  </si>
  <si>
    <t>ST CLOUD</t>
  </si>
  <si>
    <t>CH LA PALMOSA DE MENTON</t>
  </si>
  <si>
    <t>2 AV ANTOINE PEGLION</t>
  </si>
  <si>
    <t>MENTON CEDEX</t>
  </si>
  <si>
    <t>CH HOPITAUX SUD-CHARENTE</t>
  </si>
  <si>
    <t>RTE DE SAINT BONNET</t>
  </si>
  <si>
    <t>BARBEZIEUX ST HILAIRE</t>
  </si>
  <si>
    <t>CENTRE HOSPITALIER VITRY LE FRANCOIS</t>
  </si>
  <si>
    <t>2 R CHARLES SIMON</t>
  </si>
  <si>
    <t>VITRY LE FRANCOIS CEDEX</t>
  </si>
  <si>
    <t>CH FOURMIES</t>
  </si>
  <si>
    <t>R DE L HOPITAL</t>
  </si>
  <si>
    <t>FOURMIES CEDEX</t>
  </si>
  <si>
    <t>CH LE QUESNOY</t>
  </si>
  <si>
    <t>90 R DU 8 MAI 1945</t>
  </si>
  <si>
    <t>LE QUESNOY</t>
  </si>
  <si>
    <t>GH HAUTE SAONE SITE GRAY</t>
  </si>
  <si>
    <t>5 R DE L ARSENAL</t>
  </si>
  <si>
    <t>GRAY CEDEX</t>
  </si>
  <si>
    <t>CH DE NANTERRE</t>
  </si>
  <si>
    <t>403 AV DE LA REPUBLIQUE</t>
  </si>
  <si>
    <t>NANTERRE CEDEX</t>
  </si>
  <si>
    <t>GHU APHP HU PSSD SITE MURET</t>
  </si>
  <si>
    <t>52 AV DU DOC SCHAFFNER</t>
  </si>
  <si>
    <t>SEVRAN</t>
  </si>
  <si>
    <t>CENTRE HOSPITALIER CONFOLENS</t>
  </si>
  <si>
    <t>R MARCEL PERROT</t>
  </si>
  <si>
    <t>CONFOLENS</t>
  </si>
  <si>
    <t>CH LOUVIERS CHI ELBEUF</t>
  </si>
  <si>
    <t>2 R SAINT JEAN</t>
  </si>
  <si>
    <t>LOUVIERS CEDEX</t>
  </si>
  <si>
    <t>CH SUD GIRONDE - SITE LA REOLE</t>
  </si>
  <si>
    <t>PL SAINT MICHEL</t>
  </si>
  <si>
    <t>LA REOLE CEDEX</t>
  </si>
  <si>
    <t>CENTRE HOSPITALIER STE FOY LA GRANDE</t>
  </si>
  <si>
    <t>1 AV CHARRIER</t>
  </si>
  <si>
    <t>STE FOY LA GRANDE</t>
  </si>
  <si>
    <t>CH LUNEL</t>
  </si>
  <si>
    <t>CHE DES ALICANTES</t>
  </si>
  <si>
    <t>LUNEL CEDEX</t>
  </si>
  <si>
    <t>HOPITAL ST THOMAS DE VILLENEUVE BAIN</t>
  </si>
  <si>
    <t>2 R HIPPOLYTE FILLIOUX</t>
  </si>
  <si>
    <t>BAIN DE BRETAGNE</t>
  </si>
  <si>
    <t>POLE GERIATRIQUE RENNAIS</t>
  </si>
  <si>
    <t>100 AV ANDRE BONNIN</t>
  </si>
  <si>
    <t>CHANTEPIE CEDEX</t>
  </si>
  <si>
    <t>CLINIQUE DES COTES DU RHONE</t>
  </si>
  <si>
    <t>R FERNAND LEGER</t>
  </si>
  <si>
    <t>ROUSSILLON</t>
  </si>
  <si>
    <t>CTRE MEDICAL MARTEL DE JANVILLE</t>
  </si>
  <si>
    <t>300 R DU MANET</t>
  </si>
  <si>
    <t>BONNEVILLE CEDEX</t>
  </si>
  <si>
    <t>CH GAILLAC</t>
  </si>
  <si>
    <t>AV RENE CASSIN</t>
  </si>
  <si>
    <t>GAILLAC CEDEX</t>
  </si>
  <si>
    <t>CENTRE HOSPITALIER  FRANCOIS DUNAN</t>
  </si>
  <si>
    <t>3 R GEORGES POULET</t>
  </si>
  <si>
    <t>ST PIERRE ET MIQUELON</t>
  </si>
  <si>
    <t>SAINT PIERRE ET MIQUELON</t>
  </si>
  <si>
    <t>CH VERVINS</t>
  </si>
  <si>
    <t>20 PL DE LA LIBERTÉ</t>
  </si>
  <si>
    <t>VERVINS</t>
  </si>
  <si>
    <t>CHI DES ALPES DU SUD SITE DE SISTERON</t>
  </si>
  <si>
    <t>4 AV DE LA LIBERATION</t>
  </si>
  <si>
    <t>SISTERON</t>
  </si>
  <si>
    <t>CENTRE HOSPITALIER GENERAL LA CIOTAT</t>
  </si>
  <si>
    <t>BD LAMARTINE</t>
  </si>
  <si>
    <t>LA CIOTAT CEDEX</t>
  </si>
  <si>
    <t>CENTRE HOSPITALIER DE VIRE</t>
  </si>
  <si>
    <t>4 R EMILE DESVAUX</t>
  </si>
  <si>
    <t>VIRE CEDEX</t>
  </si>
  <si>
    <t>HOPITAL INSTR ARMEES CLERMONT-TONNERRE</t>
  </si>
  <si>
    <t>R COLONEL FONFERRIER</t>
  </si>
  <si>
    <t>CL NEPHRO EXUPERY CTRE DD TLS LECRIV</t>
  </si>
  <si>
    <t>29 R EMILE LECRIVAIN</t>
  </si>
  <si>
    <t>TOULOUSE CEDEX 4</t>
  </si>
  <si>
    <t>HOPITAL PRIVE SAINT-MARTIN</t>
  </si>
  <si>
    <t>ALL DES TULIPES</t>
  </si>
  <si>
    <t>PESSAC CEDEX</t>
  </si>
  <si>
    <t>HOPITAL ST LOUP AGDE HBT</t>
  </si>
  <si>
    <t>BD DES HELLENES</t>
  </si>
  <si>
    <t>AGDE</t>
  </si>
  <si>
    <t>GCS PAYS DE L'ADOUR</t>
  </si>
  <si>
    <t>16 R CHANTEMERLE</t>
  </si>
  <si>
    <t>AIRE SUR L ADOUR</t>
  </si>
  <si>
    <t>CH ERDRE ET LOIRE</t>
  </si>
  <si>
    <t>160 R DU VERGER</t>
  </si>
  <si>
    <t>ANCENIS CEDEX</t>
  </si>
  <si>
    <t>CHU DE NANTES SITE HOPITAL BELLIER</t>
  </si>
  <si>
    <t>41 R PIERRE ET MARIE CURIE</t>
  </si>
  <si>
    <t>NANTES CEDEX 1</t>
  </si>
  <si>
    <t>CH COSNE COURS SUR LOIRE</t>
  </si>
  <si>
    <t>96 R MARÉCHAL  LECLERC</t>
  </si>
  <si>
    <t>COSNE COURS SUR LOIRE CEDE</t>
  </si>
  <si>
    <t>HOP CALMETTE CHU LILLE</t>
  </si>
  <si>
    <t>CH CLERMONT</t>
  </si>
  <si>
    <t>R FRÉDÉRIC RABOISSON</t>
  </si>
  <si>
    <t>CLERMONT</t>
  </si>
  <si>
    <t>CENTRE HOSPITALIER DE L'AIGLE</t>
  </si>
  <si>
    <t>10 R DU DOCTEUR FRINAULT</t>
  </si>
  <si>
    <t>L AIGLE CEDEX</t>
  </si>
  <si>
    <t>CHIC DES ANDAINES - LA FERTE MACE</t>
  </si>
  <si>
    <t>R SOEUR MARIE BOITIER</t>
  </si>
  <si>
    <t>LA FERTE MACE</t>
  </si>
  <si>
    <t>HOPITAL DU NEUENBERG</t>
  </si>
  <si>
    <t>38 R DU PASTEUR HERRMANN</t>
  </si>
  <si>
    <t>INGWILLER</t>
  </si>
  <si>
    <t>CENTRE HOSPITALIER DEPARTEMENTAL</t>
  </si>
  <si>
    <t>17 RTE DE STRASBOURG</t>
  </si>
  <si>
    <t>BISCHWILLER CEDEX</t>
  </si>
  <si>
    <t>CH ALIGRE BOURBON LANCY</t>
  </si>
  <si>
    <t>1 ALL D ALIGRE</t>
  </si>
  <si>
    <t>BOURBON LANCY</t>
  </si>
  <si>
    <t>CLINIQUE CHIRURGICALE PORTE OCEANE</t>
  </si>
  <si>
    <t>R JACQUES MONOD</t>
  </si>
  <si>
    <t>GHU APHP HM SITE E ROUX</t>
  </si>
  <si>
    <t>1 AV DE VERDUN</t>
  </si>
  <si>
    <t>LIMEIL BREVANNES CEDEX</t>
  </si>
  <si>
    <t>CLINIQUE MIRABEAU</t>
  </si>
  <si>
    <t>37 AV DE PARIS</t>
  </si>
  <si>
    <t>CH LA FERE</t>
  </si>
  <si>
    <t>2 AV DUPUIS</t>
  </si>
  <si>
    <t>LA FERE</t>
  </si>
  <si>
    <t>CH DE BOURG SAINT ANDEOL</t>
  </si>
  <si>
    <t>R PAUL SEMARD</t>
  </si>
  <si>
    <t>BOURG ST ANDEOL</t>
  </si>
  <si>
    <t>GCS TERRIT ARDEN NORD SITE CH CHARLEVI</t>
  </si>
  <si>
    <t>45 AV DE MANCHESTER</t>
  </si>
  <si>
    <t>CHARLEVILLE MEZIERES CEDEX</t>
  </si>
  <si>
    <t>CH HCO SITE DE CHATILLON SUR SEINE</t>
  </si>
  <si>
    <t>2 R BARON CLAUDE PETIET</t>
  </si>
  <si>
    <t>CHATILLON SUR SEINE</t>
  </si>
  <si>
    <t>CHIC RDD MEDECINE DE RIBERAC</t>
  </si>
  <si>
    <t>R JEAN MOULIN</t>
  </si>
  <si>
    <t>RIBERAC</t>
  </si>
  <si>
    <t>CH BERNAY</t>
  </si>
  <si>
    <t>5 R ANNE DE TICHEVILLE</t>
  </si>
  <si>
    <t>BERNAY CEDEX</t>
  </si>
  <si>
    <t>CHI LOMBEZ SAMATAN</t>
  </si>
  <si>
    <t>10 CHE DES RELIGIEUSES</t>
  </si>
  <si>
    <t>LOMBEZ</t>
  </si>
  <si>
    <t>HOPITAL ARTHUR GARDINER</t>
  </si>
  <si>
    <t>1 R HENRI DUNANT</t>
  </si>
  <si>
    <t>DINARD</t>
  </si>
  <si>
    <t>CH JACQUES BARROT - YSSINGEAUX</t>
  </si>
  <si>
    <t>20 AV DE LA MARNE</t>
  </si>
  <si>
    <t>YSSINGEAUX</t>
  </si>
  <si>
    <t>CENTRE HOSPITALIER DE GUEBWILLER</t>
  </si>
  <si>
    <t>2 R JEAN SCHLUMBERGER</t>
  </si>
  <si>
    <t>GUEBWILLER CEDEX</t>
  </si>
  <si>
    <t>GH HAUTE SAONE SITE LURE</t>
  </si>
  <si>
    <t>37 AV CARNOT</t>
  </si>
  <si>
    <t>LURE CEDEX</t>
  </si>
  <si>
    <t>CH PAUL CHAPRON</t>
  </si>
  <si>
    <t>56 AV PIERRE BRULE</t>
  </si>
  <si>
    <t>LA FERTE BERNARD CEDEX</t>
  </si>
  <si>
    <t>CHI CASTELSARRASIN MOISSAC SITE MOISSA</t>
  </si>
  <si>
    <t>16 BD CAMILLE DELTHIL</t>
  </si>
  <si>
    <t>MOISSAC CEDEX</t>
  </si>
  <si>
    <t>CH AVALLON</t>
  </si>
  <si>
    <t>1 R DE L HOPITAL</t>
  </si>
  <si>
    <t>AVALLON CEDEX</t>
  </si>
  <si>
    <t>CH JOIGNY</t>
  </si>
  <si>
    <t>3 QUAI DE L HOPITAL</t>
  </si>
  <si>
    <t>JOIGNY CEDEX</t>
  </si>
  <si>
    <t>CH SAINT DENIS HOPITAL CASANOVA</t>
  </si>
  <si>
    <t>11 R DANIELE CASANOVA</t>
  </si>
  <si>
    <t>ST DENIS CEDEX</t>
  </si>
  <si>
    <t>CENTRE HOSPITALIER D'EMBRUN</t>
  </si>
  <si>
    <t>8 R PIERRE ET MARIE CURIE</t>
  </si>
  <si>
    <t>EMBRUN</t>
  </si>
  <si>
    <t>CH JP CASSABEL CASTELNAUDARY</t>
  </si>
  <si>
    <t>19 AV MONSEIGNEUR DE LANGLE</t>
  </si>
  <si>
    <t>CASTELNAUDARY</t>
  </si>
  <si>
    <t>CH PIERRE DELPECH DECAZEVILLE</t>
  </si>
  <si>
    <t>60 AV PROSPER ALFARIC</t>
  </si>
  <si>
    <t>DECAZEVILLE</t>
  </si>
  <si>
    <t>CH VERNEUIL-SUR-AVRE</t>
  </si>
  <si>
    <t>101 BD DES POISSONNIERS</t>
  </si>
  <si>
    <t>VERNEUIL SUR AVRE CEDEX</t>
  </si>
  <si>
    <t>CHRU BREST SITE HOPITAL DE CARHAIX</t>
  </si>
  <si>
    <t>R DR MENGUY</t>
  </si>
  <si>
    <t>CARHAIX PLOUGUER CEDEX</t>
  </si>
  <si>
    <t>CH PONT ST ESPRIT</t>
  </si>
  <si>
    <t>10 R PHILIPPE LE BEL</t>
  </si>
  <si>
    <t>PONT ST ESPRIT CEDEX</t>
  </si>
  <si>
    <t>POLYCL MEDICALE DE LA LEZE</t>
  </si>
  <si>
    <t>468 CHE DE REGUENADE</t>
  </si>
  <si>
    <t>LAGARDELLE SUR LEZE</t>
  </si>
  <si>
    <t>EPS LOMAGNE SITE DE FLEURANCE</t>
  </si>
  <si>
    <t>R ST LAURENT</t>
  </si>
  <si>
    <t>FLEURANCE</t>
  </si>
  <si>
    <t>CH DE LA ROCHE AUX FEES JANZE</t>
  </si>
  <si>
    <t>R ARMAND JOUAULT</t>
  </si>
  <si>
    <t>JANZE</t>
  </si>
  <si>
    <t>CH DE CRAPONNE SUR ARZON</t>
  </si>
  <si>
    <t>16 R DE LA RATILLE</t>
  </si>
  <si>
    <t>CRAPONNE SUR ARZON</t>
  </si>
  <si>
    <t>CH ST JACQUES ST CERE</t>
  </si>
  <si>
    <t>11 AV DOCTEUR ROUX</t>
  </si>
  <si>
    <t>ST CERE</t>
  </si>
  <si>
    <t>CH JEAN COULON GOURDON</t>
  </si>
  <si>
    <t>AV PASTEUR</t>
  </si>
  <si>
    <t>GOURDON</t>
  </si>
  <si>
    <t>MAISON HOSPITALIERE DE BACCARAT</t>
  </si>
  <si>
    <t>24 R DE L'ABBE MUNIER</t>
  </si>
  <si>
    <t>BACCARAT</t>
  </si>
  <si>
    <t>CENTRE HOSPITALIER ST NICOLAS DE PORT</t>
  </si>
  <si>
    <t>3 R DU JEU DE PAUME</t>
  </si>
  <si>
    <t>ST NICOLAS DE PORT</t>
  </si>
  <si>
    <t>CENTRE HOSPITALIER DE BELLE ILE EN MER</t>
  </si>
  <si>
    <t>271 R MADELEINE DE CASTILLE</t>
  </si>
  <si>
    <t>LE PALAIS</t>
  </si>
  <si>
    <t>GHBS SITE DE KERDURAND RIANTEC</t>
  </si>
  <si>
    <t>1 R GROEZ DIBEN</t>
  </si>
  <si>
    <t>RIANTEC</t>
  </si>
  <si>
    <t>CHR METZ-THIONVILLE SITE LEGOUEST</t>
  </si>
  <si>
    <t>27 AV DE PLANTIERES</t>
  </si>
  <si>
    <t>METZ CEDEX 03</t>
  </si>
  <si>
    <t>NOUVEL HOPITAL D'OBERNAI</t>
  </si>
  <si>
    <t>3 AV DU MAIRE GILLMANN</t>
  </si>
  <si>
    <t>OBERNAI CEDEX</t>
  </si>
  <si>
    <t>MAISON MEDICALE POUR PERSONNES AGEES</t>
  </si>
  <si>
    <t>5 R DU DR MANGENEY</t>
  </si>
  <si>
    <t>MULHOUSE CEDEX 1</t>
  </si>
  <si>
    <t>CLINIQUE DU MONT LOUIS</t>
  </si>
  <si>
    <t>8 R DE LA FOLIE REGNAULT</t>
  </si>
  <si>
    <t>CH DE VERSAILLES SITE RICHAUD</t>
  </si>
  <si>
    <t>80 BD DE LA REINE</t>
  </si>
  <si>
    <t>POLYCLI FILIERIS STE BARBE CARMAUX</t>
  </si>
  <si>
    <t>AV DE NECKARSULM</t>
  </si>
  <si>
    <t>CARMAUX</t>
  </si>
  <si>
    <t>HOPITAL PRIVE DE VITRY SITE PASTEUR</t>
  </si>
  <si>
    <t>22 R DE LA PETITE SAUSSAIE</t>
  </si>
  <si>
    <t>VITRY SUR SEINE</t>
  </si>
  <si>
    <t>HOPITAL PRIVE GERIATRIQUE LES SOURCES</t>
  </si>
  <si>
    <t>10 CAMIN RENE PIETRUSCHI</t>
  </si>
  <si>
    <t>NICE CEDEX 2</t>
  </si>
  <si>
    <t>HOPITAL PRIVE DE SAINT AGREVE</t>
  </si>
  <si>
    <t>295 R DOCTEUR TOURASSE</t>
  </si>
  <si>
    <t>ST AGREVE</t>
  </si>
  <si>
    <t>CH DE TOURNON SUR RHONE</t>
  </si>
  <si>
    <t>50 R DES ALPES</t>
  </si>
  <si>
    <t>TOURNON SUR RHONE CEDEX</t>
  </si>
  <si>
    <t>CH SEURRE</t>
  </si>
  <si>
    <t>14 FG ST GEORGES</t>
  </si>
  <si>
    <t>SEURRE</t>
  </si>
  <si>
    <t>CENTRE HOSPITALIER LESNEVEN</t>
  </si>
  <si>
    <t>R BARBIER DE LESCOAT</t>
  </si>
  <si>
    <t>LESNEVEN</t>
  </si>
  <si>
    <t>FONDATION ILDYS SITE DE PERHARIDY</t>
  </si>
  <si>
    <t>ROSCOFF CEDEX</t>
  </si>
  <si>
    <t>CH UZES</t>
  </si>
  <si>
    <t>1 AV MARECHAL FOCH</t>
  </si>
  <si>
    <t>UZES CEDEX</t>
  </si>
  <si>
    <t>CL DES MINIMES TOULOUSE</t>
  </si>
  <si>
    <t>BD PIERRE ET MARIE CURIE</t>
  </si>
  <si>
    <t>CL MONIE VILLEFRANCHE DE LAURAGAIS</t>
  </si>
  <si>
    <t>RTE DE REVEL</t>
  </si>
  <si>
    <t>VILLEFRANCHE DE LAURAGAIS</t>
  </si>
  <si>
    <t>CH CLERMONT L'HERAULT</t>
  </si>
  <si>
    <t>CRS DE LA CHICANE</t>
  </si>
  <si>
    <t>CLERMONT L HERAULT</t>
  </si>
  <si>
    <t>CH LOUIS JAILLON SAINT CLAUDE</t>
  </si>
  <si>
    <t>2 MTE DE L'HOPITAL</t>
  </si>
  <si>
    <t>ST CLAUDE CEDEX</t>
  </si>
  <si>
    <t>CH PIERRE GALLICE DE LANGEAC</t>
  </si>
  <si>
    <t>R DU 19 MARS 1962</t>
  </si>
  <si>
    <t>LANGEAC</t>
  </si>
  <si>
    <t>CH LOUIS CONTE GRAMAT</t>
  </si>
  <si>
    <t>150 AV FRANCOIS SOULADIE</t>
  </si>
  <si>
    <t>GRAMAT</t>
  </si>
  <si>
    <t>CH ST JACQUES MARVEJOLS</t>
  </si>
  <si>
    <t>CHE JEAN FONTUGNE</t>
  </si>
  <si>
    <t>MARVEJOLS</t>
  </si>
  <si>
    <t>CENTRE HOSPITALIER GUEMENE SUR SCORFF</t>
  </si>
  <si>
    <t>R EMILE MAZE</t>
  </si>
  <si>
    <t>GUEMENE SUR SCORFF</t>
  </si>
  <si>
    <t>CLINIQUE STE ELISABETH DE YUTZ</t>
  </si>
  <si>
    <t>2 AV JULIEN ABSALON</t>
  </si>
  <si>
    <t>YUTZ CEDEX</t>
  </si>
  <si>
    <t>HOPITAL ST MAURICE ASSPO</t>
  </si>
  <si>
    <t>AV MAURICE THOREZ</t>
  </si>
  <si>
    <t>MOYEUVRE GRANDE</t>
  </si>
  <si>
    <t>CH AVESNES</t>
  </si>
  <si>
    <t>RTE DU HAUT LIEU</t>
  </si>
  <si>
    <t>AVESNES SUR HELPE CEDEX</t>
  </si>
  <si>
    <t>CSPA LES BATELIERS CHU LILLE</t>
  </si>
  <si>
    <t>23 R DES BATELIERS</t>
  </si>
  <si>
    <t>CLINIQUE RHENA ASSOCIATION</t>
  </si>
  <si>
    <t>10 R FRANCOIS EPAILLY</t>
  </si>
  <si>
    <t>CLINIQUE DIACONAT FONDERIE</t>
  </si>
  <si>
    <t>1 R SAINT-SAUVEUR</t>
  </si>
  <si>
    <t>HOPITAL DE THANN</t>
  </si>
  <si>
    <t>1 R SAINT JACQUES</t>
  </si>
  <si>
    <t>THANN CEDEX</t>
  </si>
  <si>
    <t>POLE PUBLIC SAINT-LOUIS - GHRMSA</t>
  </si>
  <si>
    <t>5 R SAINT DAMIEN</t>
  </si>
  <si>
    <t>ST LOUIS</t>
  </si>
  <si>
    <t>CH CHIMR MONTDIDIER</t>
  </si>
  <si>
    <t>25 R AMAND DE VIENNE</t>
  </si>
  <si>
    <t>MONTDIDIER</t>
  </si>
  <si>
    <t>CENTRE HOSPITALIER DU TONNERROIS</t>
  </si>
  <si>
    <t>CHE DES JUMERIAUX</t>
  </si>
  <si>
    <t>TONNERRE</t>
  </si>
  <si>
    <t>HOPITAL SUISSE DE PARIS</t>
  </si>
  <si>
    <t>10 R MINARD</t>
  </si>
  <si>
    <t>ISSY LES MOULINEAUX</t>
  </si>
  <si>
    <t>CH LOUIS BRUNET D'ALLAUCH</t>
  </si>
  <si>
    <t>CHE DES MILLE ECUS</t>
  </si>
  <si>
    <t>ALLAUCH CEDEX</t>
  </si>
  <si>
    <t>CH DE LA ROCHEFOUCAULD</t>
  </si>
  <si>
    <t>PL DU CHAMP DE FOIRE</t>
  </si>
  <si>
    <t>LA ROCHEFOUCAULD EN ANGOUM</t>
  </si>
  <si>
    <t>CH HCO SITE DE MONTBARD</t>
  </si>
  <si>
    <t>24 R AUGUSTE CARRE</t>
  </si>
  <si>
    <t>MONTBARD</t>
  </si>
  <si>
    <t>CENTRE HOSPITALIER TREGUIER</t>
  </si>
  <si>
    <t>TOUR SAINT MICHEL</t>
  </si>
  <si>
    <t>TREGUIER</t>
  </si>
  <si>
    <t>SITE CROIX BLANCHE</t>
  </si>
  <si>
    <t>3 COTE RIBIERE</t>
  </si>
  <si>
    <t>MOUTIER ROZEILLE</t>
  </si>
  <si>
    <t>CH BEDARIEUX</t>
  </si>
  <si>
    <t>AV NOEMIE BERTHOMIEU</t>
  </si>
  <si>
    <t>BEDARIEUX</t>
  </si>
  <si>
    <t>CH DU BLANC</t>
  </si>
  <si>
    <t>5 R PIERRE MILON</t>
  </si>
  <si>
    <t>LE BLANC</t>
  </si>
  <si>
    <t>INSTITUT HELIO- MARIN LABENNE</t>
  </si>
  <si>
    <t>315 RTE OCÉANE</t>
  </si>
  <si>
    <t>LABENNE</t>
  </si>
  <si>
    <t>CH DU GIER - SITE PINAY GERIATRIE</t>
  </si>
  <si>
    <t>19 R LAURENT CHARLES</t>
  </si>
  <si>
    <t>ST CHAMOND</t>
  </si>
  <si>
    <t>CH LANGOGNE</t>
  </si>
  <si>
    <t>AV DE LA TUILERIE</t>
  </si>
  <si>
    <t>LANGOGNE</t>
  </si>
  <si>
    <t>CLINIQUE D'EPERNAY</t>
  </si>
  <si>
    <t>10 R COTE LEGRIS</t>
  </si>
  <si>
    <t>HOPITAL BELLE-ISLE DE METZ - HPM</t>
  </si>
  <si>
    <t>2 R BELLE-ISLE</t>
  </si>
  <si>
    <t>CH CHICN NOYON</t>
  </si>
  <si>
    <t>AV D'ALSACE LORRAINE</t>
  </si>
  <si>
    <t>NOYON CEDEX</t>
  </si>
  <si>
    <t>CENTRE HOSPITALIER D'ALTKIRCH</t>
  </si>
  <si>
    <t>23 R DU TROISIEME ZOUAVE</t>
  </si>
  <si>
    <t>ALTKIRCH CEDEX</t>
  </si>
  <si>
    <t>CENTRE HOSPITALIER  BRESSE LOUHANNAISE</t>
  </si>
  <si>
    <t>350 AV FERNAND POINT</t>
  </si>
  <si>
    <t>LOUHANS</t>
  </si>
  <si>
    <t>GHU APHP CUP SITE BROCA</t>
  </si>
  <si>
    <t>54 R PASCAL</t>
  </si>
  <si>
    <t>CH HAM</t>
  </si>
  <si>
    <t>56 R DE VERDUN</t>
  </si>
  <si>
    <t>HAM</t>
  </si>
  <si>
    <t>CH CHIBS SAINT-VALERY-SUR-SOMME</t>
  </si>
  <si>
    <t>33 QU DU ROMEREL</t>
  </si>
  <si>
    <t>ST VALERY SUR SOMME</t>
  </si>
  <si>
    <t>CHU DE POITIERS - SITE DE LOUDUN</t>
  </si>
  <si>
    <t>3 R DES VISITANDINES</t>
  </si>
  <si>
    <t>LOUDUN CEDEX</t>
  </si>
  <si>
    <t>HOPITAL INTERCOMMUNAL DU HAUT LIMOUSIN</t>
  </si>
  <si>
    <t>4 AV CHARLES DE GAULLE</t>
  </si>
  <si>
    <t>BELLAC</t>
  </si>
  <si>
    <t>CLINIQUE DE L ESSONNE</t>
  </si>
  <si>
    <t>BD DES CHAMPS ELYSEES</t>
  </si>
  <si>
    <t>EVRY CEDEX</t>
  </si>
  <si>
    <t>CH HIRSON</t>
  </si>
  <si>
    <t>40 R AUX LOUPS</t>
  </si>
  <si>
    <t>HIRSON</t>
  </si>
  <si>
    <t>CLINIQUE SAINT ANTOINE KANTYS CENTRE</t>
  </si>
  <si>
    <t>7 AV DURANTE</t>
  </si>
  <si>
    <t>CENTRE HOSPITALIER DE VOUZIERS</t>
  </si>
  <si>
    <t>12 R HENRIONNET</t>
  </si>
  <si>
    <t>VOUZIERS</t>
  </si>
  <si>
    <t>CH LEZIGNAN CORBIERES</t>
  </si>
  <si>
    <t>BD PASTEUR</t>
  </si>
  <si>
    <t>LEZIGNAN CORBIERES CEDEX</t>
  </si>
  <si>
    <t>CLINIQUE DE LA MISERICORDE</t>
  </si>
  <si>
    <t>15 R DES FOSSES SAINT JULIEN</t>
  </si>
  <si>
    <t>CENTRE HOSPITALIER BOSCAMNANT</t>
  </si>
  <si>
    <t>LD LES BRUYERES</t>
  </si>
  <si>
    <t>BOSCAMNANT</t>
  </si>
  <si>
    <t>CENTRE HOSPITALIER D'IS-SUR-TILLE</t>
  </si>
  <si>
    <t>21 R VICTOR HUGO</t>
  </si>
  <si>
    <t>IS SUR TILLE</t>
  </si>
  <si>
    <t>HOPITAUX DROME NORD - SAINT-VALLIER</t>
  </si>
  <si>
    <t>R PIERRE VALETTE</t>
  </si>
  <si>
    <t>ST VALLIER CEDEX</t>
  </si>
  <si>
    <t>CH DU DIOIS</t>
  </si>
  <si>
    <t>17 R LEON ARCHIMBAUD</t>
  </si>
  <si>
    <t>DIE</t>
  </si>
  <si>
    <t>CENTRE HOSPITALIER CROZON</t>
  </si>
  <si>
    <t>6 R THEODORE BOTREL</t>
  </si>
  <si>
    <t>CROZON</t>
  </si>
  <si>
    <t>CH MURET</t>
  </si>
  <si>
    <t>116 AV LOUIS PASTEUR</t>
  </si>
  <si>
    <t>MURET CEDEX</t>
  </si>
  <si>
    <t>CENTRE HOSPITALIER DE BAZAS</t>
  </si>
  <si>
    <t>4 CHE DIT DE MARMANDE</t>
  </si>
  <si>
    <t>BAZAS</t>
  </si>
  <si>
    <t>POLYCL DES TROIS VALLEES BEDARIEUX</t>
  </si>
  <si>
    <t>4 RTE ST PONS</t>
  </si>
  <si>
    <t>CENTRE HOSPITALIER LA GUERCHE DE BGNE</t>
  </si>
  <si>
    <t>63 FG DE RENNES</t>
  </si>
  <si>
    <t>LA GUERCHE DE BRETAGNE</t>
  </si>
  <si>
    <t>CHIC CHATEAU-RENAULT HOP DR J.DELANEAU</t>
  </si>
  <si>
    <t>66 BD JULES JORAN</t>
  </si>
  <si>
    <t>CHATEAU RENAULT</t>
  </si>
  <si>
    <t>CLINIQUE MEDICALE LA BUISSONNIERE</t>
  </si>
  <si>
    <t>RES LA BUISSONNIERE</t>
  </si>
  <si>
    <t>LA TALAUDIERE</t>
  </si>
  <si>
    <t>CH DU FOREZ SITE DE FEURS</t>
  </si>
  <si>
    <t>26 R CAMILLE PARIAT</t>
  </si>
  <si>
    <t>FEURS</t>
  </si>
  <si>
    <t>CH DE SAINT PIERRE DE BOEUF</t>
  </si>
  <si>
    <t>2 RTE DE LA DAME</t>
  </si>
  <si>
    <t>ST PIERRE DE BOEUF</t>
  </si>
  <si>
    <t>HOPITAL DE BELLEVUE - CHU42</t>
  </si>
  <si>
    <t>25 BD PASTEUR</t>
  </si>
  <si>
    <t>ST ETIENNE</t>
  </si>
  <si>
    <t>HOPITAL PRIVE ST MARTIN</t>
  </si>
  <si>
    <t>49 R LOUISE VOISINE</t>
  </si>
  <si>
    <t>BEAUPREAU EN MAUGES</t>
  </si>
  <si>
    <t>CENTRE HOSPITALIER DE SEZANNE</t>
  </si>
  <si>
    <t>16 R DES RECOLLETS</t>
  </si>
  <si>
    <t>SEZANNE</t>
  </si>
  <si>
    <t>HOPITAL S.O. MAYENNAIS :SITE DE CRAON</t>
  </si>
  <si>
    <t>3 RTE DE NANTES</t>
  </si>
  <si>
    <t>CRAON</t>
  </si>
  <si>
    <t>CH ERNEE</t>
  </si>
  <si>
    <t>20 AV DE PARIS</t>
  </si>
  <si>
    <t>ERNEE</t>
  </si>
  <si>
    <t>CENTRE HOSPITALIER ST-CHARLES COMMERCY</t>
  </si>
  <si>
    <t>1 R HENRI GARNIER</t>
  </si>
  <si>
    <t>COMMERCY CEDEX</t>
  </si>
  <si>
    <t>HOP REG INSTRUC DES ARMEES LEGOUEST</t>
  </si>
  <si>
    <t>MAISON CONVALESC. LUZY CLIN. DU MORVAN</t>
  </si>
  <si>
    <t>5 AVENUE HOCHE</t>
  </si>
  <si>
    <t>LUZY</t>
  </si>
  <si>
    <t>SAS CLINIQUE LES PEUPLIERS</t>
  </si>
  <si>
    <t>109 R D'HEM</t>
  </si>
  <si>
    <t>CENTRE HOSPITALIER - SEES</t>
  </si>
  <si>
    <t>79 R DE LA REPUBLIQUE</t>
  </si>
  <si>
    <t>SEES</t>
  </si>
  <si>
    <t>CH DE CONDRIEU GABRIEL MONTCHARMONT</t>
  </si>
  <si>
    <t>10 R DE LA PAVIE</t>
  </si>
  <si>
    <t>CONDRIEU</t>
  </si>
  <si>
    <t>CH DU MONT D'OR</t>
  </si>
  <si>
    <t>6 CHE NOTRE DAME</t>
  </si>
  <si>
    <t>ALBIGNY SUR SAONE</t>
  </si>
  <si>
    <t>59 BD PINEL</t>
  </si>
  <si>
    <t>BRON CEDEX</t>
  </si>
  <si>
    <t>GH HAUTE SAONE SITE LUXEUIL</t>
  </si>
  <si>
    <t>12 R GRAMMONT</t>
  </si>
  <si>
    <t>LUXEUIL LES BAINS CEDEX</t>
  </si>
  <si>
    <t>CENTRE HOSPITALIER DU CLUNISOIS</t>
  </si>
  <si>
    <t>13 PL DE L'HOPITAL</t>
  </si>
  <si>
    <t>CLUNY</t>
  </si>
  <si>
    <t>CENTRE HOSPITALIER MONTVAL SUR LOIR</t>
  </si>
  <si>
    <t>5 ALL SAINT MARTIN</t>
  </si>
  <si>
    <t>MONTVAL SUR LOIR</t>
  </si>
  <si>
    <t>GHU APHP CUP SITE HOTEL DIEU</t>
  </si>
  <si>
    <t>1 PL DU PARVIS DE NOTRE DAME</t>
  </si>
  <si>
    <t>PARIS CEDEX 04</t>
  </si>
  <si>
    <t>GHU APHP SUN SITE ROTHSCHILD</t>
  </si>
  <si>
    <t>5 R SANTERRE</t>
  </si>
  <si>
    <t>HOPITAL SAINT JULIEN CHU ROUEN</t>
  </si>
  <si>
    <t>2 R DANTON</t>
  </si>
  <si>
    <t>LE PETIT QUEVILLY CEDEX</t>
  </si>
  <si>
    <t>CH SUD SEINE ET MARNE SITE DE NEMOURS</t>
  </si>
  <si>
    <t>15 R DES CHAUDINS</t>
  </si>
  <si>
    <t>NEMOURS CEDEX</t>
  </si>
  <si>
    <t>CENTRE HOSPITALIER DE PLAISIR</t>
  </si>
  <si>
    <t>220 R MANSART</t>
  </si>
  <si>
    <t>PLAISIR CEDEX</t>
  </si>
  <si>
    <t>CH D'AVIGNON HENRI DUFFAUT CHIRURGIE</t>
  </si>
  <si>
    <t>CH RIVES DE SEINE SITE COURBEVOIE</t>
  </si>
  <si>
    <t>30 R KILFORD</t>
  </si>
  <si>
    <t>COURBEVOIE</t>
  </si>
  <si>
    <t>CH DES QUATRE VILLES SITE SEVRES</t>
  </si>
  <si>
    <t>141 GRANDE RUE</t>
  </si>
  <si>
    <t>SEVRES</t>
  </si>
  <si>
    <t>HOPITAL GOUIN A CLICHY</t>
  </si>
  <si>
    <t>2 R GASTON PAYMAL</t>
  </si>
  <si>
    <t>R DE L'HOPITAL</t>
  </si>
  <si>
    <t>CH DE VILLENEUVE DE BERG</t>
  </si>
  <si>
    <t>204 R DE L'HOPITAL</t>
  </si>
  <si>
    <t>VILLENEUVE DE BERG</t>
  </si>
  <si>
    <t>CENTRE HOSPITALIER DE BAR SUR AUBE</t>
  </si>
  <si>
    <t>2 R GASTON CHEQ</t>
  </si>
  <si>
    <t>BAR SUR AUBE</t>
  </si>
  <si>
    <t>CH DE PROXIMITE CHRISTIAN BRAUN</t>
  </si>
  <si>
    <t>6 R DU STADE</t>
  </si>
  <si>
    <t>BAR SUR SEINE</t>
  </si>
  <si>
    <t>CENTRE HOSPITALIER DE BELVES</t>
  </si>
  <si>
    <t>PL MAURICE BIRABEN</t>
  </si>
  <si>
    <t>PAYS DE BELVES</t>
  </si>
  <si>
    <t>CH PAUL NAPPEZ MORTEAU</t>
  </si>
  <si>
    <t>9 R MARECHAL LECLERC</t>
  </si>
  <si>
    <t>MORTEAU CEDEX</t>
  </si>
  <si>
    <t>HOPITAL XAVIER ARNOZAN - CHU</t>
  </si>
  <si>
    <t>AV DU HAUT LEVEQUE</t>
  </si>
  <si>
    <t>CH PEZENAS</t>
  </si>
  <si>
    <t>22 R HENRI REBOUL</t>
  </si>
  <si>
    <t>PEZENAS</t>
  </si>
  <si>
    <t>CH DE BROCELIANDE SITE DE MONFORT</t>
  </si>
  <si>
    <t>33 R SAINT NICOLAS</t>
  </si>
  <si>
    <t>MONTFORT SUR MEU CEDEX</t>
  </si>
  <si>
    <t>CH LA CHATRE</t>
  </si>
  <si>
    <t>40 R DES OISEAUX</t>
  </si>
  <si>
    <t>LA CHATRE</t>
  </si>
  <si>
    <t>CH DE RIVES</t>
  </si>
  <si>
    <t>RIVES SUR FURE CEDEX</t>
  </si>
  <si>
    <t>CH DE DAX - SITE DU LANOT</t>
  </si>
  <si>
    <t>RTE DE TERCIS</t>
  </si>
  <si>
    <t>CH SAINT AIGNAN</t>
  </si>
  <si>
    <t>1301 R DE LA FORÊT</t>
  </si>
  <si>
    <t>ST AIGNAN</t>
  </si>
  <si>
    <t>HOPITAL DE LA CHARITE - CHU42</t>
  </si>
  <si>
    <t>40 R POINTE CADET</t>
  </si>
  <si>
    <t>CH LVO SITE DE MACHECOUL</t>
  </si>
  <si>
    <t>BD DES REGENTS</t>
  </si>
  <si>
    <t>MACHECOUL ST MEME</t>
  </si>
  <si>
    <t>CH SEVRE ET LOIRE - VERTOU</t>
  </si>
  <si>
    <t>1 ALL ALPHONSE FILLION</t>
  </si>
  <si>
    <t>VERTOU CEDEX</t>
  </si>
  <si>
    <t>HOPITAL LOZERE SITE GEVAUDAN</t>
  </si>
  <si>
    <t>HOPITAL DE JOEUF (ASSPO)</t>
  </si>
  <si>
    <t>26 R SAINT ROBERT</t>
  </si>
  <si>
    <t>JOEUF</t>
  </si>
  <si>
    <t>CH MARGUERITE DE LORRAINE-MORTAGNE</t>
  </si>
  <si>
    <t>9 R DE LONGNY</t>
  </si>
  <si>
    <t>MORTAGNE AU PERCHE</t>
  </si>
  <si>
    <t>CH BILLOM</t>
  </si>
  <si>
    <t>3 BD SAINT ROCH</t>
  </si>
  <si>
    <t>BILLOM</t>
  </si>
  <si>
    <t>CTRE AUTONOME D'ENDOSC DIGESTIVE AMBUL</t>
  </si>
  <si>
    <t>6 R DES CIGOGNES</t>
  </si>
  <si>
    <t>CLINIQUE DU DIACONAT COLMAR</t>
  </si>
  <si>
    <t>18 R SANDHERR</t>
  </si>
  <si>
    <t>COLMAR CEDEX</t>
  </si>
  <si>
    <t>HOPITAL PRIVE NATECIA</t>
  </si>
  <si>
    <t>22 AV ROCKEFELLER</t>
  </si>
  <si>
    <t>HOPITAL DR FREDERIC DUGOUJON - HCL</t>
  </si>
  <si>
    <t>14 R PASTEUR</t>
  </si>
  <si>
    <t>HOPITAL GABRIEL DEPLANTE</t>
  </si>
  <si>
    <t>1 R DE LA FORET</t>
  </si>
  <si>
    <t>RUMILLY CEDEX</t>
  </si>
  <si>
    <t>HOPITAL LEOPOLD BELLAN</t>
  </si>
  <si>
    <t>185 R RAYMOND LOSSERAND</t>
  </si>
  <si>
    <t>CH EU</t>
  </si>
  <si>
    <t>2 R DE CLEVES</t>
  </si>
  <si>
    <t>EU</t>
  </si>
  <si>
    <t>CH NEUFCHATEL-EN-BRAY</t>
  </si>
  <si>
    <t>4 RTE DE GAILLEFONTAINE</t>
  </si>
  <si>
    <t>NEUFCHATEL EN BRAY</t>
  </si>
  <si>
    <t>POLYCLINIQUE DE MAISONS LAFFITTE</t>
  </si>
  <si>
    <t>19 AV EGLE</t>
  </si>
  <si>
    <t>MAISONS LAFFITTE</t>
  </si>
  <si>
    <t>CH HAUT VAL SEVRE &amp; MELLOIS - ST MAIX.</t>
  </si>
  <si>
    <t>13 R DU PANIER FLEURI</t>
  </si>
  <si>
    <t>ST MAIXENT L ECOLE CEDEX</t>
  </si>
  <si>
    <t>CHI DE L'OUEST VOSGIEN SITE DE VITTEL</t>
  </si>
  <si>
    <t>191 AV MAURICE BARRES</t>
  </si>
  <si>
    <t>VITTEL CEDEX</t>
  </si>
  <si>
    <t>HOP PRIVE GERIAT LES MAGNOLIAS</t>
  </si>
  <si>
    <t>77 R DU PERRAY</t>
  </si>
  <si>
    <t>BALLAINVILLIERS</t>
  </si>
  <si>
    <t>CH DEPARTEMENTAL DE STELL</t>
  </si>
  <si>
    <t>1 R CHARLES DROT</t>
  </si>
  <si>
    <t>RUEIL MALMAISON CEDEX</t>
  </si>
  <si>
    <t>GHU APHP CUP SITE CELTON</t>
  </si>
  <si>
    <t>4 PRV CORENTIN CELTON</t>
  </si>
  <si>
    <t>ISSY LES MOULINEAUX CEDEX</t>
  </si>
  <si>
    <t>CHI AIN VAL DE SAONE - PONT VEYLE</t>
  </si>
  <si>
    <t>IMP DE LA BISCUITERIE</t>
  </si>
  <si>
    <t>PONT DE VEYLE</t>
  </si>
  <si>
    <t>CH DE SAINT FELICIEN</t>
  </si>
  <si>
    <t>2 R DU PONT VIEUX</t>
  </si>
  <si>
    <t>ST FELICIEN</t>
  </si>
  <si>
    <t>CHIVA SITE LAVELANET</t>
  </si>
  <si>
    <t>CHE DE LA SOULANO</t>
  </si>
  <si>
    <t>LAVELANET CEDEX</t>
  </si>
  <si>
    <t>CH LIMOUX QUILLAN SITE DE LIMOUX</t>
  </si>
  <si>
    <t>17 R MADELEINE BRES</t>
  </si>
  <si>
    <t>LIMOUX CEDEX</t>
  </si>
  <si>
    <t>CH LIMOUX QUILLAN SITE DE QUILLAN</t>
  </si>
  <si>
    <t>R DU DOCTEUR ROUEYLOU</t>
  </si>
  <si>
    <t>QUILLAN</t>
  </si>
  <si>
    <t>CHR GEORGES CLEMENCEAU - CAEN</t>
  </si>
  <si>
    <t>AV GEORGES CLEMENCEAU</t>
  </si>
  <si>
    <t>CAEN CEDEX 9</t>
  </si>
  <si>
    <t>CH DE CONDAT EN FENIERS</t>
  </si>
  <si>
    <t>RTE DE BORT</t>
  </si>
  <si>
    <t>CONDAT</t>
  </si>
  <si>
    <t>CH DE MURAT</t>
  </si>
  <si>
    <t>4 PTE SAINT ESPRIT</t>
  </si>
  <si>
    <t>MURAT</t>
  </si>
  <si>
    <t>CENTRE HOSPITALIER DE RUFFEC</t>
  </si>
  <si>
    <t>15 R DE L HOPITAL</t>
  </si>
  <si>
    <t>RUFFEC</t>
  </si>
  <si>
    <t>CLINIQUE RICHELIEU - SAINTES</t>
  </si>
  <si>
    <t>22 R MONTLOUIS</t>
  </si>
  <si>
    <t>SAINTES CEDEX</t>
  </si>
  <si>
    <t>POLE SANTE PRIVE-PUBLIC ST AMANDOIS-ET</t>
  </si>
  <si>
    <t>ST AMAND MONTROND CEDEX</t>
  </si>
  <si>
    <t>CENTRE HOSPITALIER D'AUXONNE</t>
  </si>
  <si>
    <t>5 R DU CHÂTEAU</t>
  </si>
  <si>
    <t>AUXONNE</t>
  </si>
  <si>
    <t>CHPP SITE LAMBALLE</t>
  </si>
  <si>
    <t>13 R DU JEU DE PAUME</t>
  </si>
  <si>
    <t>LAMBALLE CEDEX</t>
  </si>
  <si>
    <t>CHPP SITE QUINTIN</t>
  </si>
  <si>
    <t>8 R DE LA CORDERIE</t>
  </si>
  <si>
    <t>QUINTIN</t>
  </si>
  <si>
    <t>CENTRE HOSPITALIER DE DOMME</t>
  </si>
  <si>
    <t>3 R DE L'HOPITAL</t>
  </si>
  <si>
    <t>DOMME</t>
  </si>
  <si>
    <t>CLINIQUE PNEUMOLOGIE LES RIEUX</t>
  </si>
  <si>
    <t>440 RTE DES RIEUX</t>
  </si>
  <si>
    <t>NYONS</t>
  </si>
  <si>
    <t>CH DE NYONS</t>
  </si>
  <si>
    <t>11 AV JULES BERNARD</t>
  </si>
  <si>
    <t>CH DE BUIS LES BARONNIES</t>
  </si>
  <si>
    <t>BUIS LES BARONNIES</t>
  </si>
  <si>
    <t>CENTRE HOSPITALIER LANMEUR</t>
  </si>
  <si>
    <t>9 R TRAON BEZEDEN</t>
  </si>
  <si>
    <t>LANMEUR</t>
  </si>
  <si>
    <t>CENTRE HOSPITALIER ST RENAN</t>
  </si>
  <si>
    <t>17 R DE BREST</t>
  </si>
  <si>
    <t>ST RENAN</t>
  </si>
  <si>
    <t>CL DU GRAND AVIGNON LES ANGLES</t>
  </si>
  <si>
    <t>275 AV CHARLES DE GAULLE</t>
  </si>
  <si>
    <t>LES ANGLES</t>
  </si>
  <si>
    <t>CL VIA DOMITIA POLE SANTE DE LUNEL</t>
  </si>
  <si>
    <t>LUNEL</t>
  </si>
  <si>
    <t>CH LEON BERARD MOREZ</t>
  </si>
  <si>
    <t>1 R DES ESSARTS</t>
  </si>
  <si>
    <t>MOREZ CEDEX</t>
  </si>
  <si>
    <t>HIC DE LA PRESQU'ILE-SITE DE GUERANDE</t>
  </si>
  <si>
    <t>28 AV P DE LA BOUEXIERE</t>
  </si>
  <si>
    <t>GUERANDE</t>
  </si>
  <si>
    <t>CH AGEN NERAC - SITE DE NERAC</t>
  </si>
  <si>
    <t>80 ALL D'ALBRET</t>
  </si>
  <si>
    <t>NERAC</t>
  </si>
  <si>
    <t>CH DE FLORAC TROIS RIVIERES</t>
  </si>
  <si>
    <t>QUA DE L'OULTRE</t>
  </si>
  <si>
    <t>FLORAC TROIS RIVIERES</t>
  </si>
  <si>
    <t>CH HAUT ANJOU SITE SEGRE</t>
  </si>
  <si>
    <t>5 R JOSEPH CUGNOT</t>
  </si>
  <si>
    <t>SEGRE EN ANJOU BLEU</t>
  </si>
  <si>
    <t>HOPITAUX DU SUD MANCHE SITE VILLEDIEU</t>
  </si>
  <si>
    <t>12 R JEAN GASTE</t>
  </si>
  <si>
    <t>VILLEDIEU LES POELES ROUFF</t>
  </si>
  <si>
    <t>POLYCLINIQUE DES BLEUETS</t>
  </si>
  <si>
    <t>24 R DU COLONEL FABIEN</t>
  </si>
  <si>
    <t>C H DE BOURBONNE-LES-BAINS</t>
  </si>
  <si>
    <t>1 R TERRAIL LEMOINE</t>
  </si>
  <si>
    <t>BOURBONNE LES BAINS</t>
  </si>
  <si>
    <t>CLINIQUE JEANNE D'ARC</t>
  </si>
  <si>
    <t>26 R CHARLES VUE</t>
  </si>
  <si>
    <t>HOPITAL DE CHATEAU-SALINS - SOS SANTE</t>
  </si>
  <si>
    <t>40 R DE METZ</t>
  </si>
  <si>
    <t>CHATEAU SALINS</t>
  </si>
  <si>
    <t>HOPITAL SAINT JACQUES DE DIEUZE</t>
  </si>
  <si>
    <t>21 RTE DE LOUDREFING</t>
  </si>
  <si>
    <t>DIEUZE</t>
  </si>
  <si>
    <t>CENTRE COLBERT MEDECINE ET SSR</t>
  </si>
  <si>
    <t>4 R ÉTIENNE LITAUD</t>
  </si>
  <si>
    <t>HOPITAL LOCAL LES CYGNES LORMES</t>
  </si>
  <si>
    <t>8 R DU PANORAMA</t>
  </si>
  <si>
    <t>LORMES</t>
  </si>
  <si>
    <t>ETAB HOPALE CTRE CALOT/HELIO</t>
  </si>
  <si>
    <t>R DU DR CALOT</t>
  </si>
  <si>
    <t>BERCK CEDEX</t>
  </si>
  <si>
    <t>CH DU MONT DORE</t>
  </si>
  <si>
    <t>2 R CAPITAINE CHAZOTTE</t>
  </si>
  <si>
    <t>LE MONT DORE</t>
  </si>
  <si>
    <t>GCS COTE BASQUE SUD</t>
  </si>
  <si>
    <t>7 R LEONCE GOYETCHE</t>
  </si>
  <si>
    <t>ST JEAN DE LUZ CEDEX</t>
  </si>
  <si>
    <t>GCS ORTHEZIEN DE CHIRURGIE</t>
  </si>
  <si>
    <t>ORTHEZ CEDEX</t>
  </si>
  <si>
    <t>GCS POLE SANITAIRE CERDAN ERR</t>
  </si>
  <si>
    <t>11 CAMI DE LA RIBERETA</t>
  </si>
  <si>
    <t>ERR</t>
  </si>
  <si>
    <t>GCS PUBLIC PRIVE CONFLENT CL ST MICHEL</t>
  </si>
  <si>
    <t>25 AV LOUIS PRAT</t>
  </si>
  <si>
    <t>PRADES</t>
  </si>
  <si>
    <t>CL DU VALLESPIR CERET</t>
  </si>
  <si>
    <t>CHE SAN PLUGET</t>
  </si>
  <si>
    <t>CERET</t>
  </si>
  <si>
    <t>CENTRE POUR PERSONNES AGEES</t>
  </si>
  <si>
    <t>122 R DU LOGELBACH</t>
  </si>
  <si>
    <t>CH DE SAINTE FOY LES LYON</t>
  </si>
  <si>
    <t>78 CHE DE MONTRAY</t>
  </si>
  <si>
    <t>STE FOY LES LYON</t>
  </si>
  <si>
    <t>CH DE BELLEVILLE</t>
  </si>
  <si>
    <t>R PAULIN BUSSIERES</t>
  </si>
  <si>
    <t>BELLEVILLE CEDEX</t>
  </si>
  <si>
    <t>CLINIQUE ST MARTIN</t>
  </si>
  <si>
    <t>11 R DR NOEL COURVOISIER</t>
  </si>
  <si>
    <t>VESOUL CEDEX</t>
  </si>
  <si>
    <t>CENTRE HOSPITALIER BELNAY</t>
  </si>
  <si>
    <t>627 AV HENRI  ET SUZANNE VITRIER</t>
  </si>
  <si>
    <t>TOURNUS</t>
  </si>
  <si>
    <t>CENTRE HOSPITALIER ST CALAIS</t>
  </si>
  <si>
    <t>2 R DE LA PERRINE</t>
  </si>
  <si>
    <t>ST CALAIS</t>
  </si>
  <si>
    <t>AURA PARIS PLAISANCE</t>
  </si>
  <si>
    <t>HOPITAL HENRY DUNANT</t>
  </si>
  <si>
    <t>95 R MICHEL ANGE</t>
  </si>
  <si>
    <t>CLINIQUE SAINT GERMAIN</t>
  </si>
  <si>
    <t>12 R BARONNE GERARD</t>
  </si>
  <si>
    <t>ST GERMAIN EN LAYE</t>
  </si>
  <si>
    <t>CH PRIVE DU MONTGARDE</t>
  </si>
  <si>
    <t>32 R DU MONTGARDE</t>
  </si>
  <si>
    <t>AUBERGENVILLE</t>
  </si>
  <si>
    <t>CH GRAULHET</t>
  </si>
  <si>
    <t>19 R DU DOCTEUR BASTIE</t>
  </si>
  <si>
    <t>GRAULHET CEDEX</t>
  </si>
  <si>
    <t>CHI HMV - SITE GERARDMER</t>
  </si>
  <si>
    <t>22 BD KELSCH</t>
  </si>
  <si>
    <t>GERARDMER</t>
  </si>
  <si>
    <t>CLINIQUE GASTON METIVET</t>
  </si>
  <si>
    <t>48 R ALSACE LORRAINE</t>
  </si>
  <si>
    <t>ST MAUR DES FOSSES</t>
  </si>
  <si>
    <t>CHI AIN VAL DE SAONE - THOISSEY</t>
  </si>
  <si>
    <t>11 R DE L HOPITAL</t>
  </si>
  <si>
    <t>THOISSEY</t>
  </si>
  <si>
    <t>CH LE NOUVION-EN-THIERACHE</t>
  </si>
  <si>
    <t>40 R ANDRÉ RIDDERS</t>
  </si>
  <si>
    <t>LE NOUVION EN THIERACHE</t>
  </si>
  <si>
    <t>CH DE BOURBON L'ARCHAMBAULT</t>
  </si>
  <si>
    <t>BOURBON L ARCHAMBAULT</t>
  </si>
  <si>
    <t>CH DPT COEUR BOURBONNAIS ST POURCAIN</t>
  </si>
  <si>
    <t>R DE CHAMPFEUILLET</t>
  </si>
  <si>
    <t>ST POURCAIN SUR SIOULE</t>
  </si>
  <si>
    <t>EPS DUCELIA DE CASTELLANE</t>
  </si>
  <si>
    <t>QUA NOTRE DAME</t>
  </si>
  <si>
    <t>CASTELLANE</t>
  </si>
  <si>
    <t>POLYCLINIQUE DES ALPES DU SUD GAP</t>
  </si>
  <si>
    <t>3 R ANTONIN CORONAT</t>
  </si>
  <si>
    <t>CH SAINT ELOI DE SOSPEL</t>
  </si>
  <si>
    <t>PL SAINT FRANCOIS</t>
  </si>
  <si>
    <t>SOSPEL</t>
  </si>
  <si>
    <t>CLINIQUE DE MARTIGUES</t>
  </si>
  <si>
    <t>9 R EDOUARD AMAVET</t>
  </si>
  <si>
    <t>MARTIGUES CEDEX</t>
  </si>
  <si>
    <t>HOPITAL LOCAL DE BORT LES ORGUES</t>
  </si>
  <si>
    <t>190 R GUSTAVE PARRE</t>
  </si>
  <si>
    <t>BORT LES ORGUES</t>
  </si>
  <si>
    <t>CENTRE HOSPITALIER D'EXCIDEUIL</t>
  </si>
  <si>
    <t>2 ALL ANDRE MAUROIS</t>
  </si>
  <si>
    <t>EXCIDEUIL</t>
  </si>
  <si>
    <t>CENTRE HOSPITALIER DE NONTRON</t>
  </si>
  <si>
    <t>1 PL DE L EGLISE</t>
  </si>
  <si>
    <t>NONTRON</t>
  </si>
  <si>
    <t>CH SAINTE CROIX BAUME LES DAMES</t>
  </si>
  <si>
    <t>1 AV PRESIDENT KENNEDY</t>
  </si>
  <si>
    <t>BAUME LES DAMES CEDEX</t>
  </si>
  <si>
    <t>CHI HAUTE COMTE SITE R SALINS MOUTHE</t>
  </si>
  <si>
    <t>9 R CART BROUMET</t>
  </si>
  <si>
    <t>MOUTHE</t>
  </si>
  <si>
    <t>CLINIQUE DU GRAND LARGE</t>
  </si>
  <si>
    <t>37 R ST VINCENT DE PAUL</t>
  </si>
  <si>
    <t>CH GIMONT</t>
  </si>
  <si>
    <t>19 R RHIN ET DANUBE</t>
  </si>
  <si>
    <t>GIMONT CEDEX</t>
  </si>
  <si>
    <t>CH DE MAUVEZIN</t>
  </si>
  <si>
    <t>R DU BUGUET</t>
  </si>
  <si>
    <t>MAUVEZIN</t>
  </si>
  <si>
    <t>CH NOGARO</t>
  </si>
  <si>
    <t>1 AV DES PYRENEES</t>
  </si>
  <si>
    <t>NOGARO</t>
  </si>
  <si>
    <t>GCS CLINIQUE CHIRURGICALE LIBOURNAIS</t>
  </si>
  <si>
    <t>119 R DE LA MARNE</t>
  </si>
  <si>
    <t>POLYCL ST ROCH MONTPELLIER</t>
  </si>
  <si>
    <t>560 AV DU COLONEL ANDRE PAVELET</t>
  </si>
  <si>
    <t>MONTPELLIER CEDEX 3</t>
  </si>
  <si>
    <t>POLYCL PASTEUR PEZENAS</t>
  </si>
  <si>
    <t>3 R PASTEUR</t>
  </si>
  <si>
    <t>CHS LA COLOMBIERE CHU MONTPELLIER</t>
  </si>
  <si>
    <t>CH SAINTE MAURE DE TOURAINE</t>
  </si>
  <si>
    <t>90 AV DU GENERAL DE GAULLE</t>
  </si>
  <si>
    <t>STE MAURE DE TOURAINE</t>
  </si>
  <si>
    <t>CH SULLY-SUR-LOIRE</t>
  </si>
  <si>
    <t>15 AV DU PETIT PARC</t>
  </si>
  <si>
    <t>SULLY SUR LOIRE</t>
  </si>
  <si>
    <t>CH FANNY RAMADIER ST CHELY D'APCHER</t>
  </si>
  <si>
    <t>RTE DU MALZIEU</t>
  </si>
  <si>
    <t>ST CHELY D APCHER</t>
  </si>
  <si>
    <t>CH LAYON-AUBANCE MARTIGNE BRIAND</t>
  </si>
  <si>
    <t>12 R COLONEL PANAGET</t>
  </si>
  <si>
    <t>TERRANJOU</t>
  </si>
  <si>
    <t>CHI LYS HYROME-CHEMILLE</t>
  </si>
  <si>
    <t>6 R SAINT-GILLES</t>
  </si>
  <si>
    <t>CHEMILLE EN ANJOU</t>
  </si>
  <si>
    <t>HOPITAL DE JOINVILLE</t>
  </si>
  <si>
    <t>34 R DE LA PITIE</t>
  </si>
  <si>
    <t>JOINVILLE</t>
  </si>
  <si>
    <t>GHBS - HOPITAL LE FAOUET</t>
  </si>
  <si>
    <t>36 R DES BERGERES</t>
  </si>
  <si>
    <t>LE FAOUET</t>
  </si>
  <si>
    <t>CLINIQUE SAINT NABOR DE SAINT AVOLD</t>
  </si>
  <si>
    <t>75 R DES GENERAUX ALTMAYER</t>
  </si>
  <si>
    <t>ST AVOLD CEDEX</t>
  </si>
  <si>
    <t>HOPITAL ST FRANCOIS - MARANGE-SILVANGE</t>
  </si>
  <si>
    <t>62 R ST FRANCOIS</t>
  </si>
  <si>
    <t>MARANGE SILVANGE</t>
  </si>
  <si>
    <t>CH SOMAIN</t>
  </si>
  <si>
    <t>61 R J BOULIEZ</t>
  </si>
  <si>
    <t>SOMAIN</t>
  </si>
  <si>
    <t>CH BAILLEUL</t>
  </si>
  <si>
    <t>40 R DE LILLE</t>
  </si>
  <si>
    <t>BAILLEUL</t>
  </si>
  <si>
    <t>48 R HENRI BARBUSSE</t>
  </si>
  <si>
    <t>ST SAULVE</t>
  </si>
  <si>
    <t>CLINIQUE LES JOCKEYS</t>
  </si>
  <si>
    <t>SSR LNA BRETEUIL</t>
  </si>
  <si>
    <t>32 R DE PARIS</t>
  </si>
  <si>
    <t>BRETEUIL</t>
  </si>
  <si>
    <t>POLYCLINIQUE DU TERNOIS</t>
  </si>
  <si>
    <t>55 R DE ROSEMONT</t>
  </si>
  <si>
    <t>ST POL SUR TERNOISE</t>
  </si>
  <si>
    <t>CENTRE HOSPITALIER DE MAULEON</t>
  </si>
  <si>
    <t>4 AV DE TREVILLE</t>
  </si>
  <si>
    <t>MAULEON SOULE</t>
  </si>
  <si>
    <t>SSR SITE LABASTIDE CH TARBES LOURDES</t>
  </si>
  <si>
    <t>CHE DE LABASTIDE</t>
  </si>
  <si>
    <t>LOURDES CEDEX</t>
  </si>
  <si>
    <t>HOPITAL DE FOURVIERE</t>
  </si>
  <si>
    <t>10 R ROGER RADISSON</t>
  </si>
  <si>
    <t>HOPITAL LOCAL CHAGNY</t>
  </si>
  <si>
    <t>16 R DE LA BOUTIERE</t>
  </si>
  <si>
    <t>CHAGNY</t>
  </si>
  <si>
    <t>CH PAYS CHAROLAIS BRIONNAIS LA CLAYETT</t>
  </si>
  <si>
    <t>19 R DE L'HOPITAL</t>
  </si>
  <si>
    <t>LA CLAYETTE</t>
  </si>
  <si>
    <t>CENTRE MEDICAL GEORGES COULON</t>
  </si>
  <si>
    <t>1 R DR GEORGES COULON</t>
  </si>
  <si>
    <t>LE GRAND LUCE</t>
  </si>
  <si>
    <t>CLINIQUE CHIRURG ALLERAY LABROUSTE</t>
  </si>
  <si>
    <t>64 R LABROUSTE</t>
  </si>
  <si>
    <t>CH YVETOT</t>
  </si>
  <si>
    <t>7 R DU CHAMP DE COURSES</t>
  </si>
  <si>
    <t>YVETOT</t>
  </si>
  <si>
    <t>CH ALBERT</t>
  </si>
  <si>
    <t>10 R DE TIEN-TSIN</t>
  </si>
  <si>
    <t>ALBERT CEDEX</t>
  </si>
  <si>
    <t>CH CORBIE</t>
  </si>
  <si>
    <t>33 R GAMBETTA</t>
  </si>
  <si>
    <t>CORBIE</t>
  </si>
  <si>
    <t>CENTRE HOSPITALIER DE GORDES</t>
  </si>
  <si>
    <t>100 RTE DE MURS</t>
  </si>
  <si>
    <t>GORDES</t>
  </si>
  <si>
    <t>CH FREDERIC HENRI MANHES</t>
  </si>
  <si>
    <t>8 R ROGER CLAVIER</t>
  </si>
  <si>
    <t>FLEURY MEROGIS</t>
  </si>
  <si>
    <t>HOPITAL PRIVE D ATHIS MONS</t>
  </si>
  <si>
    <t>38 AV JULES VALLES</t>
  </si>
  <si>
    <t>ATHIS MONS CEDEX</t>
  </si>
  <si>
    <t>CMC AMBROISE PARE HARTMANN SITE 25</t>
  </si>
  <si>
    <t>25 BD VICTOR HUGO</t>
  </si>
  <si>
    <t>CLINIQUE DU LANDY</t>
  </si>
  <si>
    <t>23 R DU LANDY</t>
  </si>
  <si>
    <t>ST OUEN SUR SEINE</t>
  </si>
  <si>
    <t>2B0000145</t>
  </si>
  <si>
    <t>&lt;11</t>
  </si>
  <si>
    <t>544957037222560785</t>
  </si>
  <si>
    <t>544957293041550346</t>
  </si>
  <si>
    <t>Controleren</t>
  </si>
  <si>
    <t>Opgezocht, dit instituut maakt deel uit van GROUPE HOSPIT. MUTUALISTE DE GRENOBLE</t>
  </si>
  <si>
    <t>8 R DOCTEUR CALMETTE</t>
  </si>
  <si>
    <t>No Data</t>
  </si>
  <si>
    <t>Patients</t>
  </si>
  <si>
    <t>C25 Helper Column</t>
  </si>
  <si>
    <t>Rank</t>
  </si>
  <si>
    <t>Share of Patients</t>
  </si>
  <si>
    <t>Cumulative Share</t>
  </si>
  <si>
    <t>80% hospital</t>
  </si>
  <si>
    <t>ID00154</t>
  </si>
  <si>
    <t>ID00179</t>
  </si>
  <si>
    <t>ID00180</t>
  </si>
  <si>
    <t>ID00181</t>
  </si>
  <si>
    <t>ID00182</t>
  </si>
  <si>
    <t>ID00183</t>
  </si>
  <si>
    <t>ID00184</t>
  </si>
  <si>
    <t>ID00185</t>
  </si>
  <si>
    <t>ID00186</t>
  </si>
  <si>
    <t>ID00187</t>
  </si>
  <si>
    <t>ID00188</t>
  </si>
  <si>
    <t>ID00189</t>
  </si>
  <si>
    <t>ID00190</t>
  </si>
  <si>
    <t>ID00191</t>
  </si>
  <si>
    <t>ID00192</t>
  </si>
  <si>
    <t>ID00193</t>
  </si>
  <si>
    <t>ID00194</t>
  </si>
  <si>
    <t>ID00195</t>
  </si>
  <si>
    <t>ID00196</t>
  </si>
  <si>
    <t>ID00197</t>
  </si>
  <si>
    <t>ID00198</t>
  </si>
  <si>
    <t>ID00199</t>
  </si>
  <si>
    <t>ID00200</t>
  </si>
  <si>
    <t>ID00201</t>
  </si>
  <si>
    <t>ID00202</t>
  </si>
  <si>
    <t>ID00203</t>
  </si>
  <si>
    <t>ID00204</t>
  </si>
  <si>
    <t>ID00205</t>
  </si>
  <si>
    <t>ID00206</t>
  </si>
  <si>
    <t>ID00207</t>
  </si>
  <si>
    <t>ID00208</t>
  </si>
  <si>
    <t>ID00209</t>
  </si>
  <si>
    <t>ID00210</t>
  </si>
  <si>
    <t>ID00211</t>
  </si>
  <si>
    <t>ID00212</t>
  </si>
  <si>
    <t>ID00213</t>
  </si>
  <si>
    <t>ID00214</t>
  </si>
  <si>
    <t>ID00215</t>
  </si>
  <si>
    <t>ID00216</t>
  </si>
  <si>
    <t>ID00217</t>
  </si>
  <si>
    <t>ID00218</t>
  </si>
  <si>
    <t>ID00219</t>
  </si>
  <si>
    <t>ID00220</t>
  </si>
  <si>
    <t>ID00221</t>
  </si>
  <si>
    <t>ID00222</t>
  </si>
  <si>
    <t>ID00223</t>
  </si>
  <si>
    <t>ID00224</t>
  </si>
  <si>
    <t>ID00225</t>
  </si>
  <si>
    <t>ID00226</t>
  </si>
  <si>
    <t>ID00227</t>
  </si>
  <si>
    <t>ID00228</t>
  </si>
  <si>
    <t>ID00229</t>
  </si>
  <si>
    <t>ID00230</t>
  </si>
  <si>
    <t>ID00231</t>
  </si>
  <si>
    <t>ID00232</t>
  </si>
  <si>
    <t>ID00233</t>
  </si>
  <si>
    <t>ID00234</t>
  </si>
  <si>
    <t>ID00235</t>
  </si>
  <si>
    <t>ID00236</t>
  </si>
  <si>
    <t>ID00237</t>
  </si>
  <si>
    <t>ID00238</t>
  </si>
  <si>
    <t>ID00239</t>
  </si>
  <si>
    <t>ID00240</t>
  </si>
  <si>
    <t>ID00241</t>
  </si>
  <si>
    <t>ID00242</t>
  </si>
  <si>
    <t>ID00243</t>
  </si>
  <si>
    <t>ID00244</t>
  </si>
  <si>
    <t>ID00245</t>
  </si>
  <si>
    <t>ID00246</t>
  </si>
  <si>
    <t>ID00247</t>
  </si>
  <si>
    <t>ID00248</t>
  </si>
  <si>
    <t>ID00249</t>
  </si>
  <si>
    <t>ID00250</t>
  </si>
  <si>
    <t>ID00251</t>
  </si>
  <si>
    <t>ID00252</t>
  </si>
  <si>
    <t>ID00253</t>
  </si>
  <si>
    <t>ID00254</t>
  </si>
  <si>
    <t>ID00255</t>
  </si>
  <si>
    <t>ID00256</t>
  </si>
  <si>
    <t>ID00257</t>
  </si>
  <si>
    <t>ID00258</t>
  </si>
  <si>
    <t>ID00259</t>
  </si>
  <si>
    <t>ID00260</t>
  </si>
  <si>
    <t>ID00261</t>
  </si>
  <si>
    <t>ID00262</t>
  </si>
  <si>
    <t>ID00263</t>
  </si>
  <si>
    <t>ID00264</t>
  </si>
  <si>
    <t>ID00265</t>
  </si>
  <si>
    <t>ID00266</t>
  </si>
  <si>
    <t>ID00267</t>
  </si>
  <si>
    <t>ID00268</t>
  </si>
  <si>
    <t>ID00269</t>
  </si>
  <si>
    <t>ID00270</t>
  </si>
  <si>
    <t>ID00271</t>
  </si>
  <si>
    <t>ID00272</t>
  </si>
  <si>
    <t>ID00273</t>
  </si>
  <si>
    <t>ID00274</t>
  </si>
  <si>
    <t>ID00275</t>
  </si>
  <si>
    <t>ID00276</t>
  </si>
  <si>
    <t>ID00277</t>
  </si>
  <si>
    <t>ID00278</t>
  </si>
  <si>
    <t>ID00279</t>
  </si>
  <si>
    <t>ID00280</t>
  </si>
  <si>
    <t>ID00281</t>
  </si>
  <si>
    <t>ID00282</t>
  </si>
  <si>
    <t>ID00283</t>
  </si>
  <si>
    <t>ID00284</t>
  </si>
  <si>
    <t>ID00285</t>
  </si>
  <si>
    <t>ID00286</t>
  </si>
  <si>
    <t>ID00287</t>
  </si>
  <si>
    <t>ID00288</t>
  </si>
  <si>
    <t>ID00289</t>
  </si>
  <si>
    <t>ID00290</t>
  </si>
  <si>
    <t>ID00291</t>
  </si>
  <si>
    <t>ID00292</t>
  </si>
  <si>
    <t>ID00293</t>
  </si>
  <si>
    <t>ID00294</t>
  </si>
  <si>
    <t>ID00295</t>
  </si>
  <si>
    <t>ID00296</t>
  </si>
  <si>
    <t>ID00297</t>
  </si>
  <si>
    <t>ID00298</t>
  </si>
  <si>
    <t>ID00299</t>
  </si>
  <si>
    <t>ID00300</t>
  </si>
  <si>
    <t>ID00301</t>
  </si>
  <si>
    <t>ID00302</t>
  </si>
  <si>
    <t>ID00303</t>
  </si>
  <si>
    <t>ID00304</t>
  </si>
  <si>
    <t>ID00305</t>
  </si>
  <si>
    <t>ID00306</t>
  </si>
  <si>
    <t>ID00307</t>
  </si>
  <si>
    <t>ID00308</t>
  </si>
  <si>
    <t>ID00309</t>
  </si>
  <si>
    <t>ID00310</t>
  </si>
  <si>
    <t>ID00311</t>
  </si>
  <si>
    <t>ID00312</t>
  </si>
  <si>
    <t>ID00313</t>
  </si>
  <si>
    <t>ID00314</t>
  </si>
  <si>
    <t>ID00315</t>
  </si>
  <si>
    <t>ID00316</t>
  </si>
  <si>
    <t>ID00317</t>
  </si>
  <si>
    <t>ID00318</t>
  </si>
  <si>
    <t>ID00319</t>
  </si>
  <si>
    <t>ID00320</t>
  </si>
  <si>
    <t>ID00321</t>
  </si>
  <si>
    <t>ID00322</t>
  </si>
  <si>
    <t>ID00323</t>
  </si>
  <si>
    <t>ID00324</t>
  </si>
  <si>
    <t>ID00325</t>
  </si>
  <si>
    <t>ID00326</t>
  </si>
  <si>
    <t>ID00327</t>
  </si>
  <si>
    <t>ID00328</t>
  </si>
  <si>
    <t>ID00329</t>
  </si>
  <si>
    <t>ID00330</t>
  </si>
  <si>
    <t>ID00331</t>
  </si>
  <si>
    <t>ID00332</t>
  </si>
  <si>
    <t>ID00333</t>
  </si>
  <si>
    <t>ID00334</t>
  </si>
  <si>
    <t>ID00335</t>
  </si>
  <si>
    <t>ID00336</t>
  </si>
  <si>
    <t>ID00337</t>
  </si>
  <si>
    <t>ID00338</t>
  </si>
  <si>
    <t>ID00339</t>
  </si>
  <si>
    <t>ID00340</t>
  </si>
  <si>
    <t>ID00341</t>
  </si>
  <si>
    <t>ID00342</t>
  </si>
  <si>
    <t>ID00343</t>
  </si>
  <si>
    <t>ID00344</t>
  </si>
  <si>
    <t>ID00345</t>
  </si>
  <si>
    <t>ID00346</t>
  </si>
  <si>
    <t>ID00347</t>
  </si>
  <si>
    <t>ID00348</t>
  </si>
  <si>
    <t>ID00349</t>
  </si>
  <si>
    <t>ID00350</t>
  </si>
  <si>
    <t>ID00351</t>
  </si>
  <si>
    <t>ID00352</t>
  </si>
  <si>
    <t>ID00353</t>
  </si>
  <si>
    <t>ID00354</t>
  </si>
  <si>
    <t>ID00355</t>
  </si>
  <si>
    <t>ID00356</t>
  </si>
  <si>
    <t>ID00357</t>
  </si>
  <si>
    <t>ID00358</t>
  </si>
  <si>
    <t>ID00359</t>
  </si>
  <si>
    <t>ID00360</t>
  </si>
  <si>
    <t>ID00361</t>
  </si>
  <si>
    <t>ID00362</t>
  </si>
  <si>
    <t>ID00363</t>
  </si>
  <si>
    <t>ID00364</t>
  </si>
  <si>
    <t>ID00365</t>
  </si>
  <si>
    <t>ID00366</t>
  </si>
  <si>
    <t>ID00367</t>
  </si>
  <si>
    <t>ID00368</t>
  </si>
  <si>
    <t>ID00369</t>
  </si>
  <si>
    <t>ID00370</t>
  </si>
  <si>
    <t>ID00371</t>
  </si>
  <si>
    <t>ID00372</t>
  </si>
  <si>
    <t>ID00373</t>
  </si>
  <si>
    <t>ID00374</t>
  </si>
  <si>
    <t>ID00375</t>
  </si>
  <si>
    <t>ID00376</t>
  </si>
  <si>
    <t>ID00377</t>
  </si>
  <si>
    <t>ID00378</t>
  </si>
  <si>
    <t>ID00379</t>
  </si>
  <si>
    <t>ID00380</t>
  </si>
  <si>
    <t>ID00381</t>
  </si>
  <si>
    <t>ID00382</t>
  </si>
  <si>
    <t>ID00383</t>
  </si>
  <si>
    <t>ID00384</t>
  </si>
  <si>
    <t>ID00385</t>
  </si>
  <si>
    <t>ID00386</t>
  </si>
  <si>
    <t>ID00387</t>
  </si>
  <si>
    <t>ID00388</t>
  </si>
  <si>
    <t>ID00389</t>
  </si>
  <si>
    <t>ID00390</t>
  </si>
  <si>
    <t>ID00391</t>
  </si>
  <si>
    <t>ID00392</t>
  </si>
  <si>
    <t>ID00393</t>
  </si>
  <si>
    <t>ID00394</t>
  </si>
  <si>
    <t>ID00395</t>
  </si>
  <si>
    <t>ID00396</t>
  </si>
  <si>
    <t>ID00397</t>
  </si>
  <si>
    <t>ID00398</t>
  </si>
  <si>
    <t>ID00399</t>
  </si>
  <si>
    <t>ID00400</t>
  </si>
  <si>
    <t>ID00401</t>
  </si>
  <si>
    <t>ID00402</t>
  </si>
  <si>
    <t>ID00403</t>
  </si>
  <si>
    <t>ID00404</t>
  </si>
  <si>
    <t>ID00405</t>
  </si>
  <si>
    <t>ID00406</t>
  </si>
  <si>
    <t>ID00407</t>
  </si>
  <si>
    <t>ID00408</t>
  </si>
  <si>
    <t>ID00409</t>
  </si>
  <si>
    <t>ID00410</t>
  </si>
  <si>
    <t>ID00411</t>
  </si>
  <si>
    <t>ID00412</t>
  </si>
  <si>
    <t>ID00413</t>
  </si>
  <si>
    <t>ID00414</t>
  </si>
  <si>
    <t>ID00415</t>
  </si>
  <si>
    <t>ID00416</t>
  </si>
  <si>
    <t>ID00417</t>
  </si>
  <si>
    <t>ID00418</t>
  </si>
  <si>
    <t>ID00419</t>
  </si>
  <si>
    <t>ID00420</t>
  </si>
  <si>
    <t>ID00421</t>
  </si>
  <si>
    <t>ID00422</t>
  </si>
  <si>
    <t>ID00423</t>
  </si>
  <si>
    <t>ID00424</t>
  </si>
  <si>
    <t>ID00425</t>
  </si>
  <si>
    <t>ID00426</t>
  </si>
  <si>
    <t>ID00427</t>
  </si>
  <si>
    <t>ID00428</t>
  </si>
  <si>
    <t>ID00429</t>
  </si>
  <si>
    <t>ID00430</t>
  </si>
  <si>
    <t>ID00431</t>
  </si>
  <si>
    <t>ID00432</t>
  </si>
  <si>
    <t>ID00433</t>
  </si>
  <si>
    <t>ID00434</t>
  </si>
  <si>
    <t>ID00435</t>
  </si>
  <si>
    <t>ID00436</t>
  </si>
  <si>
    <t>ID00437</t>
  </si>
  <si>
    <t>ID00438</t>
  </si>
  <si>
    <t>ID00439</t>
  </si>
  <si>
    <t>ID00440</t>
  </si>
  <si>
    <t>ID00441</t>
  </si>
  <si>
    <t>ID00442</t>
  </si>
  <si>
    <t>ID00443</t>
  </si>
  <si>
    <t>ID00444</t>
  </si>
  <si>
    <t>ID00445</t>
  </si>
  <si>
    <t>ID00446</t>
  </si>
  <si>
    <t>ID00447</t>
  </si>
  <si>
    <t>ID00448</t>
  </si>
  <si>
    <t>ID00449</t>
  </si>
  <si>
    <t>ID00450</t>
  </si>
  <si>
    <t>ID00451</t>
  </si>
  <si>
    <t>ID00452</t>
  </si>
  <si>
    <t>ID00453</t>
  </si>
  <si>
    <t>ID00454</t>
  </si>
  <si>
    <t>ID00455</t>
  </si>
  <si>
    <t>ID00456</t>
  </si>
  <si>
    <t>ID00457</t>
  </si>
  <si>
    <t>ID00458</t>
  </si>
  <si>
    <t>ID00459</t>
  </si>
  <si>
    <t>ID00460</t>
  </si>
  <si>
    <t>ID00461</t>
  </si>
  <si>
    <t>ID00462</t>
  </si>
  <si>
    <t>ID00463</t>
  </si>
  <si>
    <t>ID00464</t>
  </si>
  <si>
    <t>ID00465</t>
  </si>
  <si>
    <t>ID00466</t>
  </si>
  <si>
    <t>ID00467</t>
  </si>
  <si>
    <t>ID00468</t>
  </si>
  <si>
    <t>ID00469</t>
  </si>
  <si>
    <t>ID00470</t>
  </si>
  <si>
    <t>ID00471</t>
  </si>
  <si>
    <t>ID00472</t>
  </si>
  <si>
    <t>ID00473</t>
  </si>
  <si>
    <t>ID00474</t>
  </si>
  <si>
    <t>ID00475</t>
  </si>
  <si>
    <t>ID00476</t>
  </si>
  <si>
    <t>ID00477</t>
  </si>
  <si>
    <t>ID00478</t>
  </si>
  <si>
    <t>ID00479</t>
  </si>
  <si>
    <t>ID00480</t>
  </si>
  <si>
    <t>ID00481</t>
  </si>
  <si>
    <t>ID00482</t>
  </si>
  <si>
    <t>ID00483</t>
  </si>
  <si>
    <t>ID00484</t>
  </si>
  <si>
    <t>ID00485</t>
  </si>
  <si>
    <t>ID00486</t>
  </si>
  <si>
    <t>ID00487</t>
  </si>
  <si>
    <t>ID00488</t>
  </si>
  <si>
    <t>ID00489</t>
  </si>
  <si>
    <t>ID00490</t>
  </si>
  <si>
    <t>ID00491</t>
  </si>
  <si>
    <t>ID00492</t>
  </si>
  <si>
    <t>ID00493</t>
  </si>
  <si>
    <t>ID00494</t>
  </si>
  <si>
    <t>ID00495</t>
  </si>
  <si>
    <t>ID00496</t>
  </si>
  <si>
    <t>ID00497</t>
  </si>
  <si>
    <t>ID00498</t>
  </si>
  <si>
    <t>ID00499</t>
  </si>
  <si>
    <t>ID00500</t>
  </si>
  <si>
    <t>ID00501</t>
  </si>
  <si>
    <t>ID00502</t>
  </si>
  <si>
    <t>ID00503</t>
  </si>
  <si>
    <t>ID00504</t>
  </si>
  <si>
    <t>ID00505</t>
  </si>
  <si>
    <t>ID00506</t>
  </si>
  <si>
    <t>ID00507</t>
  </si>
  <si>
    <t>ID00508</t>
  </si>
  <si>
    <t>ID00509</t>
  </si>
  <si>
    <t>ID00510</t>
  </si>
  <si>
    <t>ID00511</t>
  </si>
  <si>
    <t>ID00512</t>
  </si>
  <si>
    <t>ID00513</t>
  </si>
  <si>
    <t>ID00514</t>
  </si>
  <si>
    <t>ID00515</t>
  </si>
  <si>
    <t>ID00516</t>
  </si>
  <si>
    <t>ID00517</t>
  </si>
  <si>
    <t>ID00518</t>
  </si>
  <si>
    <t>ID00519</t>
  </si>
  <si>
    <t>ID00520</t>
  </si>
  <si>
    <t>ID00521</t>
  </si>
  <si>
    <t>ID00522</t>
  </si>
  <si>
    <t>ID00523</t>
  </si>
  <si>
    <t>ID00524</t>
  </si>
  <si>
    <t>ID00525</t>
  </si>
  <si>
    <t>ID00526</t>
  </si>
  <si>
    <t>ID00527</t>
  </si>
  <si>
    <t>ID00528</t>
  </si>
  <si>
    <t>ID00529</t>
  </si>
  <si>
    <t>ID00530</t>
  </si>
  <si>
    <t>ID00531</t>
  </si>
  <si>
    <t>ID00532</t>
  </si>
  <si>
    <t>ID00533</t>
  </si>
  <si>
    <t>ID00534</t>
  </si>
  <si>
    <t>ID00535</t>
  </si>
  <si>
    <t>ID00536</t>
  </si>
  <si>
    <t>ID00537</t>
  </si>
  <si>
    <t>ID00538</t>
  </si>
  <si>
    <t>ID00539</t>
  </si>
  <si>
    <t>ID00540</t>
  </si>
  <si>
    <t>ID00541</t>
  </si>
  <si>
    <t>ID00542</t>
  </si>
  <si>
    <t>ID00543</t>
  </si>
  <si>
    <t>ID00544</t>
  </si>
  <si>
    <t>ID00545</t>
  </si>
  <si>
    <t>ID00546</t>
  </si>
  <si>
    <t>ID00547</t>
  </si>
  <si>
    <t>ID00548</t>
  </si>
  <si>
    <t>ID00549</t>
  </si>
  <si>
    <t>ID00550</t>
  </si>
  <si>
    <t>ID00551</t>
  </si>
  <si>
    <t>ID00552</t>
  </si>
  <si>
    <t>ID00553</t>
  </si>
  <si>
    <t>ID00554</t>
  </si>
  <si>
    <t>ID00555</t>
  </si>
  <si>
    <t>ID00556</t>
  </si>
  <si>
    <t>ID00557</t>
  </si>
  <si>
    <t>ID00558</t>
  </si>
  <si>
    <t>ID00559</t>
  </si>
  <si>
    <t>ID00560</t>
  </si>
  <si>
    <t>ID00561</t>
  </si>
  <si>
    <t>ID00562</t>
  </si>
  <si>
    <t>ID00563</t>
  </si>
  <si>
    <t>ID00564</t>
  </si>
  <si>
    <t>ID00565</t>
  </si>
  <si>
    <t>ID00566</t>
  </si>
  <si>
    <t>ID00567</t>
  </si>
  <si>
    <t>ID00568</t>
  </si>
  <si>
    <t>ID00569</t>
  </si>
  <si>
    <t>ID00570</t>
  </si>
  <si>
    <t>ID00571</t>
  </si>
  <si>
    <t>ID00572</t>
  </si>
  <si>
    <t>ID00573</t>
  </si>
  <si>
    <t>ID00574</t>
  </si>
  <si>
    <t>ID00575</t>
  </si>
  <si>
    <t>ID00576</t>
  </si>
  <si>
    <t>ID00577</t>
  </si>
  <si>
    <t>ID00578</t>
  </si>
  <si>
    <t>ID00579</t>
  </si>
  <si>
    <t>ID00580</t>
  </si>
  <si>
    <t>ID00581</t>
  </si>
  <si>
    <t>ID00582</t>
  </si>
  <si>
    <t>ID00583</t>
  </si>
  <si>
    <t>ID00584</t>
  </si>
  <si>
    <t>ID00585</t>
  </si>
  <si>
    <t>ID00586</t>
  </si>
  <si>
    <t>ID00587</t>
  </si>
  <si>
    <t>ID00588</t>
  </si>
  <si>
    <t>ID00589</t>
  </si>
  <si>
    <t>ID00590</t>
  </si>
  <si>
    <t>ID00591</t>
  </si>
  <si>
    <t>ID00592</t>
  </si>
  <si>
    <t>ID00593</t>
  </si>
  <si>
    <t>ID00594</t>
  </si>
  <si>
    <t>ID00595</t>
  </si>
  <si>
    <t>ID00596</t>
  </si>
  <si>
    <t>ID00597</t>
  </si>
  <si>
    <t>ID00598</t>
  </si>
  <si>
    <t>ID00599</t>
  </si>
  <si>
    <t>ID00600</t>
  </si>
  <si>
    <t>ID00601</t>
  </si>
  <si>
    <t>ID00602</t>
  </si>
  <si>
    <t>ID00603</t>
  </si>
  <si>
    <t>ID00604</t>
  </si>
  <si>
    <t>ID00605</t>
  </si>
  <si>
    <t>ID00606</t>
  </si>
  <si>
    <t>ID00607</t>
  </si>
  <si>
    <t>ID00608</t>
  </si>
  <si>
    <t>ID00609</t>
  </si>
  <si>
    <t>ID00610</t>
  </si>
  <si>
    <t>ID00611</t>
  </si>
  <si>
    <t>ID00612</t>
  </si>
  <si>
    <t>ID00613</t>
  </si>
  <si>
    <t>ID00614</t>
  </si>
  <si>
    <t>ID00615</t>
  </si>
  <si>
    <t>ID00616</t>
  </si>
  <si>
    <t>ID00617</t>
  </si>
  <si>
    <t>ID00618</t>
  </si>
  <si>
    <t>ID00619</t>
  </si>
  <si>
    <t>ID00620</t>
  </si>
  <si>
    <t>ID00621</t>
  </si>
  <si>
    <t>ID00622</t>
  </si>
  <si>
    <t>ID00623</t>
  </si>
  <si>
    <t>ID00624</t>
  </si>
  <si>
    <t>ID00625</t>
  </si>
  <si>
    <t>ID00626</t>
  </si>
  <si>
    <t>ID00627</t>
  </si>
  <si>
    <t>ID00628</t>
  </si>
  <si>
    <t>ID00629</t>
  </si>
  <si>
    <t>ID00630</t>
  </si>
  <si>
    <t>ID00631</t>
  </si>
  <si>
    <t>ID00632</t>
  </si>
  <si>
    <t>ID00633</t>
  </si>
  <si>
    <t>ID00634</t>
  </si>
  <si>
    <t>ID00635</t>
  </si>
  <si>
    <t>ID00636</t>
  </si>
  <si>
    <t>ID00637</t>
  </si>
  <si>
    <t>ID00638</t>
  </si>
  <si>
    <t>ID00639</t>
  </si>
  <si>
    <t>ID00640</t>
  </si>
  <si>
    <t>ID00641</t>
  </si>
  <si>
    <t>ID00642</t>
  </si>
  <si>
    <t>ID00643</t>
  </si>
  <si>
    <t>ID00644</t>
  </si>
  <si>
    <t>ID00645</t>
  </si>
  <si>
    <t>ID00646</t>
  </si>
  <si>
    <t>ID00647</t>
  </si>
  <si>
    <t>ID00648</t>
  </si>
  <si>
    <t>ID00649</t>
  </si>
  <si>
    <t>ID00650</t>
  </si>
  <si>
    <t>ID00651</t>
  </si>
  <si>
    <t>ID00652</t>
  </si>
  <si>
    <t>ID00653</t>
  </si>
  <si>
    <t>ID00654</t>
  </si>
  <si>
    <t>ID00655</t>
  </si>
  <si>
    <t>ID00656</t>
  </si>
  <si>
    <t>ID00657</t>
  </si>
  <si>
    <t>ID00658</t>
  </si>
  <si>
    <t>ID00659</t>
  </si>
  <si>
    <t>ID00660</t>
  </si>
  <si>
    <t>ID00661</t>
  </si>
  <si>
    <t>ID00662</t>
  </si>
  <si>
    <t>ID00663</t>
  </si>
  <si>
    <t>ID00664</t>
  </si>
  <si>
    <t>ID00665</t>
  </si>
  <si>
    <t>ID00666</t>
  </si>
  <si>
    <t>ID00667</t>
  </si>
  <si>
    <t>ID00668</t>
  </si>
  <si>
    <t>ID00669</t>
  </si>
  <si>
    <t>ID00670</t>
  </si>
  <si>
    <t>ID00671</t>
  </si>
  <si>
    <t>ID00672</t>
  </si>
  <si>
    <t>ID00673</t>
  </si>
  <si>
    <t>ID00674</t>
  </si>
  <si>
    <t>ID00675</t>
  </si>
  <si>
    <t>ID00676</t>
  </si>
  <si>
    <t>ID00677</t>
  </si>
  <si>
    <t>ID00678</t>
  </si>
  <si>
    <t>ID00679</t>
  </si>
  <si>
    <t>ID00680</t>
  </si>
  <si>
    <t>ID00681</t>
  </si>
  <si>
    <t>ID00682</t>
  </si>
  <si>
    <t>ID00683</t>
  </si>
  <si>
    <t>ID00684</t>
  </si>
  <si>
    <t>ID00685</t>
  </si>
  <si>
    <t>ID00686</t>
  </si>
  <si>
    <t>ID00687</t>
  </si>
  <si>
    <t>ID00688</t>
  </si>
  <si>
    <t>ID00689</t>
  </si>
  <si>
    <t>ID00690</t>
  </si>
  <si>
    <t>ID00691</t>
  </si>
  <si>
    <t>ID00692</t>
  </si>
  <si>
    <t>ID00693</t>
  </si>
  <si>
    <t>ID00694</t>
  </si>
  <si>
    <t>ID00695</t>
  </si>
  <si>
    <t>ID00696</t>
  </si>
  <si>
    <t>ID00697</t>
  </si>
  <si>
    <t>ID00698</t>
  </si>
  <si>
    <t>ID00699</t>
  </si>
  <si>
    <t>ID00700</t>
  </si>
  <si>
    <t>ID00701</t>
  </si>
  <si>
    <t>ID00702</t>
  </si>
  <si>
    <t>ID00703</t>
  </si>
  <si>
    <t>ID00704</t>
  </si>
  <si>
    <t>ID00705</t>
  </si>
  <si>
    <t>ID00706</t>
  </si>
  <si>
    <t>ID00707</t>
  </si>
  <si>
    <t>ID00708</t>
  </si>
  <si>
    <t>ID00709</t>
  </si>
  <si>
    <t>ID00710</t>
  </si>
  <si>
    <t>ID00711</t>
  </si>
  <si>
    <t>ID00712</t>
  </si>
  <si>
    <t>ID00713</t>
  </si>
  <si>
    <t>ID00714</t>
  </si>
  <si>
    <t>ID00715</t>
  </si>
  <si>
    <t>ID00716</t>
  </si>
  <si>
    <t>ID00717</t>
  </si>
  <si>
    <t>ID00718</t>
  </si>
  <si>
    <t>ID00719</t>
  </si>
  <si>
    <t>ID00720</t>
  </si>
  <si>
    <t>ID00721</t>
  </si>
  <si>
    <t>ID00722</t>
  </si>
  <si>
    <t>ID00723</t>
  </si>
  <si>
    <t>ID00724</t>
  </si>
  <si>
    <t>ID00725</t>
  </si>
  <si>
    <t>ID00726</t>
  </si>
  <si>
    <t>ID00727</t>
  </si>
  <si>
    <t>ID00728</t>
  </si>
  <si>
    <t>ID00729</t>
  </si>
  <si>
    <t>ID00730</t>
  </si>
  <si>
    <t>ID00731</t>
  </si>
  <si>
    <t>ID00732</t>
  </si>
  <si>
    <t>ID00733</t>
  </si>
  <si>
    <t>ID00734</t>
  </si>
  <si>
    <t>ID00735</t>
  </si>
  <si>
    <t>ID00736</t>
  </si>
  <si>
    <t>ID00737</t>
  </si>
  <si>
    <t>ID00738</t>
  </si>
  <si>
    <t>ID00739</t>
  </si>
  <si>
    <t>ID00740</t>
  </si>
  <si>
    <t>ID00741</t>
  </si>
  <si>
    <t>ID00742</t>
  </si>
  <si>
    <t>ID00743</t>
  </si>
  <si>
    <t>ID00744</t>
  </si>
  <si>
    <t>ID00745</t>
  </si>
  <si>
    <t>ID00746</t>
  </si>
  <si>
    <t>ID00747</t>
  </si>
  <si>
    <t>ID00748</t>
  </si>
  <si>
    <t>ID00749</t>
  </si>
  <si>
    <t>ID00750</t>
  </si>
  <si>
    <t>ID00751</t>
  </si>
  <si>
    <t>ID00752</t>
  </si>
  <si>
    <t>ID00753</t>
  </si>
  <si>
    <t>ID00754</t>
  </si>
  <si>
    <t>ID00755</t>
  </si>
  <si>
    <t>ID00756</t>
  </si>
  <si>
    <t>ID00757</t>
  </si>
  <si>
    <t>ID00758</t>
  </si>
  <si>
    <t>ID00759</t>
  </si>
  <si>
    <t>ID00760</t>
  </si>
  <si>
    <t>ID00761</t>
  </si>
  <si>
    <t>ID00762</t>
  </si>
  <si>
    <t>ID00763</t>
  </si>
  <si>
    <t>ID00764</t>
  </si>
  <si>
    <t>ID00765</t>
  </si>
  <si>
    <t>ID00766</t>
  </si>
  <si>
    <t>ID00767</t>
  </si>
  <si>
    <t>ID00768</t>
  </si>
  <si>
    <t>ID00769</t>
  </si>
  <si>
    <t>ID00770</t>
  </si>
  <si>
    <t>ID00771</t>
  </si>
  <si>
    <t>ID00772</t>
  </si>
  <si>
    <t>ID00773</t>
  </si>
  <si>
    <t>ID00774</t>
  </si>
  <si>
    <t>ID00775</t>
  </si>
  <si>
    <t>ID00776</t>
  </si>
  <si>
    <t>ID00777</t>
  </si>
  <si>
    <t>ID00778</t>
  </si>
  <si>
    <t>ID00779</t>
  </si>
  <si>
    <t>ID00780</t>
  </si>
  <si>
    <t>ID00781</t>
  </si>
  <si>
    <t>ID00782</t>
  </si>
  <si>
    <t>ID00783</t>
  </si>
  <si>
    <t>ID00784</t>
  </si>
  <si>
    <t>ID00785</t>
  </si>
  <si>
    <t>ID00786</t>
  </si>
  <si>
    <t>ID00787</t>
  </si>
  <si>
    <t>ID00788</t>
  </si>
  <si>
    <t>ID00789</t>
  </si>
  <si>
    <t>ID00790</t>
  </si>
  <si>
    <t>ID00791</t>
  </si>
  <si>
    <t>ID00792</t>
  </si>
  <si>
    <t>ID00793</t>
  </si>
  <si>
    <t>ID00794</t>
  </si>
  <si>
    <t>ID00795</t>
  </si>
  <si>
    <t>ID00796</t>
  </si>
  <si>
    <t>ID00797</t>
  </si>
  <si>
    <t>ID00798</t>
  </si>
  <si>
    <t>ID00799</t>
  </si>
  <si>
    <t>ID00800</t>
  </si>
  <si>
    <t>ID00801</t>
  </si>
  <si>
    <t>ID00802</t>
  </si>
  <si>
    <t>ID00803</t>
  </si>
  <si>
    <t>ID00804</t>
  </si>
  <si>
    <t>ID00805</t>
  </si>
  <si>
    <t>ID00806</t>
  </si>
  <si>
    <t>ID00807</t>
  </si>
  <si>
    <t>ID00808</t>
  </si>
  <si>
    <t>ID00809</t>
  </si>
  <si>
    <t>ID00810</t>
  </si>
  <si>
    <t>ID00811</t>
  </si>
  <si>
    <t>ID00812</t>
  </si>
  <si>
    <t>ID00813</t>
  </si>
  <si>
    <t>ID00814</t>
  </si>
  <si>
    <t>ID00815</t>
  </si>
  <si>
    <t>ID00816</t>
  </si>
  <si>
    <t>ID00817</t>
  </si>
  <si>
    <t>ID00818</t>
  </si>
  <si>
    <t>ID00819</t>
  </si>
  <si>
    <t>ID00820</t>
  </si>
  <si>
    <t>ID00821</t>
  </si>
  <si>
    <t>ID00822</t>
  </si>
  <si>
    <t>ID00823</t>
  </si>
  <si>
    <t>ID00824</t>
  </si>
  <si>
    <t>ID00825</t>
  </si>
  <si>
    <t>ID00826</t>
  </si>
  <si>
    <t>ID00827</t>
  </si>
  <si>
    <t>ID00828</t>
  </si>
  <si>
    <t>ID00829</t>
  </si>
  <si>
    <t>ID00830</t>
  </si>
  <si>
    <t>ID00831</t>
  </si>
  <si>
    <t>ID00832</t>
  </si>
  <si>
    <t>ID00833</t>
  </si>
  <si>
    <t>ID00834</t>
  </si>
  <si>
    <t>ID00835</t>
  </si>
  <si>
    <t>ID00836</t>
  </si>
  <si>
    <t>ID00837</t>
  </si>
  <si>
    <t>ID00838</t>
  </si>
  <si>
    <t>ID00839</t>
  </si>
  <si>
    <t>ID00840</t>
  </si>
  <si>
    <t>ID00841</t>
  </si>
  <si>
    <t>ID00842</t>
  </si>
  <si>
    <t>ID00843</t>
  </si>
  <si>
    <t>ID00844</t>
  </si>
  <si>
    <t>ID00845</t>
  </si>
  <si>
    <t>ID00846</t>
  </si>
  <si>
    <t>ID00847</t>
  </si>
  <si>
    <t>ID00848</t>
  </si>
  <si>
    <t>ID00849</t>
  </si>
  <si>
    <t>ID00850</t>
  </si>
  <si>
    <t>ID00851</t>
  </si>
  <si>
    <t>ID00852</t>
  </si>
  <si>
    <t>ID00853</t>
  </si>
  <si>
    <t>ID00854</t>
  </si>
  <si>
    <t>ID00855</t>
  </si>
  <si>
    <t>ID00856</t>
  </si>
  <si>
    <t>ID00857</t>
  </si>
  <si>
    <t>ID00858</t>
  </si>
  <si>
    <t>ID00859</t>
  </si>
  <si>
    <t>ID00860</t>
  </si>
  <si>
    <t>ID00861</t>
  </si>
  <si>
    <t>ID00862</t>
  </si>
  <si>
    <t>ID00863</t>
  </si>
  <si>
    <t>ID00864</t>
  </si>
  <si>
    <t>ID00865</t>
  </si>
  <si>
    <t>ID00866</t>
  </si>
  <si>
    <t>ID00867</t>
  </si>
  <si>
    <t>ID00868</t>
  </si>
  <si>
    <t>ID00869</t>
  </si>
  <si>
    <t>ID00870</t>
  </si>
  <si>
    <t>ID00871</t>
  </si>
  <si>
    <t>ID00872</t>
  </si>
  <si>
    <t>ID00873</t>
  </si>
  <si>
    <t>ID00874</t>
  </si>
  <si>
    <t>ID00875</t>
  </si>
  <si>
    <t>ID00876</t>
  </si>
  <si>
    <t>ID00877</t>
  </si>
  <si>
    <t>ID00878</t>
  </si>
  <si>
    <t>ID00879</t>
  </si>
  <si>
    <t>ID00880</t>
  </si>
  <si>
    <t>ID00881</t>
  </si>
  <si>
    <t>ID00882</t>
  </si>
  <si>
    <t>ID00883</t>
  </si>
  <si>
    <t>ID00884</t>
  </si>
  <si>
    <t>ID00885</t>
  </si>
  <si>
    <t>ID00886</t>
  </si>
  <si>
    <t>ID00887</t>
  </si>
  <si>
    <t>ID00888</t>
  </si>
  <si>
    <t>ID00889</t>
  </si>
  <si>
    <t>ID00890</t>
  </si>
  <si>
    <t>ID00891</t>
  </si>
  <si>
    <t>ID00892</t>
  </si>
  <si>
    <t>ID00893</t>
  </si>
  <si>
    <t>ID00894</t>
  </si>
  <si>
    <t>ID00895</t>
  </si>
  <si>
    <t>ID00896</t>
  </si>
  <si>
    <t>ID00897</t>
  </si>
  <si>
    <t>ID00898</t>
  </si>
  <si>
    <t>ID00899</t>
  </si>
  <si>
    <t>ID00900</t>
  </si>
  <si>
    <t>ID00901</t>
  </si>
  <si>
    <t>ID00902</t>
  </si>
  <si>
    <t>ID00903</t>
  </si>
  <si>
    <t>ID00904</t>
  </si>
  <si>
    <t>ID00905</t>
  </si>
  <si>
    <t>ID00906</t>
  </si>
  <si>
    <t>ID00907</t>
  </si>
  <si>
    <t>ID00908</t>
  </si>
  <si>
    <t>ID00909</t>
  </si>
  <si>
    <t>ID00910</t>
  </si>
  <si>
    <t>ID00911</t>
  </si>
  <si>
    <t>ID00912</t>
  </si>
  <si>
    <t>ID00913</t>
  </si>
  <si>
    <t>ID00914</t>
  </si>
  <si>
    <t>ID00915</t>
  </si>
  <si>
    <t>ID00916</t>
  </si>
  <si>
    <t>ID00917</t>
  </si>
  <si>
    <t>ID00918</t>
  </si>
  <si>
    <t>ID00919</t>
  </si>
  <si>
    <t>ID00920</t>
  </si>
  <si>
    <t>ID00921</t>
  </si>
  <si>
    <t>ID00922</t>
  </si>
  <si>
    <t>ID00923</t>
  </si>
  <si>
    <t>ID00924</t>
  </si>
  <si>
    <t>ID00925</t>
  </si>
  <si>
    <t>ID00926</t>
  </si>
  <si>
    <t>ID00927</t>
  </si>
  <si>
    <t>ID00928</t>
  </si>
  <si>
    <t>ID00929</t>
  </si>
  <si>
    <t>ID00930</t>
  </si>
  <si>
    <t>ID00931</t>
  </si>
  <si>
    <t>ID00932</t>
  </si>
  <si>
    <t>ID00933</t>
  </si>
  <si>
    <t>ID00934</t>
  </si>
  <si>
    <t>ID00935</t>
  </si>
  <si>
    <t>ID00936</t>
  </si>
  <si>
    <t>ID00937</t>
  </si>
  <si>
    <t>ID00938</t>
  </si>
  <si>
    <t>ID00939</t>
  </si>
  <si>
    <t>ID00940</t>
  </si>
  <si>
    <t>ID00941</t>
  </si>
  <si>
    <t>ID00942</t>
  </si>
  <si>
    <t>ID00943</t>
  </si>
  <si>
    <t>ID00944</t>
  </si>
  <si>
    <t>ID00945</t>
  </si>
  <si>
    <t>ID00946</t>
  </si>
  <si>
    <t>ID00947</t>
  </si>
  <si>
    <t>ID00948</t>
  </si>
  <si>
    <t>ID00949</t>
  </si>
  <si>
    <t>ID00950</t>
  </si>
  <si>
    <t>ID00951</t>
  </si>
  <si>
    <t>ID00952</t>
  </si>
  <si>
    <t>ID00953</t>
  </si>
  <si>
    <t>ID00954</t>
  </si>
  <si>
    <t>ID00955</t>
  </si>
  <si>
    <t>ID00956</t>
  </si>
  <si>
    <t>ID00957</t>
  </si>
  <si>
    <t>ID00958</t>
  </si>
  <si>
    <t>ID00959</t>
  </si>
  <si>
    <t>ID00960</t>
  </si>
  <si>
    <t>ID00961</t>
  </si>
  <si>
    <t>ID00962</t>
  </si>
  <si>
    <t>ID00963</t>
  </si>
  <si>
    <t>ID00964</t>
  </si>
  <si>
    <t>ID00965</t>
  </si>
  <si>
    <t>ID00966</t>
  </si>
  <si>
    <t>ID00967</t>
  </si>
  <si>
    <t>ID00968</t>
  </si>
  <si>
    <t>ID00969</t>
  </si>
  <si>
    <t>ID00970</t>
  </si>
  <si>
    <t>ID00971</t>
  </si>
  <si>
    <t>ID00972</t>
  </si>
  <si>
    <t>ID00973</t>
  </si>
  <si>
    <t>ID00974</t>
  </si>
  <si>
    <t>ID00975</t>
  </si>
  <si>
    <t>ID00976</t>
  </si>
  <si>
    <t>ID00977</t>
  </si>
  <si>
    <t>ID00978</t>
  </si>
  <si>
    <t>ID00979</t>
  </si>
  <si>
    <t>ID00980</t>
  </si>
  <si>
    <t>ID00981</t>
  </si>
  <si>
    <t>ID00982</t>
  </si>
  <si>
    <t>ID00983</t>
  </si>
  <si>
    <t>ID00984</t>
  </si>
  <si>
    <t>ID00985</t>
  </si>
  <si>
    <t>ID00986</t>
  </si>
  <si>
    <t>ID00987</t>
  </si>
  <si>
    <t>ID00988</t>
  </si>
  <si>
    <t>ID00989</t>
  </si>
  <si>
    <t>ID00990</t>
  </si>
  <si>
    <t>ID00991</t>
  </si>
  <si>
    <t>ID00992</t>
  </si>
  <si>
    <t>ID00993</t>
  </si>
  <si>
    <t>ID00994</t>
  </si>
  <si>
    <t>ID00995</t>
  </si>
  <si>
    <t>ID00996</t>
  </si>
  <si>
    <t>ID00997</t>
  </si>
  <si>
    <t>ID00998</t>
  </si>
  <si>
    <t>ID00999</t>
  </si>
  <si>
    <t>ID01000</t>
  </si>
  <si>
    <t>ID01001</t>
  </si>
  <si>
    <t>ID01002</t>
  </si>
  <si>
    <t>ID01003</t>
  </si>
  <si>
    <t>ID01004</t>
  </si>
  <si>
    <t>ID01005</t>
  </si>
  <si>
    <t>ID01006</t>
  </si>
  <si>
    <t>ID01007</t>
  </si>
  <si>
    <t>ID01008</t>
  </si>
  <si>
    <t>ID01009</t>
  </si>
  <si>
    <t>ID01010</t>
  </si>
  <si>
    <t>ID01011</t>
  </si>
  <si>
    <t>ID01012</t>
  </si>
  <si>
    <t>ID01013</t>
  </si>
  <si>
    <t>ID01014</t>
  </si>
  <si>
    <t>ID01015</t>
  </si>
  <si>
    <t>ID01016</t>
  </si>
  <si>
    <t>ID01017</t>
  </si>
  <si>
    <t>ID01018</t>
  </si>
  <si>
    <t>ID01019</t>
  </si>
  <si>
    <t>ID01020</t>
  </si>
  <si>
    <t>ID01021</t>
  </si>
  <si>
    <t>ID01022</t>
  </si>
  <si>
    <t>ID01023</t>
  </si>
  <si>
    <t>ID01024</t>
  </si>
  <si>
    <t>ID01025</t>
  </si>
  <si>
    <t>ID01026</t>
  </si>
  <si>
    <t>ID01027</t>
  </si>
  <si>
    <t>ID01028</t>
  </si>
  <si>
    <t>ID01029</t>
  </si>
  <si>
    <t>ID01030</t>
  </si>
  <si>
    <t>ID01031</t>
  </si>
  <si>
    <t>ID01032</t>
  </si>
  <si>
    <t>ID01033</t>
  </si>
  <si>
    <t>ID01034</t>
  </si>
  <si>
    <t>ID01035</t>
  </si>
  <si>
    <t>ID01036</t>
  </si>
  <si>
    <t>ID01037</t>
  </si>
  <si>
    <t>ID01038</t>
  </si>
  <si>
    <t>ID01039</t>
  </si>
  <si>
    <t>ID01040</t>
  </si>
  <si>
    <t>ID01041</t>
  </si>
  <si>
    <t>ID01042</t>
  </si>
  <si>
    <t>ID01043</t>
  </si>
  <si>
    <t>ID01044</t>
  </si>
  <si>
    <t>ID01045</t>
  </si>
  <si>
    <t>ID01046</t>
  </si>
  <si>
    <t>ID01047</t>
  </si>
  <si>
    <t>ID01048</t>
  </si>
  <si>
    <t>ID01049</t>
  </si>
  <si>
    <t>ID01050</t>
  </si>
  <si>
    <t>ID01051</t>
  </si>
  <si>
    <t>ID01052</t>
  </si>
  <si>
    <t>ID01053</t>
  </si>
  <si>
    <t>ID01054</t>
  </si>
  <si>
    <t>ID01055</t>
  </si>
  <si>
    <t>ID01056</t>
  </si>
  <si>
    <t>ID01057</t>
  </si>
  <si>
    <t>ID01058</t>
  </si>
  <si>
    <t>ID01059</t>
  </si>
  <si>
    <t>ID01060</t>
  </si>
  <si>
    <t>ID01061</t>
  </si>
  <si>
    <t>ID01062</t>
  </si>
  <si>
    <t>ID01063</t>
  </si>
  <si>
    <t>ID01064</t>
  </si>
  <si>
    <t>ID01065</t>
  </si>
  <si>
    <t>ID01066</t>
  </si>
  <si>
    <t>ID01067</t>
  </si>
  <si>
    <t>ID01068</t>
  </si>
  <si>
    <t>ID01069</t>
  </si>
  <si>
    <t>ID01070</t>
  </si>
  <si>
    <t>ID01071</t>
  </si>
  <si>
    <t>ID01072</t>
  </si>
  <si>
    <t>ID01073</t>
  </si>
  <si>
    <t>ID01074</t>
  </si>
  <si>
    <t>ID01075</t>
  </si>
  <si>
    <t>ID01076</t>
  </si>
  <si>
    <t>ID01077</t>
  </si>
  <si>
    <t>ID01078</t>
  </si>
  <si>
    <t>ID01079</t>
  </si>
  <si>
    <t>ID01080</t>
  </si>
  <si>
    <t>ID01081</t>
  </si>
  <si>
    <t>ID01082</t>
  </si>
  <si>
    <t>ID01083</t>
  </si>
  <si>
    <t>ID01084</t>
  </si>
  <si>
    <t>ID01085</t>
  </si>
  <si>
    <t>ID01086</t>
  </si>
  <si>
    <t>ID01087</t>
  </si>
  <si>
    <t>ID01088</t>
  </si>
  <si>
    <t>ID01089</t>
  </si>
  <si>
    <t>ID01090</t>
  </si>
  <si>
    <t>ID01091</t>
  </si>
  <si>
    <t>ID01092</t>
  </si>
  <si>
    <t>ID01093</t>
  </si>
  <si>
    <t>ID01094</t>
  </si>
  <si>
    <t>ID01095</t>
  </si>
  <si>
    <t>ID01096</t>
  </si>
  <si>
    <t>ID01097</t>
  </si>
  <si>
    <t>ID01098</t>
  </si>
  <si>
    <t>ID01099</t>
  </si>
  <si>
    <t>ID01100</t>
  </si>
  <si>
    <t>ID01101</t>
  </si>
  <si>
    <t>ID01102</t>
  </si>
  <si>
    <t>ID01103</t>
  </si>
  <si>
    <t>ID01104</t>
  </si>
  <si>
    <t>ID01105</t>
  </si>
  <si>
    <t>ID01106</t>
  </si>
  <si>
    <t>ID01107</t>
  </si>
  <si>
    <t>ID01108</t>
  </si>
  <si>
    <t>ID01109</t>
  </si>
  <si>
    <t>ID01110</t>
  </si>
  <si>
    <t>ID01111</t>
  </si>
  <si>
    <t>ID01112</t>
  </si>
  <si>
    <t>ID01113</t>
  </si>
  <si>
    <t>ID01114</t>
  </si>
  <si>
    <t>ID01115</t>
  </si>
  <si>
    <t>ID01116</t>
  </si>
  <si>
    <t>ID01117</t>
  </si>
  <si>
    <t>ID01118</t>
  </si>
  <si>
    <t>ID01119</t>
  </si>
  <si>
    <t>Gianfranco Donatelli</t>
  </si>
  <si>
    <t>608464740737369093</t>
  </si>
  <si>
    <t>544957847394321411</t>
  </si>
  <si>
    <t>Director of the hospital’s operative endoscopy unit and has an international reference in biliopancreatic endoscopy and interventional EUS.</t>
  </si>
  <si>
    <t>Paul Boré</t>
  </si>
  <si>
    <t>938016242400234856</t>
  </si>
  <si>
    <t>544957509996119053</t>
  </si>
  <si>
    <t>HCP specializing in Digestive oncology</t>
  </si>
  <si>
    <t>https://hopitalpriveconfluent.vivalto-sante.com/notre-equipe-medicale/medecins-et-specialite/dr-bore-paul/</t>
  </si>
  <si>
    <t>Jean-Éric Gourdier</t>
  </si>
  <si>
    <t>560997854563271705</t>
  </si>
  <si>
    <t>https://hopitalpriveconfluent.vivalto-sante.com/notre-equipe-medicale/medecins-et-specialite/dr-jean-eric-gourdier/</t>
  </si>
  <si>
    <t>Screening and monitoring of digestive cancers,</t>
  </si>
  <si>
    <t>Emmanuel Maillard</t>
  </si>
  <si>
    <t>626077711051277321</t>
  </si>
  <si>
    <t>544957629626057753</t>
  </si>
  <si>
    <t>Head of service where pancrearic cancer is treated</t>
  </si>
  <si>
    <t>Marine Desevré</t>
  </si>
  <si>
    <t>938366045588295019</t>
  </si>
  <si>
    <t>Has written her thesis on unresectable pancreatic cancer patients</t>
  </si>
  <si>
    <t>Mathieu Baconnier</t>
  </si>
  <si>
    <t>626080017968808990</t>
  </si>
  <si>
    <t>Has written on PDAC</t>
  </si>
  <si>
    <t>608464600169464832</t>
  </si>
  <si>
    <t>Éloi Blanchet</t>
  </si>
  <si>
    <t>626079511531766786</t>
  </si>
  <si>
    <t>Head of service where pancrearic cancer is treated. ERCP performed by this HCP</t>
  </si>
  <si>
    <t>621138881315619840</t>
  </si>
  <si>
    <t>https://www.ch-annecygenevois.fr/liste-des-services/hepato-gastro-enterologie-endoscopies/</t>
  </si>
  <si>
    <t>https://etablissements.fhf.fr/annuaire/service/structure377-establishment-service33874</t>
  </si>
  <si>
    <t>Céline Py explicitly stated in a 2025 interview that HPPS's digestive cancer activity includes pancreas and biliary-tract cancers. She is also faculty for the SOS Pancreas training programme on early diagnosis of pancreatic cancer.</t>
  </si>
  <si>
    <t>He is faculty for the SOS Pancreas training programme on early diagnosis of pancreatic cancer.</t>
  </si>
  <si>
    <t>HPPS's digestive cancer activity includes pancreas and biliary-tract cancers.</t>
  </si>
  <si>
    <t>The current gastroenterology service explicitly manages biliary and pancreatic pathology and provides diagnostic and therapeutic echo-endoscopy/EUS, biliary extraction and other therapeutic endoscopy.</t>
  </si>
  <si>
    <t>626077790407508994</t>
  </si>
  <si>
    <t>Sophie Nahon</t>
  </si>
  <si>
    <t>Co-author, with Aix hemato-oncology affiliation, of a paper specifically entitled FAM111B Mutation Is Associated With Pancreatic Cancer Predisposition.</t>
  </si>
  <si>
    <t>691778836790002701</t>
  </si>
  <si>
    <t>Guillaume Allard</t>
  </si>
  <si>
    <t>Head of gastroenterology. His service specifically performs EUS and treats pancreatic diseases.</t>
  </si>
  <si>
    <t>https://www.ch-aix.fr/medecins/guillaume-allard/</t>
  </si>
  <si>
    <t>626078401165280260</t>
  </si>
  <si>
    <t>Rémi Bon-Mardion</t>
  </si>
  <si>
    <t>His current official CHI Aix profile explicitly gives his domain as cancer surgery; hepatic and pancreatic surgery.</t>
  </si>
  <si>
    <t>https://www.ch-aix.fr/medecins/bon-mardion-remi/</t>
  </si>
  <si>
    <t>The GI unit performs ERCP, diagnostic and therapeutic endoscopy and biliary catheterisation is used for obstruction caused by pancreatic tumours. HDN also delivers chemotherapy for digestive cancers.</t>
  </si>
  <si>
    <t>HDN specifically says he introduced endoscopic management of biliary obstruction and describes the procedure as treating obstruction from pancreatic tumours.</t>
  </si>
  <si>
    <t>621591819255301121</t>
  </si>
  <si>
    <t>Hervé Hamon</t>
  </si>
  <si>
    <t>He is a gastroenterologist and digestive oncologist, managing digestive cancer and endoscopy. He worked alongside Darfeuil as the pancreatic activity was developed for pancreatic tumours.</t>
  </si>
  <si>
    <t>There is a weekly digestive tumour RCP held at Clinique Calabet. It is a B1 classified centre for pancreatic surgery.</t>
  </si>
  <si>
    <t>CH Calais's gastroenterology service explicitly says it treats patients with digestive, pancreatic, biliary and hepatic disease.</t>
  </si>
  <si>
    <t>933961529235279199</t>
  </si>
  <si>
    <t>Nathalie Ibrahim</t>
  </si>
  <si>
    <t>https://france3-regions.franceinfo.fr/nouvelle-aquitaine/mieux-lutter-contre-le-cancer-du-pancreas-lundi-9-novembre-12h-847817.html</t>
  </si>
  <si>
    <t>Mieux lutter contre le cancer du pancréas</t>
  </si>
  <si>
    <t xml:space="preserve">Specialised in digestive cancers. She leads the oncology department </t>
  </si>
  <si>
    <t>https://www.ch-calais.fr/praticiens/dr-nathalie-ibrahim/</t>
  </si>
  <si>
    <t>https://alumni.gustaveroussy.fr/en/article/dr-nathalie-ibrahim-dans-le-nord-de-la-france-une-leader-en-oncologie/09/03/2026/123</t>
  </si>
  <si>
    <t>The Mantes oncology department lists “Cancer du pancréas” as a pathology treated, alongside chemotherapy activity.</t>
  </si>
  <si>
    <t>626077177175098377</t>
  </si>
  <si>
    <t>Abdelhamid Mekranter</t>
  </si>
  <si>
    <t>Current oncology chief. His official department explicitly treats pancreatic cancer.</t>
  </si>
  <si>
    <t>https://etablissements.fhf.fr/annuaire/service/structure2166-establishment5894-service48309</t>
  </si>
  <si>
    <t>Gastroenterology treats digestive cancers, pancreatic diseasea and performs EUS to identify stones or tumours in the bile ducts/and/or pancreas.</t>
  </si>
  <si>
    <t>626077300110148613</t>
  </si>
  <si>
    <t>Mouhamad Chahine</t>
  </si>
  <si>
    <t>Head of gastroenterology. Patients requiring GI EUS (which in this hospital is specifically used for identifying pancreatic tumours) are directed to Chahine.</t>
  </si>
  <si>
    <t>https://www.hopital-simoneveil.fr/services/gastroenterologie-hepatologie/</t>
  </si>
  <si>
    <t>Yaovi Messan Éric Amela</t>
  </si>
  <si>
    <t>626079515877065746</t>
  </si>
  <si>
    <t>544957420120572947</t>
  </si>
  <si>
    <t>It has participated as a centre in the GEMFOX pancreatic adenocarcinoma trial. The hospital is authorised for chemotherapy and digestive-cancer surgery</t>
  </si>
  <si>
    <t>626079743669715970</t>
  </si>
  <si>
    <t>Hamadi Almotlak</t>
  </si>
  <si>
    <t>Co-author of a study evaluating FOLFOXIRI/FOLFIRINOX-type chemotherapy in advanced pancreatic cancer (pubmed article)</t>
  </si>
  <si>
    <t xml:space="preserve">They perform EUS, ERCP. Oncology treats gastrointestinal cancers. </t>
  </si>
  <si>
    <t>930641623281107487</t>
  </si>
  <si>
    <t>Morgan Faivre</t>
  </si>
  <si>
    <t>Named current endoscopy physician in a unit explicitly offering EUS, ERCP and intervention on the biliary tract/pancreas.</t>
  </si>
  <si>
    <t>Its gastroenterology service explicitly manages pancreatic/biliary disease and provides echoendoscopy and retrograde endoscopic procedures on the biliary and pancreatic ducts. The surgery department performs Whipple.</t>
  </si>
  <si>
    <t>621591726745732117</t>
  </si>
  <si>
    <t>Christine Le Foll</t>
  </si>
  <si>
    <t>Head of oncology and has written on pancreatic cancer (PubMed)</t>
  </si>
  <si>
    <t>https://www.ghef.fr/offre-de-soin/oncologie-medicale</t>
  </si>
  <si>
    <t>Sahir Javed</t>
  </si>
  <si>
    <t>930324009702982175</t>
  </si>
  <si>
    <t>935326224593915240</t>
  </si>
  <si>
    <t>Alexandru Barbalan</t>
  </si>
  <si>
    <t>Has done a pancreatic cancer oncological surgery training at Hopital Universitaire Paul Brousse.</t>
  </si>
  <si>
    <t>Traitements péri opératoire des adénocarcinomes pancréatiques et nouveautés</t>
  </si>
  <si>
    <t>https://www.linkedin.com/posts/elivie-psad-valenciennes-ugcPost-7165664682593222657-YAGe/</t>
  </si>
  <si>
    <t>Speaker on pancreatic cancer</t>
  </si>
  <si>
    <t>Rachida Leblanc Boubchir</t>
  </si>
  <si>
    <t>626078070603793409</t>
  </si>
  <si>
    <t>A significant endoscopy site with expertise in EUS, ERCP, and digestive oncology.</t>
  </si>
  <si>
    <t>Diagnostic et traitements du cancer hépato pancréatique</t>
  </si>
  <si>
    <t>Julien Lollivier</t>
  </si>
  <si>
    <t>934035450612354424</t>
  </si>
  <si>
    <t>Speaker on pancreatic cancer, Medical oncologist and  lead of CH Valenciennes’ weekly digestive MDT.</t>
  </si>
  <si>
    <t>Centre de Pathologie Émile Gallé</t>
  </si>
  <si>
    <t>TEST_00052</t>
  </si>
  <si>
    <t>Nancy</t>
  </si>
  <si>
    <t>Head of Oncology and speaker on pancreatic cancer</t>
  </si>
  <si>
    <t>81 Rue Julie Daubié</t>
  </si>
  <si>
    <t>External</t>
  </si>
  <si>
    <t>https://tools.cofrac.fr/annexes/pdet0/8-4251_pds.pdf</t>
  </si>
  <si>
    <t>https://louispasteursante.com/nos-medecins-et-specialites/anatomo-pathologie/</t>
  </si>
  <si>
    <t>The hospital performs ERCP, EUS and is authorised for visceral and digestive surgery.</t>
  </si>
  <si>
    <t>560997231625241619</t>
  </si>
  <si>
    <t>Christophe Carrere</t>
  </si>
  <si>
    <t>Profile mentions he has experience in pancreatic catheterisation, echoendoscopy and EUS guided puncture.</t>
  </si>
  <si>
    <t>https://www.oncopacacorse.org/structures/hopital-prive-toulon-hyeres-saint-jean/</t>
  </si>
  <si>
    <t>Perform EUS.</t>
  </si>
  <si>
    <t>https://emploi.fhf.fr/emploi/343086</t>
  </si>
  <si>
    <t>621591711419745282</t>
  </si>
  <si>
    <t>Cristian Searpe</t>
  </si>
  <si>
    <t>Head of gastroenterology and endoscopy coordinator which performs EUS.</t>
  </si>
  <si>
    <t>https://www.ch-sens.fr/hepato-gastroenterologie</t>
  </si>
  <si>
    <t>Thibault Brotelle</t>
  </si>
  <si>
    <t>806479934770922497</t>
  </si>
  <si>
    <t>https://www.ch-sens.fr/oncologie-medicale-hospitalisation-de-jour</t>
  </si>
  <si>
    <t>544957278067885062</t>
  </si>
  <si>
    <t>Julie Camille Sigrand</t>
  </si>
  <si>
    <t>929888677119394335</t>
  </si>
  <si>
    <t>Gastroenterlogist treating pancreatic cancer and leads MDT, Réunion de Concertation Pluridisciplinaire (RCP)</t>
  </si>
  <si>
    <t>Oncologist treating pancreatic cancer and leads MDT, Réunion de Concertation Pluridisciplinaire (RCP)</t>
  </si>
  <si>
    <t>Stéphanie Husson-Wetzel</t>
  </si>
  <si>
    <t>626078145933493249</t>
  </si>
  <si>
    <t>https://etablissements.fhf.fr/annuaire/service/structure1818-service2126</t>
  </si>
  <si>
    <t>560999187613746182</t>
  </si>
  <si>
    <t>Hôpital du Creusot</t>
  </si>
  <si>
    <t>544957981150675999</t>
  </si>
  <si>
    <t>626079920828728333</t>
  </si>
  <si>
    <t>Pancreatic Clinical Trial</t>
  </si>
  <si>
    <t>Damien Lucidarme</t>
  </si>
  <si>
    <t>626079626799629317</t>
  </si>
  <si>
    <t>544956975977333791</t>
  </si>
  <si>
    <t>608464683300570115</t>
  </si>
  <si>
    <t>https://hopitaluniversitaire-henrimondor.aphp.fr/pr-laurent-alexis</t>
  </si>
  <si>
    <t>Pancreatic Clinical Trial, he is a visceral digestive surgeon</t>
  </si>
  <si>
    <t>608464607459165184</t>
  </si>
  <si>
    <t>Hepatobilitary Surgery</t>
  </si>
  <si>
    <t>Publications on PDAC</t>
  </si>
  <si>
    <t>https://www.ghicl.fr/praticiens/professeur-damien-lucidarme-f106.html</t>
  </si>
  <si>
    <t>Maison Blanche is part of CHU de Reims and houses the CHU's ambulatory cancer/haematology unit.</t>
  </si>
  <si>
    <t>855007064047485952</t>
  </si>
  <si>
    <t>CH de Dinan</t>
  </si>
  <si>
    <t>621085745163027473</t>
  </si>
  <si>
    <t>Gastroenterology provides ERCP, EUS and abdominal utrasounds.</t>
  </si>
  <si>
    <t>621591892412351506</t>
  </si>
  <si>
    <t>Franck Amoros</t>
  </si>
  <si>
    <t>Head of gastroenterology which service performs EUS and ERCP</t>
  </si>
  <si>
    <t>Emmanuel Dupuis</t>
  </si>
  <si>
    <t>626077242019038215</t>
  </si>
  <si>
    <t>933134376886799711</t>
  </si>
  <si>
    <t>Tronquières is authorised for chemotherapy and digestive cancer surgery.</t>
  </si>
  <si>
    <t>626080200639136771</t>
  </si>
  <si>
    <t>Thiare Juvenal Abita</t>
  </si>
  <si>
    <t>The 2025 ARS Centre-Val de Loire authorisation explicitly covers complex oncologic surgery of the pancreas at CH Jacques Cœur. Bourges states that it is the only centre in the départmetn performing EUS.</t>
  </si>
  <si>
    <t>560998506676880385</t>
  </si>
  <si>
    <t>Maher Dabboussi</t>
  </si>
  <si>
    <t>Head of visceral surgery where pancreatic cancer surgery takes place.</t>
  </si>
  <si>
    <t>https://www.ch-bourges.fr/tous-les-medecins/dr-dabboussi-maher/</t>
  </si>
  <si>
    <t>Estelle Sirach</t>
  </si>
  <si>
    <t>626078524402320387</t>
  </si>
  <si>
    <t>Its surgical programme explicitly lists pancreatic cancer among cancers treated. GastroPARC, based at Clinique du Parc, explicitly states expertise in diseases of the pancreas and bile ducts and performs digestive EUS.</t>
  </si>
  <si>
    <t>626078157971145737</t>
  </si>
  <si>
    <t>The clinic recruited Dr Juvénal Abita in December 2025 and explicitly describes his activity as including gastro-pancreatic surgery.</t>
  </si>
  <si>
    <t>His biography mentions he is specialised in ERCP, EUS and Spyglass cholangioscopy</t>
  </si>
  <si>
    <t>Guillaume Pineton De Chambrun</t>
  </si>
  <si>
    <t>Associated with Clinique du Parc; advanced endoscopy including EUS and CPRE documented</t>
  </si>
  <si>
    <t>935579756238867829</t>
  </si>
  <si>
    <t>Hussein Habibeh</t>
  </si>
  <si>
    <t>Specialised in pancreatic cancer and pancreatic surgery.</t>
  </si>
  <si>
    <t>https://chirurgie-digestive-montpellier.org/</t>
  </si>
  <si>
    <t>Gastroenterology lists EUS, digestive cancers and complex therapeutic endoscopy including catheterisation of the bile ducts and pancreatic duct.</t>
  </si>
  <si>
    <t>https://www.chu-grenoble.fr/patients-et-accompagnants/offre-de-soin/hepato-gastroenterologie-voiron</t>
  </si>
  <si>
    <t>https://www.ch-niort.fr/patients-residents-et-accompagnants/nos-services/oncologie-consultations-et-hopital-de-jour</t>
  </si>
  <si>
    <t>Provides digestive oncology, and diagnostic and interventional endoscopy.</t>
  </si>
  <si>
    <t>626080049166042117</t>
  </si>
  <si>
    <t>Marie Calot-Limare</t>
  </si>
  <si>
    <t>Her doctoral work focused on prognostic and predictive factors in pancreatic adenocarcinoma and specifically patients receiving palliative chemotherapy for advanced pancreatic cancer.</t>
  </si>
  <si>
    <t>Centre Hospitalier de Noirt</t>
  </si>
  <si>
    <t>40 avenue Charles-de-Gaulle</t>
  </si>
  <si>
    <t>Noirt</t>
  </si>
  <si>
    <t>TEST_00053</t>
  </si>
  <si>
    <t>https://www.ch-niort.fr/professionnels-de-sante/guide-des-prelevements-biologiques</t>
  </si>
  <si>
    <t>This HCp has two guidelines involvement</t>
  </si>
  <si>
    <t>Kaïs Aldabbagh</t>
  </si>
  <si>
    <t>544958003883803665</t>
  </si>
  <si>
    <t>691778840648762371</t>
  </si>
  <si>
    <t>Leads a service performing CPRE/EUS and co-leads the weekly digestive Réunion de Concertation Pluridisciplinaire (RCP), no personal evidence to pancreatic cancer</t>
  </si>
  <si>
    <t xml:space="preserve">Clinical Research Medical Officer of the department were pancreatic cancer is treated, no personal evidence to pancreatic cancer </t>
  </si>
  <si>
    <t>621591923760579598</t>
  </si>
  <si>
    <t>Jean-Pierre Farmachidi</t>
  </si>
  <si>
    <t>Head of the department of gastroenterology where EUS-guided punctures are performed and pancreatic diseases are diagnosed.</t>
  </si>
  <si>
    <t>https://www.ch-argenteuil.fr/service/hepato-gastro-enterologie/</t>
  </si>
  <si>
    <t>https://www.linkedin.com/feed/update/urn:li:activity:7499417198466211840/</t>
  </si>
  <si>
    <t xml:space="preserve">CancerDuPancreas </t>
  </si>
  <si>
    <t>Sandrine Aziz</t>
  </si>
  <si>
    <t>626079439238743054</t>
  </si>
  <si>
    <t>544957777617880067</t>
  </si>
  <si>
    <t>Claudia Sava</t>
  </si>
  <si>
    <t>626077830387614737</t>
  </si>
  <si>
    <t>Her biography mentions she is specialised in ERCP, EUS and Spyglass cholangioscopy</t>
  </si>
  <si>
    <t>Dr. SAVA specializes in digestive system diseases and proctology. This hepatogastroenterologist performs echoendoscopies, diagnostic and interventional digestive endoscopies. Department states Digestive oncology.</t>
  </si>
  <si>
    <t>938846044801338719</t>
  </si>
  <si>
    <t>Adrien Sportes</t>
  </si>
  <si>
    <t>929771110841909804</t>
  </si>
  <si>
    <t>https://saintlaurentduvar.tzanck.org/annuaire-des-praticiens/158-adrien-sportes.html</t>
  </si>
  <si>
    <t>the hospital has a dedicated pancreatic adenocarcinoma pathway article naming pancreatic cancer care and multidisciplinary decision-making.The hospital performs EUS/écho-endoscopie, CPRE/ERCP.</t>
  </si>
  <si>
    <t>Laurianne Jolissaint-Plastaras</t>
  </si>
  <si>
    <t>626080068501783553</t>
  </si>
  <si>
    <t>Specialised in endoscopic management of biliopancreatic diseases</t>
  </si>
  <si>
    <t>Leads service providing pancreatic disease care, digestive oncology, EUS and ERCP</t>
  </si>
  <si>
    <t>https://ch-colmar.fr/praticien/dr-laurianne-plastaras/</t>
  </si>
  <si>
    <t>Patrice David</t>
  </si>
  <si>
    <t>626078360849630215</t>
  </si>
  <si>
    <t>Direct pancreatic and HPB surgeon; hospital pancreatic adenocarcinoma page features him as HPB surgeon;</t>
  </si>
  <si>
    <t>Abakar Mahamat</t>
  </si>
  <si>
    <t>626077581220791298</t>
  </si>
  <si>
    <t>Has a historical history withpublications on pancreatric cancer, bio now states digestive oncology in de Gastroenterology department.</t>
  </si>
  <si>
    <t>https://www.doctolib.fr/gastro-enterologue/saint-laurent-du-var/abakar-abakar-mahamat</t>
  </si>
  <si>
    <t>Laure Vayre</t>
  </si>
  <si>
    <t>621591652363944960</t>
  </si>
  <si>
    <t>544957153413170184</t>
  </si>
  <si>
    <t>René César Angala Ngaporo</t>
  </si>
  <si>
    <t>560997103128544284</t>
  </si>
  <si>
    <t>Dr. Angala performs:Endoscopic diagnostic and therapeutic procedures</t>
  </si>
  <si>
    <t>This Hcp is the chair the Annuaire Réunions de concertation pluridisciplinaire with pancreatic cancer as subject</t>
  </si>
  <si>
    <t>626077091972006914</t>
  </si>
  <si>
    <t>544957516941886487</t>
  </si>
  <si>
    <t>https://www.hopital.fr/annuaire-service/oncologie-digestive-centre-hospitalier-de-boulogne-sur-mer-boulogne-sur-mer%2C52419</t>
  </si>
  <si>
    <t>https://www.ch-boulogne.fr/medecins-specialites/par-organe/appareil-digestif/chirurgie-generale-digestive-hepatique-et-bariatrique/pathologies-2-2-2</t>
  </si>
  <si>
    <t>Reportage – Interview</t>
  </si>
  <si>
    <t>The gastroenterology department explicitly states that it diagnoses pancreatic diseases, manages digestive cancers, and holds a weekly digestive-oncology RCP. Its endoscopy activity includes diagnostic EUS and EUS-guided puncture.</t>
  </si>
  <si>
    <t>https://www.ch-argenteuil.fr/service/oncologie-medicale/#sactivites</t>
  </si>
  <si>
    <t>https://www.caducee.net/annonces-medicales/emploi-medecin/praticien-contractuel/p14.html</t>
  </si>
  <si>
    <t>Martin Fabritius</t>
  </si>
  <si>
    <t>621591784752956433</t>
  </si>
  <si>
    <t>Azeddine Sfairi</t>
  </si>
  <si>
    <t>Head of visceral surgery and expertise includes pancreatic surgery. He currently leads the gast-enterology cancer RCP.</t>
  </si>
  <si>
    <t>https://www.chlaval.fr/praticiens/dr-sfairi-azeddine/</t>
  </si>
  <si>
    <t>Principal investigator</t>
  </si>
  <si>
    <t>934606849223429492</t>
  </si>
  <si>
    <t>Directly relevant to pancreatic cancer diagnosis and palliation: pancreatic EUS, pancreatic tumour assessment, biliary and pancreatic catheterisation</t>
  </si>
  <si>
    <t>Cécile Julien</t>
  </si>
  <si>
    <t>626077291159503873</t>
  </si>
  <si>
    <t>ELSAN explicitly presents a Valenciennes digestive-cancer pathway covering “côlon, foie, pancréas”. Also authorised to perform pancreatic surgery.</t>
  </si>
  <si>
    <t>626078721031291919</t>
  </si>
  <si>
    <t>Bérengère Leconte</t>
  </si>
  <si>
    <t>Has written on PDAC (PubMed) and works in the department where pancreatic cancer is treated</t>
  </si>
  <si>
    <t>560999650102871061</t>
  </si>
  <si>
    <t>803603241576186880</t>
  </si>
  <si>
    <t>Pierre Saffers</t>
  </si>
  <si>
    <t>Has experience with Spyglass endoscopy and ERCP.</t>
  </si>
  <si>
    <t>Principal investigator clinical trial. Leads digestive programme where pancreatic cancer is treated.</t>
  </si>
  <si>
    <t>560999129715573763</t>
  </si>
  <si>
    <t>Pierre-Louis Frey</t>
  </si>
  <si>
    <t>Jérôme Chamois</t>
  </si>
  <si>
    <t>626079993239192601</t>
  </si>
  <si>
    <t>https://www.clinique-rhena.fr/fr/annuaire-praticiens/frey-pierre-louis</t>
  </si>
  <si>
    <t>CHU specifically assigns him to Maladies du pancréas, he also performs digestive endoscopy, and current RENATEN documentation identifies him as an interventional endoscopy specialist. Principal investigator</t>
  </si>
  <si>
    <t>Has experience in biliary catheterisation and his profile includes pancreatid diseases. Also specialised in abdominal ultrasounds and endoscopy.</t>
  </si>
  <si>
    <t>621591922678449156</t>
  </si>
  <si>
    <t>Jean-Christophe Weber</t>
  </si>
  <si>
    <t>Coordinator of the digestive RCP and has written on pancreatic cancer surgery</t>
  </si>
  <si>
    <t>Maxime Lesouef</t>
  </si>
  <si>
    <t>836839926635971584</t>
  </si>
  <si>
    <t>Head of the medical oncology department where pancreatic cancer is treated. Specialised in digestive cancers.  Principal investigator</t>
  </si>
  <si>
    <t>Guillaume Lange</t>
  </si>
  <si>
    <t>626077547121099785</t>
  </si>
  <si>
    <t>Julie Vincent</t>
  </si>
  <si>
    <t>Direct pancreatic/HPB surgeon</t>
  </si>
  <si>
    <t>626079967620383758</t>
  </si>
  <si>
    <t>Morgan André</t>
  </si>
  <si>
    <t>621591804147418122</t>
  </si>
  <si>
    <t>Johann Dreanic</t>
  </si>
  <si>
    <t>608464690137285660</t>
  </si>
  <si>
    <t>private pancreatic cancer-capable centre within the Ramsay Santé Institut de Cancérologie Pôle Île-de-France Est. digestive/visceral surgery covers benign and cancerous diseases of the pancreas. interventional echo-endoscopy</t>
  </si>
  <si>
    <t>private pancreatic cancer-capable centre rather than a formally documented major referral centre. Its oncology page explicitly lists digestive cancers including pancreas, with diagnosis by imaging, biopsies/anatomopathology and endoscopy</t>
  </si>
  <si>
    <t>Karim Chaouchi</t>
  </si>
  <si>
    <t>626077386940630016</t>
  </si>
  <si>
    <t>Pancreatic tumour diagnosis, EUS/FNA-type pathway and biliary/pancreatic disease. biliary-pancreatic interventional echoendoscopy team</t>
  </si>
  <si>
    <t>Carlos-Alberto Pratico</t>
  </si>
  <si>
    <t>Pancreatic/biliary EUS/interventional endoscopy pathway, biliary-pancreatic interventional echoendoscopy team</t>
  </si>
  <si>
    <t>560996804846421006</t>
  </si>
  <si>
    <t>Hélène Vuarnesson</t>
  </si>
  <si>
    <t>Pancreatic surgeon with pancreatic adenocarcinoma publication evidence</t>
  </si>
  <si>
    <t>Nicolas Munoz-Bongrand</t>
  </si>
  <si>
    <t>Pancreatic/digestive cancer surgeon</t>
  </si>
  <si>
    <t>626078945619493898</t>
  </si>
  <si>
    <t>Valérie Boige</t>
  </si>
  <si>
    <t>560997628280570900</t>
  </si>
  <si>
    <t xml:space="preserve">Works in the digestive department where pancreatic cancer is treated. Principal investigator </t>
  </si>
  <si>
    <t>Bruno Valenza</t>
  </si>
  <si>
    <t>621591930513409038</t>
  </si>
  <si>
    <t>https://www.chi-fsr.fr/services-de-soins/pole-oncologie/</t>
  </si>
  <si>
    <t>Gildas Phelip</t>
  </si>
  <si>
    <t>621591884644500488</t>
  </si>
  <si>
    <t>Philippe Dominici</t>
  </si>
  <si>
    <t>929771110845252145</t>
  </si>
  <si>
    <t>929771110830113323</t>
  </si>
  <si>
    <t>Reviewer of the guideline on PDAC, Principal investigator</t>
  </si>
  <si>
    <t>Member of the research committee of Societe Francaise Pancreas, Principal investigator</t>
  </si>
  <si>
    <t>560997978924385314</t>
  </si>
  <si>
    <t>Pierre-Luc Etienne</t>
  </si>
  <si>
    <t>Dominique Besson</t>
  </si>
  <si>
    <t>560996959297471499</t>
  </si>
  <si>
    <t>Pamela Biondani</t>
  </si>
  <si>
    <t>608464716024529945</t>
  </si>
  <si>
    <t>Benoît Avisse</t>
  </si>
  <si>
    <t>626079181473596425</t>
  </si>
  <si>
    <t>Head of endoscopy department where pancreatic cancer is diagnosed, Principal investigator clinical trial</t>
  </si>
  <si>
    <t>Salvatore Caruso</t>
  </si>
  <si>
    <t>626079718889767947</t>
  </si>
  <si>
    <t>626079972829709317</t>
  </si>
  <si>
    <t>It is the ambulatory chemotherapy site at 4 avenue des Français Libres, operated through the shared CH Laval–Polyclinique du Maine chemotherapy organisation. CH Laval specifically lists digestive cancers among the cancers managed through its oncology organisation.</t>
  </si>
  <si>
    <t>Gastroenterology performs ERCP, covers digestive oncology and has a dedicated gastro-enterology cancer RCP. CH Laval specifically lists digestive cancers among the cancers managed through its oncology organisation.</t>
  </si>
  <si>
    <t>Jean-François Codoul</t>
  </si>
  <si>
    <t>626080100084892679</t>
  </si>
  <si>
    <t>Iulia Pripon</t>
  </si>
  <si>
    <t>Perform biliopancreatic EUS and EUS guided biospy.</t>
  </si>
  <si>
    <t>Reviewer of the guideline on PDAC. His current procedure listings include biliopancreatic EUS with guided trans-biliopancreatic biopsy and biliopancreatic EUS without biopsy.</t>
  </si>
  <si>
    <t xml:space="preserve">Its dedicated SOS Cancer Digestif service explicitly covers suspicious lesions of the pancreas. They provide EUS and EUS guided puncture and ERCP. Pancreatic surgery is also performed. </t>
  </si>
  <si>
    <t>626079091925206018</t>
  </si>
  <si>
    <t>Maxime Delvincourt</t>
  </si>
  <si>
    <t>Individual profile explicitly lists biliopancreatic EUS, EUS-guided puncture and CPRE/ERCP; also named in SOS Cancer Digestif.</t>
  </si>
  <si>
    <t>https://www.clinique-charcot.fr/dr-maxime-delvincourt</t>
  </si>
  <si>
    <t>Oana Cojocariu</t>
  </si>
  <si>
    <t>626078016312722434</t>
  </si>
  <si>
    <t>Principal investigator clinical trial ( but in different Hospital)</t>
  </si>
  <si>
    <t>929771110845186595</t>
  </si>
  <si>
    <t>Jérémie Guedj</t>
  </si>
  <si>
    <t>Current Charcot profile explicitly lists cancer surgery of the pancreas.</t>
  </si>
  <si>
    <t>https://www.clinique-charcot.fr/dr-jeremie-guedj</t>
  </si>
  <si>
    <t>621591699700859923</t>
  </si>
  <si>
    <t>Ahmed Bedjaoui</t>
  </si>
  <si>
    <t>CYPATH Lyon</t>
  </si>
  <si>
    <t>626079539490997261</t>
  </si>
  <si>
    <t>Yann Berge</t>
  </si>
  <si>
    <t>Reviewer guideline pancreatic cancer. Principal investigator</t>
  </si>
  <si>
    <t>626079474714166280</t>
  </si>
  <si>
    <t>Sandrine Lavau-Denes</t>
  </si>
  <si>
    <t>560999111034143748</t>
  </si>
  <si>
    <t>Dominique Genet</t>
  </si>
  <si>
    <t>201 Rte de Genas</t>
  </si>
  <si>
    <t>Villeurbanne</t>
  </si>
  <si>
    <t>https://www.cypath.fr/wp-content/uploads/2023/12/Biopsies-liquides-ADN-circulant.pdf</t>
  </si>
  <si>
    <t>TEST_00054</t>
  </si>
  <si>
    <t>560996359168066578</t>
  </si>
  <si>
    <t>Jean Martin</t>
  </si>
  <si>
    <t>Contributed to guidelines on pancreatic cancer, Principal investigator</t>
  </si>
  <si>
    <t>For pancreatic diagnosis, the hospital explicitly provides digestive EUS with needle biopsy, including pancreatic sampling. They also perform digestive cancer surgery.</t>
  </si>
  <si>
    <t>560998027284710417</t>
  </si>
  <si>
    <t>Patrick Kernevez</t>
  </si>
  <si>
    <t>Hospital material identifies him as specialist in liver, biliary-tract and pancreatic diseases, with digestive-endoscopy activity.</t>
  </si>
  <si>
    <t>626077143662609409</t>
  </si>
  <si>
    <t>David Sefrioui</t>
  </si>
  <si>
    <t>626078578945049612</t>
  </si>
  <si>
    <t>Anne Escande</t>
  </si>
  <si>
    <t>Louis Dourthe</t>
  </si>
  <si>
    <t>626078338879865857</t>
  </si>
  <si>
    <t>Part of the same organisation as CHU Orléans / Hôpital de la Source. Most specialists registered at the other location</t>
  </si>
  <si>
    <t>Authorised for complex visceral/digestive cancer surgery B1 – Pancréas. diagnostic/therapeutic endoscopy</t>
  </si>
  <si>
    <t>Vincent Blondeau</t>
  </si>
  <si>
    <t>626078298262225927</t>
  </si>
  <si>
    <t>CH service lead; profile lists surgery of pancreas, liver and HPB surgery</t>
  </si>
  <si>
    <t>Périgueux Hospital Center - Visceral and Bariatric Surgery Department</t>
  </si>
  <si>
    <t>https://www.ch-boulogne.fr/medecins-specialites/par-services/oncologie-medicale</t>
  </si>
  <si>
    <t>621085473363739649</t>
  </si>
  <si>
    <t>544956972579947529</t>
  </si>
  <si>
    <t>Bretonneau is an authorised cancer-treatment site for systemic cancer therapy/chemotherapy. Tours does not list digestive/pancreatic cancer surgery. The broader CHRU Tours pancreatic pathway is mainly at Hôpital Trousseau.</t>
  </si>
  <si>
    <t>Julie Marie Egea</t>
  </si>
  <si>
    <t>928416543436833311</t>
  </si>
  <si>
    <t>Julie Egea</t>
  </si>
  <si>
    <t>He was an author in FIRGEMAX / PRODIGE 37, specifically metastatic pancreatic adenocarcinoma. He is also a current CH Le Mans oncologist and a named GI RCP member. Principal investigator clinical trial</t>
  </si>
  <si>
    <t>Reviewer of the guideline on PDAC, co-coordinator of “Moléculaire tumorale (Mercy-Bel Air)”</t>
  </si>
  <si>
    <t>Principal investigator clinical trial. Leads service treating HPB cancers, pancreatic disease, chemo, EUS, biliary stents</t>
  </si>
  <si>
    <t>626077355877614600</t>
  </si>
  <si>
    <t>This HCP has pancreatic cancer research / metastatic pancreatic cancer systemic-treatment evidence.</t>
  </si>
  <si>
    <t>Béatrice Piton</t>
  </si>
  <si>
    <t>Leads the current service managing pancreatitis and digestive cancers.</t>
  </si>
  <si>
    <t>Head of department</t>
  </si>
  <si>
    <t>Dr. Sandrine AZIZ practices visceral and digestive surgery at the Robert Schuman Hospital in Metz.Clear mention of Pancrearic Cncer in Bio. Member of RCP Cancers of the digestive system</t>
  </si>
  <si>
    <t>Reviewer of the guideline on PDAC, Member of RCP Cancers of the digestive system including Pancreas Cancer</t>
  </si>
  <si>
    <t>Contact person clinical trial. Reviewer of the guideline on PDAC, Member of RCP Cancers of the digestive system including Pancreas Cancer</t>
  </si>
  <si>
    <t>Member of RCP Cancers of the digestive system including Pancreas Cancer</t>
  </si>
  <si>
    <t>Laurence Delique</t>
  </si>
  <si>
    <t>626077330049090569</t>
  </si>
  <si>
    <t>https://www.onco-grandest.fr/annuaire-des-rcp/</t>
  </si>
  <si>
    <t>621591794341135401</t>
  </si>
  <si>
    <t>Lionel Wander</t>
  </si>
  <si>
    <t>Effect of Chemoradiotherapy vs Chemotherapy on Survival in Patients With Locally Advanced Pancreatic Cancer Controlled After 4 Months of Gemcitabine With or Without ErlotinibThe LAP07 Randomized Clinical Trial</t>
  </si>
  <si>
    <t>Doctor participating in the BACAP project, Principal investigator clinical trial</t>
  </si>
  <si>
    <t>626079896921195534</t>
  </si>
  <si>
    <t>Dominique Luet</t>
  </si>
  <si>
    <t>Nathalie Bonichon-Lamichhane</t>
  </si>
  <si>
    <t>626080188718924802</t>
  </si>
  <si>
    <t>621591910808568845</t>
  </si>
  <si>
    <t>Francine Fein</t>
  </si>
  <si>
    <t xml:space="preserve">Principal investigator clinical trial </t>
  </si>
  <si>
    <t xml:space="preserve">Part of the urgence pancreatic cancer pathway, Principal investigator clinical trial </t>
  </si>
  <si>
    <t>626079519802934279</t>
  </si>
  <si>
    <t xml:space="preserve">Reviewer of the guideline on PDAC. Bretonneau consult list; Trousseau onco-gastro team; digestive RCP animator; PDAC publication author , Principal investigator clinical trial </t>
  </si>
  <si>
    <t>626077156161635329</t>
  </si>
  <si>
    <t>Isabelle Baumgaertner</t>
  </si>
  <si>
    <t xml:space="preserve">Co-animator of the current RCP that is explicitly authorised for recours chirurgie pancréas, Principal investigator clinical trial </t>
  </si>
  <si>
    <t xml:space="preserve">Reviewer of the guideline on PDAC. Participated in the clinical trial on pancreatic cancer, Principal investigator clinical trial </t>
  </si>
  <si>
    <t xml:space="preserve">Doctor participating in the BACAP project. Established pancreatic endoscopic clinician. Principal investigator clinical trial </t>
  </si>
  <si>
    <t>608464727365927961</t>
  </si>
  <si>
    <t>Anne Thirot-Bidault</t>
  </si>
  <si>
    <t>Regional pancreatic cancer care centre. Chirurgie digestive et viscérale complexe – B1 Pancréas. Gastroenterology/endoscopy. Distinct from CH Saint-Nazaire, but both are linked through 3C Saint-Nazaire.</t>
  </si>
  <si>
    <t>626077718542304257</t>
  </si>
  <si>
    <t>Gilbert Bordes</t>
  </si>
  <si>
    <t>560995996973138946</t>
  </si>
  <si>
    <t>Marianne Fonck-Frayssinet</t>
  </si>
  <si>
    <t>Catherine Ligeza-Poisson</t>
  </si>
  <si>
    <t>626078743940580363</t>
  </si>
  <si>
    <t>621591589222892602</t>
  </si>
  <si>
    <t>Medical oncologist with complex pancreatic surgery</t>
  </si>
  <si>
    <t xml:space="preserve">A specialist in digestive oncology, Principal investigator clinical trial </t>
  </si>
  <si>
    <t>621591813181948942</t>
  </si>
  <si>
    <t>Afchine Alamdari</t>
  </si>
  <si>
    <t>626080137204483080</t>
  </si>
  <si>
    <t>Mohamed Ramdani</t>
  </si>
  <si>
    <t>626078746767541265</t>
  </si>
  <si>
    <t xml:space="preserve">Head of the MBT for digestive cancers where pancreatic cancer is treated. Principal investigator clinical trial </t>
  </si>
  <si>
    <t>Gastroenterology / hepatology / EUS</t>
  </si>
  <si>
    <t>621591826586944549</t>
  </si>
  <si>
    <t>Jean-Louis Legoux</t>
  </si>
  <si>
    <t>https://www.doctolib.fr/gastro-enterologue/saint-nazaire/afchine-alamdari</t>
  </si>
  <si>
    <t>560998390041674766</t>
  </si>
  <si>
    <t>Anne-Laure Villing</t>
  </si>
  <si>
    <t>Matthieu Demy</t>
  </si>
  <si>
    <t>621591929020236803</t>
  </si>
  <si>
    <t>Agnès Pelaquier</t>
  </si>
  <si>
    <t>626080054073377800</t>
  </si>
  <si>
    <t>Gastroenterology / digestive oncology / EUS</t>
  </si>
  <si>
    <t>621591831955653647</t>
  </si>
  <si>
    <t>https://www.doctolib.fr/gastro-enterologue/saint-nazaire/matthieu-demy</t>
  </si>
  <si>
    <t>Nicolas Albin</t>
  </si>
  <si>
    <t>626079467298636803</t>
  </si>
  <si>
    <t>CH Montluçon is a genuine medical oncology and digestive diagnostic/treatment hospital, but the evidence points more toward a local treatment centre linked to Clermont-Ferrand for higher-level care. Participated in a clinical trial.</t>
  </si>
  <si>
    <t>https://www.chu-clermontferrand.fr/le-centre-hospitalier-de-montlucon-neris-les-bains-et-le-chru-en-direction-commune</t>
  </si>
  <si>
    <t xml:space="preserve">CHIVA is clearly involved in the diagnosis and medical treatment of digestive cancers and has an active oncology programme. INCa lists the Saint-Jean-de-Verges site as authorised for systemic cancer treatment and digestive cancer surgery. </t>
  </si>
  <si>
    <t>The hospital's current FHF organisational structure explicitly includes “Gastroentérologie-oncologie”. Participated in a clinical trial.</t>
  </si>
  <si>
    <t>626079891250496516</t>
  </si>
  <si>
    <t>Nadir Djaghri</t>
  </si>
  <si>
    <t>Direct current pancreaticobiliary procedural evidence: biliopancreatic EUS, biliary stent insertion and CBD stone extraction.</t>
  </si>
  <si>
    <t>https://etablissements.fhf.fr/annuaire/structure/structure102</t>
  </si>
  <si>
    <t>The Institut Claudius Régaud, now operating as Oncopole Claudius Regaud (OCR) within the Institut Universitaire du Cancer de Toulouse – Oncopole, is a major comprehensive cancer institution providing medical oncology, radiotherapy, imaging, pathology/molecular biology and phase I–III clinical research. Current registry searches also identify early-phase pancreas-inclusive precision-oncology studies at OCR.</t>
  </si>
  <si>
    <t>626078213705057281</t>
  </si>
  <si>
    <t>Jean-Pierre Delord</t>
  </si>
  <si>
    <t xml:space="preserve">Author representing Institut Claudius Régaud in a clinical trial article, but no proof of participation is site investigator. He is the director of Claudius Regard. </t>
  </si>
  <si>
    <t xml:space="preserve">The 2026 Onco-Nouvelle-Aquitaine/ARS listing gives Jean Villar digestive-cancer surgery activity and systemic anticancer treatment, but digestive surgery is for the stomach and rectum. </t>
  </si>
  <si>
    <t>561000010922066949</t>
  </si>
  <si>
    <t>Simon Ramirez</t>
  </si>
  <si>
    <t>Has documented experience in biliopancreatic EUS with guided transbiliopancreatic biopsy.</t>
  </si>
  <si>
    <t>https://lemedecin.fr/bruges/cabinet-du-dr-simon-ramirez/gastro-enterologue/docteur-ramirez-simon/36cb815a8ea01103a8a1a109fa737770/pro/</t>
  </si>
  <si>
    <t>https://onco-nouvelle-aquitaine.fr/annuaire/3c-bordeaux-nord/</t>
  </si>
  <si>
    <t>https://onco-nouvelle-aquitaine.fr/annuaire/3c-institut-bergonie/</t>
  </si>
  <si>
    <t>The clinic's own current gastroenterology page explicitly states that the department diagnoses and treats diseases of the pancreas. A radiologist from Tenel was part of the SOS Pancreas Steering Committee.</t>
  </si>
  <si>
    <t>560998390956033028</t>
  </si>
  <si>
    <t>Annunziato Alessio</t>
  </si>
  <si>
    <t>https://www.clinique-trenel.com/equipe-medicale/docteur-annunziato-alessio</t>
  </si>
  <si>
    <t>MDT</t>
  </si>
  <si>
    <t>Has experience in digestive oncology and is a member of Trénels GI team which treats pancreatic diseases</t>
  </si>
  <si>
    <t>https://www.centreoscarlambret.fr/membres/archer</t>
  </si>
  <si>
    <t>https://www.clinique-trenel.com/specialites/laboratoire-cypath</t>
  </si>
  <si>
    <t>https://www.onco-hdf.fr/structure/groupement-des-hopitaux-de-linstitut-catholique-de-lille-ghicl-hopital-saint-vincent-de-paul-lille-et-saint-philibert-lomme/</t>
  </si>
  <si>
    <t>Its current oncology service explicitly lists pancreatic tumours among the cancers it manages. Its gastroenterology service explicitly treats pancreatic cancer, pancreatic/biliary disease and pancreatitis. CH Arras does perform pancreatic surgery. Its current visceral surgery page specifically lists hepatobiliary surgery involving the pancreas and digestive-cancer surgery for pancreatic cancer.</t>
  </si>
  <si>
    <t>626080087560700944</t>
  </si>
  <si>
    <t>Félix Djouba</t>
  </si>
  <si>
    <t>Leads the current oncology department that explicitly manages tumours of the pancreas, liver/biliary tract, oesophagus and other cancers</t>
  </si>
  <si>
    <t>https://www.gh-artoisternois.fr/offre-de-soin/oncologie/</t>
  </si>
  <si>
    <t>936730075478363487</t>
  </si>
  <si>
    <t>Hussein Badran</t>
  </si>
  <si>
    <t>Heads multidisciplinary endoscopy within the gastro service treating pancreatic cancer</t>
  </si>
  <si>
    <t>https://www.gh-artoisternois.fr/offre-de-soin/hepato-gastro-enterologie/</t>
  </si>
  <si>
    <t>621591866869040179</t>
  </si>
  <si>
    <t>Marie-Christine Foutrein</t>
  </si>
  <si>
    <t>Head of gastroenterology explicitly treating pancreatic cancer</t>
  </si>
  <si>
    <t>930472710305284639</t>
  </si>
  <si>
    <t>https://www.gastroenterologue-toulouse.fr/le-cabinet</t>
  </si>
  <si>
    <t>Cédric Séquier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</si>
</sst>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00%"/>
  </numFmts>
  <fonts count="25">
    <font>
      <sz val="11"/>
      <color theme="1"/>
      <name val="Aptos Narrow"/>
      <family val="2"/>
      <scheme val="minor"/>
    </font>
    <font>
      <b/>
      <sz val="11"/>
      <color theme="3"/>
      <name val="Aptos Narrow"/>
      <family val="2"/>
      <scheme val="minor"/>
    </font>
    <font>
      <b/>
      <sz val="11"/>
      <color theme="1"/>
      <name val="Aptos Narrow"/>
      <family val="2"/>
      <scheme val="minor"/>
    </font>
    <font>
      <b/>
      <sz val="11"/>
      <name val="Aptos Narrow"/>
      <family val="2"/>
      <scheme val="minor"/>
    </font>
    <font>
      <sz val="9"/>
      <color indexed="81"/>
      <name val="Tahoma"/>
      <family val="2"/>
    </font>
    <font>
      <b/>
      <sz val="9"/>
      <color indexed="81"/>
      <name val="Tahoma"/>
      <family val="2"/>
    </font>
    <font>
      <sz val="8"/>
      <name val="Aptos Narrow"/>
      <family val="2"/>
      <scheme val="minor"/>
    </font>
    <font>
      <u/>
      <sz val="11"/>
      <color theme="10"/>
      <name val="Aptos Narrow"/>
      <family val="2"/>
      <scheme val="minor"/>
    </font>
    <font>
      <b/>
      <sz val="8"/>
      <color rgb="FF000000"/>
      <name val="Calibri"/>
      <family val="2"/>
    </font>
    <font>
      <b/>
      <u/>
      <sz val="11"/>
      <color theme="1"/>
      <name val="Aptos Narrow"/>
      <family val="2"/>
      <scheme val="minor"/>
    </font>
    <font>
      <i/>
      <sz val="11"/>
      <color theme="1"/>
      <name val="Aptos Narrow"/>
      <family val="2"/>
      <scheme val="minor"/>
    </font>
    <font>
      <sz val="11"/>
      <color rgb="FF1B1B1B"/>
      <name val="Arial"/>
      <family val="2"/>
    </font>
    <font>
      <sz val="12"/>
      <color rgb="FF454545"/>
      <name val="Arial"/>
      <family val="2"/>
    </font>
    <font>
      <sz val="11"/>
      <color theme="1"/>
      <name val="Segoe UI"/>
      <family val="2"/>
    </font>
    <font>
      <sz val="12"/>
      <color rgb="FF454545"/>
      <name val="Segoe UI"/>
      <family val="2"/>
    </font>
    <font>
      <sz val="11"/>
      <color theme="9"/>
      <name val="Aptos Narrow"/>
      <family val="2"/>
      <scheme val="minor"/>
    </font>
    <font>
      <sz val="12"/>
      <color rgb="FF000000"/>
      <name val="Arial"/>
      <family val="2"/>
    </font>
    <font>
      <sz val="10"/>
      <color rgb="FF000000"/>
      <name val="Aptos Narrow"/>
      <family val="2"/>
      <scheme val="minor"/>
    </font>
    <font>
      <sz val="12"/>
      <color theme="1"/>
      <name val="Arial"/>
      <family val="2"/>
    </font>
    <font>
      <i/>
      <sz val="11"/>
      <color rgb="FFFF0000"/>
      <name val="Aptos Narrow"/>
      <family val="2"/>
      <scheme val="minor"/>
    </font>
    <font>
      <b/>
      <sz val="11"/>
      <color theme="0"/>
      <name val="Aptos Narrow"/>
      <family val="2"/>
      <scheme val="minor"/>
    </font>
    <font>
      <b/>
      <i/>
      <sz val="11"/>
      <color theme="1"/>
      <name val="Aptos Narrow"/>
      <family val="2"/>
      <scheme val="minor"/>
    </font>
    <font>
      <sz val="11"/>
      <color theme="5"/>
      <name val="Aptos Narrow"/>
      <family val="2"/>
      <scheme val="minor"/>
    </font>
    <font>
      <sz val="11"/>
      <color theme="1"/>
      <name val="Aptos Narrow"/>
      <family val="2"/>
      <scheme val="minor"/>
    </font>
    <font>
      <sz val="10"/>
      <color rgb="FF000000"/>
      <name val="Liberation Sans"/>
    </font>
  </fonts>
  <fills count="32">
    <fill>
      <patternFill patternType="none"/>
    </fill>
    <fill>
      <patternFill patternType="gray125"/>
    </fill>
    <fill>
      <patternFill patternType="solid">
        <fgColor theme="9" tint="0.79998168889431442"/>
        <bgColor indexed="64"/>
      </patternFill>
    </fill>
    <fill>
      <patternFill patternType="solid">
        <fgColor rgb="FFFFC5C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1F1F1"/>
      </patternFill>
    </fill>
    <fill>
      <patternFill patternType="solid">
        <fgColor theme="3" tint="0.89999084444715716"/>
        <bgColor indexed="64"/>
      </patternFill>
    </fill>
    <fill>
      <patternFill patternType="solid">
        <fgColor theme="1"/>
        <bgColor indexed="64"/>
      </patternFill>
    </fill>
    <fill>
      <patternFill patternType="solid">
        <fgColor rgb="FFFFFF00"/>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rgb="FF0F4243"/>
        <bgColor indexed="64"/>
      </patternFill>
    </fill>
    <fill>
      <patternFill patternType="solid">
        <fgColor rgb="FFF2F2F2"/>
        <bgColor indexed="64"/>
      </patternFill>
    </fill>
    <fill>
      <patternFill patternType="solid">
        <fgColor theme="4" tint="0.59999389629810485"/>
        <bgColor indexed="64"/>
      </patternFill>
    </fill>
    <fill>
      <patternFill patternType="solid">
        <fgColor rgb="FFD0CECE"/>
        <bgColor indexed="64"/>
      </patternFill>
    </fill>
    <fill>
      <patternFill patternType="solid">
        <fgColor rgb="FF14D376"/>
        <bgColor indexed="64"/>
      </patternFill>
    </fill>
    <fill>
      <patternFill patternType="solid">
        <fgColor rgb="FF1E6A5D"/>
        <bgColor indexed="64"/>
      </patternFill>
    </fill>
    <fill>
      <patternFill patternType="solid">
        <fgColor rgb="FFDBDBDB"/>
        <bgColor indexed="64"/>
      </patternFill>
    </fill>
    <fill>
      <patternFill patternType="solid">
        <fgColor rgb="FF1C6A5C"/>
        <bgColor indexed="64"/>
      </patternFill>
    </fill>
    <fill>
      <patternFill patternType="solid">
        <fgColor theme="5" tint="0.59999389629810485"/>
        <bgColor indexed="64"/>
      </patternFill>
    </fill>
    <fill>
      <patternFill patternType="solid">
        <fgColor rgb="FFFFC000"/>
        <bgColor indexed="64"/>
      </patternFill>
    </fill>
    <fill>
      <patternFill patternType="solid">
        <fgColor theme="6" tint="0.59999389629810485"/>
        <bgColor indexed="64"/>
      </patternFill>
    </fill>
    <fill>
      <patternFill patternType="solid">
        <fgColor rgb="FF6FFFE8"/>
        <bgColor indexed="64"/>
      </patternFill>
    </fill>
    <fill>
      <patternFill patternType="solid">
        <fgColor theme="9" tint="0.39997558519241921"/>
        <bgColor indexed="64"/>
      </patternFill>
    </fill>
    <fill>
      <patternFill patternType="solid">
        <fgColor rgb="FFFF00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79998168889431442"/>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style="thin">
        <color theme="9" tint="0.39997558519241921"/>
      </top>
      <bottom style="thin">
        <color theme="9" tint="0.39997558519241921"/>
      </bottom>
      <diagonal/>
    </border>
    <border>
      <left style="hair">
        <color indexed="64"/>
      </left>
      <right style="hair">
        <color indexed="64"/>
      </right>
      <top style="hair">
        <color indexed="64"/>
      </top>
      <bottom style="hair">
        <color indexed="64"/>
      </bottom>
      <diagonal/>
    </border>
    <border>
      <left/>
      <right/>
      <top style="thin">
        <color theme="9" tint="0.39997558519241921"/>
      </top>
      <bottom/>
      <diagonal/>
    </border>
    <border>
      <left/>
      <right/>
      <top style="thin">
        <color theme="4" tint="0.39997558519241921"/>
      </top>
      <bottom style="thin">
        <color theme="4" tint="0.39997558519241921"/>
      </bottom>
      <diagonal/>
    </border>
  </borders>
  <cellStyleXfs count="6">
    <xf numFmtId="0" fontId="0" fillId="0" borderId="0"/>
    <xf numFmtId="0" fontId="1" fillId="0" borderId="0" applyNumberFormat="0" applyFill="0" applyBorder="0" applyAlignment="0" applyProtection="0"/>
    <xf numFmtId="0" fontId="7" fillId="0" borderId="0" applyNumberFormat="0" applyFill="0" applyBorder="0" applyAlignment="0" applyProtection="0"/>
    <xf numFmtId="0" fontId="17" fillId="0" borderId="0"/>
    <xf numFmtId="9" fontId="23" fillId="0" borderId="0" applyFont="0" applyFill="0" applyBorder="0" applyAlignment="0" applyProtection="0"/>
    <xf numFmtId="0" fontId="24" fillId="0" borderId="0"/>
  </cellStyleXfs>
  <cellXfs count="127">
    <xf numFmtId="0" fontId="0" fillId="0" borderId="0" xfId="0"/>
    <xf numFmtId="0" fontId="3" fillId="2" borderId="0" xfId="0" applyFont="1" applyFill="1" applyAlignment="1">
      <alignment horizontal="center" vertical="center" wrapText="1"/>
    </xf>
    <xf numFmtId="49" fontId="3" fillId="3" borderId="0" xfId="0" applyNumberFormat="1" applyFont="1" applyFill="1" applyAlignment="1">
      <alignment horizontal="center" vertical="center" wrapText="1"/>
    </xf>
    <xf numFmtId="49" fontId="3" fillId="4" borderId="0" xfId="0" applyNumberFormat="1" applyFont="1" applyFill="1" applyAlignment="1">
      <alignment horizontal="center" vertical="center" wrapText="1"/>
    </xf>
    <xf numFmtId="49" fontId="3" fillId="5" borderId="0" xfId="0" applyNumberFormat="1" applyFont="1" applyFill="1" applyAlignment="1">
      <alignment horizontal="center" vertical="center" wrapText="1"/>
    </xf>
    <xf numFmtId="49" fontId="3" fillId="6" borderId="0" xfId="0" applyNumberFormat="1" applyFont="1" applyFill="1" applyAlignment="1">
      <alignment horizontal="center" vertical="center" wrapText="1"/>
    </xf>
    <xf numFmtId="49" fontId="3" fillId="6" borderId="0" xfId="0" applyNumberFormat="1" applyFont="1" applyFill="1" applyAlignment="1">
      <alignment horizontal="center" vertical="center"/>
    </xf>
    <xf numFmtId="0" fontId="2" fillId="2" borderId="0" xfId="0" applyFont="1" applyFill="1" applyAlignment="1">
      <alignment horizontal="center" vertical="center" wrapText="1"/>
    </xf>
    <xf numFmtId="0" fontId="2" fillId="0" borderId="0" xfId="0" applyFont="1"/>
    <xf numFmtId="0" fontId="7" fillId="0" borderId="0" xfId="2"/>
    <xf numFmtId="0" fontId="7" fillId="0" borderId="0" xfId="2" applyFill="1"/>
    <xf numFmtId="0" fontId="8" fillId="8" borderId="1" xfId="0" applyFont="1" applyFill="1" applyBorder="1" applyAlignment="1">
      <alignment horizontal="left" vertical="center"/>
    </xf>
    <xf numFmtId="0" fontId="0" fillId="0" borderId="0" xfId="0" applyAlignment="1">
      <alignment vertical="center"/>
    </xf>
    <xf numFmtId="0" fontId="0" fillId="2" borderId="0" xfId="0" applyFill="1"/>
    <xf numFmtId="0" fontId="0" fillId="9" borderId="0" xfId="0" applyFill="1"/>
    <xf numFmtId="0" fontId="2" fillId="0" borderId="0" xfId="0" applyFont="1" applyAlignment="1">
      <alignment horizontal="center" vertical="center" wrapText="1"/>
    </xf>
    <xf numFmtId="0" fontId="9" fillId="0" borderId="0" xfId="0" applyFont="1"/>
    <xf numFmtId="0" fontId="10" fillId="0" borderId="0" xfId="0" applyFont="1"/>
    <xf numFmtId="0" fontId="0" fillId="10" borderId="0" xfId="0" applyFill="1"/>
    <xf numFmtId="0" fontId="10" fillId="10" borderId="0" xfId="0" applyFont="1" applyFill="1"/>
    <xf numFmtId="0" fontId="10" fillId="2" borderId="0" xfId="0" applyFont="1" applyFill="1" applyAlignment="1">
      <alignment horizontal="center" vertical="center" wrapText="1"/>
    </xf>
    <xf numFmtId="0" fontId="11" fillId="0" borderId="0" xfId="0" applyFont="1"/>
    <xf numFmtId="0" fontId="0" fillId="11" borderId="0" xfId="0" applyFill="1"/>
    <xf numFmtId="0" fontId="0" fillId="0" borderId="0" xfId="0" applyAlignment="1">
      <alignment wrapText="1"/>
    </xf>
    <xf numFmtId="0" fontId="2" fillId="9" borderId="0" xfId="0" applyFont="1" applyFill="1" applyAlignment="1">
      <alignment horizontal="center" vertical="center" wrapText="1"/>
    </xf>
    <xf numFmtId="0" fontId="2" fillId="9" borderId="0" xfId="0" applyFont="1" applyFill="1" applyAlignment="1">
      <alignment wrapText="1"/>
    </xf>
    <xf numFmtId="0" fontId="2" fillId="9" borderId="0" xfId="0" applyFont="1" applyFill="1" applyAlignment="1">
      <alignment vertical="center" wrapText="1"/>
    </xf>
    <xf numFmtId="0" fontId="2" fillId="12" borderId="0" xfId="0" applyFont="1" applyFill="1" applyAlignment="1">
      <alignment horizontal="center" vertical="center" wrapText="1"/>
    </xf>
    <xf numFmtId="0" fontId="12" fillId="9" borderId="0" xfId="0" applyFont="1" applyFill="1"/>
    <xf numFmtId="0" fontId="0" fillId="0" borderId="0" xfId="0" applyAlignment="1">
      <alignment horizontal="center" vertical="center" wrapText="1"/>
    </xf>
    <xf numFmtId="0" fontId="13" fillId="0" borderId="0" xfId="0" applyFont="1" applyAlignment="1">
      <alignment vertical="center"/>
    </xf>
    <xf numFmtId="164" fontId="0" fillId="0" borderId="0" xfId="0" applyNumberFormat="1" applyAlignment="1">
      <alignment horizontal="center" vertical="center" wrapText="1"/>
    </xf>
    <xf numFmtId="164" fontId="13" fillId="0" borderId="0" xfId="0" applyNumberFormat="1" applyFont="1" applyAlignment="1">
      <alignment vertical="center"/>
    </xf>
    <xf numFmtId="164" fontId="0" fillId="0" borderId="0" xfId="0" applyNumberFormat="1"/>
    <xf numFmtId="0" fontId="13" fillId="7" borderId="0" xfId="0" applyFont="1" applyFill="1" applyAlignment="1">
      <alignment vertical="center"/>
    </xf>
    <xf numFmtId="0" fontId="13" fillId="0" borderId="0" xfId="0" applyFont="1" applyAlignment="1">
      <alignment horizontal="left" vertical="center" indent="1"/>
    </xf>
    <xf numFmtId="164" fontId="13" fillId="7" borderId="0" xfId="0" applyNumberFormat="1" applyFont="1" applyFill="1" applyAlignment="1">
      <alignment vertical="center"/>
    </xf>
    <xf numFmtId="0" fontId="13" fillId="7" borderId="0" xfId="0" applyFont="1" applyFill="1" applyAlignment="1">
      <alignment horizontal="left" vertical="center" indent="1"/>
    </xf>
    <xf numFmtId="0" fontId="13" fillId="7" borderId="0" xfId="0" applyFont="1" applyFill="1" applyAlignment="1">
      <alignment horizontal="center" vertical="center"/>
    </xf>
    <xf numFmtId="0" fontId="13" fillId="4" borderId="0" xfId="0" applyFont="1" applyFill="1"/>
    <xf numFmtId="0" fontId="13" fillId="7" borderId="0" xfId="0" applyFont="1" applyFill="1"/>
    <xf numFmtId="0" fontId="13" fillId="0" borderId="0" xfId="0" applyFont="1" applyAlignment="1">
      <alignment horizontal="center" vertical="center"/>
    </xf>
    <xf numFmtId="0" fontId="13" fillId="0" borderId="0" xfId="0" applyFont="1" applyAlignment="1">
      <alignment horizontal="center" vertical="center" wrapText="1"/>
    </xf>
    <xf numFmtId="164" fontId="13" fillId="0" borderId="0" xfId="0" applyNumberFormat="1" applyFont="1" applyAlignment="1">
      <alignment horizontal="center" vertical="center" wrapText="1"/>
    </xf>
    <xf numFmtId="164" fontId="13" fillId="7" borderId="0" xfId="0" applyNumberFormat="1" applyFont="1" applyFill="1"/>
    <xf numFmtId="0" fontId="13" fillId="4" borderId="0" xfId="0" applyFont="1" applyFill="1" applyAlignment="1">
      <alignment horizontal="center"/>
    </xf>
    <xf numFmtId="0" fontId="14" fillId="4" borderId="0" xfId="0" applyFont="1" applyFill="1"/>
    <xf numFmtId="0" fontId="13" fillId="0" borderId="0" xfId="0" applyFont="1"/>
    <xf numFmtId="164" fontId="13" fillId="0" borderId="0" xfId="0" applyNumberFormat="1" applyFont="1"/>
    <xf numFmtId="0" fontId="13" fillId="0" borderId="0" xfId="0" applyFont="1" applyAlignment="1">
      <alignment horizontal="center"/>
    </xf>
    <xf numFmtId="0" fontId="13" fillId="7" borderId="0" xfId="0" applyFont="1" applyFill="1" applyAlignment="1">
      <alignment horizontal="center"/>
    </xf>
    <xf numFmtId="0" fontId="0" fillId="0" borderId="2" xfId="0" applyBorder="1"/>
    <xf numFmtId="0" fontId="16" fillId="0" borderId="0" xfId="0" applyFont="1" applyAlignment="1">
      <alignment vertical="center"/>
    </xf>
    <xf numFmtId="0" fontId="15" fillId="0" borderId="0" xfId="0" applyFont="1"/>
    <xf numFmtId="0" fontId="18" fillId="0" borderId="0" xfId="3" applyFont="1" applyAlignment="1">
      <alignment horizontal="left"/>
    </xf>
    <xf numFmtId="0" fontId="0" fillId="0" borderId="3" xfId="0" applyBorder="1"/>
    <xf numFmtId="0" fontId="18" fillId="0" borderId="0" xfId="0" applyFont="1"/>
    <xf numFmtId="0" fontId="19" fillId="13" borderId="0" xfId="0" applyFont="1" applyFill="1" applyAlignment="1">
      <alignment horizontal="center" vertical="center" wrapText="1"/>
    </xf>
    <xf numFmtId="0" fontId="3" fillId="15" borderId="0" xfId="0" applyFont="1" applyFill="1" applyAlignment="1">
      <alignment horizontal="center" vertical="center" wrapText="1"/>
    </xf>
    <xf numFmtId="0" fontId="20" fillId="16" borderId="0" xfId="0" applyFont="1" applyFill="1" applyAlignment="1">
      <alignment horizontal="center" vertical="center" wrapText="1"/>
    </xf>
    <xf numFmtId="0" fontId="3" fillId="16" borderId="0" xfId="0" applyFont="1" applyFill="1" applyAlignment="1">
      <alignment horizontal="center" vertical="center" wrapText="1"/>
    </xf>
    <xf numFmtId="49" fontId="3" fillId="17" borderId="0" xfId="0" applyNumberFormat="1" applyFont="1" applyFill="1" applyAlignment="1">
      <alignment horizontal="center" vertical="center" wrapText="1"/>
    </xf>
    <xf numFmtId="0" fontId="3" fillId="17" borderId="0" xfId="0" applyFont="1" applyFill="1" applyAlignment="1">
      <alignment horizontal="center" vertical="center" wrapText="1"/>
    </xf>
    <xf numFmtId="49" fontId="20" fillId="14" borderId="0" xfId="0" applyNumberFormat="1" applyFont="1" applyFill="1" applyAlignment="1">
      <alignment horizontal="center" vertical="center" wrapText="1"/>
    </xf>
    <xf numFmtId="49" fontId="3" fillId="15" borderId="0" xfId="0" applyNumberFormat="1" applyFont="1" applyFill="1" applyAlignment="1">
      <alignment horizontal="center" vertical="center" wrapText="1"/>
    </xf>
    <xf numFmtId="49" fontId="3" fillId="20" borderId="0" xfId="1" applyNumberFormat="1" applyFont="1" applyFill="1" applyAlignment="1">
      <alignment horizontal="center" vertical="center" wrapText="1"/>
    </xf>
    <xf numFmtId="0" fontId="2" fillId="15" borderId="0" xfId="0" applyFont="1" applyFill="1" applyAlignment="1">
      <alignment horizontal="center" vertical="center" wrapText="1"/>
    </xf>
    <xf numFmtId="0" fontId="10" fillId="15" borderId="0" xfId="0" applyFont="1" applyFill="1" applyAlignment="1">
      <alignment horizontal="center" vertical="center" wrapText="1"/>
    </xf>
    <xf numFmtId="0" fontId="2" fillId="17" borderId="0" xfId="0" applyFont="1" applyFill="1" applyAlignment="1">
      <alignment horizontal="center" vertical="center" wrapText="1"/>
    </xf>
    <xf numFmtId="0" fontId="21" fillId="15" borderId="0" xfId="0" applyFont="1" applyFill="1" applyAlignment="1">
      <alignment horizontal="center" vertical="center" wrapText="1"/>
    </xf>
    <xf numFmtId="0" fontId="0" fillId="17" borderId="0" xfId="0" applyFill="1" applyAlignment="1">
      <alignment vertical="center" wrapText="1"/>
    </xf>
    <xf numFmtId="0" fontId="0" fillId="0" borderId="4" xfId="0" applyBorder="1"/>
    <xf numFmtId="49" fontId="0" fillId="0" borderId="0" xfId="0" applyNumberFormat="1"/>
    <xf numFmtId="0" fontId="0" fillId="5" borderId="4" xfId="0" applyFill="1" applyBorder="1"/>
    <xf numFmtId="0" fontId="0" fillId="5" borderId="0" xfId="0" applyFill="1"/>
    <xf numFmtId="0" fontId="0" fillId="22" borderId="0" xfId="0" applyFill="1"/>
    <xf numFmtId="49" fontId="3" fillId="22" borderId="0" xfId="1" applyNumberFormat="1" applyFont="1" applyFill="1" applyAlignment="1">
      <alignment horizontal="center" vertical="center" wrapText="1"/>
    </xf>
    <xf numFmtId="0" fontId="22" fillId="0" borderId="4" xfId="0" applyFont="1" applyBorder="1"/>
    <xf numFmtId="0" fontId="20" fillId="19" borderId="0" xfId="0" applyFont="1" applyFill="1" applyAlignment="1">
      <alignment horizontal="center" vertical="center" wrapText="1"/>
    </xf>
    <xf numFmtId="0" fontId="20" fillId="14" borderId="0" xfId="0" applyFont="1" applyFill="1" applyAlignment="1">
      <alignment horizontal="center" vertical="center"/>
    </xf>
    <xf numFmtId="0" fontId="0" fillId="23" borderId="0" xfId="0" applyFill="1"/>
    <xf numFmtId="0" fontId="0" fillId="25" borderId="0" xfId="0" applyFill="1"/>
    <xf numFmtId="49" fontId="3" fillId="5" borderId="0" xfId="1" applyNumberFormat="1" applyFont="1" applyFill="1" applyAlignment="1">
      <alignment horizontal="center" vertical="center" wrapText="1"/>
    </xf>
    <xf numFmtId="0" fontId="7" fillId="0" borderId="0" xfId="2" applyAlignment="1" applyProtection="1"/>
    <xf numFmtId="0" fontId="0" fillId="5" borderId="2" xfId="0" applyFill="1" applyBorder="1"/>
    <xf numFmtId="0" fontId="0" fillId="25" borderId="0" xfId="0" applyFill="1" applyAlignment="1">
      <alignment vertical="center"/>
    </xf>
    <xf numFmtId="0" fontId="0" fillId="26" borderId="0" xfId="0" applyFill="1"/>
    <xf numFmtId="0" fontId="0" fillId="26" borderId="0" xfId="0" applyFill="1" applyAlignment="1">
      <alignment vertical="center"/>
    </xf>
    <xf numFmtId="0" fontId="15" fillId="0" borderId="4" xfId="0" applyFont="1" applyBorder="1"/>
    <xf numFmtId="0" fontId="0" fillId="25" borderId="0" xfId="0" applyFill="1" applyAlignment="1">
      <alignment wrapText="1"/>
    </xf>
    <xf numFmtId="0" fontId="0" fillId="27" borderId="0" xfId="0" applyFill="1"/>
    <xf numFmtId="0" fontId="0" fillId="0" borderId="0" xfId="0" pivotButton="1"/>
    <xf numFmtId="0" fontId="0" fillId="0" borderId="0" xfId="0" applyAlignment="1">
      <alignment horizontal="left"/>
    </xf>
    <xf numFmtId="0" fontId="0" fillId="26" borderId="0" xfId="0" applyFill="1" applyAlignment="1">
      <alignment horizontal="left"/>
    </xf>
    <xf numFmtId="0" fontId="20" fillId="21" borderId="0" xfId="0" applyFont="1" applyFill="1" applyAlignment="1">
      <alignment horizontal="center" vertical="center"/>
    </xf>
    <xf numFmtId="0" fontId="0" fillId="28" borderId="0" xfId="0" applyFill="1"/>
    <xf numFmtId="0" fontId="0" fillId="2" borderId="2" xfId="0" applyFill="1" applyBorder="1"/>
    <xf numFmtId="0" fontId="0" fillId="5" borderId="0" xfId="0" applyFill="1" applyAlignment="1">
      <alignment vertical="center"/>
    </xf>
    <xf numFmtId="0" fontId="0" fillId="28" borderId="2" xfId="0" applyFill="1" applyBorder="1"/>
    <xf numFmtId="0" fontId="0" fillId="5" borderId="0" xfId="0" applyFill="1" applyAlignment="1">
      <alignment horizontal="left"/>
    </xf>
    <xf numFmtId="0" fontId="0" fillId="24" borderId="0" xfId="0" applyFill="1"/>
    <xf numFmtId="49" fontId="0" fillId="0" borderId="2" xfId="0" applyNumberFormat="1" applyBorder="1"/>
    <xf numFmtId="0" fontId="0" fillId="2" borderId="0" xfId="0" applyFill="1" applyAlignment="1">
      <alignment wrapText="1"/>
    </xf>
    <xf numFmtId="0" fontId="20" fillId="11" borderId="0" xfId="0" applyFont="1" applyFill="1" applyAlignment="1">
      <alignment horizontal="center" vertical="center" wrapText="1"/>
    </xf>
    <xf numFmtId="0" fontId="3" fillId="11" borderId="0" xfId="0" applyFont="1" applyFill="1" applyAlignment="1">
      <alignment horizontal="center" vertical="center" wrapText="1"/>
    </xf>
    <xf numFmtId="49" fontId="20" fillId="18" borderId="0" xfId="0" applyNumberFormat="1" applyFont="1" applyFill="1" applyAlignment="1">
      <alignment horizontal="center" vertical="center" wrapText="1"/>
    </xf>
    <xf numFmtId="0" fontId="0" fillId="0" borderId="5" xfId="0" applyBorder="1"/>
    <xf numFmtId="0" fontId="0" fillId="0" borderId="0" xfId="0" applyAlignment="1">
      <alignment horizontal="center"/>
    </xf>
    <xf numFmtId="166" fontId="0" fillId="0" borderId="0" xfId="4" applyNumberFormat="1" applyFont="1"/>
    <xf numFmtId="166" fontId="0" fillId="0" borderId="0" xfId="0" applyNumberFormat="1"/>
    <xf numFmtId="166" fontId="0" fillId="5" borderId="0" xfId="4" applyNumberFormat="1" applyFont="1" applyFill="1"/>
    <xf numFmtId="166" fontId="0" fillId="5" borderId="0" xfId="0" applyNumberFormat="1" applyFill="1"/>
    <xf numFmtId="9" fontId="0" fillId="0" borderId="0" xfId="0" applyNumberFormat="1"/>
    <xf numFmtId="0" fontId="0" fillId="4" borderId="0" xfId="0" applyFill="1"/>
    <xf numFmtId="0" fontId="0" fillId="29" borderId="0" xfId="0" applyFill="1"/>
    <xf numFmtId="0" fontId="0" fillId="7" borderId="0" xfId="0" applyFill="1"/>
    <xf numFmtId="49" fontId="7" fillId="0" borderId="0" xfId="2" applyNumberFormat="1"/>
    <xf numFmtId="0" fontId="0" fillId="30" borderId="0" xfId="0" applyFill="1"/>
    <xf numFmtId="0" fontId="20" fillId="19" borderId="0" xfId="0" applyFont="1" applyFill="1" applyAlignment="1">
      <alignment horizontal="center" vertical="center" wrapText="1"/>
    </xf>
    <xf numFmtId="49" fontId="20" fillId="14" borderId="0" xfId="0" applyNumberFormat="1" applyFont="1" applyFill="1" applyAlignment="1">
      <alignment horizontal="center" vertical="center" wrapText="1"/>
    </xf>
    <xf numFmtId="49" fontId="20" fillId="19" borderId="0" xfId="0" applyNumberFormat="1" applyFont="1" applyFill="1" applyAlignment="1">
      <alignment horizontal="center" vertical="center" wrapText="1"/>
    </xf>
    <xf numFmtId="0" fontId="20" fillId="14" borderId="0" xfId="0" applyFont="1" applyFill="1" applyAlignment="1">
      <alignment horizontal="center" vertical="center" wrapText="1"/>
    </xf>
    <xf numFmtId="49" fontId="20" fillId="18" borderId="0" xfId="0" applyNumberFormat="1" applyFont="1" applyFill="1" applyAlignment="1">
      <alignment horizontal="center" vertical="center" wrapText="1"/>
    </xf>
    <xf numFmtId="0" fontId="20" fillId="14" borderId="0" xfId="0" applyFont="1" applyFill="1" applyAlignment="1">
      <alignment horizontal="center" vertical="center"/>
    </xf>
    <xf numFmtId="0" fontId="20" fillId="21" borderId="0" xfId="0" applyFont="1" applyFill="1" applyAlignment="1">
      <alignment horizontal="center" vertical="center"/>
    </xf>
    <xf numFmtId="0" fontId="0" fillId="4" borderId="0" xfId="0" applyFill="1" applyAlignment="1">
      <alignment vertical="center"/>
    </xf>
    <xf numFmtId="0" fontId="0" fillId="31" borderId="0" xfId="0" applyFill="1"/>
  </cellXfs>
  <cellStyles count="6">
    <cellStyle name="Heading 4" xfId="1" builtinId="19"/>
    <cellStyle name="Hyperlink" xfId="2" builtinId="8"/>
    <cellStyle name="Normal" xfId="0" builtinId="0"/>
    <cellStyle name="Normal 2" xfId="5" xr:uid="{16FF49C2-9227-4998-B522-476099344C33}"/>
    <cellStyle name="Normal 3" xfId="3" xr:uid="{39EFA32A-3FA2-4A69-9342-EBBD75151390}"/>
    <cellStyle name="Percent" xfId="4" builtinId="5"/>
  </cellStyles>
  <dxfs count="11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9" tint="0.59999389629810485"/>
        </patternFill>
      </fill>
    </dxf>
    <dxf>
      <fill>
        <patternFill patternType="solid">
          <bgColor theme="9" tint="0.59999389629810485"/>
        </patternFill>
      </fill>
    </dxf>
    <dxf>
      <fill>
        <patternFill patternType="solid">
          <fgColor indexed="64"/>
          <bgColor theme="9" tint="0.39997558519241921"/>
        </patternFill>
      </fill>
    </dxf>
    <dxf>
      <fill>
        <patternFill patternType="solid">
          <bgColor theme="9" tint="0.39997558519241921"/>
        </patternFill>
      </fill>
    </dxf>
    <dxf>
      <fill>
        <patternFill patternType="solid">
          <bgColor theme="9" tint="0.59999389629810485"/>
        </patternFill>
      </fill>
    </dxf>
    <dxf>
      <fill>
        <patternFill>
          <bgColor theme="9" tint="0.39997558519241921"/>
        </patternFill>
      </fill>
    </dxf>
    <dxf>
      <fill>
        <patternFill patternType="solid">
          <bgColor theme="9" tint="0.39997558519241921"/>
        </patternFill>
      </fill>
    </dxf>
    <dxf>
      <fill>
        <patternFill patternType="solid">
          <bgColor theme="9" tint="0.59999389629810485"/>
        </patternFill>
      </fill>
    </dxf>
    <dxf>
      <fill>
        <patternFill patternType="solid">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fgColor indexed="64"/>
          <bgColor theme="9" tint="0.39997558519241921"/>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colors>
    <mruColors>
      <color rgb="FFFF9B9B"/>
      <color rgb="FF6FFFE8"/>
      <color rgb="FFD0CECE"/>
      <color rgb="FF0F4243"/>
      <color rgb="FF1E6A5D"/>
      <color rgb="FF13D3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17/10/relationships/person" Target="persons/person.xml"/><Relationship Id="rId30"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3.0%20Clinical%20trials.gov/HCPS_Clinical%20Trials_France_Pancreatic_Cancer.xlsx" TargetMode="External"/><Relationship Id="rId2" Type="http://schemas.openxmlformats.org/officeDocument/2006/relationships/externalLinkPath" Target="https://globaldatasupport.sharepoint.com/sites/GDS-Clients/Shared%20Documents/1.0%20Global/Revolution%20Medicines/France/3.0%20Clinical%20trials.gov/HCPS_Clinical%20Trials_France_Pancreatic_Cancer.xlsx" TargetMode="External"/><Relationship Id="rId1" Type="http://schemas.openxmlformats.org/officeDocument/2006/relationships/externalLinkPath" Target="/sites/GDS-Clients/Shared%20Documents/1.0%20Global/Revolution%20Medicines/France/3.0%20Clinical%20trials.gov/HCPS_Clinical%20Trials_France_Pancreatic_Canc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sheetDataSet>
      <sheetData sheetId="0">
        <row r="1">
          <cell r="D1" t="str">
            <v>Contact Person</v>
          </cell>
          <cell r="F1" t="str">
            <v>Affiliation</v>
          </cell>
        </row>
        <row r="2">
          <cell r="D2" t="str">
            <v>(Asia) Daiichi Sankyo Contact For Clinical Trial Information</v>
          </cell>
        </row>
        <row r="3">
          <cell r="D3" t="str">
            <v>(Us) Daiichi Sankyo Contact For Clinical Trial Information</v>
          </cell>
        </row>
        <row r="4">
          <cell r="D4" t="str">
            <v>+33 (0)5 56 79 56 79 Nadia.Mehsen@Chu-Bordeaux.Fr</v>
          </cell>
          <cell r="F4" t="str">
            <v>Groupe Hospitalier Pellegrin - Chu</v>
          </cell>
        </row>
        <row r="5">
          <cell r="D5" t="str">
            <v>1-877-Ctlilly (1-877-285-4559) Or 1-317-615-4559 Mon-Fri 9 Am - 5 Pm Eastern Time (Utc/Gmt - 5Hours</v>
          </cell>
          <cell r="F5" t="str">
            <v>Eli Lilly and Company</v>
          </cell>
        </row>
        <row r="6">
          <cell r="D6" t="str">
            <v>Abbvie Inc.</v>
          </cell>
          <cell r="F6" t="str">
            <v>AbbVie</v>
          </cell>
        </row>
        <row r="7">
          <cell r="D7" t="str">
            <v>Abbvie Inc.</v>
          </cell>
          <cell r="F7" t="str">
            <v>AbbVie</v>
          </cell>
        </row>
        <row r="8">
          <cell r="D8" t="str">
            <v>Abdelkader Taibi</v>
          </cell>
          <cell r="F8" t="str">
            <v>CHU Dupuytren 1</v>
          </cell>
        </row>
        <row r="9">
          <cell r="D9" t="str">
            <v>Adamah Amouzougan</v>
          </cell>
          <cell r="F9" t="str">
            <v>Chu de Saint-Etienne</v>
          </cell>
        </row>
        <row r="10">
          <cell r="D10" t="str">
            <v>Adeline Salasc</v>
          </cell>
        </row>
        <row r="11">
          <cell r="D11" t="str">
            <v>Adrian Culetto</v>
          </cell>
          <cell r="F11" t="str">
            <v>Rangueil hospital</v>
          </cell>
        </row>
        <row r="12">
          <cell r="D12" t="str">
            <v>Aglaé Mahout</v>
          </cell>
          <cell r="F12" t="str">
            <v>Service d'Anesthésiologie - Réanimation Chirurgicale - CHU de Strasbourg - France</v>
          </cell>
        </row>
        <row r="13">
          <cell r="D13" t="str">
            <v>Agnès Tallet-Richard</v>
          </cell>
          <cell r="F13" t="str">
            <v>Institut Paoli-Calmettes</v>
          </cell>
        </row>
        <row r="14">
          <cell r="D14" t="str">
            <v>Ahmet Ayav</v>
          </cell>
          <cell r="F14" t="str">
            <v>Hôpitaux de Brabois</v>
          </cell>
        </row>
        <row r="15">
          <cell r="D15" t="str">
            <v>Alain Sauvanet</v>
          </cell>
          <cell r="F15" t="str">
            <v>Hôpital Beaujon</v>
          </cell>
        </row>
        <row r="16">
          <cell r="D16" t="str">
            <v>Alexandra Fournier</v>
          </cell>
        </row>
        <row r="17">
          <cell r="D17" t="str">
            <v>Alexandre Doussot</v>
          </cell>
          <cell r="F17" t="str">
            <v>CHU Besançon</v>
          </cell>
        </row>
        <row r="18">
          <cell r="D18" t="str">
            <v>Alison Schram</v>
          </cell>
          <cell r="F18" t="str">
            <v>Memorial Sloan Kettering Medical Center</v>
          </cell>
        </row>
        <row r="19">
          <cell r="D19" t="str">
            <v>Amandine Bruyas</v>
          </cell>
          <cell r="F19" t="str">
            <v>Service d'Oto-Rhino-Laryngologie de l'Hôpital de la Croix-Rousse</v>
          </cell>
        </row>
        <row r="20">
          <cell r="D20" t="str">
            <v>Amandine Bruyas</v>
          </cell>
          <cell r="F20" t="str">
            <v>Service d'Oto-Rhino-Laryngologie de l'Hôpital de la Croix-Rousse</v>
          </cell>
        </row>
        <row r="21">
          <cell r="D21" t="str">
            <v>Amgen Call Center</v>
          </cell>
        </row>
        <row r="22">
          <cell r="D22" t="str">
            <v>Amgen Call Center</v>
          </cell>
        </row>
        <row r="23">
          <cell r="D23" t="str">
            <v>Angélique Ducteil</v>
          </cell>
          <cell r="F23" t="str">
            <v>Centre d'Oncologie du Pays-Basque</v>
          </cell>
        </row>
        <row r="24">
          <cell r="D24" t="str">
            <v>Angelique Vienot</v>
          </cell>
          <cell r="F24" t="str">
            <v>Chu Jean Minjoz</v>
          </cell>
        </row>
        <row r="25">
          <cell r="D25" t="str">
            <v>Angélique Vienot</v>
          </cell>
          <cell r="F25" t="str">
            <v>Hopital Jean Minjoz</v>
          </cell>
        </row>
        <row r="26">
          <cell r="D26" t="str">
            <v>Angélique Vienot</v>
          </cell>
          <cell r="F26" t="str">
            <v>CHU Jean Minjoz</v>
          </cell>
        </row>
        <row r="27">
          <cell r="D27" t="str">
            <v>Anke Friedetzky</v>
          </cell>
        </row>
        <row r="28">
          <cell r="D28" t="str">
            <v>Anna Farran</v>
          </cell>
          <cell r="F28" t="str">
            <v>Hopital Européen Georges Pompidou</v>
          </cell>
        </row>
        <row r="29">
          <cell r="D29" t="str">
            <v>Anna Pellat</v>
          </cell>
          <cell r="F29" t="str">
            <v>Assistance Publique - Hôpitaux de Paris</v>
          </cell>
        </row>
        <row r="30">
          <cell r="D30" t="str">
            <v>Anne Couvelard</v>
          </cell>
        </row>
        <row r="31">
          <cell r="D31" t="str">
            <v>Anne Laure Md Vedie</v>
          </cell>
          <cell r="F31" t="str">
            <v>Hôpital Beaujon</v>
          </cell>
        </row>
        <row r="32">
          <cell r="D32" t="str">
            <v>Anne Laure Md Vedie</v>
          </cell>
          <cell r="F32" t="str">
            <v>Hôpital Beaujon</v>
          </cell>
        </row>
        <row r="33">
          <cell r="D33" t="str">
            <v>Anne Mourregot</v>
          </cell>
          <cell r="F33" t="str">
            <v>Institut Régional du Cancer de Montpellier</v>
          </cell>
        </row>
        <row r="34">
          <cell r="D34" t="str">
            <v>Anne-Marie Marion Audibert</v>
          </cell>
        </row>
        <row r="35">
          <cell r="D35" t="str">
            <v>Anthony Goncalves</v>
          </cell>
          <cell r="F35" t="str">
            <v>Institut Paoli-Calmettes</v>
          </cell>
        </row>
        <row r="36">
          <cell r="D36" t="str">
            <v>Anthony Gonçalves</v>
          </cell>
          <cell r="F36" t="str">
            <v>Institut Paoli Calmettes</v>
          </cell>
        </row>
        <row r="37">
          <cell r="D37" t="str">
            <v>Anthony Turpin</v>
          </cell>
          <cell r="F37" t="str">
            <v>CHU de Lille</v>
          </cell>
        </row>
        <row r="38">
          <cell r="D38" t="str">
            <v>Antoine Adenis</v>
          </cell>
          <cell r="F38" t="str">
            <v>Institut Régional du Cancer de Montpellier</v>
          </cell>
        </row>
        <row r="39">
          <cell r="D39" t="str">
            <v>Antoine Adenis</v>
          </cell>
          <cell r="F39" t="str">
            <v>Centre Oscar Lambret</v>
          </cell>
        </row>
        <row r="40">
          <cell r="D40" t="str">
            <v>Antoine Dardenne</v>
          </cell>
          <cell r="F40" t="str">
            <v>Hôpital Saint-Antoine</v>
          </cell>
        </row>
        <row r="41">
          <cell r="D41" t="str">
            <v>Antoine Dardenne</v>
          </cell>
          <cell r="F41" t="str">
            <v>Hôpital Saint-Antoine</v>
          </cell>
        </row>
        <row r="42">
          <cell r="D42" t="str">
            <v>Antoine Hollebecque</v>
          </cell>
          <cell r="F42" t="str">
            <v>Gustave Roussy</v>
          </cell>
        </row>
        <row r="43">
          <cell r="D43" t="str">
            <v>Antoine Italiano</v>
          </cell>
        </row>
        <row r="44">
          <cell r="D44" t="str">
            <v>Antoine Italiano</v>
          </cell>
          <cell r="F44" t="str">
            <v>Gustave Roussy</v>
          </cell>
        </row>
        <row r="45">
          <cell r="D45" t="str">
            <v>Antoine Italiano</v>
          </cell>
        </row>
        <row r="46">
          <cell r="D46" t="str">
            <v>Antoine Italiano</v>
          </cell>
          <cell r="F46" t="str">
            <v>Institut Bergonié</v>
          </cell>
        </row>
        <row r="47">
          <cell r="D47" t="str">
            <v>Antonhio Sa Cunha</v>
          </cell>
        </row>
        <row r="48">
          <cell r="D48" t="str">
            <v>Antonio Gonzalez</v>
          </cell>
          <cell r="F48" t="str">
            <v>Clinica Universidad de Navarra, Madrid</v>
          </cell>
        </row>
        <row r="49">
          <cell r="D49" t="str">
            <v>Antony Turpin</v>
          </cell>
          <cell r="F49" t="str">
            <v>Hôpital Claude Hurriez</v>
          </cell>
        </row>
        <row r="50">
          <cell r="D50" t="str">
            <v>Anu Gupta</v>
          </cell>
          <cell r="F50" t="str">
            <v>Seagen Inc.</v>
          </cell>
        </row>
        <row r="51">
          <cell r="D51" t="str">
            <v>Arlette Da Silva</v>
          </cell>
          <cell r="F51" t="str">
            <v>Centre Oscar Lambret</v>
          </cell>
        </row>
        <row r="52">
          <cell r="D52" t="str">
            <v>Armelle Takeda</v>
          </cell>
        </row>
        <row r="53">
          <cell r="D53" t="str">
            <v>Arnaud Jeanson</v>
          </cell>
          <cell r="F53" t="str">
            <v>Hôpital La Timone</v>
          </cell>
        </row>
        <row r="54">
          <cell r="D54" t="str">
            <v>Arthur Laquière</v>
          </cell>
          <cell r="F54" t="str">
            <v>French Society of Digestive Endoscopy</v>
          </cell>
        </row>
        <row r="55">
          <cell r="D55" t="str">
            <v>Ask Aabenhus</v>
          </cell>
          <cell r="F55" t="str">
            <v>Pharmexa A/S</v>
          </cell>
        </row>
        <row r="56">
          <cell r="D56" t="str">
            <v>Asmahane Benmaziane</v>
          </cell>
          <cell r="F56" t="str">
            <v>Hôpital Foch</v>
          </cell>
        </row>
        <row r="57">
          <cell r="D57" t="str">
            <v>Asmahane Benmaziane</v>
          </cell>
          <cell r="F57" t="str">
            <v>Hôpital Foch</v>
          </cell>
        </row>
        <row r="58">
          <cell r="D58" t="str">
            <v>Asmahane Benmaziane Teillet</v>
          </cell>
        </row>
        <row r="59">
          <cell r="D59" t="str">
            <v>Assia Lamrani-Ghaouti</v>
          </cell>
        </row>
        <row r="60">
          <cell r="D60" t="str">
            <v>Astellas Pharma Global Development</v>
          </cell>
        </row>
        <row r="61">
          <cell r="D61" t="str">
            <v>Astellas Pharma Global Development</v>
          </cell>
        </row>
        <row r="62">
          <cell r="D62" t="str">
            <v>Astrazeneca Clinical Study Information Center</v>
          </cell>
        </row>
        <row r="63">
          <cell r="D63" t="str">
            <v>Astrazeneca Clinical Study Information Center</v>
          </cell>
        </row>
        <row r="64">
          <cell r="D64" t="str">
            <v>Astrid Garreau</v>
          </cell>
        </row>
        <row r="65">
          <cell r="D65" t="str">
            <v>Aude Guillemin</v>
          </cell>
          <cell r="F65" t="str">
            <v>Institut Curie</v>
          </cell>
        </row>
        <row r="66">
          <cell r="D66" t="str">
            <v>Aude-Marie Savoye</v>
          </cell>
          <cell r="F66" t="str">
            <v>Institut Godinot</v>
          </cell>
        </row>
        <row r="67">
          <cell r="D67" t="str">
            <v>Aude-Marie Savoye</v>
          </cell>
          <cell r="F67" t="str">
            <v>Institut Godinot</v>
          </cell>
        </row>
        <row r="68">
          <cell r="D68" t="str">
            <v>Aude-Marie Savoye</v>
          </cell>
          <cell r="F68" t="str">
            <v>Institut Jean Godinot</v>
          </cell>
        </row>
        <row r="69">
          <cell r="D69" t="str">
            <v>Aude-Marie Savoye</v>
          </cell>
          <cell r="F69" t="str">
            <v>Institut Jean Godinot</v>
          </cell>
        </row>
        <row r="70">
          <cell r="D70" t="str">
            <v>Audrey Keller</v>
          </cell>
          <cell r="F70" t="str">
            <v>Institut Claudius Regaud</v>
          </cell>
        </row>
        <row r="71">
          <cell r="D71" t="str">
            <v>Audrey Mailliez</v>
          </cell>
          <cell r="F71" t="str">
            <v>Centre Oscar Lambret</v>
          </cell>
        </row>
        <row r="72">
          <cell r="D72" t="str">
            <v>Audrey Mailliez</v>
          </cell>
          <cell r="F72" t="str">
            <v>Centre Oscar Lambret</v>
          </cell>
        </row>
        <row r="73">
          <cell r="D73" t="str">
            <v>Aurelie Petitfils</v>
          </cell>
          <cell r="F73" t="str">
            <v>Centre Georges François Leclerc Dijon</v>
          </cell>
        </row>
        <row r="74">
          <cell r="D74" t="str">
            <v>Aurelie Sors</v>
          </cell>
          <cell r="F74" t="str">
            <v>CHU Poitiers</v>
          </cell>
        </row>
        <row r="75">
          <cell r="D75" t="str">
            <v>Aurélien Dupre</v>
          </cell>
          <cell r="F75" t="str">
            <v>Aurélien DUPRE</v>
          </cell>
        </row>
        <row r="76">
          <cell r="D76" t="str">
            <v>Aurélien Dupre</v>
          </cell>
          <cell r="F76" t="str">
            <v>Centre Léon Bérard</v>
          </cell>
        </row>
        <row r="77">
          <cell r="D77" t="str">
            <v>Aurélien Lambert</v>
          </cell>
          <cell r="F77" t="str">
            <v>Institut de Cancérologie de Lorraine</v>
          </cell>
        </row>
        <row r="78">
          <cell r="D78" t="str">
            <v>Aurélien Lambert</v>
          </cell>
          <cell r="F78" t="str">
            <v>Institut de Cancérologie de Lorraine</v>
          </cell>
        </row>
        <row r="79">
          <cell r="D79" t="str">
            <v>Aurore Moussion</v>
          </cell>
        </row>
        <row r="80">
          <cell r="D80" t="str">
            <v>Aurore Moussion</v>
          </cell>
        </row>
        <row r="81">
          <cell r="D81" t="str">
            <v>Aurore Moussion</v>
          </cell>
        </row>
        <row r="82">
          <cell r="D82" t="str">
            <v>Aurore Moussion</v>
          </cell>
          <cell r="F82" t="str">
            <v>Institut régional du Cancer de Montpellier</v>
          </cell>
        </row>
        <row r="83">
          <cell r="D83" t="str">
            <v>Aurore Moussion</v>
          </cell>
        </row>
        <row r="84">
          <cell r="D84" t="str">
            <v>Aurore Moussion</v>
          </cell>
        </row>
        <row r="85">
          <cell r="D85" t="str">
            <v>Aurore Salvaudon</v>
          </cell>
          <cell r="F85" t="str">
            <v>CHU de Bordeaux</v>
          </cell>
        </row>
        <row r="86">
          <cell r="D86" t="str">
            <v>Aviya Hoida</v>
          </cell>
        </row>
        <row r="87">
          <cell r="D87" t="str">
            <v>Barbara Bournet</v>
          </cell>
        </row>
        <row r="88">
          <cell r="D88" t="str">
            <v>Barbara Bournet</v>
          </cell>
          <cell r="F88" t="str">
            <v>University Hospital, Toulouse</v>
          </cell>
        </row>
        <row r="89">
          <cell r="D89" t="str">
            <v>Barbara Bournet</v>
          </cell>
          <cell r="F89" t="str">
            <v>Rangueil hospital</v>
          </cell>
        </row>
        <row r="90">
          <cell r="D90" t="str">
            <v>Barbara Bournet</v>
          </cell>
        </row>
        <row r="91">
          <cell r="D91" t="str">
            <v>Barbara Bournet</v>
          </cell>
          <cell r="F91" t="str">
            <v>University Hospital, Toulouse</v>
          </cell>
        </row>
        <row r="92">
          <cell r="D92" t="str">
            <v>Barbara Bournet</v>
          </cell>
          <cell r="F92" t="str">
            <v>Rangueil hospital</v>
          </cell>
        </row>
        <row r="93">
          <cell r="D93" t="str">
            <v>Barbara Bournet</v>
          </cell>
          <cell r="F93" t="str">
            <v>University Hospital, Toulouse</v>
          </cell>
        </row>
        <row r="94">
          <cell r="D94" t="str">
            <v>Bayer Clinical Trials Contact</v>
          </cell>
        </row>
        <row r="95">
          <cell r="D95" t="str">
            <v>Bayer Study Director</v>
          </cell>
          <cell r="F95" t="str">
            <v>Bayer</v>
          </cell>
        </row>
        <row r="96">
          <cell r="D96" t="str">
            <v>Béatrice Bouvard</v>
          </cell>
          <cell r="F96" t="str">
            <v>CHU Angers</v>
          </cell>
        </row>
        <row r="97">
          <cell r="D97" t="str">
            <v>Benoist Chibauldel</v>
          </cell>
          <cell r="F97" t="str">
            <v>Hopital Saint Antoine</v>
          </cell>
        </row>
        <row r="98">
          <cell r="D98" t="str">
            <v>Benoit You</v>
          </cell>
        </row>
        <row r="99">
          <cell r="D99" t="str">
            <v>Benoit You</v>
          </cell>
          <cell r="F99" t="str">
            <v>Hospices Civils de Lyon</v>
          </cell>
        </row>
        <row r="100">
          <cell r="D100" t="str">
            <v>Benoit You</v>
          </cell>
          <cell r="F100" t="str">
            <v>Service d'Oncologie médicale du Centre hospitalier Lyon Sud</v>
          </cell>
        </row>
        <row r="101">
          <cell r="D101" t="str">
            <v>Benoit You</v>
          </cell>
          <cell r="F101" t="str">
            <v>Service d'Oncologie médicale du Centre hospitalier Lyon Sud</v>
          </cell>
        </row>
        <row r="102">
          <cell r="D102" t="str">
            <v>Bernard Cortet</v>
          </cell>
          <cell r="F102" t="str">
            <v>Chu de Lille</v>
          </cell>
        </row>
        <row r="103">
          <cell r="D103" t="str">
            <v>Bernard Willemin</v>
          </cell>
          <cell r="F103" t="str">
            <v>Service D'Hematologie Et D'Oncologie</v>
          </cell>
        </row>
        <row r="104">
          <cell r="D104" t="str">
            <v>Bertrand Napoleon</v>
          </cell>
        </row>
        <row r="105">
          <cell r="D105" t="str">
            <v>Bertrand Napoleon</v>
          </cell>
          <cell r="F105" t="str">
            <v>Jean Mermoz private hosptila</v>
          </cell>
        </row>
        <row r="106">
          <cell r="D106" t="str">
            <v>Bertrand Pujol</v>
          </cell>
          <cell r="F106" t="str">
            <v>Jean Mermoz private hosptila</v>
          </cell>
        </row>
        <row r="107">
          <cell r="D107" t="str">
            <v>Bms Clinical Trials Contact Center Www.Bmsclinicaltrials.Com</v>
          </cell>
        </row>
        <row r="108">
          <cell r="D108" t="str">
            <v>Bms Clinical Trials Contact Center Www.Bmsclinicaltrials.Com</v>
          </cell>
        </row>
        <row r="109">
          <cell r="D109" t="str">
            <v>Brice Chanez</v>
          </cell>
          <cell r="F109" t="str">
            <v>Institut Paoli-Calmettes</v>
          </cell>
        </row>
        <row r="110">
          <cell r="D110" t="str">
            <v>Brice Chanez</v>
          </cell>
          <cell r="F110" t="str">
            <v>Institut Paoli-Calmettes</v>
          </cell>
        </row>
        <row r="111">
          <cell r="D111" t="str">
            <v>Brice Chanez</v>
          </cell>
          <cell r="F111" t="str">
            <v>Institut Paoli Calmettes</v>
          </cell>
        </row>
        <row r="112">
          <cell r="D112" t="str">
            <v>Brice Gayet</v>
          </cell>
          <cell r="F112" t="str">
            <v>Mutualiste Montsouris Institute</v>
          </cell>
        </row>
        <row r="113">
          <cell r="D113" t="str">
            <v>Brieuc Bernard</v>
          </cell>
          <cell r="F113" t="str">
            <v>CHU de Bordeaux</v>
          </cell>
        </row>
        <row r="114">
          <cell r="D114" t="str">
            <v>Brigitte Gillet</v>
          </cell>
        </row>
        <row r="115">
          <cell r="D115" t="str">
            <v>Brigitte Gillet</v>
          </cell>
          <cell r="F115" t="str">
            <v>CHU Estaing de Clermont-Ferrand</v>
          </cell>
        </row>
        <row r="116">
          <cell r="D116" t="str">
            <v>Bristol-Myers Squibb</v>
          </cell>
          <cell r="F116" t="str">
            <v>Bristol-Myers Squibb</v>
          </cell>
        </row>
        <row r="117">
          <cell r="D117" t="str">
            <v>Bristol-Myers Squibb</v>
          </cell>
          <cell r="F117" t="str">
            <v>Bristol-Myers Squibb</v>
          </cell>
        </row>
        <row r="118">
          <cell r="D118" t="str">
            <v>Bristol-Myers Squibb</v>
          </cell>
          <cell r="F118" t="str">
            <v>Bristol-Myers Squibb</v>
          </cell>
        </row>
        <row r="119">
          <cell r="D119" t="str">
            <v>Bristol-Myers Squibb</v>
          </cell>
          <cell r="F119" t="str">
            <v>Bristol-Myers Squibb</v>
          </cell>
        </row>
        <row r="120">
          <cell r="D120" t="str">
            <v>Bristol-Myers Squibb</v>
          </cell>
          <cell r="F120" t="str">
            <v>Bristol-Myers Squibb</v>
          </cell>
        </row>
        <row r="121">
          <cell r="D121" t="str">
            <v>Bristol-Myers Squibb</v>
          </cell>
          <cell r="F121" t="str">
            <v>Bristol-Myers Squibb</v>
          </cell>
        </row>
        <row r="122">
          <cell r="D122" t="str">
            <v>Bristol-Myers Squibb</v>
          </cell>
          <cell r="F122" t="str">
            <v>Bristol-Myers Squibb</v>
          </cell>
        </row>
        <row r="123">
          <cell r="D123" t="str">
            <v>Brunaud</v>
          </cell>
        </row>
        <row r="124">
          <cell r="D124" t="str">
            <v>Bruno Raynard</v>
          </cell>
        </row>
        <row r="125">
          <cell r="D125" t="str">
            <v>Bruno Raynard</v>
          </cell>
          <cell r="F125" t="str">
            <v>Gustave Roussy, Villejuif, France</v>
          </cell>
        </row>
        <row r="126">
          <cell r="D126" t="str">
            <v>Byeul-A Kim</v>
          </cell>
          <cell r="F126" t="str">
            <v>Service de Gériatrie aigue, Hôpital Édouard Herriot, Hospices Civils de Lyon</v>
          </cell>
        </row>
        <row r="127">
          <cell r="D127" t="str">
            <v>Call 1-877-Ctlilly (1-877-285-4559) Or 1-317-615-4559 Mon - Fri 8 Am - 8 Pm Eastern Time (Utc/Gmt - 5 Hours</v>
          </cell>
          <cell r="F127" t="str">
            <v>Eli Lilly and Company</v>
          </cell>
        </row>
        <row r="128">
          <cell r="D128" t="str">
            <v>Call 1-877-Ctlilly (1-877-285-4559) Or 1-317-615-4559 Mon - Fri 8 Am - 8 Pm Eastern Time (Utc/Gmt - 5 Hours</v>
          </cell>
          <cell r="F128" t="str">
            <v>Eli Lilly and Company</v>
          </cell>
        </row>
        <row r="129">
          <cell r="D129" t="str">
            <v>Call 1-877-Ctlilly (1-877-285-4559) Or 1-317-615-4559 Mon - Fri 8 Am - 8 Pm Eastern Time (Utc/Gmt - 5 Hours</v>
          </cell>
          <cell r="F129" t="str">
            <v>Eli Lilly and Company</v>
          </cell>
        </row>
        <row r="130">
          <cell r="D130" t="str">
            <v>Call 1-877-Ctlilly (1-877-285-4559) Or 1-317-615-4559 Mon - Fri 8 Am - 8 Pm Eastern Time (Utc/Gmt - 5 Hours</v>
          </cell>
          <cell r="F130" t="str">
            <v>Eli Lilly and Company</v>
          </cell>
        </row>
        <row r="131">
          <cell r="D131" t="str">
            <v>Call 1-877-Ctlilly (1-877-285-4559) Or 1-317-615-4559 Mon - Fri 8 Am - 8 Pm Eastern Time (Utc/Gmt - 5 Hours</v>
          </cell>
          <cell r="F131" t="str">
            <v>Eli Lilly and Company</v>
          </cell>
        </row>
        <row r="132">
          <cell r="D132" t="str">
            <v>Call 1-877-Ctlilly (1-877-285-4559) Or 1-317-615-4559 Mon - Fri 8 Am - 8 Pm Eastern Time (Utc/Gmt - 5 Hours</v>
          </cell>
          <cell r="F132" t="str">
            <v>Eli Lilly and Company</v>
          </cell>
        </row>
        <row r="133">
          <cell r="D133" t="str">
            <v>Call 1-877-Ctlilly (1-877-285-4559) Or 1-317-615-4559 Mon - Fri 9 Am - 5 Pm Eastern Time (Utc/Gmt - 5 Hours</v>
          </cell>
          <cell r="F133" t="str">
            <v>Eli Lilly and Company</v>
          </cell>
        </row>
        <row r="134">
          <cell r="D134" t="str">
            <v>Call 1-877-Ctlilly (1-877-285-4559) Or 1-317-615-4559 Mon - Fri 9 Am - 5 Pm Eastern Time (Utc/Gmt - 5 Hours</v>
          </cell>
          <cell r="F134" t="str">
            <v>Eli Lilly and Company</v>
          </cell>
        </row>
        <row r="135">
          <cell r="D135" t="str">
            <v>Call 1-877-Ctlilly (1-877-285-4559) Or 1-317-615-4559 Mon - Fri 9 Am - 5 Pm Eastern Time (Utc/Gmt - 5 Hours</v>
          </cell>
          <cell r="F135" t="str">
            <v>Eli Lilly and Company</v>
          </cell>
        </row>
        <row r="136">
          <cell r="D136" t="str">
            <v>Call 1-877-Ctlilly (1-877-285-4559) Or 1-317-615-4559 Mon - Fri 9 Am - 5 Pm Eastern Time (Utc/Gmt - 5 Hours</v>
          </cell>
          <cell r="F136" t="str">
            <v>Eli Lilly and Company</v>
          </cell>
        </row>
        <row r="137">
          <cell r="D137" t="str">
            <v>Call 1-877-Ctlilly (1-877-285-4559) Or 1-317-615-4559 Mon - Fri 9 Am - 5 Pm Eastern Time (Utc/Gmt - 5 Hours</v>
          </cell>
          <cell r="F137" t="str">
            <v>Eli Lilly and Company</v>
          </cell>
        </row>
        <row r="138">
          <cell r="D138" t="str">
            <v>Camille Herve</v>
          </cell>
          <cell r="F138" t="str">
            <v>Institu Daniel Hollard</v>
          </cell>
        </row>
        <row r="139">
          <cell r="D139" t="str">
            <v>Camille Herve</v>
          </cell>
          <cell r="F139" t="str">
            <v>Institu Daniel Hollard</v>
          </cell>
        </row>
        <row r="140">
          <cell r="D140" t="str">
            <v>Capucine Delnatte</v>
          </cell>
          <cell r="F140" t="str">
            <v>ICO - Centre René Gauducheau</v>
          </cell>
        </row>
        <row r="141">
          <cell r="D141" t="str">
            <v>Capucine Delnatte</v>
          </cell>
          <cell r="F141" t="str">
            <v>ICO - Centre René Gauducheau</v>
          </cell>
        </row>
        <row r="142">
          <cell r="D142" t="str">
            <v>Carlos Alberto Gomez-Roca</v>
          </cell>
          <cell r="F142" t="str">
            <v>IUCT Oncopôle</v>
          </cell>
        </row>
        <row r="143">
          <cell r="D143" t="str">
            <v>Carlos Alberto Gomez-Roca</v>
          </cell>
          <cell r="F143" t="str">
            <v>IUCT Oncopôle</v>
          </cell>
        </row>
        <row r="144">
          <cell r="D144" t="str">
            <v>Carmen Llacer</v>
          </cell>
          <cell r="F144" t="str">
            <v>Institut Régional du Cancer de Montpellier</v>
          </cell>
        </row>
        <row r="145">
          <cell r="D145" t="str">
            <v>Caroline Lalet</v>
          </cell>
        </row>
        <row r="146">
          <cell r="D146" t="str">
            <v>Catherine Alix-Panabieres</v>
          </cell>
        </row>
        <row r="147">
          <cell r="D147" t="str">
            <v>Catherine Alix-Panabieres</v>
          </cell>
          <cell r="F147" t="str">
            <v>University Hospital, Montpellier</v>
          </cell>
        </row>
        <row r="148">
          <cell r="D148" t="str">
            <v>Catherine Alix-Panabières</v>
          </cell>
          <cell r="F148" t="str">
            <v>University Hospital, Montpellier</v>
          </cell>
        </row>
        <row r="149">
          <cell r="D149" t="str">
            <v>Catherine Arvieux</v>
          </cell>
          <cell r="F149" t="str">
            <v>Centre Hospitalier Universitaire</v>
          </cell>
        </row>
        <row r="150">
          <cell r="D150" t="str">
            <v>Catherine Panabieres</v>
          </cell>
          <cell r="F150" t="str">
            <v>CHU de Montpellier</v>
          </cell>
        </row>
        <row r="151">
          <cell r="D151" t="str">
            <v>Céline Bihan</v>
          </cell>
          <cell r="F151" t="str">
            <v>CHD Vendée</v>
          </cell>
        </row>
        <row r="152">
          <cell r="D152" t="str">
            <v>Céline Bihan</v>
          </cell>
          <cell r="F152" t="str">
            <v>CHD Vendée</v>
          </cell>
        </row>
        <row r="153">
          <cell r="D153" t="str">
            <v>Centocor</v>
          </cell>
          <cell r="F153" t="str">
            <v>Centocor, Inc.</v>
          </cell>
        </row>
        <row r="154">
          <cell r="D154" t="str">
            <v>Charles De Ponthaud</v>
          </cell>
          <cell r="F154" t="str">
            <v>Hôpital la pitié salpêtrière, APHP</v>
          </cell>
        </row>
        <row r="155">
          <cell r="D155" t="str">
            <v>Charles Mesguich</v>
          </cell>
        </row>
        <row r="156">
          <cell r="D156" t="str">
            <v>Charles Mesguich</v>
          </cell>
          <cell r="F156" t="str">
            <v>University Hospital, Bordeaux</v>
          </cell>
        </row>
        <row r="157">
          <cell r="D157" t="str">
            <v>Charles Mesguich</v>
          </cell>
          <cell r="F157" t="str">
            <v>CHU de Bordeaux</v>
          </cell>
        </row>
        <row r="158">
          <cell r="D158" t="str">
            <v>Charlotte Caille-Benigni</v>
          </cell>
          <cell r="F158" t="str">
            <v>CH Simone VEIL</v>
          </cell>
        </row>
        <row r="159">
          <cell r="D159" t="str">
            <v>Charlotte Caille-Benigni</v>
          </cell>
          <cell r="F159" t="str">
            <v>CH Simone VEIL</v>
          </cell>
        </row>
        <row r="160">
          <cell r="D160" t="str">
            <v>Charlotte Fenioux</v>
          </cell>
          <cell r="F160" t="str">
            <v>Hôpital HENRI MONDOR</v>
          </cell>
        </row>
        <row r="161">
          <cell r="D161" t="str">
            <v>Charlotte Maulat</v>
          </cell>
          <cell r="F161" t="str">
            <v>University Hospital, Toulouse</v>
          </cell>
        </row>
        <row r="162">
          <cell r="D162" t="str">
            <v>Charlotte Maulat</v>
          </cell>
          <cell r="F162" t="str">
            <v>Rangueil hospital</v>
          </cell>
        </row>
        <row r="163">
          <cell r="D163" t="str">
            <v>Chauvenet Laure</v>
          </cell>
          <cell r="F163" t="str">
            <v>ARCAGY/ GINECO GROUP</v>
          </cell>
        </row>
        <row r="164">
          <cell r="D164" t="str">
            <v>Chief Medical Officer</v>
          </cell>
          <cell r="F164" t="str">
            <v>Agensys, Inc.</v>
          </cell>
        </row>
        <row r="165">
          <cell r="D165" t="str">
            <v>Chief Medical Officer</v>
          </cell>
          <cell r="F165" t="str">
            <v>LCB - Novimmune SA</v>
          </cell>
        </row>
        <row r="166">
          <cell r="D166" t="str">
            <v>Chloé Serhal</v>
          </cell>
        </row>
        <row r="167">
          <cell r="D167" t="str">
            <v>Christelle Auger</v>
          </cell>
        </row>
        <row r="168">
          <cell r="D168" t="str">
            <v>Christelle Clement-Duchêne</v>
          </cell>
          <cell r="F168" t="str">
            <v>Institut de Cancerologie de Lorraine</v>
          </cell>
        </row>
        <row r="169">
          <cell r="D169" t="str">
            <v>Christelle Clement-Duchêne</v>
          </cell>
          <cell r="F169" t="str">
            <v>Institut de Cancerologie de Lorraine</v>
          </cell>
        </row>
        <row r="170">
          <cell r="D170" t="str">
            <v>Christelle De La Fouchardiere</v>
          </cell>
          <cell r="F170" t="str">
            <v>Centre Leon Berard</v>
          </cell>
        </row>
        <row r="171">
          <cell r="D171" t="str">
            <v>Christelle De La Fouchardiere</v>
          </cell>
          <cell r="F171" t="str">
            <v>Centre Leon Berard</v>
          </cell>
        </row>
        <row r="172">
          <cell r="D172" t="str">
            <v>Christelle De La Fouchardiere</v>
          </cell>
          <cell r="F172" t="str">
            <v>Institut Paoli Calmettes</v>
          </cell>
        </row>
        <row r="173">
          <cell r="D173" t="str">
            <v>Christian Boustiere</v>
          </cell>
          <cell r="F173" t="str">
            <v>FRENCH SDE</v>
          </cell>
        </row>
        <row r="174">
          <cell r="D174" t="str">
            <v>Christian Marcelli</v>
          </cell>
          <cell r="F174" t="str">
            <v>Chu de Caen Normandie</v>
          </cell>
        </row>
        <row r="175">
          <cell r="D175" t="str">
            <v>Christine Delpeut</v>
          </cell>
        </row>
        <row r="176">
          <cell r="D176" t="str">
            <v>Christine Guglielmetti-Bargot</v>
          </cell>
          <cell r="F176" t="str">
            <v>CHU Besançon</v>
          </cell>
        </row>
        <row r="177">
          <cell r="D177" t="str">
            <v>Christine Lasset</v>
          </cell>
          <cell r="F177" t="str">
            <v>Centre Léon Bérard</v>
          </cell>
        </row>
        <row r="178">
          <cell r="D178" t="str">
            <v>Christine Lasset</v>
          </cell>
          <cell r="F178" t="str">
            <v>Centre Léon Bérard</v>
          </cell>
        </row>
        <row r="179">
          <cell r="D179" t="str">
            <v>Christine Lefort</v>
          </cell>
          <cell r="F179" t="str">
            <v>Jean Mermoz private hosptila</v>
          </cell>
        </row>
        <row r="180">
          <cell r="D180" t="str">
            <v>Christine Rebischung</v>
          </cell>
          <cell r="F180" t="str">
            <v>CHU de Grenoble - Hopital Michallon</v>
          </cell>
        </row>
        <row r="181">
          <cell r="D181" t="str">
            <v>Christophe Borg</v>
          </cell>
          <cell r="F181" t="str">
            <v>CHU de Besançon</v>
          </cell>
        </row>
        <row r="182">
          <cell r="D182" t="str">
            <v>Christophe Borg</v>
          </cell>
          <cell r="F182" t="str">
            <v>CHU de Besançon</v>
          </cell>
        </row>
        <row r="183">
          <cell r="D183" t="str">
            <v>Christophe Cb Borg</v>
          </cell>
          <cell r="F183" t="str">
            <v>CHRU Jean Minjoz</v>
          </cell>
        </row>
        <row r="184">
          <cell r="D184" t="str">
            <v>Christophe Javaud</v>
          </cell>
          <cell r="F184" t="str">
            <v>Gustave Roussy Cancer Campus, Grand Paris</v>
          </cell>
        </row>
        <row r="185">
          <cell r="D185" t="str">
            <v>Christophe Laurent</v>
          </cell>
          <cell r="F185" t="str">
            <v>Hôpital Haut Lévêque</v>
          </cell>
        </row>
        <row r="186">
          <cell r="D186" t="str">
            <v>Christophe Louvet</v>
          </cell>
          <cell r="F186" t="str">
            <v>Institut Mutualiste Montsouris</v>
          </cell>
        </row>
        <row r="187">
          <cell r="D187" t="str">
            <v>Christophe Louvet</v>
          </cell>
          <cell r="F187" t="str">
            <v>Institut Mutualiste Montsouris</v>
          </cell>
        </row>
        <row r="188">
          <cell r="D188" t="str">
            <v>Christophe Louvet</v>
          </cell>
          <cell r="F188" t="str">
            <v>Hopital Saint Antoine</v>
          </cell>
        </row>
        <row r="189">
          <cell r="D189" t="str">
            <v>Christophe Louvet</v>
          </cell>
          <cell r="F189" t="str">
            <v>Hopital Saint Antoine</v>
          </cell>
        </row>
        <row r="190">
          <cell r="D190" t="str">
            <v>Christophe Louvet</v>
          </cell>
          <cell r="F190" t="str">
            <v>Hopital Saint Antoine</v>
          </cell>
        </row>
        <row r="191">
          <cell r="D191" t="str">
            <v>Christophe Louvet</v>
          </cell>
          <cell r="F191" t="str">
            <v>Hopital Saint Antoine</v>
          </cell>
        </row>
        <row r="192">
          <cell r="D192" t="str">
            <v>Christophe Sajous</v>
          </cell>
          <cell r="F192" t="str">
            <v>Service de Gynécologie du Groupement Hospitalier Est</v>
          </cell>
        </row>
        <row r="193">
          <cell r="D193" t="str">
            <v>Christophe Sajous</v>
          </cell>
          <cell r="F193" t="str">
            <v>Service de Gynécologie du Groupement Hospitalier Est</v>
          </cell>
        </row>
        <row r="194">
          <cell r="D194" t="str">
            <v>Christophe Tournigand</v>
          </cell>
          <cell r="F194" t="str">
            <v>Hôpital Henri Mondor</v>
          </cell>
        </row>
        <row r="195">
          <cell r="D195" t="str">
            <v>Christophe Tournigand</v>
          </cell>
          <cell r="F195" t="str">
            <v>CHU - Henri Mondor</v>
          </cell>
        </row>
        <row r="196">
          <cell r="D196" t="str">
            <v>Chrystelle Colas</v>
          </cell>
          <cell r="F196" t="str">
            <v>Institut Curie</v>
          </cell>
        </row>
        <row r="197">
          <cell r="D197" t="str">
            <v>Chrystelle Colas</v>
          </cell>
          <cell r="F197" t="str">
            <v>Institut Curie - Paris site</v>
          </cell>
        </row>
        <row r="198">
          <cell r="D198" t="str">
            <v>Cindy Canivet</v>
          </cell>
        </row>
        <row r="199">
          <cell r="D199" t="str">
            <v>Cindy Canivet</v>
          </cell>
        </row>
        <row r="200">
          <cell r="D200" t="str">
            <v>Cindy Neuzillet</v>
          </cell>
        </row>
        <row r="201">
          <cell r="D201" t="str">
            <v>Cindy Neuzillet</v>
          </cell>
          <cell r="F201" t="str">
            <v>Hôpital PAUL BROUSSE</v>
          </cell>
        </row>
        <row r="202">
          <cell r="D202" t="str">
            <v>Cindy Neuzillet</v>
          </cell>
          <cell r="F202" t="str">
            <v>Hôpital PAUL BROUSSE 12 Avenue Paul Vaillant Couturier</v>
          </cell>
        </row>
        <row r="203">
          <cell r="D203" t="str">
            <v>Cindy Neuzillet</v>
          </cell>
          <cell r="F203" t="str">
            <v>Henri Mondor University Hospital</v>
          </cell>
        </row>
        <row r="204">
          <cell r="D204" t="str">
            <v>Cindy Neuzillet</v>
          </cell>
          <cell r="F204" t="str">
            <v>Hôpital Henri Mondor</v>
          </cell>
        </row>
        <row r="205">
          <cell r="D205" t="str">
            <v>Cindy Neuzillet</v>
          </cell>
          <cell r="F205" t="str">
            <v>Hôpital Henri Mondor</v>
          </cell>
        </row>
        <row r="206">
          <cell r="D206" t="str">
            <v>Cindy Neuzillet</v>
          </cell>
          <cell r="F206" t="str">
            <v>Institut Curie</v>
          </cell>
        </row>
        <row r="207">
          <cell r="D207" t="str">
            <v>Cindy Neuzillet</v>
          </cell>
          <cell r="F207" t="str">
            <v>Institut Curie</v>
          </cell>
        </row>
        <row r="208">
          <cell r="D208" t="str">
            <v>Cindy Neuzillet</v>
          </cell>
          <cell r="F208" t="str">
            <v>Institut Curie, Saint-Cloud</v>
          </cell>
        </row>
        <row r="209">
          <cell r="D209" t="str">
            <v>Cindy Neuzillet</v>
          </cell>
        </row>
        <row r="210">
          <cell r="D210" t="str">
            <v>Cindy Neuzillet</v>
          </cell>
          <cell r="F210" t="str">
            <v>Institute Curie, Versailles Saint-Quentin University, Saint-Cloud,</v>
          </cell>
        </row>
        <row r="211">
          <cell r="D211" t="str">
            <v>Cindy Neuzillet</v>
          </cell>
          <cell r="F211" t="str">
            <v>Institute Curie</v>
          </cell>
        </row>
        <row r="212">
          <cell r="D212" t="str">
            <v>Cindy Neuzillet</v>
          </cell>
          <cell r="F212" t="str">
            <v>Institut Curie site de Saint Cloud</v>
          </cell>
        </row>
        <row r="213">
          <cell r="D213" t="str">
            <v>Claire Lemanski</v>
          </cell>
          <cell r="F213" t="str">
            <v>Institut Régional du Cancer de Montpellier</v>
          </cell>
        </row>
        <row r="214">
          <cell r="D214" t="str">
            <v>Clarisse Eveno</v>
          </cell>
          <cell r="F214" t="str">
            <v>Centre Hospitalier Universitaire</v>
          </cell>
        </row>
        <row r="215">
          <cell r="D215" t="str">
            <v>Claudia Rizzo</v>
          </cell>
          <cell r="F215" t="str">
            <v>Centre Hospitalier Intercommunal Poissy -Saint Germain-en-Laye</v>
          </cell>
        </row>
        <row r="216">
          <cell r="D216" t="str">
            <v>Claudia Rizzo</v>
          </cell>
          <cell r="F216" t="str">
            <v>Centre Hospitalier Intercommunal Poissy -Saint Germain-en-Laye</v>
          </cell>
        </row>
        <row r="217">
          <cell r="D217" t="str">
            <v>Clélia Coutzac</v>
          </cell>
          <cell r="F217" t="str">
            <v>Centre Léon Bérard</v>
          </cell>
        </row>
        <row r="218">
          <cell r="D218" t="str">
            <v>Clémence Evrevin</v>
          </cell>
          <cell r="F218" t="str">
            <v>Hôpital Tenon</v>
          </cell>
        </row>
        <row r="219">
          <cell r="D219" t="str">
            <v>Clémence Evrevin</v>
          </cell>
          <cell r="F219" t="str">
            <v>Hôpital Tenon</v>
          </cell>
        </row>
        <row r="220">
          <cell r="D220" t="str">
            <v>Clémence Toullec</v>
          </cell>
          <cell r="F220" t="str">
            <v>Institut du Cancer Avignon-Provence</v>
          </cell>
        </row>
        <row r="221">
          <cell r="D221" t="str">
            <v>Clément Bailly</v>
          </cell>
          <cell r="F221" t="str">
            <v>Chu Nantes</v>
          </cell>
        </row>
        <row r="222">
          <cell r="D222" t="str">
            <v>Clément Bailly</v>
          </cell>
          <cell r="F222" t="str">
            <v>Chu Nantes</v>
          </cell>
        </row>
        <row r="223">
          <cell r="D223" t="str">
            <v>Clément Bailly</v>
          </cell>
        </row>
        <row r="224">
          <cell r="D224" t="str">
            <v>Clément Bailly</v>
          </cell>
          <cell r="F224" t="str">
            <v>CHU de Nantes</v>
          </cell>
        </row>
        <row r="225">
          <cell r="D225" t="str">
            <v>Clémentine Drain</v>
          </cell>
          <cell r="F225" t="str">
            <v>Hopital Européen Georges Pompidou</v>
          </cell>
        </row>
        <row r="226">
          <cell r="D226" t="str">
            <v>Clémentine Legrand</v>
          </cell>
          <cell r="F226" t="str">
            <v>CHU de Grenoble</v>
          </cell>
        </row>
        <row r="227">
          <cell r="D227" t="str">
            <v>Clémentine Legrand</v>
          </cell>
          <cell r="F227" t="str">
            <v>CHU de Grenoble</v>
          </cell>
        </row>
        <row r="228">
          <cell r="D228" t="str">
            <v>Clinical Project Manager</v>
          </cell>
        </row>
        <row r="229">
          <cell r="D229" t="str">
            <v>Clinical Sciences &amp; Operations</v>
          </cell>
          <cell r="F229" t="str">
            <v>Sanofi</v>
          </cell>
        </row>
        <row r="230">
          <cell r="D230" t="str">
            <v>Clinical Sciences &amp; Operations</v>
          </cell>
          <cell r="F230" t="str">
            <v>Sanofi</v>
          </cell>
        </row>
        <row r="231">
          <cell r="D231" t="str">
            <v>Clinical Trial Operations</v>
          </cell>
        </row>
        <row r="232">
          <cell r="D232" t="str">
            <v>Clinical Trials</v>
          </cell>
          <cell r="F232" t="str">
            <v>Hoffmann-La Roche</v>
          </cell>
        </row>
        <row r="233">
          <cell r="D233" t="str">
            <v>Clinical Trials</v>
          </cell>
          <cell r="F233" t="str">
            <v>Hoffmann-La Roche</v>
          </cell>
        </row>
        <row r="234">
          <cell r="D234" t="str">
            <v>Clinical Trials</v>
          </cell>
          <cell r="F234" t="str">
            <v>Hoffmann-La Roche</v>
          </cell>
        </row>
        <row r="235">
          <cell r="D235" t="str">
            <v>Clinical Trials</v>
          </cell>
          <cell r="F235" t="str">
            <v>Hoffmann-La Roche</v>
          </cell>
        </row>
        <row r="236">
          <cell r="D236" t="str">
            <v>Come Lepage</v>
          </cell>
          <cell r="F236" t="str">
            <v>Federation Francophone de Cancerologie Digestive</v>
          </cell>
        </row>
        <row r="237">
          <cell r="D237" t="str">
            <v>Côme Lepage</v>
          </cell>
          <cell r="F237" t="str">
            <v>Chu Dijon Bourgogne</v>
          </cell>
        </row>
        <row r="238">
          <cell r="D238" t="str">
            <v>Contact Lilly At 1-800-Lillyrx (1-800-545-5979)</v>
          </cell>
          <cell r="F238" t="str">
            <v>Eli Lilly and Company</v>
          </cell>
        </row>
        <row r="239">
          <cell r="D239" t="str">
            <v>Corinne Couteau</v>
          </cell>
          <cell r="F239" t="str">
            <v>Rangueil hospital</v>
          </cell>
        </row>
        <row r="240">
          <cell r="D240" t="str">
            <v>Crinetics Clinical Trials</v>
          </cell>
        </row>
        <row r="241">
          <cell r="D241" t="str">
            <v>Cristina Smolenschi</v>
          </cell>
          <cell r="F241" t="str">
            <v>Gustave Roussy Grand Paris</v>
          </cell>
        </row>
        <row r="242">
          <cell r="D242" t="str">
            <v>Cyriac Blonz</v>
          </cell>
          <cell r="F242" t="str">
            <v>Centre Catherine de Sienne</v>
          </cell>
        </row>
        <row r="243">
          <cell r="D243" t="str">
            <v>Cyriac Blonz</v>
          </cell>
          <cell r="F243" t="str">
            <v>Centre Catherine de Sienne</v>
          </cell>
        </row>
        <row r="244">
          <cell r="D244" t="str">
            <v>Cyril Amouroux</v>
          </cell>
          <cell r="F244" t="str">
            <v>Chu de Montpellier</v>
          </cell>
        </row>
        <row r="245">
          <cell r="D245" t="str">
            <v>Dahan Laetitia</v>
          </cell>
          <cell r="F245" t="str">
            <v>MARSEILLE La Timone</v>
          </cell>
        </row>
        <row r="246">
          <cell r="D246" t="str">
            <v>Daiichi Sankyo Contact For Clinical Trial Information</v>
          </cell>
        </row>
        <row r="247">
          <cell r="D247" t="str">
            <v>Damien Botsen</v>
          </cell>
          <cell r="F247" t="str">
            <v>Institut GODINOT</v>
          </cell>
        </row>
        <row r="248">
          <cell r="D248" t="str">
            <v>Damien Botsen</v>
          </cell>
          <cell r="F248" t="str">
            <v>Institut Jean Godinot</v>
          </cell>
        </row>
        <row r="249">
          <cell r="D249" t="str">
            <v>Daniel Pietrasz</v>
          </cell>
        </row>
        <row r="250">
          <cell r="D250" t="str">
            <v>Daniel Pietrasz</v>
          </cell>
          <cell r="F250" t="str">
            <v>Hôpital Paul Brousse</v>
          </cell>
        </row>
        <row r="251">
          <cell r="D251" t="str">
            <v>Daniel Von Hoff</v>
          </cell>
          <cell r="F251" t="str">
            <v>Scottsdale Clinical Research Institute</v>
          </cell>
        </row>
        <row r="252">
          <cell r="D252" t="str">
            <v>David Azria</v>
          </cell>
          <cell r="F252" t="str">
            <v>Institut régional du Cancer de Montpellier</v>
          </cell>
        </row>
        <row r="253">
          <cell r="D253" t="str">
            <v>David Azria</v>
          </cell>
          <cell r="F253" t="str">
            <v>CHU Nîmes</v>
          </cell>
        </row>
        <row r="254">
          <cell r="D254" t="str">
            <v>David Cunningham</v>
          </cell>
          <cell r="F254" t="str">
            <v>Royal Marsden Hospital Foundation Trust</v>
          </cell>
        </row>
        <row r="255">
          <cell r="D255" t="str">
            <v>David Goldstein</v>
          </cell>
          <cell r="F255" t="str">
            <v>Institute of Oncology at Prince of Wales Hospital</v>
          </cell>
        </row>
        <row r="256">
          <cell r="D256" t="str">
            <v>David Karsenti</v>
          </cell>
          <cell r="F256" t="str">
            <v>Société Française d'Endoscopie Digestive</v>
          </cell>
        </row>
        <row r="257">
          <cell r="D257" t="str">
            <v>David Pasquier</v>
          </cell>
          <cell r="F257" t="str">
            <v>Centre Oscar Lambret</v>
          </cell>
        </row>
        <row r="258">
          <cell r="D258" t="str">
            <v>David Pasquier</v>
          </cell>
          <cell r="F258" t="str">
            <v>Centre Oscar Lambret</v>
          </cell>
        </row>
        <row r="259">
          <cell r="D259" t="str">
            <v>David Pasquier</v>
          </cell>
          <cell r="F259" t="str">
            <v>Centre Oscar Lambret</v>
          </cell>
        </row>
        <row r="260">
          <cell r="D260" t="str">
            <v>David Sefrioui</v>
          </cell>
          <cell r="F260" t="str">
            <v>UH Rouen</v>
          </cell>
        </row>
        <row r="261">
          <cell r="D261" t="str">
            <v>David Taieb</v>
          </cell>
          <cell r="F261" t="str">
            <v>Assistance Publique Hopitaux De Marseille</v>
          </cell>
        </row>
        <row r="262">
          <cell r="D262" t="str">
            <v>David Tougeron</v>
          </cell>
          <cell r="F262" t="str">
            <v>Centre Hospitalier Universitaire de Poitiers</v>
          </cell>
        </row>
        <row r="263">
          <cell r="D263" t="str">
            <v>David Tougeron</v>
          </cell>
          <cell r="F263" t="str">
            <v>CHU de Poitiers</v>
          </cell>
        </row>
        <row r="264">
          <cell r="D264" t="str">
            <v>David Tougeron</v>
          </cell>
          <cell r="F264" t="str">
            <v>Chu de Poitiers</v>
          </cell>
        </row>
        <row r="265">
          <cell r="D265" t="str">
            <v>David Tougeron</v>
          </cell>
          <cell r="F265" t="str">
            <v>CHU de Poitiers</v>
          </cell>
        </row>
        <row r="266">
          <cell r="D266" t="str">
            <v>David Tougeron</v>
          </cell>
          <cell r="F266" t="str">
            <v>CHU La Milétrie</v>
          </cell>
        </row>
        <row r="267">
          <cell r="D267" t="str">
            <v>David Tougeron</v>
          </cell>
          <cell r="F267" t="str">
            <v>CHU La Milétrie</v>
          </cell>
        </row>
        <row r="268">
          <cell r="D268" t="str">
            <v>Delpero Jean-Robert</v>
          </cell>
          <cell r="F268" t="str">
            <v>Institut Paoli-Calmettes</v>
          </cell>
        </row>
        <row r="269">
          <cell r="D269" t="str">
            <v>Delphine Marie</v>
          </cell>
          <cell r="F269" t="str">
            <v>Institut Paoli Calmettes</v>
          </cell>
        </row>
        <row r="270">
          <cell r="D270" t="str">
            <v>Denis Maillet</v>
          </cell>
          <cell r="F270" t="str">
            <v>Service d'Oncologie médicale du Centre hospitalier Lyon Sud</v>
          </cell>
        </row>
        <row r="271">
          <cell r="D271" t="str">
            <v>Denis Smith</v>
          </cell>
          <cell r="F271" t="str">
            <v>CHU de Bordeaux - Hôpital Haut -Lèvêque</v>
          </cell>
        </row>
        <row r="272">
          <cell r="D272" t="str">
            <v>Dominique Genre</v>
          </cell>
        </row>
        <row r="273">
          <cell r="D273" t="str">
            <v>Dominique Genre</v>
          </cell>
        </row>
        <row r="274">
          <cell r="D274" t="str">
            <v>Dominique Genre</v>
          </cell>
          <cell r="F274" t="str">
            <v>Institut Paoli Calmettes</v>
          </cell>
        </row>
        <row r="275">
          <cell r="D275" t="str">
            <v>Dominique Genre</v>
          </cell>
        </row>
        <row r="276">
          <cell r="D276" t="str">
            <v>Dominique Genre</v>
          </cell>
          <cell r="F276" t="str">
            <v>Institut Paoli Calmettes</v>
          </cell>
        </row>
        <row r="277">
          <cell r="D277" t="str">
            <v>Dominique Genre</v>
          </cell>
        </row>
        <row r="278">
          <cell r="D278" t="str">
            <v>Dominique Genre</v>
          </cell>
          <cell r="F278" t="str">
            <v>Institut Paoli Calmettes</v>
          </cell>
        </row>
        <row r="279">
          <cell r="D279" t="str">
            <v>Dominique Genre</v>
          </cell>
        </row>
        <row r="280">
          <cell r="D280" t="str">
            <v>Dr Xavier Muller</v>
          </cell>
        </row>
        <row r="281">
          <cell r="D281" t="str">
            <v>Drouot Guillaume</v>
          </cell>
          <cell r="F281" t="str">
            <v>CHRU Nancy</v>
          </cell>
        </row>
        <row r="282">
          <cell r="D282" t="str">
            <v>Duke Street Bio</v>
          </cell>
        </row>
        <row r="283">
          <cell r="D283" t="str">
            <v>E. Romano</v>
          </cell>
          <cell r="F283" t="str">
            <v>Institut Curie</v>
          </cell>
        </row>
        <row r="284">
          <cell r="D284" t="str">
            <v>Ecoline Tribillon</v>
          </cell>
          <cell r="F284" t="str">
            <v>Institut Mutualiste Montsouris</v>
          </cell>
        </row>
        <row r="285">
          <cell r="D285" t="str">
            <v>Edouard Cottereau</v>
          </cell>
          <cell r="F285" t="str">
            <v>Hôpital de la Source</v>
          </cell>
        </row>
        <row r="286">
          <cell r="D286" t="str">
            <v>Edouard Cottereau</v>
          </cell>
          <cell r="F286" t="str">
            <v>Hôpital de la Source</v>
          </cell>
        </row>
        <row r="287">
          <cell r="D287" t="str">
            <v>Eliel Bayever</v>
          </cell>
          <cell r="F287" t="str">
            <v>Merrimack Pharmaceuticals</v>
          </cell>
        </row>
        <row r="288">
          <cell r="D288" t="str">
            <v>Elise Colle</v>
          </cell>
          <cell r="F288" t="str">
            <v>Paul Brousse Hospital</v>
          </cell>
        </row>
        <row r="289">
          <cell r="D289" t="str">
            <v>Elodie Coquan</v>
          </cell>
          <cell r="F289" t="str">
            <v>Centre François Baclesse</v>
          </cell>
        </row>
        <row r="290">
          <cell r="D290" t="str">
            <v>Elodie Crétel</v>
          </cell>
          <cell r="F290" t="str">
            <v>Assistance Publique des Hôpitaux de Marseille</v>
          </cell>
        </row>
        <row r="291">
          <cell r="D291" t="str">
            <v>Elodie Crétel</v>
          </cell>
          <cell r="F291" t="str">
            <v>Assistance Publique des Hôpitaux de Marseille</v>
          </cell>
        </row>
        <row r="292">
          <cell r="D292" t="str">
            <v>Elodie Lacaze</v>
          </cell>
          <cell r="F292" t="str">
            <v>Hôpital Flaubert</v>
          </cell>
        </row>
        <row r="293">
          <cell r="D293" t="str">
            <v>Elodie Lacaze</v>
          </cell>
          <cell r="F293" t="str">
            <v>Hôpital Flaubert</v>
          </cell>
        </row>
        <row r="294">
          <cell r="D294" t="str">
            <v>Emilie Debeaupuis</v>
          </cell>
        </row>
        <row r="295">
          <cell r="D295" t="str">
            <v>Emilie Er Rederstorff</v>
          </cell>
        </row>
        <row r="296">
          <cell r="D296" t="str">
            <v>Emilie Lermite</v>
          </cell>
          <cell r="F296" t="str">
            <v>CHU Angers</v>
          </cell>
        </row>
        <row r="297">
          <cell r="D297" t="str">
            <v>Emma (Xiaoning) Cai</v>
          </cell>
        </row>
        <row r="298">
          <cell r="D298" t="str">
            <v>Emmanuel Achille</v>
          </cell>
          <cell r="F298" t="str">
            <v>Service D'Hematologie Et D'Oncologie</v>
          </cell>
        </row>
        <row r="299">
          <cell r="D299" t="str">
            <v>Emmanuel Buc</v>
          </cell>
          <cell r="F299" t="str">
            <v>Hôpital Estaing</v>
          </cell>
        </row>
        <row r="300">
          <cell r="D300" t="str">
            <v>Emmanuel Cuellar</v>
          </cell>
          <cell r="F300" t="str">
            <v>University Hospital, Toulouse</v>
          </cell>
        </row>
        <row r="301">
          <cell r="D301" t="str">
            <v>Emmanuelle Fabiano</v>
          </cell>
          <cell r="F301" t="str">
            <v>Hôpital européen Georges-Pompidou</v>
          </cell>
        </row>
        <row r="302">
          <cell r="D302" t="str">
            <v>Emmanuelle Fourme</v>
          </cell>
          <cell r="F302" t="str">
            <v>Institut Curie - Saint-Cloud site</v>
          </cell>
        </row>
        <row r="303">
          <cell r="D303" t="str">
            <v>Emmanuelle Fourme</v>
          </cell>
          <cell r="F303" t="str">
            <v>Institut Curie - Saint-Cloud site</v>
          </cell>
        </row>
        <row r="304">
          <cell r="D304" t="str">
            <v>Emmanuelle Kempf</v>
          </cell>
          <cell r="F304" t="str">
            <v>Henri Mondor University Hospital</v>
          </cell>
        </row>
        <row r="305">
          <cell r="D305" t="str">
            <v>Emmanuelle Kempf</v>
          </cell>
          <cell r="F305" t="str">
            <v>Hôpital Henri Mondor</v>
          </cell>
        </row>
        <row r="306">
          <cell r="D306" t="str">
            <v>Emmanuelle Kempf</v>
          </cell>
          <cell r="F306" t="str">
            <v>Hôpital Henri Mondor</v>
          </cell>
        </row>
        <row r="307">
          <cell r="D307" t="str">
            <v>Emmanuelle Leteurtre</v>
          </cell>
          <cell r="F307" t="str">
            <v>University Hospital, Lille</v>
          </cell>
        </row>
        <row r="308">
          <cell r="D308" t="str">
            <v>Emmanuelle Samalin</v>
          </cell>
          <cell r="F308" t="str">
            <v>Institut Régional du Cancer de Montpellier</v>
          </cell>
        </row>
        <row r="309">
          <cell r="D309" t="str">
            <v>Eortc Hq</v>
          </cell>
        </row>
        <row r="310">
          <cell r="D310" t="str">
            <v>Eric Assenat</v>
          </cell>
        </row>
        <row r="311">
          <cell r="D311" t="str">
            <v>Eric Assenat</v>
          </cell>
          <cell r="F311" t="str">
            <v>Saint Eloi Hospital</v>
          </cell>
        </row>
        <row r="312">
          <cell r="D312" t="str">
            <v>Eric Assénat</v>
          </cell>
          <cell r="F312" t="str">
            <v>CHU St Eloi</v>
          </cell>
        </row>
        <row r="313">
          <cell r="D313" t="str">
            <v>Eric Assénat</v>
          </cell>
          <cell r="F313" t="str">
            <v>CHU Saint-Eloi</v>
          </cell>
        </row>
        <row r="314">
          <cell r="D314" t="str">
            <v>Eric Baudin</v>
          </cell>
        </row>
        <row r="315">
          <cell r="D315" t="str">
            <v>Eric Baudin</v>
          </cell>
          <cell r="F315" t="str">
            <v>Gustave Roussy, Cancer Campus, Grand Paris</v>
          </cell>
        </row>
        <row r="316">
          <cell r="D316" t="str">
            <v>Eric David</v>
          </cell>
          <cell r="F316" t="str">
            <v>CHU Poitiers</v>
          </cell>
        </row>
        <row r="317">
          <cell r="D317" t="str">
            <v>Eric Francois</v>
          </cell>
          <cell r="F317" t="str">
            <v>Centre Antoine Lacassagne</v>
          </cell>
        </row>
        <row r="318">
          <cell r="D318" t="str">
            <v>Eric Md Assenat</v>
          </cell>
          <cell r="F318" t="str">
            <v>CHU Saint-Eloi</v>
          </cell>
        </row>
        <row r="319">
          <cell r="D319" t="str">
            <v>Eric Raymond</v>
          </cell>
          <cell r="F319" t="str">
            <v>Assistance Publique - Hôpitaux de Paris</v>
          </cell>
        </row>
        <row r="320">
          <cell r="D320" t="str">
            <v>Eric Terrebonne</v>
          </cell>
          <cell r="F320" t="str">
            <v>Hôpital Haut-Lévêque</v>
          </cell>
        </row>
        <row r="321">
          <cell r="D321" t="str">
            <v>Eric Terrebonne</v>
          </cell>
          <cell r="F321" t="str">
            <v>Hôpital Haut-Lévêque</v>
          </cell>
        </row>
        <row r="322">
          <cell r="D322" t="str">
            <v>Etienne Buscail</v>
          </cell>
          <cell r="F322" t="str">
            <v>University Hospital, Bordeaux</v>
          </cell>
        </row>
        <row r="323">
          <cell r="D323" t="str">
            <v>Eu Gsk Clinical Trials Call Center</v>
          </cell>
        </row>
        <row r="324">
          <cell r="D324" t="str">
            <v>Eu Gsk Clinical Trials Call Centre</v>
          </cell>
          <cell r="F324" t="str">
            <v>GSK Investigational Site</v>
          </cell>
        </row>
        <row r="325">
          <cell r="D325" t="str">
            <v>Eu Gsk Clinical Trials Call Centre</v>
          </cell>
          <cell r="F325" t="str">
            <v>GSK Investigational Site</v>
          </cell>
        </row>
        <row r="326">
          <cell r="D326" t="str">
            <v>Eu Gsk Clinical Trials Call Centre</v>
          </cell>
          <cell r="F326" t="str">
            <v>GSK Investigational Site</v>
          </cell>
        </row>
        <row r="327">
          <cell r="D327" t="str">
            <v>Fabian Hoti</v>
          </cell>
          <cell r="F327" t="str">
            <v>IQVIA Pty Ltd</v>
          </cell>
        </row>
        <row r="328">
          <cell r="D328" t="str">
            <v>Fabien Fumex</v>
          </cell>
          <cell r="F328" t="str">
            <v>Jean Mermoz private hosptila</v>
          </cell>
        </row>
        <row r="329">
          <cell r="D329" t="str">
            <v>Fabienne Portales</v>
          </cell>
          <cell r="F329" t="str">
            <v>Institut Régional du Cancer de Montpellier</v>
          </cell>
        </row>
        <row r="330">
          <cell r="D330" t="str">
            <v>Fabienne Portales</v>
          </cell>
        </row>
        <row r="331">
          <cell r="D331" t="str">
            <v>Fabienne Portales</v>
          </cell>
          <cell r="F331" t="str">
            <v>Institut de Cancérologie de Montpellier (ICM)</v>
          </cell>
        </row>
        <row r="332">
          <cell r="D332" t="str">
            <v>Fabienne Portalès</v>
          </cell>
          <cell r="F332" t="str">
            <v>Institut régional du Cancer de Montpellier</v>
          </cell>
        </row>
        <row r="333">
          <cell r="D333" t="str">
            <v>Fabienne Portalès</v>
          </cell>
          <cell r="F333" t="str">
            <v>Institut de Cancérologie de Montpellier (ICM)</v>
          </cell>
        </row>
        <row r="334">
          <cell r="D334" t="str">
            <v>Fabienne Portalès</v>
          </cell>
          <cell r="F334" t="str">
            <v>Institut régional du Cancer de Montpellier</v>
          </cell>
        </row>
        <row r="335">
          <cell r="D335" t="str">
            <v>Fabienne Prieur</v>
          </cell>
          <cell r="F335" t="str">
            <v>CHU Saint Etienne</v>
          </cell>
        </row>
        <row r="336">
          <cell r="D336" t="str">
            <v>Fabienne Prieur</v>
          </cell>
          <cell r="F336" t="str">
            <v>CHU Saint Etienne</v>
          </cell>
        </row>
        <row r="337">
          <cell r="D337" t="str">
            <v>Fabrice Caillol</v>
          </cell>
          <cell r="F337" t="str">
            <v>Paoli Calmettes Institute</v>
          </cell>
        </row>
        <row r="338">
          <cell r="D338" t="str">
            <v>Fabrice Caillol</v>
          </cell>
          <cell r="F338" t="str">
            <v>Paoli Calmettes Institute</v>
          </cell>
        </row>
        <row r="339">
          <cell r="D339" t="str">
            <v>Fabrice Muscari</v>
          </cell>
          <cell r="F339" t="str">
            <v>Hôpital Rangueil</v>
          </cell>
        </row>
        <row r="340">
          <cell r="D340" t="str">
            <v>Fabrice Muscari</v>
          </cell>
          <cell r="F340" t="str">
            <v>Hôpital Rangueil</v>
          </cell>
        </row>
        <row r="341">
          <cell r="D341" t="str">
            <v>Fabrice Muscari</v>
          </cell>
          <cell r="F341" t="str">
            <v>Rangueil hospital</v>
          </cell>
        </row>
        <row r="342">
          <cell r="D342" t="str">
            <v>Fabrice Muscari</v>
          </cell>
          <cell r="F342" t="str">
            <v>Rangueil hospital</v>
          </cell>
        </row>
        <row r="343">
          <cell r="D343" t="str">
            <v>Fabrizio Panaro</v>
          </cell>
          <cell r="F343" t="str">
            <v>UH MONTPELLIER</v>
          </cell>
        </row>
        <row r="344">
          <cell r="D344" t="str">
            <v>Faiza Khemissa</v>
          </cell>
          <cell r="F344" t="str">
            <v>CH de Perpignan</v>
          </cell>
        </row>
        <row r="345">
          <cell r="D345" t="str">
            <v>Fanny Brayotel</v>
          </cell>
          <cell r="F345" t="str">
            <v>ICC Courlancy</v>
          </cell>
        </row>
        <row r="346">
          <cell r="D346" t="str">
            <v>Fanny Brayotel</v>
          </cell>
          <cell r="F346" t="str">
            <v>ICC Courlancy</v>
          </cell>
        </row>
        <row r="347">
          <cell r="D347" t="str">
            <v>Fanny Foubert</v>
          </cell>
          <cell r="F347" t="str">
            <v>CHU Hôtel Dieu</v>
          </cell>
        </row>
        <row r="348">
          <cell r="D348" t="str">
            <v>Fanny Foubert</v>
          </cell>
          <cell r="F348" t="str">
            <v>CHU Hôtel Dieu</v>
          </cell>
        </row>
        <row r="349">
          <cell r="D349" t="str">
            <v>Fawzi Kara-Slimane</v>
          </cell>
          <cell r="F349" t="str">
            <v>Centre Catalan d'Oncologie</v>
          </cell>
        </row>
        <row r="350">
          <cell r="D350" t="str">
            <v>Federica Cattaneo</v>
          </cell>
          <cell r="F350" t="str">
            <v>Pierre Fabre Laboratories</v>
          </cell>
        </row>
        <row r="351">
          <cell r="D351" t="str">
            <v>Fernanda Mosele</v>
          </cell>
          <cell r="F351" t="str">
            <v>Gustave Roussy</v>
          </cell>
        </row>
        <row r="352">
          <cell r="D352" t="str">
            <v>Fernando Bazan</v>
          </cell>
          <cell r="F352" t="str">
            <v>Chu de Besancon</v>
          </cell>
        </row>
        <row r="353">
          <cell r="D353" t="str">
            <v>Fernando Bazan</v>
          </cell>
          <cell r="F353" t="str">
            <v>Chu de Besancon</v>
          </cell>
        </row>
        <row r="354">
          <cell r="D354" t="str">
            <v>First Line Of The Email Must Contain Nct # And Site #.</v>
          </cell>
        </row>
        <row r="355">
          <cell r="D355" t="str">
            <v>First Line Of The Email Must Contain Nct # And Site #.</v>
          </cell>
        </row>
        <row r="356">
          <cell r="D356" t="str">
            <v>Fitzroy Dawkins</v>
          </cell>
          <cell r="F356" t="str">
            <v>Incyte Corporation</v>
          </cell>
        </row>
        <row r="357">
          <cell r="D357" t="str">
            <v>Florence Huguet</v>
          </cell>
          <cell r="F357" t="str">
            <v>Hôpital Tenon AP-HP</v>
          </cell>
        </row>
        <row r="358">
          <cell r="D358" t="str">
            <v>Florence Osaer-Polycarpe</v>
          </cell>
          <cell r="F358" t="str">
            <v>Centre Jean Perrin</v>
          </cell>
        </row>
        <row r="359">
          <cell r="D359" t="str">
            <v>Florian Estrade</v>
          </cell>
          <cell r="F359" t="str">
            <v>Centre Eugène Marquis</v>
          </cell>
        </row>
        <row r="360">
          <cell r="D360" t="str">
            <v>Francis Levi</v>
          </cell>
          <cell r="F360" t="str">
            <v>Institut de Cancerologie et D'Immunogenetique at Hopital Paul-Brousse</v>
          </cell>
        </row>
        <row r="361">
          <cell r="D361" t="str">
            <v>Franck Le Duff</v>
          </cell>
          <cell r="F361" t="str">
            <v>Centre Hospitalier de Bastia</v>
          </cell>
        </row>
        <row r="362">
          <cell r="D362" t="str">
            <v>François Cauchy</v>
          </cell>
        </row>
        <row r="363">
          <cell r="D363" t="str">
            <v>Francois Ducray</v>
          </cell>
          <cell r="F363" t="str">
            <v>Service de NEURO-ONCOLOGIE du Groupement Hospitalier EST</v>
          </cell>
        </row>
        <row r="364">
          <cell r="D364" t="str">
            <v>Francois Ducray</v>
          </cell>
          <cell r="F364" t="str">
            <v>Service de NEURO-ONCOLOGIE du Groupement Hospitalier EST</v>
          </cell>
        </row>
        <row r="365">
          <cell r="D365" t="str">
            <v>François Fg Ghiringhelli</v>
          </cell>
        </row>
        <row r="366">
          <cell r="D366" t="str">
            <v>François Fg Ghiringhelli</v>
          </cell>
          <cell r="F366" t="str">
            <v>Centre Georges-François Leclerc</v>
          </cell>
        </row>
        <row r="367">
          <cell r="D367" t="str">
            <v>Francois Ghiringhelli</v>
          </cell>
          <cell r="F367" t="str">
            <v>Centre Georges François Leclerc</v>
          </cell>
        </row>
        <row r="368">
          <cell r="D368" t="str">
            <v>Francois Ghiringhelli</v>
          </cell>
          <cell r="F368" t="str">
            <v>Centre Georges François Leclerc</v>
          </cell>
        </row>
        <row r="369">
          <cell r="D369" t="str">
            <v>François Ghiringhelli</v>
          </cell>
          <cell r="F369" t="str">
            <v>Centre Georges François Leclerc, DIJON</v>
          </cell>
        </row>
        <row r="370">
          <cell r="D370" t="str">
            <v>François Ghiringhelli</v>
          </cell>
          <cell r="F370" t="str">
            <v>Centre Georges-François Leclerc</v>
          </cell>
        </row>
        <row r="371">
          <cell r="D371" t="str">
            <v>François Ghiringhelli</v>
          </cell>
          <cell r="F371" t="str">
            <v>Centre Georges François Leclerc</v>
          </cell>
        </row>
        <row r="372">
          <cell r="D372" t="str">
            <v>François Ghiringhelli</v>
          </cell>
          <cell r="F372" t="str">
            <v>Centre Georges François Leclerc</v>
          </cell>
        </row>
        <row r="373">
          <cell r="D373" t="str">
            <v>François Ghiringhelli</v>
          </cell>
          <cell r="F373" t="str">
            <v>Centre Georges François Leclerc</v>
          </cell>
        </row>
        <row r="374">
          <cell r="D374" t="str">
            <v>François Ghiringhelli</v>
          </cell>
          <cell r="F374" t="str">
            <v>Centre Georges François Leclerc</v>
          </cell>
        </row>
        <row r="375">
          <cell r="D375" t="str">
            <v>François Md Ghiringhelli</v>
          </cell>
          <cell r="F375" t="str">
            <v>Centre Georges-François Leclerc</v>
          </cell>
        </row>
        <row r="376">
          <cell r="D376" t="str">
            <v>François Md Ghiringhelli</v>
          </cell>
          <cell r="F376" t="str">
            <v>Centre Georges-François Leclerc</v>
          </cell>
        </row>
        <row r="377">
          <cell r="D377" t="str">
            <v>François Pattou</v>
          </cell>
        </row>
        <row r="378">
          <cell r="D378" t="str">
            <v>François Pattou</v>
          </cell>
          <cell r="F378" t="str">
            <v>University Hospital, Lille</v>
          </cell>
        </row>
        <row r="379">
          <cell r="D379" t="str">
            <v>Francois Quenet</v>
          </cell>
          <cell r="F379" t="str">
            <v>Institut Régional du Cancer de Montpellier</v>
          </cell>
        </row>
        <row r="380">
          <cell r="D380" t="str">
            <v>François Severac</v>
          </cell>
          <cell r="F380" t="str">
            <v>Service d'Oncologie - CHU de Strasbourg - France</v>
          </cell>
        </row>
        <row r="381">
          <cell r="D381" t="str">
            <v>Françoise Debiais</v>
          </cell>
          <cell r="F381" t="str">
            <v>CHU de Poitiers</v>
          </cell>
        </row>
        <row r="382">
          <cell r="D382" t="str">
            <v>François-Régis Souche</v>
          </cell>
          <cell r="F382" t="str">
            <v>Hôpital Saint Eloi</v>
          </cell>
        </row>
        <row r="383">
          <cell r="D383" t="str">
            <v>Frantz Hebert</v>
          </cell>
        </row>
        <row r="384">
          <cell r="D384" t="str">
            <v>Fred Zheng</v>
          </cell>
          <cell r="F384" t="str">
            <v>Incyte Corporation</v>
          </cell>
        </row>
        <row r="385">
          <cell r="D385" t="str">
            <v>Frédéric Di Fiore</v>
          </cell>
          <cell r="F385" t="str">
            <v>CHU de Rouen</v>
          </cell>
        </row>
        <row r="386">
          <cell r="D386" t="str">
            <v>Frédéric Thuillier</v>
          </cell>
          <cell r="F386" t="str">
            <v>Chu de Limoges - Dupuytren</v>
          </cell>
        </row>
        <row r="387">
          <cell r="D387" t="str">
            <v>Frederic Viret</v>
          </cell>
          <cell r="F387" t="str">
            <v>Institut Paoli-Calmettes</v>
          </cell>
        </row>
        <row r="388">
          <cell r="D388" t="str">
            <v>Frederic Viret</v>
          </cell>
          <cell r="F388" t="str">
            <v>Marseille Institute of Cancer - Institut J. Paoli and I. Calmettes</v>
          </cell>
        </row>
        <row r="389">
          <cell r="D389" t="str">
            <v>Frédérique Rousseau</v>
          </cell>
          <cell r="F389" t="str">
            <v>Institut Paoli-Calmettes</v>
          </cell>
        </row>
        <row r="390">
          <cell r="D390" t="str">
            <v>Fumet Jean David</v>
          </cell>
          <cell r="F390" t="str">
            <v>Centre Georges-François Leclerc</v>
          </cell>
        </row>
        <row r="391">
          <cell r="D391" t="str">
            <v>Gabriel Malouf</v>
          </cell>
        </row>
        <row r="392">
          <cell r="D392" t="str">
            <v>Gabriel Malouf</v>
          </cell>
          <cell r="F392" t="str">
            <v>Service d'Oncologie - CHU de Strasbourg - France</v>
          </cell>
        </row>
        <row r="393">
          <cell r="D393" t="str">
            <v>Gabriel Malouf</v>
          </cell>
          <cell r="F393" t="str">
            <v>Service d'Oncologie - CHU de Strasbourg - France</v>
          </cell>
        </row>
        <row r="394">
          <cell r="D394" t="str">
            <v>Gabriel Malouf</v>
          </cell>
          <cell r="F394" t="str">
            <v>Service d'Oncologie - CHU de Strasbourg - France</v>
          </cell>
        </row>
        <row r="395">
          <cell r="D395" t="str">
            <v>Gabriel Malouf</v>
          </cell>
        </row>
        <row r="396">
          <cell r="D396" t="str">
            <v>Gabriel Malouf</v>
          </cell>
          <cell r="F396" t="str">
            <v>Service D'Hematologie Et D'Oncologie</v>
          </cell>
        </row>
        <row r="397">
          <cell r="D397" t="str">
            <v>Gabriel Malouf</v>
          </cell>
          <cell r="F397" t="str">
            <v>Service D'Hematologie Et D'Oncologie</v>
          </cell>
        </row>
        <row r="398">
          <cell r="D398" t="str">
            <v>Gabriele Capurso</v>
          </cell>
          <cell r="F398" t="str">
            <v>IRCCS San Raffaele</v>
          </cell>
        </row>
        <row r="399">
          <cell r="D399" t="str">
            <v>Gabriella Pittau</v>
          </cell>
        </row>
        <row r="400">
          <cell r="D400" t="str">
            <v>Gabriella Pittau</v>
          </cell>
          <cell r="F400" t="str">
            <v>Assistance Publique - Hôpitaux de Paris</v>
          </cell>
        </row>
        <row r="401">
          <cell r="D401" t="str">
            <v>Gabriella Pittau</v>
          </cell>
          <cell r="F401" t="str">
            <v>Hôpital Paul-Brousse</v>
          </cell>
        </row>
        <row r="402">
          <cell r="D402" t="str">
            <v>Gaël Deplanque</v>
          </cell>
          <cell r="F402" t="str">
            <v>Hôpital Saint Joseph, Paris, France</v>
          </cell>
        </row>
        <row r="403">
          <cell r="D403" t="str">
            <v>Gael Roth</v>
          </cell>
          <cell r="F403" t="str">
            <v>CHU Grenoble</v>
          </cell>
        </row>
        <row r="404">
          <cell r="D404" t="str">
            <v>Gaujoux Sébastien</v>
          </cell>
          <cell r="F404" t="str">
            <v>Hôpital de la Pitié Salpêtrière</v>
          </cell>
        </row>
        <row r="405">
          <cell r="D405" t="str">
            <v>Geneviève Boilleau-Jolimoy</v>
          </cell>
          <cell r="F405" t="str">
            <v>Institut de Cancérologie de Bourgogne</v>
          </cell>
        </row>
        <row r="406">
          <cell r="D406" t="str">
            <v>Geneviève Loos</v>
          </cell>
          <cell r="F406" t="str">
            <v>Centre Jean PERRIN</v>
          </cell>
        </row>
        <row r="407">
          <cell r="D407" t="str">
            <v>Genre Dominique</v>
          </cell>
          <cell r="F407" t="str">
            <v>Institut Paoli Calmettes</v>
          </cell>
        </row>
        <row r="408">
          <cell r="D408" t="str">
            <v>Genre Dominique</v>
          </cell>
        </row>
        <row r="409">
          <cell r="D409" t="str">
            <v>Genre Dominique</v>
          </cell>
          <cell r="F409" t="str">
            <v>GENRE</v>
          </cell>
        </row>
        <row r="410">
          <cell r="D410" t="str">
            <v>Gerard Lledo</v>
          </cell>
          <cell r="F410" t="str">
            <v>Clinique Saint Jean</v>
          </cell>
        </row>
        <row r="411">
          <cell r="D411" t="str">
            <v>Gérard Lledo</v>
          </cell>
          <cell r="F411" t="str">
            <v>Jean Mermoz private hosptila</v>
          </cell>
        </row>
        <row r="412">
          <cell r="D412" t="str">
            <v>Gilles Boschetti</v>
          </cell>
          <cell r="F412" t="str">
            <v>Lyon Sud Hospital - Hepatology and Gastroenterology Department</v>
          </cell>
        </row>
        <row r="413">
          <cell r="D413" t="str">
            <v>Gilles Devouassoux</v>
          </cell>
          <cell r="F413" t="str">
            <v>Service de Pneumologie de l'hôpital de la Croix-Rousse</v>
          </cell>
        </row>
        <row r="414">
          <cell r="D414" t="str">
            <v>Gilles Devouassoux</v>
          </cell>
          <cell r="F414" t="str">
            <v>Service de Pneumologie de l'hôpital de la Croix-Rousse</v>
          </cell>
        </row>
        <row r="415">
          <cell r="D415" t="str">
            <v>Gilles Freyer</v>
          </cell>
          <cell r="F415" t="str">
            <v>Service d'Oncologie médicale du Centre hospitalier Lyon Sud</v>
          </cell>
        </row>
        <row r="416">
          <cell r="D416" t="str">
            <v>Gilles Morin</v>
          </cell>
          <cell r="F416" t="str">
            <v>CHU Amiens - Hôpital Nord</v>
          </cell>
        </row>
        <row r="417">
          <cell r="D417" t="str">
            <v>Gilles Morin</v>
          </cell>
          <cell r="F417" t="str">
            <v>CHU Amiens - Hôpital Nord</v>
          </cell>
        </row>
        <row r="418">
          <cell r="D418" t="str">
            <v>Gilles Truc</v>
          </cell>
        </row>
        <row r="419">
          <cell r="D419" t="str">
            <v>Gilles Truc</v>
          </cell>
          <cell r="F419" t="str">
            <v>Centre Georges-François Leclerc</v>
          </cell>
        </row>
        <row r="420">
          <cell r="D420" t="str">
            <v>Giuseppe Vanella</v>
          </cell>
        </row>
        <row r="421">
          <cell r="D421" t="str">
            <v>Giuseppe Vanella</v>
          </cell>
          <cell r="F421" t="str">
            <v>IRCCS San Raffaele</v>
          </cell>
        </row>
        <row r="422">
          <cell r="D422" t="str">
            <v>Glen Lew</v>
          </cell>
          <cell r="F422" t="str">
            <v>Pierre Fabre Laboratories</v>
          </cell>
        </row>
        <row r="423">
          <cell r="D423" t="str">
            <v>Global Clinical Leader</v>
          </cell>
          <cell r="F423" t="str">
            <v>Daiichi Sankyo</v>
          </cell>
        </row>
        <row r="424">
          <cell r="D424" t="str">
            <v>Gordan Bray</v>
          </cell>
          <cell r="F424" t="str">
            <v>Celgene</v>
          </cell>
        </row>
        <row r="425">
          <cell r="D425" t="str">
            <v>Gsk Clinical Trials</v>
          </cell>
          <cell r="F425" t="str">
            <v>GlaxoSmithKline</v>
          </cell>
        </row>
        <row r="426">
          <cell r="D426" t="str">
            <v>Gsk Clinical Trials</v>
          </cell>
          <cell r="F426" t="str">
            <v>GlaxoSmithKline</v>
          </cell>
        </row>
        <row r="427">
          <cell r="D427" t="str">
            <v>Guido Costamagna</v>
          </cell>
          <cell r="F427" t="str">
            <v>Fondazione Policlinico Universitario Agostino Gemelli</v>
          </cell>
        </row>
        <row r="428">
          <cell r="D428" t="str">
            <v>Guilhem Roubaud</v>
          </cell>
          <cell r="F428" t="str">
            <v>Institut Bergonié</v>
          </cell>
        </row>
        <row r="429">
          <cell r="D429" t="str">
            <v>Guillaume Couture</v>
          </cell>
          <cell r="F429" t="str">
            <v>Chu de Toulouse</v>
          </cell>
        </row>
        <row r="430">
          <cell r="D430" t="str">
            <v>Guillaume Drouot</v>
          </cell>
        </row>
        <row r="431">
          <cell r="D431" t="str">
            <v>Guillaume Piessen</v>
          </cell>
          <cell r="F431" t="str">
            <v>Huriez Hospital</v>
          </cell>
        </row>
        <row r="432">
          <cell r="D432" t="str">
            <v>Guillaume Piessen</v>
          </cell>
          <cell r="F432" t="str">
            <v>Huriez Hospital</v>
          </cell>
        </row>
        <row r="433">
          <cell r="D433" t="str">
            <v>Hagay Sobol</v>
          </cell>
          <cell r="F433" t="str">
            <v>Institut Paoli Calmettes</v>
          </cell>
        </row>
        <row r="434">
          <cell r="D434" t="str">
            <v>Hagay Sobol</v>
          </cell>
          <cell r="F434" t="str">
            <v>Institut Paoli Calmettes</v>
          </cell>
        </row>
        <row r="435">
          <cell r="D435" t="str">
            <v>Hajar Eddahbi</v>
          </cell>
          <cell r="F435" t="str">
            <v>Hôpital Franco-Britannique</v>
          </cell>
        </row>
        <row r="436">
          <cell r="D436" t="str">
            <v>Hakima Manseur</v>
          </cell>
          <cell r="F436" t="str">
            <v>APHP Tenon Hospital - Sorbonne</v>
          </cell>
        </row>
        <row r="437">
          <cell r="D437" t="str">
            <v>Hélène Boussion</v>
          </cell>
          <cell r="F437" t="str">
            <v>Hôpital Saint Antoine</v>
          </cell>
        </row>
        <row r="438">
          <cell r="D438" t="str">
            <v>Hélène Boussion</v>
          </cell>
          <cell r="F438" t="str">
            <v>Hôpital Saint Antoine</v>
          </cell>
        </row>
        <row r="439">
          <cell r="D439" t="str">
            <v>Hélène Dreyfus</v>
          </cell>
          <cell r="F439" t="str">
            <v>Institut Sainte-Catherine</v>
          </cell>
        </row>
        <row r="440">
          <cell r="D440" t="str">
            <v>Hélène Dreyfus</v>
          </cell>
          <cell r="F440" t="str">
            <v>Institut Sainte-Catherine</v>
          </cell>
        </row>
        <row r="441">
          <cell r="D441" t="str">
            <v>Hélène Vandamme</v>
          </cell>
          <cell r="F441" t="str">
            <v>Béthune hospital center</v>
          </cell>
        </row>
        <row r="442">
          <cell r="D442" t="str">
            <v>Hélène Zattara</v>
          </cell>
          <cell r="F442" t="str">
            <v>CHU La Timone</v>
          </cell>
        </row>
        <row r="443">
          <cell r="D443" t="str">
            <v>Hélène Zattara</v>
          </cell>
          <cell r="F443" t="str">
            <v>CHU La Timone</v>
          </cell>
        </row>
        <row r="444">
          <cell r="D444" t="str">
            <v>Héloïse Bourien</v>
          </cell>
          <cell r="F444" t="str">
            <v>Centre Eugène Marquis</v>
          </cell>
        </row>
        <row r="445">
          <cell r="D445" t="str">
            <v>Hugo Thorn</v>
          </cell>
          <cell r="F445" t="str">
            <v>CHU de Reims</v>
          </cell>
        </row>
        <row r="446">
          <cell r="D446" t="str">
            <v>Hugo Thorn</v>
          </cell>
          <cell r="F446" t="str">
            <v>CHU de Reims</v>
          </cell>
        </row>
        <row r="447">
          <cell r="D447" t="str">
            <v>Ignacio Garcia-Ribas</v>
          </cell>
          <cell r="F447" t="str">
            <v>Cantargia AB</v>
          </cell>
        </row>
        <row r="448">
          <cell r="D448" t="str">
            <v>Ilona Rybicka</v>
          </cell>
          <cell r="F448" t="str">
            <v>Incyte Corporation</v>
          </cell>
        </row>
        <row r="449">
          <cell r="D449" t="str">
            <v>Incyte Corporation Call Center (Ex-Us)</v>
          </cell>
        </row>
        <row r="450">
          <cell r="D450" t="str">
            <v>Incyte Corporation Call Center (Ex-Us)</v>
          </cell>
        </row>
        <row r="451">
          <cell r="D451" t="str">
            <v>Incyte Corporation Call Center (Us)</v>
          </cell>
        </row>
        <row r="452">
          <cell r="D452" t="str">
            <v>Incyte Corporation Call Center (Us)</v>
          </cell>
        </row>
        <row r="453">
          <cell r="D453" t="str">
            <v>Incyte Medical Monitor</v>
          </cell>
          <cell r="F453" t="str">
            <v>Incyte Corporation</v>
          </cell>
        </row>
        <row r="454">
          <cell r="D454" t="str">
            <v>Incyte Medical Monitor</v>
          </cell>
          <cell r="F454" t="str">
            <v>Incyte Corporation</v>
          </cell>
        </row>
        <row r="455">
          <cell r="D455" t="str">
            <v>Ingrid Masson</v>
          </cell>
          <cell r="F455" t="str">
            <v>Centre Eugène Marquis</v>
          </cell>
        </row>
        <row r="456">
          <cell r="D456" t="str">
            <v>Ingrid Md Masson</v>
          </cell>
          <cell r="F456" t="str">
            <v>Centre Eugène Marquis</v>
          </cell>
        </row>
        <row r="457">
          <cell r="D457" t="str">
            <v>Ingrid Md Masson</v>
          </cell>
          <cell r="F457" t="str">
            <v>Centre Eugène Marquis</v>
          </cell>
        </row>
        <row r="458">
          <cell r="D458" t="str">
            <v>Ipsen Medical Director</v>
          </cell>
          <cell r="F458" t="str">
            <v>Ipsen</v>
          </cell>
        </row>
        <row r="459">
          <cell r="D459" t="str">
            <v>Ipsen Medical Director</v>
          </cell>
          <cell r="F459" t="str">
            <v>Ipsen</v>
          </cell>
        </row>
        <row r="460">
          <cell r="D460" t="str">
            <v>Ipsen Medical Director</v>
          </cell>
          <cell r="F460" t="str">
            <v>Ipsen</v>
          </cell>
        </row>
        <row r="461">
          <cell r="D461" t="str">
            <v>Ipsen Medical Director</v>
          </cell>
          <cell r="F461" t="str">
            <v>Ipsen</v>
          </cell>
        </row>
        <row r="462">
          <cell r="D462" t="str">
            <v>Ipsen Medical Director</v>
          </cell>
          <cell r="F462" t="str">
            <v>Ipsen</v>
          </cell>
        </row>
        <row r="463">
          <cell r="D463" t="str">
            <v>Ipsen Medical Director</v>
          </cell>
          <cell r="F463" t="str">
            <v>Ipsen</v>
          </cell>
        </row>
        <row r="464">
          <cell r="D464" t="str">
            <v>Ipsen Medical Director</v>
          </cell>
          <cell r="F464" t="str">
            <v>Ipsen</v>
          </cell>
        </row>
        <row r="465">
          <cell r="D465" t="str">
            <v>Irina Tchoumak</v>
          </cell>
          <cell r="F465" t="str">
            <v>Centre d'Endoscopie Digestive</v>
          </cell>
        </row>
        <row r="466">
          <cell r="D466" t="str">
            <v>Isabelle Cojean Zelek</v>
          </cell>
          <cell r="F466" t="str">
            <v>Centre intercommunal de Créteil</v>
          </cell>
        </row>
        <row r="467">
          <cell r="D467" t="str">
            <v>Isabelle Cojean Zelek</v>
          </cell>
          <cell r="F467" t="str">
            <v>Centre intercommunal de Créteil</v>
          </cell>
        </row>
        <row r="468">
          <cell r="D468" t="str">
            <v>Isabelle Coupier</v>
          </cell>
          <cell r="F468" t="str">
            <v>CHU Arnaud de Villeneuve</v>
          </cell>
        </row>
        <row r="469">
          <cell r="D469" t="str">
            <v>Isabelle Coupier</v>
          </cell>
          <cell r="F469" t="str">
            <v>CHU Arnaud de Villeneuve</v>
          </cell>
        </row>
        <row r="470">
          <cell r="D470" t="str">
            <v>Isabelle Desmoulins</v>
          </cell>
          <cell r="F470" t="str">
            <v>CGFL</v>
          </cell>
        </row>
        <row r="471">
          <cell r="D471" t="str">
            <v>Isabelle Desmoulins</v>
          </cell>
          <cell r="F471" t="str">
            <v>CGFL</v>
          </cell>
        </row>
        <row r="472">
          <cell r="D472" t="str">
            <v>Isabelle Mortemousque</v>
          </cell>
          <cell r="F472" t="str">
            <v>Centre Hospitalier Jacques Coeur</v>
          </cell>
        </row>
        <row r="473">
          <cell r="D473" t="str">
            <v>Isabelle Mortemousque</v>
          </cell>
          <cell r="F473" t="str">
            <v>Centre Hospitalier Jacques Coeur</v>
          </cell>
        </row>
        <row r="474">
          <cell r="D474" t="str">
            <v>Isabelle Mortemousque</v>
          </cell>
          <cell r="F474" t="str">
            <v>CHU Bretonneau</v>
          </cell>
        </row>
        <row r="475">
          <cell r="D475" t="str">
            <v>Isabelle Mortemousque</v>
          </cell>
          <cell r="F475" t="str">
            <v>CHU Bretonneau</v>
          </cell>
        </row>
        <row r="476">
          <cell r="D476" t="str">
            <v>Isabelle Tennevet</v>
          </cell>
          <cell r="F476" t="str">
            <v>CHU de Rouen</v>
          </cell>
        </row>
        <row r="477">
          <cell r="D477" t="str">
            <v>Isabelle Tennevet</v>
          </cell>
          <cell r="F477" t="str">
            <v>CHU de Rouen</v>
          </cell>
        </row>
        <row r="478">
          <cell r="D478" t="str">
            <v>Isabelle Trouilloud</v>
          </cell>
          <cell r="F478" t="str">
            <v>Hôpital Saint Antoine</v>
          </cell>
        </row>
        <row r="479">
          <cell r="D479" t="str">
            <v>Isabelle Trouilloud</v>
          </cell>
          <cell r="F479" t="str">
            <v>Hôpital Saint Antoine</v>
          </cell>
        </row>
        <row r="480">
          <cell r="D480" t="str">
            <v>Isabelle Turbiez</v>
          </cell>
        </row>
        <row r="481">
          <cell r="D481" t="str">
            <v>Itm Oncologics Gmbh</v>
          </cell>
        </row>
        <row r="482">
          <cell r="D482" t="str">
            <v>J. Medioni</v>
          </cell>
          <cell r="F482" t="str">
            <v>Hôpital Européen Georges Pompidou</v>
          </cell>
        </row>
        <row r="483">
          <cell r="D483" t="str">
            <v>Jaafar Bennouna</v>
          </cell>
          <cell r="F483" t="str">
            <v>Hôpital Foch</v>
          </cell>
        </row>
        <row r="484">
          <cell r="D484" t="str">
            <v>Jacques Balosso</v>
          </cell>
          <cell r="F484" t="str">
            <v>CHU de Grenoble - Hopital de la Tronche</v>
          </cell>
        </row>
        <row r="485">
          <cell r="D485" t="str">
            <v>Jean Baptiste Bachet</v>
          </cell>
          <cell r="F485" t="str">
            <v>Hôpital Pitié Salpêtrière</v>
          </cell>
        </row>
        <row r="486">
          <cell r="D486" t="str">
            <v>Jean Baptiste Bachet</v>
          </cell>
          <cell r="F486" t="str">
            <v>Hôpital Pitié Salpêtrière</v>
          </cell>
        </row>
        <row r="487">
          <cell r="D487" t="str">
            <v>Jean Baptiste Bachet</v>
          </cell>
          <cell r="F487" t="str">
            <v>Pitié Salpêtrière Hospital</v>
          </cell>
        </row>
        <row r="488">
          <cell r="D488" t="str">
            <v>Jean Chiesa</v>
          </cell>
          <cell r="F488" t="str">
            <v>CHRU Caremeau</v>
          </cell>
        </row>
        <row r="489">
          <cell r="D489" t="str">
            <v>Jean Chiesa</v>
          </cell>
          <cell r="F489" t="str">
            <v>CHRU Caremeau</v>
          </cell>
        </row>
        <row r="490">
          <cell r="D490" t="str">
            <v>Jean Emmanuel Md Mitry</v>
          </cell>
          <cell r="F490" t="str">
            <v>Institut Paoli Calmettes</v>
          </cell>
        </row>
        <row r="491">
          <cell r="D491" t="str">
            <v>Jean Emmanuel Mitry</v>
          </cell>
          <cell r="F491" t="str">
            <v>Marseille CRLCC</v>
          </cell>
        </row>
        <row r="492">
          <cell r="D492" t="str">
            <v>Jean Emmanuel Mitry</v>
          </cell>
          <cell r="F492" t="str">
            <v>Marseille CRLCC</v>
          </cell>
        </row>
        <row r="493">
          <cell r="D493" t="str">
            <v>Jean Emmanuel Mitry</v>
          </cell>
          <cell r="F493" t="str">
            <v>Institut Paoli Calmettes</v>
          </cell>
        </row>
        <row r="494">
          <cell r="D494" t="str">
            <v>Jean Hardwigsen</v>
          </cell>
          <cell r="F494" t="str">
            <v>Assistance Publique des Hôpitaux de Marseille</v>
          </cell>
        </row>
        <row r="495">
          <cell r="D495" t="str">
            <v>Jean Pierre Pertek</v>
          </cell>
          <cell r="F495" t="str">
            <v>CHRU Nancy</v>
          </cell>
        </row>
        <row r="496">
          <cell r="D496" t="str">
            <v>Jean Robert Delpero</v>
          </cell>
          <cell r="F496" t="str">
            <v>GENRE</v>
          </cell>
        </row>
        <row r="497">
          <cell r="D497" t="str">
            <v>Jean Robert Delpero</v>
          </cell>
          <cell r="F497" t="str">
            <v>Institut Paoli-Calmettes</v>
          </cell>
        </row>
        <row r="498">
          <cell r="D498" t="str">
            <v>Jean-Baptiste Bachet</v>
          </cell>
          <cell r="F498" t="str">
            <v>Groupe Hospitalier Pitie-Salpetriere</v>
          </cell>
        </row>
        <row r="499">
          <cell r="D499" t="str">
            <v>Jean-Baptiste Bachet</v>
          </cell>
        </row>
        <row r="500">
          <cell r="D500" t="str">
            <v>Jean-Baptiste Bachet</v>
          </cell>
          <cell r="F500" t="str">
            <v>Assistance Publique - Hôpitaux de Paris</v>
          </cell>
        </row>
        <row r="501">
          <cell r="D501" t="str">
            <v>Jean-Baptiste Bachet</v>
          </cell>
          <cell r="F501" t="str">
            <v>APHP - Groupe Hospitalier Pitié-Salpêtrière</v>
          </cell>
        </row>
        <row r="502">
          <cell r="D502" t="str">
            <v>Jean-Baptiste Bachet</v>
          </cell>
          <cell r="F502" t="str">
            <v>Hôpital La Pitié-Salpêtrière</v>
          </cell>
        </row>
        <row r="503">
          <cell r="D503" t="str">
            <v>Jean-Baptiste Bachet</v>
          </cell>
          <cell r="F503" t="str">
            <v>Hôpital Pitié Salpétriêre</v>
          </cell>
        </row>
        <row r="504">
          <cell r="D504" t="str">
            <v>Jean-Baptiste Dr Lequeu</v>
          </cell>
          <cell r="F504" t="str">
            <v>Hôpital François Mitterrand</v>
          </cell>
        </row>
        <row r="505">
          <cell r="D505" t="str">
            <v>Jean-Baptiste Md Bachet</v>
          </cell>
          <cell r="F505" t="str">
            <v>Hôpital Pitié Salpétriêre</v>
          </cell>
        </row>
        <row r="506">
          <cell r="D506" t="str">
            <v>Jean-Baptiste Meric</v>
          </cell>
          <cell r="F506" t="str">
            <v>CHU Pitie-Salpetriere</v>
          </cell>
        </row>
        <row r="507">
          <cell r="D507" t="str">
            <v>Jean-Baptiste Oudart</v>
          </cell>
        </row>
        <row r="508">
          <cell r="D508" t="str">
            <v>Jean-Baptiste Oudart</v>
          </cell>
          <cell r="F508" t="str">
            <v>Damien JOLLY</v>
          </cell>
        </row>
        <row r="509">
          <cell r="D509" t="str">
            <v>Jean-Christophe Lifante</v>
          </cell>
          <cell r="F509" t="str">
            <v>Jean-Christophe LIFANTE</v>
          </cell>
        </row>
        <row r="510">
          <cell r="D510" t="str">
            <v>Jean-David Fumet</v>
          </cell>
        </row>
        <row r="511">
          <cell r="D511" t="str">
            <v>Jean-Emmanuel Bibault</v>
          </cell>
          <cell r="F511" t="str">
            <v>Hôpital européen Georges-Pompidou</v>
          </cell>
        </row>
        <row r="512">
          <cell r="D512" t="str">
            <v>Jean-Francois Seitz</v>
          </cell>
          <cell r="F512" t="str">
            <v>CHU de la Timone</v>
          </cell>
        </row>
        <row r="513">
          <cell r="D513" t="str">
            <v>Jean-Louis Legoux</v>
          </cell>
          <cell r="F513" t="str">
            <v>Hopital Haut Leveque</v>
          </cell>
        </row>
        <row r="514">
          <cell r="D514" t="str">
            <v>Jean-Luc Raoul</v>
          </cell>
          <cell r="F514" t="str">
            <v>Institut Paoli-Calmettes</v>
          </cell>
        </row>
        <row r="515">
          <cell r="D515" t="str">
            <v>Jean-Luc Raoul</v>
          </cell>
          <cell r="F515" t="str">
            <v>Institut Paoli-Calmettes</v>
          </cell>
        </row>
        <row r="516">
          <cell r="D516" t="str">
            <v>Jean-Luc Van Laethem</v>
          </cell>
          <cell r="F516" t="str">
            <v>Erasme University Hospital</v>
          </cell>
        </row>
        <row r="517">
          <cell r="D517" t="str">
            <v>Jean-Luc Van Laethem</v>
          </cell>
          <cell r="F517" t="str">
            <v>Hospital Erasme</v>
          </cell>
        </row>
        <row r="518">
          <cell r="D518" t="str">
            <v>Jean-Marc Jml Limacher</v>
          </cell>
          <cell r="F518" t="str">
            <v>Odimma Therapeutics</v>
          </cell>
        </row>
        <row r="519">
          <cell r="D519" t="str">
            <v>Jean-Marc Limacher</v>
          </cell>
          <cell r="F519" t="str">
            <v>Service D'Hematologie Et D'Oncologie</v>
          </cell>
        </row>
        <row r="520">
          <cell r="D520" t="str">
            <v>Jean-Marc Limacher</v>
          </cell>
          <cell r="F520" t="str">
            <v>Hôpital Civil de Colmar</v>
          </cell>
        </row>
        <row r="521">
          <cell r="D521" t="str">
            <v>Jean-Marc Limacher</v>
          </cell>
          <cell r="F521" t="str">
            <v>Hôpital Civil de Colmar</v>
          </cell>
        </row>
        <row r="522">
          <cell r="D522" t="str">
            <v>Jean-Marc Phelip</v>
          </cell>
        </row>
        <row r="523">
          <cell r="D523" t="str">
            <v>Jean-Marc Phelip</v>
          </cell>
          <cell r="F523" t="str">
            <v>CHU Saint-Etienne</v>
          </cell>
        </row>
        <row r="524">
          <cell r="D524" t="str">
            <v>Jean-Marc Regimbeau</v>
          </cell>
          <cell r="F524" t="str">
            <v>Centre Hospitalier Régional Universitaire d'Amiens</v>
          </cell>
        </row>
        <row r="525">
          <cell r="D525" t="str">
            <v>Jean-Marc Regimbeau</v>
          </cell>
          <cell r="F525" t="str">
            <v>CHU Amiens</v>
          </cell>
        </row>
        <row r="526">
          <cell r="D526" t="str">
            <v>Jean-Marc Simon</v>
          </cell>
          <cell r="F526" t="str">
            <v>HU Pitié-Salpêtrière</v>
          </cell>
        </row>
        <row r="527">
          <cell r="D527" t="str">
            <v>Jean-Marie Ravel</v>
          </cell>
          <cell r="F527" t="str">
            <v>CHU Nancy - Hôpital Brabois</v>
          </cell>
        </row>
        <row r="528">
          <cell r="D528" t="str">
            <v>Jean-Marie Ravel</v>
          </cell>
          <cell r="F528" t="str">
            <v>CHU Nancy - Hôpital Brabois</v>
          </cell>
        </row>
        <row r="529">
          <cell r="D529" t="str">
            <v>Jean-Michel Fabre</v>
          </cell>
        </row>
        <row r="530">
          <cell r="D530" t="str">
            <v>Jean-Paul Lagasse</v>
          </cell>
          <cell r="F530" t="str">
            <v>CHR d'Orléans</v>
          </cell>
        </row>
        <row r="531">
          <cell r="D531" t="str">
            <v>Jean-Paul Lagasse</v>
          </cell>
          <cell r="F531" t="str">
            <v>CHR d'Orléans</v>
          </cell>
        </row>
        <row r="532">
          <cell r="D532" t="str">
            <v>Jean-Philippe Metges</v>
          </cell>
          <cell r="F532" t="str">
            <v>CHU de Brest</v>
          </cell>
        </row>
        <row r="533">
          <cell r="D533" t="str">
            <v>Jean-Philippe Metges</v>
          </cell>
          <cell r="F533" t="str">
            <v>CHU de Brest</v>
          </cell>
        </row>
        <row r="534">
          <cell r="D534" t="str">
            <v>Jean-Philippe Metges</v>
          </cell>
          <cell r="F534" t="str">
            <v>CHU de Brest</v>
          </cell>
        </row>
        <row r="535">
          <cell r="D535" t="str">
            <v>Jean-Philippe Metges</v>
          </cell>
          <cell r="F535" t="str">
            <v>Chu Brest</v>
          </cell>
        </row>
        <row r="536">
          <cell r="D536" t="str">
            <v>Jean-Philippe Metges</v>
          </cell>
          <cell r="F536" t="str">
            <v>Chu Brest</v>
          </cell>
        </row>
        <row r="537">
          <cell r="D537" t="str">
            <v>Jean-Pierre Bleuse</v>
          </cell>
          <cell r="F537" t="str">
            <v>Institut Régional du Cancer de Montpellier</v>
          </cell>
        </row>
        <row r="538">
          <cell r="D538" t="str">
            <v>Jean-Yves Giraud</v>
          </cell>
          <cell r="F538" t="str">
            <v>CHU Grenoble Alpes</v>
          </cell>
        </row>
        <row r="539">
          <cell r="D539" t="str">
            <v>Jean-Yves Mabrut</v>
          </cell>
          <cell r="F539" t="str">
            <v>Hôpital Croix Rousse, HCL</v>
          </cell>
        </row>
        <row r="540">
          <cell r="D540" t="str">
            <v>Jean-Yves Mabrut</v>
          </cell>
          <cell r="F540" t="str">
            <v>Hôpital de la Croix-Rousse</v>
          </cell>
        </row>
        <row r="541">
          <cell r="D541" t="str">
            <v>Jérôme Allardet-Servent</v>
          </cell>
          <cell r="F541" t="str">
            <v>Hôpital Européen Marseille</v>
          </cell>
        </row>
        <row r="542">
          <cell r="D542" t="str">
            <v>Jérôme Desrame</v>
          </cell>
          <cell r="F542" t="str">
            <v>Hôpital privé Jean Mermoz</v>
          </cell>
        </row>
        <row r="543">
          <cell r="D543" t="str">
            <v>Jérôme Desrame</v>
          </cell>
          <cell r="F543" t="str">
            <v>Hôpital privé Jean Mermoz</v>
          </cell>
        </row>
        <row r="544">
          <cell r="D544" t="str">
            <v>Jérôme Desrame</v>
          </cell>
          <cell r="F544" t="str">
            <v>Jean Mermoz private hosptila</v>
          </cell>
        </row>
        <row r="545">
          <cell r="D545" t="str">
            <v>Jihane Pakradouni</v>
          </cell>
        </row>
        <row r="546">
          <cell r="D546" t="str">
            <v>Jihane Pakradouni</v>
          </cell>
          <cell r="F546" t="str">
            <v>Institut Paoli Calmettes</v>
          </cell>
        </row>
        <row r="547">
          <cell r="D547" t="str">
            <v>Jihane Pakradouni</v>
          </cell>
        </row>
        <row r="548">
          <cell r="D548" t="str">
            <v>Jihane Pakradouni</v>
          </cell>
          <cell r="F548" t="str">
            <v>Institut Paoli Calmettes</v>
          </cell>
        </row>
        <row r="549">
          <cell r="D549" t="str">
            <v>Joan Gagniere</v>
          </cell>
          <cell r="F549" t="str">
            <v>CHU Estaing</v>
          </cell>
        </row>
        <row r="550">
          <cell r="D550" t="str">
            <v>Joël Ezenfis</v>
          </cell>
          <cell r="F550" t="str">
            <v>Centre Hospitalier de Longjumeau, France</v>
          </cell>
        </row>
        <row r="551">
          <cell r="D551" t="str">
            <v>Johan Gagniere</v>
          </cell>
          <cell r="F551" t="str">
            <v>University Hospital, Clermont-Ferrand</v>
          </cell>
        </row>
        <row r="552">
          <cell r="D552" t="str">
            <v>John P. Neoptolemos</v>
          </cell>
          <cell r="F552" t="str">
            <v>Royal Liverpool University Hospital</v>
          </cell>
        </row>
        <row r="553">
          <cell r="D553" t="str">
            <v>Josep Tabernero</v>
          </cell>
          <cell r="F553" t="str">
            <v>Vall d'Hebron University Hospital (HUVH)</v>
          </cell>
        </row>
        <row r="554">
          <cell r="D554" t="str">
            <v>Julia Quintin</v>
          </cell>
        </row>
        <row r="555">
          <cell r="D555" t="str">
            <v>Julia Quintin</v>
          </cell>
          <cell r="F555" t="str">
            <v>Institut de Cancérologie de l'Ouest</v>
          </cell>
        </row>
        <row r="556">
          <cell r="D556" t="str">
            <v>Julia Quintin</v>
          </cell>
          <cell r="F556" t="str">
            <v>ICO site St HERBLAIN</v>
          </cell>
        </row>
        <row r="557">
          <cell r="D557" t="str">
            <v>Julia Quintin</v>
          </cell>
          <cell r="F557" t="str">
            <v>ICO site St HERBLAIN</v>
          </cell>
        </row>
        <row r="558">
          <cell r="D558" t="str">
            <v>Julie Lavole</v>
          </cell>
          <cell r="F558" t="str">
            <v>Hôpital d'Instruction des Armées Bégin</v>
          </cell>
        </row>
        <row r="559">
          <cell r="D559" t="str">
            <v>Julie Leclerc</v>
          </cell>
          <cell r="F559" t="str">
            <v>CHRU Nancy</v>
          </cell>
        </row>
        <row r="560">
          <cell r="D560" t="str">
            <v>Julie Perinel</v>
          </cell>
          <cell r="F560" t="str">
            <v>Julie PERINEL</v>
          </cell>
        </row>
        <row r="561">
          <cell r="D561" t="str">
            <v>Julie Perinel</v>
          </cell>
          <cell r="F561" t="str">
            <v>Hôpital Edouard Herriot, HCL</v>
          </cell>
        </row>
        <row r="562">
          <cell r="D562" t="str">
            <v>Julie Tinat</v>
          </cell>
          <cell r="F562" t="str">
            <v>Groupe Hospitalier Pellegrin</v>
          </cell>
        </row>
        <row r="563">
          <cell r="D563" t="str">
            <v>Julie Tinat</v>
          </cell>
          <cell r="F563" t="str">
            <v>Groupe Hospitalier Pellegrin</v>
          </cell>
        </row>
        <row r="564">
          <cell r="D564" t="str">
            <v>Julie Veziant</v>
          </cell>
          <cell r="F564" t="str">
            <v>Hôpital Claude Huriez</v>
          </cell>
        </row>
        <row r="565">
          <cell r="D565" t="str">
            <v>Julien Darreon</v>
          </cell>
          <cell r="F565" t="str">
            <v>Marseille</v>
          </cell>
        </row>
        <row r="566">
          <cell r="D566" t="str">
            <v>Julien Domont</v>
          </cell>
          <cell r="F566" t="str">
            <v>Clinique Victor Hugo/Centre Jean Bernard</v>
          </cell>
        </row>
        <row r="567">
          <cell r="D567" t="str">
            <v>Julien Domont</v>
          </cell>
          <cell r="F567" t="str">
            <v>Clinique Victor Hugo/Centre Jean Bernard</v>
          </cell>
        </row>
        <row r="568">
          <cell r="D568" t="str">
            <v>Julien Edeline</v>
          </cell>
          <cell r="F568" t="str">
            <v>Centre Eugène Marquis</v>
          </cell>
        </row>
        <row r="569">
          <cell r="D569" t="str">
            <v>Julien Peron</v>
          </cell>
          <cell r="F569" t="str">
            <v>Service d'Oncologie médicale du Centre hospitalier Lyon Sud</v>
          </cell>
        </row>
        <row r="570">
          <cell r="D570" t="str">
            <v>Julien Taieb</v>
          </cell>
          <cell r="F570" t="str">
            <v>Hôpital Européen Georges Pompidou</v>
          </cell>
        </row>
        <row r="571">
          <cell r="D571" t="str">
            <v>Julien Taieb</v>
          </cell>
          <cell r="F571" t="str">
            <v>Hôpital Européen Georges Pompidou</v>
          </cell>
        </row>
        <row r="572">
          <cell r="D572" t="str">
            <v>Julien Taieb</v>
          </cell>
          <cell r="F572" t="str">
            <v>HEGP - PARIS - FRANCE</v>
          </cell>
        </row>
        <row r="573">
          <cell r="D573" t="str">
            <v>Julien Taieb</v>
          </cell>
          <cell r="F573" t="str">
            <v>HEGP - Paris - France</v>
          </cell>
        </row>
        <row r="574">
          <cell r="D574" t="str">
            <v>Julien Taieb</v>
          </cell>
          <cell r="F574" t="str">
            <v>Hôpital Européen Georges Pompidou</v>
          </cell>
        </row>
        <row r="575">
          <cell r="D575" t="str">
            <v>Julieta Rodriguez</v>
          </cell>
          <cell r="F575" t="str">
            <v>Gustave Roussy, Cancer Campus, Grand Paris</v>
          </cell>
        </row>
        <row r="576">
          <cell r="D576" t="str">
            <v>Julieta Rodriguez</v>
          </cell>
          <cell r="F576" t="str">
            <v>Gustave Roussy Cancer Campus, Grand Paris</v>
          </cell>
        </row>
        <row r="577">
          <cell r="D577" t="str">
            <v>Julieta Rodriguez</v>
          </cell>
          <cell r="F577" t="str">
            <v>Gustave Roussy Cancer Campus, Grand Paris</v>
          </cell>
        </row>
        <row r="578">
          <cell r="D578" t="str">
            <v>Juliette Nectoux</v>
          </cell>
        </row>
        <row r="579">
          <cell r="D579" t="str">
            <v>Juliette Nectoux</v>
          </cell>
          <cell r="F579" t="str">
            <v>Assistance Publique - Hôpitaux de Paris</v>
          </cell>
        </row>
        <row r="580">
          <cell r="D580" t="str">
            <v>K Ouali</v>
          </cell>
          <cell r="F580" t="str">
            <v>Gustave Roussy</v>
          </cell>
        </row>
        <row r="581">
          <cell r="D581" t="str">
            <v>Kaissa Ouali</v>
          </cell>
          <cell r="F581" t="str">
            <v>Institute Gustav Roussy</v>
          </cell>
        </row>
        <row r="582">
          <cell r="D582" t="str">
            <v>Karine Bouhier Leporrier</v>
          </cell>
          <cell r="F582" t="str">
            <v>Chu de Caen</v>
          </cell>
        </row>
        <row r="583">
          <cell r="D583" t="str">
            <v>Karl Barange</v>
          </cell>
          <cell r="F583" t="str">
            <v>Rangueil hospital</v>
          </cell>
        </row>
        <row r="584">
          <cell r="D584" t="str">
            <v>Katell Le Du</v>
          </cell>
        </row>
        <row r="585">
          <cell r="D585" t="str">
            <v>Katell Le Du</v>
          </cell>
          <cell r="F585" t="str">
            <v>Private Hospital of Confuent, Nantes</v>
          </cell>
        </row>
        <row r="586">
          <cell r="D586" t="str">
            <v>Katell Le Du</v>
          </cell>
          <cell r="F586" t="str">
            <v>Clinique privé du Confluent</v>
          </cell>
        </row>
        <row r="587">
          <cell r="D587" t="str">
            <v>Katell Le Du</v>
          </cell>
          <cell r="F587" t="str">
            <v>Clinique privé du Confluent</v>
          </cell>
        </row>
        <row r="588">
          <cell r="D588" t="str">
            <v>Kim Reiss Binder</v>
          </cell>
          <cell r="F588" t="str">
            <v>University of Pennsylvania / Abramson Cancer Center</v>
          </cell>
        </row>
        <row r="589">
          <cell r="D589" t="str">
            <v>Kura Medical Information</v>
          </cell>
        </row>
        <row r="590">
          <cell r="D590" t="str">
            <v>Laetitia Dahan</v>
          </cell>
          <cell r="F590" t="str">
            <v>CHU de la Timone</v>
          </cell>
        </row>
        <row r="591">
          <cell r="D591" t="str">
            <v>Laetitia Dahan</v>
          </cell>
          <cell r="F591" t="str">
            <v>Hopitaux de La Timone</v>
          </cell>
        </row>
        <row r="592">
          <cell r="D592" t="str">
            <v>Laëtitia Dahan</v>
          </cell>
          <cell r="F592" t="str">
            <v>Hôpital la Timone</v>
          </cell>
        </row>
        <row r="593">
          <cell r="D593" t="str">
            <v>Laura Apadula</v>
          </cell>
        </row>
        <row r="594">
          <cell r="D594" t="str">
            <v>Laura Gerard</v>
          </cell>
          <cell r="F594" t="str">
            <v>Edouard Herriot Hospital - medical oncology department</v>
          </cell>
        </row>
        <row r="595">
          <cell r="D595" t="str">
            <v>Laurence Faivre-Olivier</v>
          </cell>
          <cell r="F595" t="str">
            <v>CHU de Dijon</v>
          </cell>
        </row>
        <row r="596">
          <cell r="D596" t="str">
            <v>Laurence Faivre-Olivier</v>
          </cell>
          <cell r="F596" t="str">
            <v>CHU de Dijon</v>
          </cell>
        </row>
        <row r="597">
          <cell r="D597" t="str">
            <v>Laurence Gladieff</v>
          </cell>
          <cell r="F597" t="str">
            <v>Institut Claudius Regaud - IUCT - Oncopole</v>
          </cell>
        </row>
        <row r="598">
          <cell r="D598" t="str">
            <v>Laurence Gladieff</v>
          </cell>
          <cell r="F598" t="str">
            <v>Institut Claudius Regaud - IUCT - Oncopole</v>
          </cell>
        </row>
        <row r="599">
          <cell r="D599" t="str">
            <v>Laurence Moureau-Zabotto</v>
          </cell>
          <cell r="F599" t="str">
            <v>Institut Paoli-Calmettes</v>
          </cell>
        </row>
        <row r="600">
          <cell r="D600" t="str">
            <v>Laurence Venat-Bouvet</v>
          </cell>
          <cell r="F600" t="str">
            <v>CHU Dupuytren</v>
          </cell>
        </row>
        <row r="601">
          <cell r="D601" t="str">
            <v>Laurence Venat-Bouvet</v>
          </cell>
          <cell r="F601" t="str">
            <v>CHU Dupuytren</v>
          </cell>
        </row>
        <row r="602">
          <cell r="D602" t="str">
            <v>Laurent Brunaud</v>
          </cell>
        </row>
        <row r="603">
          <cell r="D603" t="str">
            <v>Laurent Brunaud</v>
          </cell>
          <cell r="F603" t="str">
            <v>University of Lorraine</v>
          </cell>
        </row>
        <row r="604">
          <cell r="D604" t="str">
            <v>Laurent Brunaud</v>
          </cell>
          <cell r="F604" t="str">
            <v>CHU Nancy</v>
          </cell>
        </row>
        <row r="605">
          <cell r="D605" t="str">
            <v>Laurent Cylly</v>
          </cell>
          <cell r="F605" t="str">
            <v>Hôpital Paul-Brousse</v>
          </cell>
        </row>
        <row r="606">
          <cell r="D606" t="str">
            <v>Le Duff Franck</v>
          </cell>
          <cell r="F606" t="str">
            <v>Centre Hospitalier de Bastia</v>
          </cell>
        </row>
        <row r="607">
          <cell r="D607" t="str">
            <v>Lea Saban-Roche</v>
          </cell>
          <cell r="F607" t="str">
            <v>Institut Cancérologique Lucien Newirth (ICLN)</v>
          </cell>
        </row>
        <row r="608">
          <cell r="D608" t="str">
            <v>Leonardo Sosa Valencia</v>
          </cell>
          <cell r="F608" t="str">
            <v>IHU Strasbourg</v>
          </cell>
        </row>
        <row r="609">
          <cell r="D609" t="str">
            <v>Leone Aubignac</v>
          </cell>
          <cell r="F609" t="str">
            <v>Centre Georges François Leclerc Dijon</v>
          </cell>
        </row>
        <row r="610">
          <cell r="D610" t="str">
            <v>Lilian Laborde</v>
          </cell>
        </row>
        <row r="611">
          <cell r="D611" t="str">
            <v>Lilian Laborde</v>
          </cell>
        </row>
        <row r="612">
          <cell r="D612" t="str">
            <v>Lilian Laborde</v>
          </cell>
        </row>
        <row r="613">
          <cell r="D613" t="str">
            <v>Lilian Schwarz</v>
          </cell>
          <cell r="F613" t="str">
            <v>CHU de Rouen</v>
          </cell>
        </row>
        <row r="614">
          <cell r="D614" t="str">
            <v>Lilian Schwarz</v>
          </cell>
          <cell r="F614" t="str">
            <v>CHU de Rouen</v>
          </cell>
        </row>
        <row r="615">
          <cell r="D615" t="str">
            <v>Lilian Schwarz</v>
          </cell>
        </row>
        <row r="616">
          <cell r="D616" t="str">
            <v>Lilian Schwarz</v>
          </cell>
          <cell r="F616" t="str">
            <v>CHU de Rouen</v>
          </cell>
        </row>
        <row r="617">
          <cell r="D617" t="str">
            <v>Lilian Schwarz</v>
          </cell>
          <cell r="F617" t="str">
            <v>CHU ROUEN - Site Charles Nicolle</v>
          </cell>
        </row>
        <row r="618">
          <cell r="D618" t="str">
            <v>Lilian Schwarz</v>
          </cell>
          <cell r="F618" t="str">
            <v>Hôpital Charles-Nicolle</v>
          </cell>
        </row>
        <row r="619">
          <cell r="D619" t="str">
            <v>Lionel Badet</v>
          </cell>
          <cell r="F619" t="str">
            <v>Service d'Urologie de l'Hôpital E. Herriot</v>
          </cell>
        </row>
        <row r="620">
          <cell r="D620" t="str">
            <v>Lionel Badet</v>
          </cell>
          <cell r="F620" t="str">
            <v>Service d'Urologie de l'Hôpital E. Herriot</v>
          </cell>
        </row>
        <row r="621">
          <cell r="D621" t="str">
            <v>Lionel Karlin</v>
          </cell>
          <cell r="F621" t="str">
            <v>Service d'Hématologie de l'Hôpital Lyon Sud</v>
          </cell>
        </row>
        <row r="622">
          <cell r="D622" t="str">
            <v>Lionel Karlin</v>
          </cell>
          <cell r="F622" t="str">
            <v>Service d'Hématologie de l'Hôpital Lyon Sud</v>
          </cell>
        </row>
        <row r="623">
          <cell r="D623" t="str">
            <v>Liron Dimnik</v>
          </cell>
        </row>
        <row r="624">
          <cell r="D624" t="str">
            <v>Lise Laclautre</v>
          </cell>
        </row>
        <row r="625">
          <cell r="D625" t="str">
            <v>Li-Tzong Chen</v>
          </cell>
          <cell r="F625" t="str">
            <v>National Cheng Kung University Hospital,Tainan, Taiwan, R.O.C</v>
          </cell>
        </row>
        <row r="626">
          <cell r="D626" t="str">
            <v>Lize Kiakouama</v>
          </cell>
          <cell r="F626" t="str">
            <v>Service de Pneumologie de l'hôpital de la Croix-Rousse</v>
          </cell>
        </row>
        <row r="627">
          <cell r="D627" t="str">
            <v>Louis Buscail</v>
          </cell>
          <cell r="F627" t="str">
            <v>Rangueil hospital</v>
          </cell>
        </row>
        <row r="628">
          <cell r="D628" t="str">
            <v>Louis Buscail</v>
          </cell>
          <cell r="F628" t="str">
            <v>University Hospital, Toulouse</v>
          </cell>
        </row>
        <row r="629">
          <cell r="D629" t="str">
            <v>Louis Buscail</v>
          </cell>
          <cell r="F629" t="str">
            <v>University Hospital of Toulouse</v>
          </cell>
        </row>
        <row r="630">
          <cell r="D630" t="str">
            <v>Louis De Mestier</v>
          </cell>
          <cell r="F630" t="str">
            <v>Hôpital Beaujon</v>
          </cell>
        </row>
        <row r="631">
          <cell r="D631" t="str">
            <v>Louise Crivelli</v>
          </cell>
          <cell r="F631" t="str">
            <v>Centre Eugène Marquis</v>
          </cell>
        </row>
        <row r="632">
          <cell r="D632" t="str">
            <v>Louise Crivelli</v>
          </cell>
          <cell r="F632" t="str">
            <v>Centre Eugène Marquis</v>
          </cell>
        </row>
        <row r="633">
          <cell r="D633" t="str">
            <v>Louis-Marie Dourthe</v>
          </cell>
          <cell r="F633" t="str">
            <v>Service D'Hematologie Et D'Oncologie</v>
          </cell>
        </row>
        <row r="634">
          <cell r="D634" t="str">
            <v>Ludovic Doucet</v>
          </cell>
          <cell r="F634" t="str">
            <v>Institut de Cancerologie de l'Ouest - Hôpital Saint Herblain - PPDS</v>
          </cell>
        </row>
        <row r="635">
          <cell r="D635" t="str">
            <v>Ludovic Evesque</v>
          </cell>
        </row>
        <row r="636">
          <cell r="D636" t="str">
            <v>Ludovic Evesque</v>
          </cell>
          <cell r="F636" t="str">
            <v>Centre Antoine Lacassagne</v>
          </cell>
        </row>
        <row r="637">
          <cell r="D637" t="str">
            <v>Ludovic Evesque</v>
          </cell>
          <cell r="F637" t="str">
            <v>Centre Antoine Lacassagne</v>
          </cell>
        </row>
        <row r="638">
          <cell r="D638" t="str">
            <v>Lydie Houot</v>
          </cell>
          <cell r="F638" t="str">
            <v>Centre Georges François Leclerc Dijon</v>
          </cell>
        </row>
        <row r="639">
          <cell r="D639" t="str">
            <v>Magali Balavoine</v>
          </cell>
        </row>
        <row r="640">
          <cell r="D640" t="str">
            <v>Magali Rouffiac</v>
          </cell>
          <cell r="F640" t="str">
            <v>Centre Georges François Leclerc</v>
          </cell>
        </row>
        <row r="641">
          <cell r="D641" t="str">
            <v>Malcolm J. Moore</v>
          </cell>
          <cell r="F641" t="str">
            <v>Princess Margaret Hospital, Canada</v>
          </cell>
        </row>
        <row r="642">
          <cell r="D642" t="str">
            <v>Manfred Lutz</v>
          </cell>
          <cell r="F642" t="str">
            <v>Comprehensive Cancer Center Ulm at Universitaetsklinikum Ulm</v>
          </cell>
        </row>
        <row r="643">
          <cell r="D643" t="str">
            <v>Manon Chretien</v>
          </cell>
          <cell r="F643" t="str">
            <v>CLCC Paul Strauss</v>
          </cell>
        </row>
        <row r="644">
          <cell r="D644" t="str">
            <v>Manon Chretien</v>
          </cell>
          <cell r="F644" t="str">
            <v>CLCC Paul Strauss</v>
          </cell>
        </row>
        <row r="645">
          <cell r="D645" t="str">
            <v>Manuel Hidalgo</v>
          </cell>
          <cell r="F645" t="str">
            <v>Centro Integral de Oncologia</v>
          </cell>
        </row>
        <row r="646">
          <cell r="D646" t="str">
            <v>Manuel Hidalgo</v>
          </cell>
          <cell r="F646" t="str">
            <v>Weill Cornell, NY, US</v>
          </cell>
        </row>
        <row r="647">
          <cell r="D647" t="str">
            <v>Marc Barthet</v>
          </cell>
          <cell r="F647" t="str">
            <v>Assistance Publique des hôpitaux de Marseille</v>
          </cell>
        </row>
        <row r="648">
          <cell r="D648" t="str">
            <v>Marc Cortal</v>
          </cell>
          <cell r="F648" t="str">
            <v>Ability Pharmaceuticals SL</v>
          </cell>
        </row>
        <row r="649">
          <cell r="D649" t="str">
            <v>Marc Giovannini</v>
          </cell>
          <cell r="F649" t="str">
            <v>Institut Paoli-Calmettes</v>
          </cell>
        </row>
        <row r="650">
          <cell r="D650" t="str">
            <v>Marc Giovannini</v>
          </cell>
          <cell r="F650" t="str">
            <v>Institut Paoli-Calmettes</v>
          </cell>
        </row>
        <row r="651">
          <cell r="D651" t="str">
            <v>Marc Planes</v>
          </cell>
          <cell r="F651" t="str">
            <v>CHU Morvan de Brest</v>
          </cell>
        </row>
        <row r="652">
          <cell r="D652" t="str">
            <v>Marc Planes</v>
          </cell>
          <cell r="F652" t="str">
            <v>CHU Morvan de Brest</v>
          </cell>
        </row>
        <row r="653">
          <cell r="D653" t="str">
            <v>Marc Ychou</v>
          </cell>
          <cell r="F653" t="str">
            <v>Institut du Cancer de Montpellier - Val d'Aurelle</v>
          </cell>
        </row>
        <row r="654">
          <cell r="D654" t="str">
            <v>Marc Ychou</v>
          </cell>
          <cell r="F654" t="str">
            <v>Institut Régional du Cancer de Montpellier</v>
          </cell>
        </row>
        <row r="655">
          <cell r="D655" t="str">
            <v>Marc Zins</v>
          </cell>
          <cell r="F655" t="str">
            <v>Fondation Hôpital Saint-Joseph</v>
          </cell>
        </row>
        <row r="656">
          <cell r="D656" t="str">
            <v>Marc Zins</v>
          </cell>
          <cell r="F656" t="str">
            <v>Fondation Hôpital Saint-Joseph</v>
          </cell>
        </row>
        <row r="657">
          <cell r="D657" t="str">
            <v>Marianne Fonck</v>
          </cell>
          <cell r="F657" t="str">
            <v>Institut Bergonié</v>
          </cell>
        </row>
        <row r="658">
          <cell r="D658" t="str">
            <v>Marianne Veyri</v>
          </cell>
          <cell r="F658" t="str">
            <v>Oncologie médicale - Pitié-Salpêtrière</v>
          </cell>
        </row>
        <row r="659">
          <cell r="D659" t="str">
            <v>Marie Bosredon</v>
          </cell>
        </row>
        <row r="660">
          <cell r="D660" t="str">
            <v>Marie Coudert</v>
          </cell>
          <cell r="F660" t="str">
            <v>ICO - Centre Paul Papin</v>
          </cell>
        </row>
        <row r="661">
          <cell r="D661" t="str">
            <v>Marie Coudert</v>
          </cell>
          <cell r="F661" t="str">
            <v>ICO - Centre Paul Papin</v>
          </cell>
        </row>
        <row r="662">
          <cell r="D662" t="str">
            <v>Marie Line Garcia Larnicol</v>
          </cell>
        </row>
        <row r="663">
          <cell r="D663" t="str">
            <v>Marie Muller</v>
          </cell>
          <cell r="F663" t="str">
            <v>Centre Hospitalier Régional Universitaire de Nancy - Hôpitaux de Brabois</v>
          </cell>
        </row>
        <row r="664">
          <cell r="D664" t="str">
            <v>Marie-Agnès Collonge-Rame</v>
          </cell>
          <cell r="F664" t="str">
            <v>CHU Besançon</v>
          </cell>
        </row>
        <row r="665">
          <cell r="D665" t="str">
            <v>Marie-Agnès Collonge-Rame</v>
          </cell>
          <cell r="F665" t="str">
            <v>CHU Besançon</v>
          </cell>
        </row>
        <row r="666">
          <cell r="D666" t="str">
            <v>Marie-Emmanuelle Legrier</v>
          </cell>
        </row>
        <row r="667">
          <cell r="D667" t="str">
            <v>Marie-Emmanuelle Legrier</v>
          </cell>
        </row>
        <row r="668">
          <cell r="D668" t="str">
            <v>Marie-Line Garcia Larnicol</v>
          </cell>
        </row>
        <row r="669">
          <cell r="D669" t="str">
            <v>Marielle Guillet</v>
          </cell>
          <cell r="F669" t="str">
            <v>Service d'ONCOLOGIE DIGESTIVE et HEPATOLOGIE de l'hôpital de la Croix-Rousse</v>
          </cell>
        </row>
        <row r="670">
          <cell r="D670" t="str">
            <v>Marielle Guillet</v>
          </cell>
          <cell r="F670" t="str">
            <v>Service d'ONCOLOGIE DIGESTIVE et HEPATOLOGIE de l'hôpital de la Croix-Rousse</v>
          </cell>
        </row>
        <row r="671">
          <cell r="D671" t="str">
            <v>Marie-Noëlle Bonnet-Dupeyron</v>
          </cell>
          <cell r="F671" t="str">
            <v>Centre Hospitalier de Valence</v>
          </cell>
        </row>
        <row r="672">
          <cell r="D672" t="str">
            <v>Marie-Noëlle Bonnet-Dupeyron</v>
          </cell>
          <cell r="F672" t="str">
            <v>Centre Hospitalier de Valence</v>
          </cell>
        </row>
        <row r="673">
          <cell r="D673" t="str">
            <v>Marie-Paule Sablin</v>
          </cell>
          <cell r="F673" t="str">
            <v>Institut Curie</v>
          </cell>
        </row>
        <row r="674">
          <cell r="D674" t="str">
            <v>Marie-Paule Sablin</v>
          </cell>
          <cell r="F674" t="str">
            <v>Institut Curie</v>
          </cell>
        </row>
        <row r="675">
          <cell r="D675" t="str">
            <v>Marine Gilabert</v>
          </cell>
          <cell r="F675" t="str">
            <v>Institut Paoli-Calmettes</v>
          </cell>
        </row>
        <row r="676">
          <cell r="D676" t="str">
            <v>Marine Gilabert</v>
          </cell>
          <cell r="F676" t="str">
            <v>Institut Paoli Calmettes</v>
          </cell>
        </row>
        <row r="677">
          <cell r="D677" t="str">
            <v>Marine Gilabert</v>
          </cell>
          <cell r="F677" t="str">
            <v>Institut Paoli Calmettes</v>
          </cell>
        </row>
        <row r="678">
          <cell r="D678" t="str">
            <v>Marine Jary</v>
          </cell>
          <cell r="F678" t="str">
            <v>Centre Hospitalier Universitaire Estaing</v>
          </cell>
        </row>
        <row r="679">
          <cell r="D679" t="str">
            <v>Marine Jary</v>
          </cell>
        </row>
        <row r="680">
          <cell r="D680" t="str">
            <v>Marine Jary</v>
          </cell>
          <cell r="F680" t="str">
            <v>CHU Estaing de Clermont Ferrand/FRANCE</v>
          </cell>
        </row>
        <row r="681">
          <cell r="D681" t="str">
            <v>Marine Jary</v>
          </cell>
          <cell r="F681" t="str">
            <v>CHU Estaing de Clermont-Ferrand</v>
          </cell>
        </row>
        <row r="682">
          <cell r="D682" t="str">
            <v>Marine Jary</v>
          </cell>
          <cell r="F682" t="str">
            <v>CHU Estaing de Clermont-Ferrand</v>
          </cell>
        </row>
        <row r="683">
          <cell r="D683" t="str">
            <v>Marion Chauvenet</v>
          </cell>
          <cell r="F683" t="str">
            <v>Service d'ONCOLOGIE DIGESTIVE et HEPATOLOGIE du Centre Hospitalier Lyon Sud</v>
          </cell>
        </row>
        <row r="684">
          <cell r="D684" t="str">
            <v>Marion Chauvenet</v>
          </cell>
          <cell r="F684" t="str">
            <v>Service d'ONCOLOGIE DIGESTIVE et HEPATOLOGIE du Centre Hospitalier Lyon Sud</v>
          </cell>
        </row>
        <row r="685">
          <cell r="D685" t="str">
            <v>Marion Cortet</v>
          </cell>
          <cell r="F685" t="str">
            <v>Service de Gynécologie de l'hôpital de la Croix-Rousse</v>
          </cell>
        </row>
        <row r="686">
          <cell r="D686" t="str">
            <v>Marion Cortet</v>
          </cell>
          <cell r="F686" t="str">
            <v>Service de Gynécologie de l'hôpital de la Croix-Rousse</v>
          </cell>
        </row>
        <row r="687">
          <cell r="D687" t="str">
            <v>Marion Deslandres</v>
          </cell>
          <cell r="F687" t="str">
            <v>Rangueil hospital</v>
          </cell>
        </row>
        <row r="688">
          <cell r="D688" t="str">
            <v>Marion Jaffrelot</v>
          </cell>
          <cell r="F688" t="str">
            <v>Rangueil hospital</v>
          </cell>
        </row>
        <row r="689">
          <cell r="D689" t="str">
            <v>Martin Petit</v>
          </cell>
        </row>
        <row r="690">
          <cell r="D690" t="str">
            <v>Martin Petit</v>
          </cell>
          <cell r="F690" t="str">
            <v>Service d'Anesthésiologie - Réanimation Chirurgicale - CHU de Strasbourg - France</v>
          </cell>
        </row>
        <row r="691">
          <cell r="D691" t="str">
            <v>Martin Petit</v>
          </cell>
          <cell r="F691" t="str">
            <v>Service d'Anesthésiologie - Réanimation Chirurgicale - CHU de Strasbourg - France</v>
          </cell>
        </row>
        <row r="692">
          <cell r="D692" t="str">
            <v>Mathias Brugel</v>
          </cell>
          <cell r="F692" t="str">
            <v>Centre Hospitalier de la Côte Basque</v>
          </cell>
        </row>
        <row r="693">
          <cell r="D693" t="str">
            <v>Mathieu Pioche</v>
          </cell>
          <cell r="F693" t="str">
            <v>Service d'ONCOLOGIE DIGESTIVE et HEPATOLOGIE de l'Hôpital E. Herriot</v>
          </cell>
        </row>
        <row r="694">
          <cell r="D694" t="str">
            <v>Mathilde Gay-Bellile</v>
          </cell>
          <cell r="F694" t="str">
            <v>Centre Jean Perrin</v>
          </cell>
        </row>
        <row r="695">
          <cell r="D695" t="str">
            <v>Mathilde Gay-Bellile</v>
          </cell>
          <cell r="F695" t="str">
            <v>Centre Jean Perrin</v>
          </cell>
        </row>
        <row r="696">
          <cell r="D696" t="str">
            <v>Mathilde Wagner</v>
          </cell>
        </row>
        <row r="697">
          <cell r="D697" t="str">
            <v>Mathilde Wagner</v>
          </cell>
          <cell r="F697" t="str">
            <v>Assistance Publique - Hôpitaux de Paris</v>
          </cell>
        </row>
        <row r="698">
          <cell r="D698" t="str">
            <v>Mathilde Wagner</v>
          </cell>
          <cell r="F698" t="str">
            <v>Pitié Salpetriere Hospital</v>
          </cell>
        </row>
        <row r="699">
          <cell r="D699" t="str">
            <v>Matthias Guckenberger</v>
          </cell>
          <cell r="F699" t="str">
            <v>University of Zurich</v>
          </cell>
        </row>
        <row r="700">
          <cell r="D700" t="str">
            <v>Matthieu Delaye</v>
          </cell>
          <cell r="F700" t="str">
            <v>Institut Curie - site Saint-Cloud</v>
          </cell>
        </row>
        <row r="701">
          <cell r="D701" t="str">
            <v>Matthieu Faron</v>
          </cell>
        </row>
        <row r="702">
          <cell r="D702" t="str">
            <v>Matthieu Faron</v>
          </cell>
          <cell r="F702" t="str">
            <v>Gustave Roussy</v>
          </cell>
        </row>
        <row r="703">
          <cell r="D703" t="str">
            <v>Maxim Pimkin</v>
          </cell>
          <cell r="F703" t="str">
            <v>Tango Therapeutics, Inc.</v>
          </cell>
        </row>
        <row r="704">
          <cell r="D704" t="str">
            <v>Maxim Pimpkin</v>
          </cell>
        </row>
        <row r="705">
          <cell r="D705" t="str">
            <v>Maxim Pimpkin</v>
          </cell>
          <cell r="F705" t="str">
            <v>Tango Therapeutics, Inc.</v>
          </cell>
        </row>
        <row r="706">
          <cell r="D706" t="str">
            <v>Maximiliano Gelli</v>
          </cell>
          <cell r="F706" t="str">
            <v>Institut Gustave Roussy</v>
          </cell>
        </row>
        <row r="707">
          <cell r="D707" t="str">
            <v>Md</v>
          </cell>
          <cell r="F707" t="str">
            <v>Amgen</v>
          </cell>
        </row>
        <row r="708">
          <cell r="D708" t="str">
            <v>Md</v>
          </cell>
          <cell r="F708" t="str">
            <v>Amgen</v>
          </cell>
        </row>
        <row r="709">
          <cell r="D709" t="str">
            <v>Md</v>
          </cell>
          <cell r="F709" t="str">
            <v>Amgen</v>
          </cell>
        </row>
        <row r="710">
          <cell r="D710" t="str">
            <v>Md</v>
          </cell>
          <cell r="F710" t="str">
            <v>Amgen</v>
          </cell>
        </row>
        <row r="711">
          <cell r="D711" t="str">
            <v>Md</v>
          </cell>
          <cell r="F711" t="str">
            <v>Amgen</v>
          </cell>
        </row>
        <row r="712">
          <cell r="D712" t="str">
            <v>Md</v>
          </cell>
          <cell r="F712" t="str">
            <v>Amgen</v>
          </cell>
        </row>
        <row r="713">
          <cell r="D713" t="str">
            <v>Medical Director</v>
          </cell>
          <cell r="F713" t="str">
            <v>Astellas Pharma Global Development</v>
          </cell>
        </row>
        <row r="714">
          <cell r="D714" t="str">
            <v>Medical Director</v>
          </cell>
          <cell r="F714" t="str">
            <v>Ipsen</v>
          </cell>
        </row>
        <row r="715">
          <cell r="D715" t="str">
            <v>Medical Director</v>
          </cell>
          <cell r="F715" t="str">
            <v>Arcus Biosciences</v>
          </cell>
        </row>
        <row r="716">
          <cell r="D716" t="str">
            <v>Medical Director</v>
          </cell>
          <cell r="F716" t="str">
            <v>Merck Sharp &amp; Dohme LLC</v>
          </cell>
        </row>
        <row r="717">
          <cell r="D717" t="str">
            <v>Medical Director</v>
          </cell>
          <cell r="F717" t="str">
            <v>Merck Sharp &amp; Dohme LLC</v>
          </cell>
        </row>
        <row r="718">
          <cell r="D718" t="str">
            <v>Medical Lead</v>
          </cell>
          <cell r="F718" t="str">
            <v>Astellas Pharma Inc</v>
          </cell>
        </row>
        <row r="719">
          <cell r="D719" t="str">
            <v>Medical Responsible</v>
          </cell>
          <cell r="F719" t="str">
            <v>Merck Healthcare KGaA, Darmstadt, Germany, an affiliate of Merck KGaA, Darmstadt, Germany</v>
          </cell>
        </row>
        <row r="720">
          <cell r="D720" t="str">
            <v>Mehdi Elamrani</v>
          </cell>
        </row>
        <row r="721">
          <cell r="D721" t="str">
            <v>Mehdi Elamrani</v>
          </cell>
          <cell r="F721" t="str">
            <v>University Hospital, Lille</v>
          </cell>
        </row>
        <row r="722">
          <cell r="D722" t="str">
            <v>Mehdi Ouassi</v>
          </cell>
          <cell r="F722" t="str">
            <v>Assistance Publique des Hôpitaux de Marseille</v>
          </cell>
        </row>
        <row r="723">
          <cell r="D723" t="str">
            <v>Meher Ben Abdelghani</v>
          </cell>
          <cell r="F723" t="str">
            <v>Service D'Hematologie Et D'Oncologie</v>
          </cell>
        </row>
        <row r="724">
          <cell r="D724" t="str">
            <v>Meher Benabdelghani</v>
          </cell>
          <cell r="F724" t="str">
            <v>Centre Paul Strauss</v>
          </cell>
        </row>
        <row r="725">
          <cell r="D725" t="str">
            <v>Meher Benabdelghani</v>
          </cell>
          <cell r="F725" t="str">
            <v>Centre Paul Strauss</v>
          </cell>
        </row>
        <row r="726">
          <cell r="D726" t="str">
            <v>Mélanie Legrand</v>
          </cell>
        </row>
        <row r="727">
          <cell r="D727" t="str">
            <v>Melissa Johnson</v>
          </cell>
          <cell r="F727" t="str">
            <v>Tennessee Oncology</v>
          </cell>
        </row>
        <row r="728">
          <cell r="D728" t="str">
            <v>Messaouda Merzoug</v>
          </cell>
          <cell r="F728" t="str">
            <v>Ambroise Paré-Hartmann</v>
          </cell>
        </row>
        <row r="729">
          <cell r="D729" t="str">
            <v>Michael Duruisseaux</v>
          </cell>
          <cell r="F729" t="str">
            <v>Service de Pneumologie du Groupement Hospitalier Est</v>
          </cell>
        </row>
        <row r="730">
          <cell r="D730" t="str">
            <v>Michael Duruisseaux</v>
          </cell>
          <cell r="F730" t="str">
            <v>Service de Pneumologie du Groupement Hospitalier Est</v>
          </cell>
        </row>
        <row r="731">
          <cell r="D731" t="str">
            <v>Michael J Walker</v>
          </cell>
          <cell r="F731" t="str">
            <v>Panbela Therapeutics, Inc.</v>
          </cell>
        </row>
        <row r="732">
          <cell r="D732" t="str">
            <v>Michel Ducreux</v>
          </cell>
          <cell r="F732" t="str">
            <v>Gustave Roussy, Cancer Campus, Grand Paris</v>
          </cell>
        </row>
        <row r="733">
          <cell r="D733" t="str">
            <v>Michel Ducreux</v>
          </cell>
          <cell r="F733" t="str">
            <v>Gustave Roussy, Cancer Campus, Grand Paris</v>
          </cell>
        </row>
        <row r="734">
          <cell r="D734" t="str">
            <v>Michel Ducreux</v>
          </cell>
          <cell r="F734" t="str">
            <v>GSK Investigational Site</v>
          </cell>
        </row>
        <row r="735">
          <cell r="D735" t="str">
            <v>Michele Beau-Faller</v>
          </cell>
          <cell r="F735" t="str">
            <v>Hopitaux Universitaires de Strasbourg</v>
          </cell>
        </row>
        <row r="736">
          <cell r="D736" t="str">
            <v>Michele Beau-Faller</v>
          </cell>
          <cell r="F736" t="str">
            <v>Hopitaux Universitaires de Strasbourg</v>
          </cell>
        </row>
        <row r="737">
          <cell r="D737" t="str">
            <v>Mohamed Bouattour</v>
          </cell>
          <cell r="F737" t="str">
            <v>AP-HP - Site de Beaujon</v>
          </cell>
        </row>
        <row r="738">
          <cell r="D738" t="str">
            <v>Mohamed Hebbar</v>
          </cell>
          <cell r="F738" t="str">
            <v>Centre Hospital Universitaire Hop Huriez</v>
          </cell>
        </row>
        <row r="739">
          <cell r="D739" t="str">
            <v>Mona Amini</v>
          </cell>
          <cell r="F739" t="str">
            <v>Service de Dermatologie de l'hôpital Lyon Sud</v>
          </cell>
        </row>
        <row r="740">
          <cell r="D740" t="str">
            <v>Morgan Michalet</v>
          </cell>
          <cell r="F740" t="str">
            <v>Institut régional du Cancer de Montpellier</v>
          </cell>
        </row>
        <row r="741">
          <cell r="D741" t="str">
            <v>Morgan Michalet</v>
          </cell>
          <cell r="F741" t="str">
            <v>Institut régional du Cancer de Montpellier</v>
          </cell>
        </row>
        <row r="742">
          <cell r="D742" t="str">
            <v>Morgane Boedec</v>
          </cell>
          <cell r="F742" t="str">
            <v>Hopital de Hautepierre - Hôpital Universitaire</v>
          </cell>
        </row>
        <row r="743">
          <cell r="D743" t="str">
            <v>Morgane Boedec</v>
          </cell>
          <cell r="F743" t="str">
            <v>Hopital de Hautepierre - Hôpital Universitaire</v>
          </cell>
        </row>
        <row r="744">
          <cell r="D744" t="str">
            <v>Moussion Aurore</v>
          </cell>
        </row>
        <row r="745">
          <cell r="D745" t="str">
            <v>Mustapha Khodri</v>
          </cell>
          <cell r="F745" t="str">
            <v>Hôpital Privé Mermoz - Lyon</v>
          </cell>
        </row>
        <row r="746">
          <cell r="D746" t="str">
            <v>Mylene Hervet</v>
          </cell>
        </row>
        <row r="747">
          <cell r="D747" t="str">
            <v>Mythili Sangem</v>
          </cell>
          <cell r="F747" t="str">
            <v>Apollomics Inc.</v>
          </cell>
        </row>
        <row r="748">
          <cell r="D748" t="str">
            <v>Nadia Mehsen-Cetre</v>
          </cell>
          <cell r="F748" t="str">
            <v>Groupe Hospitalier Pellegrin - Chu</v>
          </cell>
        </row>
        <row r="749">
          <cell r="D749" t="str">
            <v>Nadim Fares</v>
          </cell>
          <cell r="F749" t="str">
            <v>Rangueil hospital</v>
          </cell>
        </row>
        <row r="750">
          <cell r="D750" t="str">
            <v>Nantkwest Clinical Review Team</v>
          </cell>
          <cell r="F750" t="str">
            <v>ImmunityBio, Inc.</v>
          </cell>
        </row>
        <row r="751">
          <cell r="D751" t="str">
            <v>Naoual Bakrin</v>
          </cell>
          <cell r="F751" t="str">
            <v>Service de Chirurgie de l'hôpital Lyon Sud</v>
          </cell>
        </row>
        <row r="752">
          <cell r="D752" t="str">
            <v>Narmyn Rejeb</v>
          </cell>
          <cell r="F752" t="str">
            <v>Merck Serono S.A., Geneva</v>
          </cell>
        </row>
        <row r="753">
          <cell r="D753" t="str">
            <v>Natacha Duval</v>
          </cell>
          <cell r="F753" t="str">
            <v>Centre François Baclesse</v>
          </cell>
        </row>
        <row r="754">
          <cell r="D754" t="str">
            <v>Nathalie Bonnin</v>
          </cell>
          <cell r="F754" t="str">
            <v>Service d'Oncologie médicale du Centre hospitalier Lyon Sud</v>
          </cell>
        </row>
        <row r="755">
          <cell r="D755" t="str">
            <v>Nathalie Le Fur</v>
          </cell>
        </row>
        <row r="756">
          <cell r="D756" t="str">
            <v>Nelly Roldan</v>
          </cell>
        </row>
        <row r="757">
          <cell r="D757" t="str">
            <v>Nicholas A. Pavlidis</v>
          </cell>
          <cell r="F757" t="str">
            <v>University of Ioannina</v>
          </cell>
        </row>
        <row r="758">
          <cell r="D758" t="str">
            <v>Nicolas Benech</v>
          </cell>
        </row>
        <row r="759">
          <cell r="D759" t="str">
            <v>Nicolas Benech</v>
          </cell>
          <cell r="F759" t="str">
            <v>Hospices Civils de Lyon</v>
          </cell>
        </row>
        <row r="760">
          <cell r="D760" t="str">
            <v>Nicolas Benech</v>
          </cell>
          <cell r="F760" t="str">
            <v>Croix Rousse Hospital Hepatology and Gastroenterology Department</v>
          </cell>
        </row>
        <row r="761">
          <cell r="D761" t="str">
            <v>Nicolas Carrere</v>
          </cell>
          <cell r="F761" t="str">
            <v>Rangueil hospital</v>
          </cell>
        </row>
        <row r="762">
          <cell r="D762" t="str">
            <v>Nicolas Carrere</v>
          </cell>
          <cell r="F762" t="str">
            <v>Rangueil hospital</v>
          </cell>
        </row>
        <row r="763">
          <cell r="D763" t="str">
            <v>Nicolas Deleval</v>
          </cell>
          <cell r="F763" t="str">
            <v>Institut Curie</v>
          </cell>
        </row>
        <row r="764">
          <cell r="D764" t="str">
            <v>Nicolas Deleval</v>
          </cell>
          <cell r="F764" t="str">
            <v>Institut Curie -site Saint-Cloud</v>
          </cell>
        </row>
        <row r="765">
          <cell r="D765" t="str">
            <v>Nicolas Deleval</v>
          </cell>
          <cell r="F765" t="str">
            <v>Institut Curie -site Saint-Cloud</v>
          </cell>
        </row>
        <row r="766">
          <cell r="D766" t="str">
            <v>Nicolas Flori</v>
          </cell>
          <cell r="F766" t="str">
            <v>Regional Cancer Center From Montpellier</v>
          </cell>
        </row>
        <row r="767">
          <cell r="D767" t="str">
            <v>Nicolas Girard</v>
          </cell>
          <cell r="F767" t="str">
            <v>Institut Curie</v>
          </cell>
        </row>
        <row r="768">
          <cell r="D768" t="str">
            <v>Nicolas Girard</v>
          </cell>
          <cell r="F768" t="str">
            <v>Institut Curie</v>
          </cell>
        </row>
        <row r="769">
          <cell r="D769" t="str">
            <v>Nicolas Isambert</v>
          </cell>
          <cell r="F769" t="str">
            <v>Chu de Poitiers</v>
          </cell>
        </row>
        <row r="770">
          <cell r="D770" t="str">
            <v>Nicolas Isambert</v>
          </cell>
          <cell r="F770" t="str">
            <v>Chu de Poitiers</v>
          </cell>
        </row>
        <row r="771">
          <cell r="D771" t="str">
            <v>Nicolas Isambert</v>
          </cell>
          <cell r="F771" t="str">
            <v>CHU Poitiers</v>
          </cell>
        </row>
        <row r="772">
          <cell r="D772" t="str">
            <v>Nicolas Regenet</v>
          </cell>
          <cell r="F772" t="str">
            <v>Chu Nantes</v>
          </cell>
        </row>
        <row r="773">
          <cell r="D773" t="str">
            <v>Nicolas Roche</v>
          </cell>
          <cell r="F773" t="str">
            <v>APHP- Hopital Cochin</v>
          </cell>
        </row>
        <row r="774">
          <cell r="D774" t="str">
            <v>Nicolas Williet</v>
          </cell>
        </row>
        <row r="775">
          <cell r="D775" t="str">
            <v>Nicolas Williet</v>
          </cell>
          <cell r="F775" t="str">
            <v>Centre Hospitalier Universitaire de Saint Etienne</v>
          </cell>
        </row>
        <row r="776">
          <cell r="D776" t="str">
            <v>Nicolas Williet</v>
          </cell>
          <cell r="F776" t="str">
            <v>CHU Saint-Etienne</v>
          </cell>
        </row>
        <row r="777">
          <cell r="D777" t="str">
            <v>Nicole Williet</v>
          </cell>
          <cell r="F777" t="str">
            <v>CHU de Saint Etienne</v>
          </cell>
        </row>
        <row r="778">
          <cell r="D778" t="str">
            <v>Nougaret Stephanie</v>
          </cell>
          <cell r="F778" t="str">
            <v>INSTITUT REGIONAL DU CANCER DE MONTPELLIER Cancer de Montpellier</v>
          </cell>
        </row>
        <row r="779">
          <cell r="D779" t="str">
            <v>Nougaret Stephanie</v>
          </cell>
          <cell r="F779" t="str">
            <v>NOUGARET Stephanie</v>
          </cell>
        </row>
        <row r="780">
          <cell r="D780" t="str">
            <v>Novartis Pharmaceuticals</v>
          </cell>
          <cell r="F780" t="str">
            <v>Novartis Pharmaceuticals</v>
          </cell>
        </row>
        <row r="781">
          <cell r="D781" t="str">
            <v>Novartis Pharmaceuticals</v>
          </cell>
          <cell r="F781" t="str">
            <v>Novartis Pharmaceuticals</v>
          </cell>
        </row>
        <row r="782">
          <cell r="D782" t="str">
            <v>Novartis Pharmaceuticals</v>
          </cell>
          <cell r="F782" t="str">
            <v>Novartis Pharmaceuticals</v>
          </cell>
        </row>
        <row r="783">
          <cell r="D783" t="str">
            <v>Novartis Pharmaceuticals</v>
          </cell>
          <cell r="F783" t="str">
            <v>Novartis Pharmaceuticals</v>
          </cell>
        </row>
        <row r="784">
          <cell r="D784" t="str">
            <v>Novartis Pharmaceuticals</v>
          </cell>
          <cell r="F784" t="str">
            <v>Novartis Pharmaceuticals</v>
          </cell>
        </row>
        <row r="785">
          <cell r="D785" t="str">
            <v>Novartis Pharmaceuticals</v>
          </cell>
          <cell r="F785" t="str">
            <v>Novartis Pharmaceuticals</v>
          </cell>
        </row>
        <row r="786">
          <cell r="D786" t="str">
            <v>Novartis Pharmaceuticals</v>
          </cell>
          <cell r="F786" t="str">
            <v>Novartis Pharmaceuticals</v>
          </cell>
        </row>
        <row r="787">
          <cell r="D787" t="str">
            <v>Novartis Pharmaceuticals</v>
          </cell>
          <cell r="F787" t="str">
            <v>Novartis Pharmaceuticals</v>
          </cell>
        </row>
        <row r="788">
          <cell r="D788" t="str">
            <v>Novartis Pharmaceuticals</v>
          </cell>
          <cell r="F788" t="str">
            <v>Novartis Pharmaceuticals</v>
          </cell>
        </row>
        <row r="789">
          <cell r="D789" t="str">
            <v>Novartis Pharmaceuticals</v>
          </cell>
        </row>
        <row r="790">
          <cell r="D790" t="str">
            <v>Novartis Pharmaceuticals</v>
          </cell>
        </row>
        <row r="791">
          <cell r="D791" t="str">
            <v>Novartis Pharmaceuticals</v>
          </cell>
          <cell r="F791" t="str">
            <v>Novartis Pharmaceuticals</v>
          </cell>
        </row>
        <row r="792">
          <cell r="D792" t="str">
            <v>Novartis Pharmaceuticals</v>
          </cell>
          <cell r="F792" t="str">
            <v>Novartis Pharmaceuticals</v>
          </cell>
        </row>
        <row r="793">
          <cell r="D793" t="str">
            <v>Novartis Pharmaceuticals</v>
          </cell>
        </row>
        <row r="794">
          <cell r="D794" t="str">
            <v>Novartis Pharmaceuticals</v>
          </cell>
        </row>
        <row r="795">
          <cell r="D795" t="str">
            <v>Odile Cohen-Haguenauer</v>
          </cell>
          <cell r="F795" t="str">
            <v>Hôpital Saint-Louis</v>
          </cell>
        </row>
        <row r="796">
          <cell r="D796" t="str">
            <v>Odile Cohen-Haguenauer</v>
          </cell>
          <cell r="F796" t="str">
            <v>Hôpital Saint-Louis</v>
          </cell>
        </row>
        <row r="797">
          <cell r="D797" t="str">
            <v>Olivia Le Saux</v>
          </cell>
          <cell r="F797" t="str">
            <v>Service d'Oncologie médicale du Centre hospitalier Lyon Sud</v>
          </cell>
        </row>
        <row r="798">
          <cell r="D798" t="str">
            <v>Olivia Sgarbura</v>
          </cell>
          <cell r="F798" t="str">
            <v>Institut Régional du Cancer de Montpellier</v>
          </cell>
        </row>
        <row r="799">
          <cell r="D799" t="str">
            <v>Olivia Sgarbura</v>
          </cell>
          <cell r="F799" t="str">
            <v>Centre du Cancer</v>
          </cell>
        </row>
        <row r="800">
          <cell r="D800" t="str">
            <v>Olivier Bouche</v>
          </cell>
          <cell r="F800" t="str">
            <v>CHU Robert Debré</v>
          </cell>
        </row>
        <row r="801">
          <cell r="D801" t="str">
            <v>Olivier Bouche</v>
          </cell>
          <cell r="F801" t="str">
            <v>CHU de Reims</v>
          </cell>
        </row>
        <row r="802">
          <cell r="D802" t="str">
            <v>Olivier Bouché</v>
          </cell>
          <cell r="F802" t="str">
            <v>CHU de Reims</v>
          </cell>
        </row>
        <row r="803">
          <cell r="D803" t="str">
            <v>Olivier Bouché</v>
          </cell>
          <cell r="F803" t="str">
            <v>CHU de Reims</v>
          </cell>
        </row>
        <row r="804">
          <cell r="D804" t="str">
            <v>Olivier Caron</v>
          </cell>
          <cell r="F804" t="str">
            <v>Gustave Roussy</v>
          </cell>
        </row>
        <row r="805">
          <cell r="D805" t="str">
            <v>Olivier Caron</v>
          </cell>
          <cell r="F805" t="str">
            <v>Gustave Roussy</v>
          </cell>
        </row>
        <row r="806">
          <cell r="D806" t="str">
            <v>Olivier Glehen</v>
          </cell>
          <cell r="F806" t="str">
            <v>Hospices civils de Lyon</v>
          </cell>
        </row>
        <row r="807">
          <cell r="D807" t="str">
            <v>Olivier Glehen</v>
          </cell>
          <cell r="F807" t="str">
            <v>Service de Chirurgie de l'hôpital Lyon Sud</v>
          </cell>
        </row>
        <row r="808">
          <cell r="D808" t="str">
            <v>Olivier Glehen</v>
          </cell>
          <cell r="F808" t="str">
            <v>Service de Chirurgie de l'hôpital Lyon Sud</v>
          </cell>
        </row>
        <row r="809">
          <cell r="D809" t="str">
            <v>Olivier Lucidarme</v>
          </cell>
        </row>
        <row r="810">
          <cell r="D810" t="str">
            <v>Olivier Rosmorduc</v>
          </cell>
          <cell r="F810" t="str">
            <v>Hopital Saint Antoine</v>
          </cell>
        </row>
        <row r="811">
          <cell r="D811" t="str">
            <v>Olivier Turrini</v>
          </cell>
          <cell r="F811" t="str">
            <v>Institut Paoli-Calmettes</v>
          </cell>
        </row>
        <row r="812">
          <cell r="D812" t="str">
            <v>Olivier Turrini</v>
          </cell>
          <cell r="F812" t="str">
            <v>Institut Paoli-Calmettes</v>
          </cell>
        </row>
        <row r="813">
          <cell r="D813" t="str">
            <v>Ou Rithya</v>
          </cell>
        </row>
        <row r="814">
          <cell r="D814" t="str">
            <v>Pascal Artru</v>
          </cell>
          <cell r="F814" t="str">
            <v>Jean Mermoz private hosptila</v>
          </cell>
        </row>
        <row r="815">
          <cell r="D815" t="str">
            <v>Pascal Foucher</v>
          </cell>
          <cell r="F815" t="str">
            <v>Chu Dijon Bourgogne</v>
          </cell>
        </row>
        <row r="816">
          <cell r="D816" t="str">
            <v>Pascal Foucher</v>
          </cell>
          <cell r="F816" t="str">
            <v>Chu Dijon Bourgogne</v>
          </cell>
        </row>
        <row r="817">
          <cell r="D817" t="str">
            <v>Pascal Guggenbuhl</v>
          </cell>
          <cell r="F817" t="str">
            <v>Chu de Rennes</v>
          </cell>
        </row>
        <row r="818">
          <cell r="D818" t="str">
            <v>Pascal Hammel</v>
          </cell>
          <cell r="F818" t="str">
            <v>Hôpital Paul Brousse - Hôpitaux de Paris (AP-HP)</v>
          </cell>
        </row>
        <row r="819">
          <cell r="D819" t="str">
            <v>Pascal Hammel</v>
          </cell>
          <cell r="F819" t="str">
            <v>Hôpital Beaujon</v>
          </cell>
        </row>
        <row r="820">
          <cell r="D820" t="str">
            <v>Pascal Hammel</v>
          </cell>
          <cell r="F820" t="str">
            <v>Hôpital Beaujon</v>
          </cell>
        </row>
        <row r="821">
          <cell r="D821" t="str">
            <v>Pascal Hammel</v>
          </cell>
          <cell r="F821" t="str">
            <v>Hôpital Beaujon</v>
          </cell>
        </row>
        <row r="822">
          <cell r="D822" t="str">
            <v>Pascal Hammel</v>
          </cell>
          <cell r="F822" t="str">
            <v>Hopital Beaujon</v>
          </cell>
        </row>
        <row r="823">
          <cell r="D823" t="str">
            <v>Pascal Hammel</v>
          </cell>
          <cell r="F823" t="str">
            <v>Hopital Beaujon</v>
          </cell>
        </row>
        <row r="824">
          <cell r="D824" t="str">
            <v>Pascal Hammel</v>
          </cell>
          <cell r="F824" t="str">
            <v>Hopital Beaujon</v>
          </cell>
        </row>
        <row r="825">
          <cell r="D825" t="str">
            <v>Pascal Hammel</v>
          </cell>
          <cell r="F825" t="str">
            <v>Hospital Beaujon, Clichy, France</v>
          </cell>
        </row>
        <row r="826">
          <cell r="D826" t="str">
            <v>Pascal Hammel</v>
          </cell>
          <cell r="F826" t="str">
            <v>Hôpital Universitaire Paul Brousse</v>
          </cell>
        </row>
        <row r="827">
          <cell r="D827" t="str">
            <v>Pascal Hammel</v>
          </cell>
          <cell r="F827" t="str">
            <v>Hôpital Beaujon</v>
          </cell>
        </row>
        <row r="828">
          <cell r="D828" t="str">
            <v>Pascal Hammel</v>
          </cell>
          <cell r="F828" t="str">
            <v>Hopital Beaujon</v>
          </cell>
        </row>
        <row r="829">
          <cell r="D829" t="str">
            <v>Pascal Md Hammel</v>
          </cell>
          <cell r="F829" t="str">
            <v>Hopital Paul Brousse</v>
          </cell>
        </row>
        <row r="830">
          <cell r="D830" t="str">
            <v>Pascal Md Hammel</v>
          </cell>
          <cell r="F830" t="str">
            <v>Hopital Paul Brousse</v>
          </cell>
        </row>
        <row r="831">
          <cell r="D831" t="str">
            <v>Pascale Rivera</v>
          </cell>
          <cell r="F831" t="str">
            <v>Rangueil hospital</v>
          </cell>
        </row>
        <row r="832">
          <cell r="D832" t="str">
            <v>Pascaline Berthet</v>
          </cell>
          <cell r="F832" t="str">
            <v>Centre François Baclesse</v>
          </cell>
        </row>
        <row r="833">
          <cell r="D833" t="str">
            <v>Pascaline Berthet</v>
          </cell>
          <cell r="F833" t="str">
            <v>Centre François Baclesse</v>
          </cell>
        </row>
        <row r="834">
          <cell r="D834" t="str">
            <v>Patricia Thoreux</v>
          </cell>
          <cell r="F834" t="str">
            <v>Hôpital Cochin</v>
          </cell>
        </row>
        <row r="835">
          <cell r="D835" t="str">
            <v>Patrick Pessaux</v>
          </cell>
          <cell r="F835" t="str">
            <v>Unité de Chirurgie Hépato-biliaire et Pancréatique, NHC Strasbourg</v>
          </cell>
        </row>
        <row r="836">
          <cell r="D836" t="str">
            <v>Paul Sargos</v>
          </cell>
          <cell r="F836" t="str">
            <v>Institut Bergonié</v>
          </cell>
        </row>
        <row r="837">
          <cell r="D837" t="str">
            <v>Pauline Maury</v>
          </cell>
          <cell r="F837" t="str">
            <v>Gustave Roussy Institute</v>
          </cell>
        </row>
        <row r="838">
          <cell r="D838" t="str">
            <v>Pauline Vaflard</v>
          </cell>
          <cell r="F838" t="str">
            <v>Institut Curie</v>
          </cell>
        </row>
        <row r="839">
          <cell r="D839" t="str">
            <v>Perol Maurice</v>
          </cell>
          <cell r="F839" t="str">
            <v>Centre Leon Berard</v>
          </cell>
        </row>
        <row r="840">
          <cell r="D840" t="str">
            <v>Pfizer Ct.Gov Call Center</v>
          </cell>
          <cell r="F840" t="str">
            <v>Pfizer</v>
          </cell>
        </row>
        <row r="841">
          <cell r="D841" t="str">
            <v>Pfizer Ct.Gov Call Center</v>
          </cell>
          <cell r="F841" t="str">
            <v>Pfizer</v>
          </cell>
        </row>
        <row r="842">
          <cell r="D842" t="str">
            <v>Pfizer Ct.Gov Call Center</v>
          </cell>
          <cell r="F842" t="str">
            <v>Pfizer</v>
          </cell>
        </row>
        <row r="843">
          <cell r="D843" t="str">
            <v>Pfizer Ct.Gov Call Center</v>
          </cell>
          <cell r="F843" t="str">
            <v>Pfizer</v>
          </cell>
        </row>
        <row r="844">
          <cell r="D844" t="str">
            <v>Pfizer Ct.Gov Call Center</v>
          </cell>
          <cell r="F844" t="str">
            <v>Pfizer</v>
          </cell>
        </row>
        <row r="845">
          <cell r="D845" t="str">
            <v>Pfizer Ct.Gov Call Center</v>
          </cell>
          <cell r="F845" t="str">
            <v>Pfizer</v>
          </cell>
        </row>
        <row r="846">
          <cell r="D846" t="str">
            <v>Pfizer Ct.Gov Call Center</v>
          </cell>
        </row>
        <row r="847">
          <cell r="D847" t="str">
            <v>Pfizer Ct.Gov Call Center</v>
          </cell>
          <cell r="F847" t="str">
            <v>Pfizer</v>
          </cell>
        </row>
        <row r="848">
          <cell r="D848" t="str">
            <v>Pfizer Ct.Gov Call Center</v>
          </cell>
          <cell r="F848" t="str">
            <v>Pfizer</v>
          </cell>
        </row>
        <row r="849">
          <cell r="D849" t="str">
            <v>Pfizer Ct.Gov Call Center</v>
          </cell>
          <cell r="F849" t="str">
            <v>Pfizer</v>
          </cell>
        </row>
        <row r="850">
          <cell r="D850" t="str">
            <v>Pfizer Ct.Gov Call Center</v>
          </cell>
        </row>
        <row r="851">
          <cell r="D851" t="str">
            <v>Pfizer Ct.Gov Call Center</v>
          </cell>
          <cell r="F851" t="str">
            <v>Pfizer</v>
          </cell>
        </row>
        <row r="852">
          <cell r="D852" t="str">
            <v>Pfizer Ct.Gov Call Center</v>
          </cell>
          <cell r="F852" t="str">
            <v>Pfizer</v>
          </cell>
        </row>
        <row r="853">
          <cell r="D853" t="str">
            <v>Pfizer Ct.Gov Call Center</v>
          </cell>
        </row>
        <row r="854">
          <cell r="D854" t="str">
            <v>Pfizer Ct.Gov Call Center</v>
          </cell>
          <cell r="F854" t="str">
            <v>Pfizer</v>
          </cell>
        </row>
        <row r="855">
          <cell r="D855" t="str">
            <v>Pfizer Ct.Gov Call Center</v>
          </cell>
          <cell r="F855" t="str">
            <v>Pfizer</v>
          </cell>
        </row>
        <row r="856">
          <cell r="D856" t="str">
            <v>Pfizer Ct.Gov Call Center</v>
          </cell>
          <cell r="F856" t="str">
            <v>Pfizer</v>
          </cell>
        </row>
        <row r="857">
          <cell r="D857" t="str">
            <v>Pfizer Ct.Gov Call Center</v>
          </cell>
          <cell r="F857" t="str">
            <v>Pfizer</v>
          </cell>
        </row>
        <row r="858">
          <cell r="D858" t="str">
            <v>Philip A Philip</v>
          </cell>
          <cell r="F858" t="str">
            <v>Karmanos Cancer Institute at Wayne State University</v>
          </cell>
        </row>
        <row r="859">
          <cell r="D859" t="str">
            <v>Philipp Horvath</v>
          </cell>
          <cell r="F859" t="str">
            <v>University Hospital Tuebingen</v>
          </cell>
        </row>
        <row r="860">
          <cell r="D860" t="str">
            <v>Philippe Ah-Soune</v>
          </cell>
          <cell r="F860" t="str">
            <v>CHI Toulon La Seyne</v>
          </cell>
        </row>
        <row r="861">
          <cell r="D861" t="str">
            <v>Philippe Barthelemy</v>
          </cell>
          <cell r="F861" t="str">
            <v>PAU hospital</v>
          </cell>
        </row>
        <row r="862">
          <cell r="D862" t="str">
            <v>Philippe Cassier</v>
          </cell>
        </row>
        <row r="863">
          <cell r="D863" t="str">
            <v>Philippe Cassier</v>
          </cell>
          <cell r="F863" t="str">
            <v>Centre Leon Berard</v>
          </cell>
        </row>
        <row r="864">
          <cell r="D864" t="str">
            <v>Philippe Cassier</v>
          </cell>
          <cell r="F864" t="str">
            <v>Centre Léon Bérard</v>
          </cell>
        </row>
        <row r="865">
          <cell r="D865" t="str">
            <v>Philippe Cassier</v>
          </cell>
        </row>
        <row r="866">
          <cell r="D866" t="str">
            <v>Philippe Cassier</v>
          </cell>
          <cell r="F866" t="str">
            <v>Centre Leon Berard</v>
          </cell>
        </row>
        <row r="867">
          <cell r="D867" t="str">
            <v>Philippe Cassier</v>
          </cell>
          <cell r="F867" t="str">
            <v>Centre Léon Bérard</v>
          </cell>
        </row>
        <row r="868">
          <cell r="D868" t="str">
            <v>Philippe Cassier</v>
          </cell>
          <cell r="F868" t="str">
            <v>Centre Leon Berard</v>
          </cell>
        </row>
        <row r="869">
          <cell r="D869" t="str">
            <v>Philippe Cassier</v>
          </cell>
          <cell r="F869" t="str">
            <v>Centre Leon Berard</v>
          </cell>
        </row>
        <row r="870">
          <cell r="D870" t="str">
            <v>Philippe Cassier</v>
          </cell>
          <cell r="F870" t="str">
            <v>Centre Berard Leon</v>
          </cell>
        </row>
        <row r="871">
          <cell r="D871" t="str">
            <v>Philippe Ceruse</v>
          </cell>
          <cell r="F871" t="str">
            <v>Service d'Oto-Rhino-Laryngologie de l'Hôpital de la Croix-Rousse</v>
          </cell>
        </row>
        <row r="872">
          <cell r="D872" t="str">
            <v>Philippe Debourdeau</v>
          </cell>
          <cell r="F872" t="str">
            <v>Institut Sainte Catherine - Avignon</v>
          </cell>
        </row>
        <row r="873">
          <cell r="D873" t="str">
            <v>Philippe Denizeau</v>
          </cell>
          <cell r="F873" t="str">
            <v>CHU Rennes - Hôpital Sud</v>
          </cell>
        </row>
        <row r="874">
          <cell r="D874" t="str">
            <v>Philippe Denizeau</v>
          </cell>
          <cell r="F874" t="str">
            <v>CHU Rennes - Hôpital Sud</v>
          </cell>
        </row>
        <row r="875">
          <cell r="D875" t="str">
            <v>Philippe Genne</v>
          </cell>
        </row>
        <row r="876">
          <cell r="D876" t="str">
            <v>Philippe Lechat</v>
          </cell>
          <cell r="F876" t="str">
            <v>CHU Pitie-Salpetriere</v>
          </cell>
        </row>
        <row r="877">
          <cell r="D877" t="str">
            <v>Philippe Levy</v>
          </cell>
          <cell r="F877" t="str">
            <v>APHP - Hôpital Beaujon</v>
          </cell>
        </row>
        <row r="878">
          <cell r="D878" t="str">
            <v>Philippe Levy</v>
          </cell>
          <cell r="F878" t="str">
            <v>APHP - Hôpital Beaujon</v>
          </cell>
        </row>
        <row r="879">
          <cell r="D879" t="str">
            <v>Philippe Merle</v>
          </cell>
          <cell r="F879" t="str">
            <v>Service d'ONCOLOGIE DIGESTIVE et HEPATOLOGIE de l'hôpital de la Croix-Rousse</v>
          </cell>
        </row>
        <row r="880">
          <cell r="D880" t="str">
            <v>Philippe Paparel</v>
          </cell>
          <cell r="F880" t="str">
            <v>Service d'Urologie de l'hôpital Lyon Sud</v>
          </cell>
        </row>
        <row r="881">
          <cell r="D881" t="str">
            <v>Philippe Paparel</v>
          </cell>
          <cell r="F881" t="str">
            <v>Service d'Urologie de l'hôpital Lyon Sud</v>
          </cell>
        </row>
        <row r="882">
          <cell r="D882" t="str">
            <v>Philippe Rochigneux</v>
          </cell>
          <cell r="F882" t="str">
            <v>Institut Paoli Calmettes</v>
          </cell>
        </row>
        <row r="883">
          <cell r="D883" t="str">
            <v>Philippe Rochigneux</v>
          </cell>
          <cell r="F883" t="str">
            <v>Institut Paoli Calmettes</v>
          </cell>
        </row>
        <row r="884">
          <cell r="D884" t="str">
            <v>Philippe Rouanet</v>
          </cell>
          <cell r="F884" t="str">
            <v>Institut Régional du Cancer de Montpellier</v>
          </cell>
        </row>
        <row r="885">
          <cell r="D885" t="str">
            <v>Philippe Touraine</v>
          </cell>
          <cell r="F885" t="str">
            <v>Assistance Publique - Hôpitaux de Paris</v>
          </cell>
        </row>
        <row r="886">
          <cell r="D886" t="str">
            <v>Physicians Interested In Becoming Principal Investigators Please Contact</v>
          </cell>
        </row>
        <row r="887">
          <cell r="D887" t="str">
            <v>Physicians Interested In Becoming Principal Investigators Please Contact</v>
          </cell>
        </row>
        <row r="888">
          <cell r="D888" t="str">
            <v>Physicians Interested In Becoming Principal Investigators Please Contact</v>
          </cell>
        </row>
        <row r="889">
          <cell r="D889" t="str">
            <v>Pierre Adrien Bolze</v>
          </cell>
          <cell r="F889" t="str">
            <v>Service de Gynécologie de l'hôpital Lyon Sud</v>
          </cell>
        </row>
        <row r="890">
          <cell r="D890" t="str">
            <v>Pierre Adrien Bolze</v>
          </cell>
          <cell r="F890" t="str">
            <v>Service de Gynécologie de l'hôpital Lyon Sud</v>
          </cell>
        </row>
        <row r="891">
          <cell r="D891" t="str">
            <v>Pierre Emmanuel Colombo</v>
          </cell>
          <cell r="F891" t="str">
            <v>Institut Régional du Cancer de Montpellier</v>
          </cell>
        </row>
        <row r="892">
          <cell r="D892" t="str">
            <v>Pierre Lafforgue</v>
          </cell>
          <cell r="F892" t="str">
            <v>Assistance Publique - Hopitaux de Marseille (Ap-Hm</v>
          </cell>
        </row>
        <row r="893">
          <cell r="D893" t="str">
            <v>Pierre-Alain Clavien</v>
          </cell>
          <cell r="F893" t="str">
            <v>UniversitaetsSpital Zuerich</v>
          </cell>
        </row>
        <row r="894">
          <cell r="D894" t="str">
            <v>Pierre-Emmanuel Brachet</v>
          </cell>
          <cell r="F894" t="str">
            <v>Centre François Baclesse</v>
          </cell>
        </row>
        <row r="895">
          <cell r="D895" t="str">
            <v>Pierre-Emmanuel Colombo</v>
          </cell>
          <cell r="F895" t="str">
            <v>Institut Régional du Cancer de Montpellier (ICM)</v>
          </cell>
        </row>
        <row r="896">
          <cell r="D896" t="str">
            <v>Pierre-Guillaume Poureau</v>
          </cell>
          <cell r="F896" t="str">
            <v>CHU de Brest</v>
          </cell>
        </row>
        <row r="897">
          <cell r="D897" t="str">
            <v>Pierre-Guillaume Poureau</v>
          </cell>
          <cell r="F897" t="str">
            <v>CHU Morvan</v>
          </cell>
        </row>
        <row r="898">
          <cell r="D898" t="str">
            <v>Pierre-Laurent Puig</v>
          </cell>
          <cell r="F898" t="str">
            <v>HEGP</v>
          </cell>
        </row>
        <row r="899">
          <cell r="D899" t="str">
            <v>Pierre-Laurent Puig</v>
          </cell>
          <cell r="F899" t="str">
            <v>HEGP</v>
          </cell>
        </row>
        <row r="900">
          <cell r="D900" t="str">
            <v>Piet Ost</v>
          </cell>
          <cell r="F900" t="str">
            <v>Gasthuiszusters Antwerpen - Sint-Augustinus</v>
          </cell>
        </row>
        <row r="901">
          <cell r="D901" t="str">
            <v>Pietro Addeo</v>
          </cell>
          <cell r="F901" t="str">
            <v>Service de Chirurgie Générale, Hépatique, Endocrinienne et Transplantation - CHU de Strasbourg - France</v>
          </cell>
        </row>
        <row r="902">
          <cell r="D902" t="str">
            <v>Pietro Addeo</v>
          </cell>
          <cell r="F902" t="str">
            <v>CHU Strasbourg</v>
          </cell>
        </row>
        <row r="903">
          <cell r="D903" t="str">
            <v>Pr Schwarz</v>
          </cell>
          <cell r="F903" t="str">
            <v>CHU de Rouen</v>
          </cell>
        </row>
        <row r="904">
          <cell r="D904" t="str">
            <v>Principal Investigator</v>
          </cell>
          <cell r="F904" t="str">
            <v>Institut Bergonie</v>
          </cell>
        </row>
        <row r="905">
          <cell r="D905" t="str">
            <v>Principal Investigator</v>
          </cell>
          <cell r="F905" t="str">
            <v>Institut Godinot</v>
          </cell>
        </row>
        <row r="906">
          <cell r="D906" t="str">
            <v>Principal Investigator</v>
          </cell>
          <cell r="F906" t="str">
            <v>Centre Léon Bérard</v>
          </cell>
        </row>
        <row r="907">
          <cell r="D907" t="str">
            <v>Principal Investigator</v>
          </cell>
          <cell r="F907" t="str">
            <v>Chu Besançon - Hôpital Jean Minjoz</v>
          </cell>
        </row>
        <row r="908">
          <cell r="D908" t="str">
            <v>Principal Investigator</v>
          </cell>
          <cell r="F908" t="str">
            <v>Centre Georges François Leclerc</v>
          </cell>
        </row>
        <row r="909">
          <cell r="D909" t="str">
            <v>Principal Investigator</v>
          </cell>
          <cell r="F909" t="str">
            <v>Institut Régional Du Cancer de Montpellier</v>
          </cell>
        </row>
        <row r="910">
          <cell r="D910" t="str">
            <v>Principal Investigator</v>
          </cell>
          <cell r="F910" t="str">
            <v>Institut Curie - Site de Paris</v>
          </cell>
        </row>
        <row r="911">
          <cell r="D911" t="str">
            <v>Principal Investigator</v>
          </cell>
          <cell r="F911" t="str">
            <v>Ico - Site René Gauducheau</v>
          </cell>
        </row>
        <row r="912">
          <cell r="D912" t="str">
            <v>Principal Investigator</v>
          </cell>
          <cell r="F912" t="str">
            <v>Institut Claudius Regaud</v>
          </cell>
        </row>
        <row r="913">
          <cell r="D913" t="str">
            <v>Principal Investigator</v>
          </cell>
          <cell r="F913" t="str">
            <v>Institut Gustave Roussy</v>
          </cell>
        </row>
        <row r="914">
          <cell r="D914" t="str">
            <v>R. Padbury</v>
          </cell>
          <cell r="F914" t="str">
            <v>Flinders Medical Centre</v>
          </cell>
        </row>
        <row r="915">
          <cell r="D915" t="str">
            <v>Rachel Bragg</v>
          </cell>
        </row>
        <row r="916">
          <cell r="D916" t="str">
            <v>Rachida Lebtahi</v>
          </cell>
          <cell r="F916" t="str">
            <v>Hopital Foch (AP-HP)</v>
          </cell>
        </row>
        <row r="917">
          <cell r="D917" t="str">
            <v>Rachida Lebtahi</v>
          </cell>
          <cell r="F917" t="str">
            <v>Hopital Foch (AP-HP)</v>
          </cell>
        </row>
        <row r="918">
          <cell r="D918" t="str">
            <v>Rachida Lebtahi</v>
          </cell>
          <cell r="F918" t="str">
            <v>AP-HP - Site de Beaujon</v>
          </cell>
        </row>
        <row r="919">
          <cell r="D919" t="str">
            <v>Raphaël Colle</v>
          </cell>
          <cell r="F919" t="str">
            <v>Institut Mutualiste Montsouris</v>
          </cell>
        </row>
        <row r="920">
          <cell r="D920" t="str">
            <v>Rayzebio Clinical Trials</v>
          </cell>
        </row>
        <row r="921">
          <cell r="D921" t="str">
            <v>Reference Study Id Number: Go44479 Https://Forpatients.Roche.Com/</v>
          </cell>
        </row>
        <row r="922">
          <cell r="D922" t="str">
            <v>Regis Souche</v>
          </cell>
        </row>
        <row r="923">
          <cell r="D923" t="str">
            <v>Regis Souche</v>
          </cell>
          <cell r="F923" t="str">
            <v>University Hospital, Montpellier</v>
          </cell>
        </row>
        <row r="924">
          <cell r="D924" t="str">
            <v>Regis Souche</v>
          </cell>
          <cell r="F924" t="str">
            <v>Uhmontpellier</v>
          </cell>
        </row>
        <row r="925">
          <cell r="D925" t="str">
            <v>Regis Souche</v>
          </cell>
          <cell r="F925" t="str">
            <v>University Hospital, Montpellier</v>
          </cell>
        </row>
        <row r="926">
          <cell r="D926" t="str">
            <v>Regis Souche</v>
          </cell>
          <cell r="F926" t="str">
            <v>University Hospital, Montpellier</v>
          </cell>
        </row>
        <row r="927">
          <cell r="D927" t="str">
            <v>Regis Souche</v>
          </cell>
          <cell r="F927" t="str">
            <v>University Hospital, Montpellier</v>
          </cell>
        </row>
        <row r="928">
          <cell r="D928" t="str">
            <v>Régis Souche</v>
          </cell>
        </row>
        <row r="929">
          <cell r="D929" t="str">
            <v>Renato Lupinaci</v>
          </cell>
          <cell r="F929" t="str">
            <v>Hôpital Ambroise Paré</v>
          </cell>
        </row>
        <row r="930">
          <cell r="D930" t="str">
            <v>Revolution Medicines</v>
          </cell>
        </row>
        <row r="931">
          <cell r="D931" t="str">
            <v>Revolution Medicines</v>
          </cell>
          <cell r="F931" t="str">
            <v>Revolution Medicines, Inc.</v>
          </cell>
        </row>
        <row r="932">
          <cell r="D932" t="str">
            <v>Revolution Medicines</v>
          </cell>
          <cell r="F932" t="str">
            <v>Revolution Medicines, Inc.</v>
          </cell>
        </row>
        <row r="933">
          <cell r="D933" t="str">
            <v>Rezolute Clinical Trial</v>
          </cell>
        </row>
        <row r="934">
          <cell r="D934" t="str">
            <v>Rodica Gincul</v>
          </cell>
        </row>
        <row r="935">
          <cell r="D935" t="str">
            <v>Rodica Gincul</v>
          </cell>
          <cell r="F935" t="str">
            <v>Hôpital Jean Mermoz</v>
          </cell>
        </row>
        <row r="936">
          <cell r="D936" t="str">
            <v>Rodica Gincul</v>
          </cell>
          <cell r="F936" t="str">
            <v>Hôpital Jean Mermoz</v>
          </cell>
        </row>
        <row r="937">
          <cell r="D937" t="str">
            <v>Rodica Gincul</v>
          </cell>
          <cell r="F937" t="str">
            <v>Hôpital Jean Mermoz</v>
          </cell>
        </row>
        <row r="938">
          <cell r="D938" t="str">
            <v>Rodica Gincul</v>
          </cell>
          <cell r="F938" t="str">
            <v>Société Française d'Endoscopie Digestive</v>
          </cell>
        </row>
        <row r="939">
          <cell r="D939" t="str">
            <v>Rodica Gincul</v>
          </cell>
        </row>
        <row r="940">
          <cell r="D940" t="str">
            <v>Rodica Gincul</v>
          </cell>
          <cell r="F940" t="str">
            <v>Hôpital Privé Jean Mermoz</v>
          </cell>
        </row>
        <row r="941">
          <cell r="D941" t="str">
            <v>Roland Chapurlat</v>
          </cell>
        </row>
        <row r="942">
          <cell r="D942" t="str">
            <v>Roland Chapurlat</v>
          </cell>
          <cell r="F942" t="str">
            <v>Service Rhumatologie, pavillon F Hopital E. Herriot</v>
          </cell>
        </row>
        <row r="943">
          <cell r="D943" t="str">
            <v>Romain Desgrippes</v>
          </cell>
          <cell r="F943" t="str">
            <v>Centre Hospitalier de Saint Malo</v>
          </cell>
        </row>
        <row r="944">
          <cell r="D944" t="str">
            <v>Ronan Abgral</v>
          </cell>
          <cell r="F944" t="str">
            <v>CHU Brest</v>
          </cell>
        </row>
        <row r="945">
          <cell r="D945" t="str">
            <v>Ronan Abgral</v>
          </cell>
          <cell r="F945" t="str">
            <v>CHU Brest</v>
          </cell>
        </row>
        <row r="946">
          <cell r="D946" t="str">
            <v>Rose-Marie Javier</v>
          </cell>
          <cell r="F946" t="str">
            <v>Hopitaux Universitaires de Strasbourg</v>
          </cell>
        </row>
        <row r="947">
          <cell r="D947" t="str">
            <v>Rosine Guimbaud</v>
          </cell>
          <cell r="F947" t="str">
            <v>CHU de Toulouse</v>
          </cell>
        </row>
        <row r="948">
          <cell r="D948" t="str">
            <v>Rosine Guimbaud</v>
          </cell>
          <cell r="F948" t="str">
            <v>CHU de Toulouse</v>
          </cell>
        </row>
        <row r="949">
          <cell r="D949" t="str">
            <v>Rosine Guimbaud</v>
          </cell>
          <cell r="F949" t="str">
            <v>Hôpital de Rangueil</v>
          </cell>
        </row>
        <row r="950">
          <cell r="D950" t="str">
            <v>Rosine Guimbaud</v>
          </cell>
          <cell r="F950" t="str">
            <v>Rangueil hospital</v>
          </cell>
        </row>
        <row r="951">
          <cell r="D951" t="str">
            <v>Rosine Guimbaud</v>
          </cell>
          <cell r="F951" t="str">
            <v>CHU Rangueil</v>
          </cell>
        </row>
        <row r="952">
          <cell r="D952" t="str">
            <v>Rosine Guimbaud</v>
          </cell>
          <cell r="F952" t="str">
            <v>CHU de Toulouse Hôpital Rangueil</v>
          </cell>
        </row>
        <row r="953">
          <cell r="D953" t="str">
            <v>Sabine Rhode</v>
          </cell>
        </row>
        <row r="954">
          <cell r="D954" t="str">
            <v>Saïd Chayer</v>
          </cell>
        </row>
        <row r="955">
          <cell r="D955" t="str">
            <v>Saïd Chayer</v>
          </cell>
          <cell r="F955" t="str">
            <v>Service d'Oncologie - CHU de Strasbourg - France</v>
          </cell>
        </row>
        <row r="956">
          <cell r="D956" t="str">
            <v>Salazar Ramon</v>
          </cell>
          <cell r="F956" t="str">
            <v>Instituto Catalán de Oncologia, ICO-Hospitalet</v>
          </cell>
        </row>
        <row r="957">
          <cell r="D957" t="str">
            <v>Sameh Bou Ali</v>
          </cell>
          <cell r="F957" t="str">
            <v>Institut Paoli-Calmettes</v>
          </cell>
        </row>
        <row r="958">
          <cell r="D958" t="str">
            <v>Samir Chenaf</v>
          </cell>
          <cell r="F958" t="str">
            <v>CHU Strasbourg - Hôpital Hautepierre</v>
          </cell>
        </row>
        <row r="959">
          <cell r="D959" t="str">
            <v>Samir Hacene</v>
          </cell>
          <cell r="F959" t="str">
            <v>Centre Hospitalier Carcassone</v>
          </cell>
        </row>
        <row r="960">
          <cell r="D960" t="str">
            <v>Samuel Le Sourd</v>
          </cell>
          <cell r="F960" t="str">
            <v>EDOG - Centre Eugene Marquis Centre Regional de Lutte Contre Le Cancer - PPDS</v>
          </cell>
        </row>
        <row r="961">
          <cell r="D961" t="str">
            <v>Sandra Ferrer</v>
          </cell>
          <cell r="F961" t="str">
            <v>Centre Hospitalier Hôtel Dieu</v>
          </cell>
        </row>
        <row r="962">
          <cell r="D962" t="str">
            <v>Sandra Ferrer</v>
          </cell>
          <cell r="F962" t="str">
            <v>Centre Hospitalier Hôtel Dieu</v>
          </cell>
        </row>
        <row r="963">
          <cell r="D963" t="str">
            <v>Sandra Nespoulous</v>
          </cell>
        </row>
        <row r="964">
          <cell r="D964" t="str">
            <v>Sandrine Caputo</v>
          </cell>
        </row>
        <row r="965">
          <cell r="D965" t="str">
            <v>Sandrine Caputo</v>
          </cell>
          <cell r="F965" t="str">
            <v>Institut Curie</v>
          </cell>
        </row>
        <row r="966">
          <cell r="D966" t="str">
            <v>Sandrine Caputo</v>
          </cell>
          <cell r="F966" t="str">
            <v>Institut Curie - Paris site</v>
          </cell>
        </row>
        <row r="967">
          <cell r="D967" t="str">
            <v>Sandrine Hiret</v>
          </cell>
          <cell r="F967" t="str">
            <v>Institut de Cancérologie de l'Ouest (ICO) - Nantes, France</v>
          </cell>
        </row>
        <row r="968">
          <cell r="D968" t="str">
            <v>Sandrine Hiret</v>
          </cell>
          <cell r="F968" t="str">
            <v>Institut de Cancérologie de l'Ouest</v>
          </cell>
        </row>
        <row r="969">
          <cell r="D969" t="str">
            <v>Sandrine Hiret</v>
          </cell>
          <cell r="F969" t="str">
            <v>Institut de Cancérologie de l'Ouest</v>
          </cell>
        </row>
        <row r="970">
          <cell r="D970" t="str">
            <v>Sandrine Malochet</v>
          </cell>
          <cell r="F970" t="str">
            <v>Chu de Clermont-Ferrand</v>
          </cell>
        </row>
        <row r="971">
          <cell r="D971" t="str">
            <v>Sara Calattini</v>
          </cell>
        </row>
        <row r="972">
          <cell r="D972" t="str">
            <v>Sarah Cannon Development Innovations</v>
          </cell>
        </row>
        <row r="973">
          <cell r="D973" t="str">
            <v>Sarah Girot</v>
          </cell>
        </row>
        <row r="974">
          <cell r="D974" t="str">
            <v>Seagen Pfizer Ct.Gov Call Center</v>
          </cell>
        </row>
        <row r="975">
          <cell r="D975" t="str">
            <v>Sebastien Carrere</v>
          </cell>
          <cell r="F975" t="str">
            <v>Institut Régional du Cancer de Montpellier</v>
          </cell>
        </row>
        <row r="976">
          <cell r="D976" t="str">
            <v>Sebastien Couraud</v>
          </cell>
          <cell r="F976" t="str">
            <v>Service de Pneumologie de l'Hôpital Lyon Sud</v>
          </cell>
        </row>
        <row r="977">
          <cell r="D977" t="str">
            <v>Sebastien Couraud</v>
          </cell>
          <cell r="F977" t="str">
            <v>Service de Pneumologie de l'Hôpital Lyon Sud</v>
          </cell>
        </row>
        <row r="978">
          <cell r="D978" t="str">
            <v>Sebastien Gaujoux</v>
          </cell>
          <cell r="F978" t="str">
            <v>Hôpital la pitié salpêtrière, APHP</v>
          </cell>
        </row>
        <row r="979">
          <cell r="D979" t="str">
            <v>Sébastien Gaujoux</v>
          </cell>
          <cell r="F979" t="str">
            <v>Hôpital Cochin</v>
          </cell>
        </row>
        <row r="980">
          <cell r="D980" t="str">
            <v>Sébastien Gaujoux</v>
          </cell>
          <cell r="F980" t="str">
            <v>Hôpital Cochin</v>
          </cell>
        </row>
        <row r="981">
          <cell r="D981" t="str">
            <v>Sebastien Moliere</v>
          </cell>
          <cell r="F981" t="str">
            <v>CHU Strasbourg - Hôpital Hautepierre</v>
          </cell>
        </row>
        <row r="982">
          <cell r="D982" t="str">
            <v>Sebastien Vachenc</v>
          </cell>
        </row>
        <row r="983">
          <cell r="D983" t="str">
            <v>Secondo Lastoria</v>
          </cell>
          <cell r="F983" t="str">
            <v>ISTITUTO NAZIONALE DEI TUMORI IRCCS - FONDAZIONE "G. PASCALE" NAPLES - ITALY</v>
          </cell>
        </row>
        <row r="984">
          <cell r="D984" t="str">
            <v>Senior Director</v>
          </cell>
          <cell r="F984" t="str">
            <v>Astellas Pharma Global Development, Inc.</v>
          </cell>
        </row>
        <row r="985">
          <cell r="D985" t="str">
            <v>Serena Oliveri</v>
          </cell>
          <cell r="F985" t="str">
            <v>European Institute of Oncology</v>
          </cell>
        </row>
        <row r="986">
          <cell r="D986" t="str">
            <v>Sheik Emambux</v>
          </cell>
        </row>
        <row r="987">
          <cell r="D987" t="str">
            <v>Sheik Emambux</v>
          </cell>
          <cell r="F987" t="str">
            <v>C.H.U. Poitiers</v>
          </cell>
        </row>
        <row r="988">
          <cell r="D988" t="str">
            <v>Shirley Yuan</v>
          </cell>
        </row>
        <row r="989">
          <cell r="D989" t="str">
            <v>Simon Istolainen</v>
          </cell>
        </row>
        <row r="990">
          <cell r="D990" t="str">
            <v>Simon Pernot</v>
          </cell>
        </row>
        <row r="991">
          <cell r="D991" t="str">
            <v>Simon Pernot</v>
          </cell>
          <cell r="F991" t="str">
            <v>Institut Bergonié</v>
          </cell>
        </row>
        <row r="992">
          <cell r="D992" t="str">
            <v>Simone Mathoulin-Pelissier</v>
          </cell>
        </row>
        <row r="993">
          <cell r="D993" t="str">
            <v>Site 0029</v>
          </cell>
          <cell r="F993" t="str">
            <v>Local Institution - 0029</v>
          </cell>
        </row>
        <row r="994">
          <cell r="D994" t="str">
            <v>Site 0067</v>
          </cell>
          <cell r="F994" t="str">
            <v>Local Institution - 0067</v>
          </cell>
        </row>
        <row r="995">
          <cell r="D995" t="str">
            <v>Site 0074</v>
          </cell>
          <cell r="F995" t="str">
            <v>Local Institution - 0074</v>
          </cell>
        </row>
        <row r="996">
          <cell r="D996" t="str">
            <v>Site 0075</v>
          </cell>
          <cell r="F996" t="str">
            <v>Local Institution - 0075</v>
          </cell>
        </row>
        <row r="997">
          <cell r="D997" t="str">
            <v>Site 0078</v>
          </cell>
          <cell r="F997" t="str">
            <v>Local Institution - 0078</v>
          </cell>
        </row>
        <row r="998">
          <cell r="D998" t="str">
            <v>Site 0116</v>
          </cell>
          <cell r="F998" t="str">
            <v>Local Institution - 0116</v>
          </cell>
        </row>
        <row r="999">
          <cell r="D999" t="str">
            <v>Site Contact</v>
          </cell>
          <cell r="F999" t="str">
            <v>Research Facility</v>
          </cell>
        </row>
        <row r="1000">
          <cell r="D1000" t="str">
            <v>Site Contact</v>
          </cell>
          <cell r="F1000" t="str">
            <v>Research Facility</v>
          </cell>
        </row>
        <row r="1001">
          <cell r="D1001" t="str">
            <v>Site Contact</v>
          </cell>
          <cell r="F1001" t="str">
            <v>Research Facility</v>
          </cell>
        </row>
        <row r="1002">
          <cell r="D1002" t="str">
            <v>Solafah Abdalla</v>
          </cell>
          <cell r="F1002" t="str">
            <v>Hôpital Bicêtre</v>
          </cell>
        </row>
        <row r="1003">
          <cell r="D1003" t="str">
            <v>Sophie Chopinet</v>
          </cell>
          <cell r="F1003" t="str">
            <v>Hôpital La Timone</v>
          </cell>
        </row>
        <row r="1004">
          <cell r="D1004" t="str">
            <v>Sophie Lejeune</v>
          </cell>
          <cell r="F1004" t="str">
            <v>Chru Lille</v>
          </cell>
        </row>
        <row r="1005">
          <cell r="D1005" t="str">
            <v>Sophie Lejeune</v>
          </cell>
          <cell r="F1005" t="str">
            <v>Chru Lille</v>
          </cell>
        </row>
        <row r="1006">
          <cell r="D1006" t="str">
            <v>Sophie Parnalland</v>
          </cell>
        </row>
        <row r="1007">
          <cell r="D1007" t="str">
            <v>Sophie Parnalland</v>
          </cell>
          <cell r="F1007" t="str">
            <v>Centre Georges-François Leclerc</v>
          </cell>
        </row>
        <row r="1008">
          <cell r="D1008" t="str">
            <v>Sophie Parnalland</v>
          </cell>
        </row>
        <row r="1009">
          <cell r="D1009" t="str">
            <v>Sophie Parnalland</v>
          </cell>
          <cell r="F1009" t="str">
            <v>Centre Georges-François Leclerc</v>
          </cell>
        </row>
        <row r="1010">
          <cell r="D1010" t="str">
            <v>Sophie Tartas</v>
          </cell>
          <cell r="F1010" t="str">
            <v>Service d'Oncologie médicale du Centre hospitalier Lyon Sud</v>
          </cell>
        </row>
        <row r="1011">
          <cell r="D1011" t="str">
            <v>Stépahnie Truant</v>
          </cell>
          <cell r="F1011" t="str">
            <v>Huriez Hospital</v>
          </cell>
        </row>
        <row r="1012">
          <cell r="D1012" t="str">
            <v>Stephane Dalle</v>
          </cell>
          <cell r="F1012" t="str">
            <v>Service de Dermatologie de l'hôpital Lyon Sud</v>
          </cell>
        </row>
        <row r="1013">
          <cell r="D1013" t="str">
            <v>Stephane Dalle</v>
          </cell>
          <cell r="F1013" t="str">
            <v>Service de Dermatologie de l'hôpital Lyon Sud</v>
          </cell>
        </row>
        <row r="1014">
          <cell r="D1014" t="str">
            <v>Stéphane Obled</v>
          </cell>
          <cell r="F1014" t="str">
            <v>CHU Carémeau</v>
          </cell>
        </row>
        <row r="1015">
          <cell r="D1015" t="str">
            <v>Stéphane Pinson</v>
          </cell>
          <cell r="F1015" t="str">
            <v>Hospices Civils de Lyon</v>
          </cell>
        </row>
        <row r="1016">
          <cell r="D1016" t="str">
            <v>Stéphane Pinson</v>
          </cell>
          <cell r="F1016" t="str">
            <v>Hospices Civils de Lyon</v>
          </cell>
        </row>
        <row r="1017">
          <cell r="D1017" t="str">
            <v>Stéphane Schneider</v>
          </cell>
          <cell r="F1017" t="str">
            <v>Centre Hospitalier Universitaire de Nice</v>
          </cell>
        </row>
        <row r="1018">
          <cell r="D1018" t="str">
            <v>Stéphanie Chieze-Valero</v>
          </cell>
          <cell r="F1018" t="str">
            <v>Centre Hospitalier d'Angoulème</v>
          </cell>
        </row>
        <row r="1019">
          <cell r="D1019" t="str">
            <v>Stéphanie Chieze-Valero</v>
          </cell>
          <cell r="F1019" t="str">
            <v>Centre Hospitalier d'Angoulème</v>
          </cell>
        </row>
        <row r="1020">
          <cell r="D1020" t="str">
            <v>Stéphanie Chieze-Valero</v>
          </cell>
          <cell r="F1020" t="str">
            <v>Groupe Hospitalier La Rochelle-Ré-Aunis</v>
          </cell>
        </row>
        <row r="1021">
          <cell r="D1021" t="str">
            <v>Stéphanie Chieze-Valero</v>
          </cell>
          <cell r="F1021" t="str">
            <v>Groupe Hospitalier La Rochelle-Ré-Aunis</v>
          </cell>
        </row>
        <row r="1022">
          <cell r="D1022" t="str">
            <v>Stéphanie Chieze-Valero</v>
          </cell>
          <cell r="F1022" t="str">
            <v>Centre Hospitalier Georges Renon</v>
          </cell>
        </row>
        <row r="1023">
          <cell r="D1023" t="str">
            <v>Stéphanie Chieze-Valero</v>
          </cell>
          <cell r="F1023" t="str">
            <v>Centre Hospitalier Georges Renon</v>
          </cell>
        </row>
        <row r="1024">
          <cell r="D1024" t="str">
            <v>Stephanie Clisant</v>
          </cell>
          <cell r="F1024" t="str">
            <v>Centre Oscar Lambret</v>
          </cell>
        </row>
        <row r="1025">
          <cell r="D1025" t="str">
            <v>Stéphanie Husson</v>
          </cell>
          <cell r="F1025" t="str">
            <v>Service D'Hematologie Et D'Oncologie</v>
          </cell>
        </row>
        <row r="1026">
          <cell r="D1026" t="str">
            <v>Stéphanie Truant</v>
          </cell>
          <cell r="F1026" t="str">
            <v>Chru Lille - Hopital Huriez</v>
          </cell>
        </row>
        <row r="1027">
          <cell r="D1027" t="str">
            <v>Stéphanie Truant</v>
          </cell>
          <cell r="F1027" t="str">
            <v>CHU Lille - Hôpital Claude Huriez</v>
          </cell>
        </row>
        <row r="1028">
          <cell r="D1028" t="str">
            <v>Study Coordinator</v>
          </cell>
          <cell r="F1028" t="str">
            <v>CHU Strasbourg-Hautepierre-Medecine Interne, Endocrinologie et Nutrition ( Site 0402)</v>
          </cell>
        </row>
        <row r="1029">
          <cell r="D1029" t="str">
            <v>Study Coordinator</v>
          </cell>
          <cell r="F1029" t="str">
            <v>Hôpital Edouard Herriot-oncologie ( Site 0405)</v>
          </cell>
        </row>
        <row r="1030">
          <cell r="D1030" t="str">
            <v>Study Coordinator</v>
          </cell>
          <cell r="F1030" t="str">
            <v>Hôpitaux Universitaires Paris Sud - Hôpital Bicêtre ( Site 0407)</v>
          </cell>
        </row>
        <row r="1031">
          <cell r="D1031" t="str">
            <v>Study Coordinator</v>
          </cell>
          <cell r="F1031" t="str">
            <v>Hopitaux Universitaires Paris Centre-Hopital Cochin ( Site 0404)</v>
          </cell>
        </row>
        <row r="1032">
          <cell r="D1032" t="str">
            <v>Study Coordinator</v>
          </cell>
          <cell r="F1032" t="str">
            <v>Gustave Roussy ( Site 0403)</v>
          </cell>
        </row>
        <row r="1033">
          <cell r="D1033" t="str">
            <v>Study Director</v>
          </cell>
          <cell r="F1033" t="str">
            <v>Revolution Medicines</v>
          </cell>
        </row>
        <row r="1034">
          <cell r="D1034" t="str">
            <v>Study Director</v>
          </cell>
          <cell r="F1034" t="str">
            <v>Guardant Health, Inc.</v>
          </cell>
        </row>
        <row r="1035">
          <cell r="D1035" t="str">
            <v>Study Official</v>
          </cell>
          <cell r="F1035" t="str">
            <v>Genmab</v>
          </cell>
        </row>
        <row r="1036">
          <cell r="D1036" t="str">
            <v>Susanna Ulahannan</v>
          </cell>
          <cell r="F1036" t="str">
            <v>Oklahoma University</v>
          </cell>
        </row>
        <row r="1037">
          <cell r="D1037" t="str">
            <v>Suzanne Mcgoldrick</v>
          </cell>
          <cell r="F1037" t="str">
            <v>Seagen Inc.</v>
          </cell>
        </row>
        <row r="1038">
          <cell r="D1038" t="str">
            <v>T. De La Motte Rouge</v>
          </cell>
          <cell r="F1038" t="str">
            <v>Centre Eugène Marquis</v>
          </cell>
        </row>
        <row r="1039">
          <cell r="D1039" t="str">
            <v>Tammy Groene</v>
          </cell>
        </row>
        <row r="1040">
          <cell r="D1040" t="str">
            <v>Tassadit Ben Belkacem</v>
          </cell>
        </row>
        <row r="1041">
          <cell r="D1041" t="str">
            <v>Teng Jin Ong</v>
          </cell>
          <cell r="F1041" t="str">
            <v>Celgene</v>
          </cell>
        </row>
        <row r="1042">
          <cell r="D1042" t="str">
            <v>Texier Emmanuelle</v>
          </cell>
        </row>
        <row r="1043">
          <cell r="D1043" t="str">
            <v>Thérèse Aurran</v>
          </cell>
          <cell r="F1043" t="str">
            <v>Institut Paoli-Calmettes</v>
          </cell>
        </row>
        <row r="1044">
          <cell r="D1044" t="str">
            <v>Thibault Mazard</v>
          </cell>
          <cell r="F1044" t="str">
            <v>Institut Régional du Cancer de Montpellier</v>
          </cell>
        </row>
        <row r="1045">
          <cell r="D1045" t="str">
            <v>Thibault Mazard</v>
          </cell>
          <cell r="F1045" t="str">
            <v>Institut régional du cancer de Montpellier</v>
          </cell>
        </row>
        <row r="1046">
          <cell r="D1046" t="str">
            <v>Thibault Mazard</v>
          </cell>
          <cell r="F1046" t="str">
            <v>Institut régional du cancer de Montpellier</v>
          </cell>
        </row>
        <row r="1047">
          <cell r="D1047" t="str">
            <v>Thierry Andre</v>
          </cell>
          <cell r="F1047" t="str">
            <v>GSK Investigational Site</v>
          </cell>
        </row>
        <row r="1048">
          <cell r="D1048" t="str">
            <v>Thierry Andre</v>
          </cell>
          <cell r="F1048" t="str">
            <v>Hôpital Sainte Antoine - Paris - France</v>
          </cell>
        </row>
        <row r="1049">
          <cell r="D1049" t="str">
            <v>Thierry Andre</v>
          </cell>
          <cell r="F1049" t="str">
            <v>Hôpital Saint-Antoine</v>
          </cell>
        </row>
        <row r="1050">
          <cell r="D1050" t="str">
            <v>Thierry Andre</v>
          </cell>
          <cell r="F1050" t="str">
            <v>Hopital Tenon</v>
          </cell>
        </row>
        <row r="1051">
          <cell r="D1051" t="str">
            <v>Thierry Bienvenu</v>
          </cell>
          <cell r="F1051" t="str">
            <v>Assistance Publique - Hôpitaux de Paris</v>
          </cell>
        </row>
        <row r="1052">
          <cell r="D1052" t="str">
            <v>Thierry Conroy</v>
          </cell>
          <cell r="F1052" t="str">
            <v>Institut de Cancérologie de Lorraine</v>
          </cell>
        </row>
        <row r="1053">
          <cell r="D1053" t="str">
            <v>Thierry Conroy</v>
          </cell>
          <cell r="F1053" t="str">
            <v>Centre Alexis Vautrin</v>
          </cell>
        </row>
        <row r="1054">
          <cell r="D1054" t="str">
            <v>Thierry Marhadour</v>
          </cell>
          <cell r="F1054" t="str">
            <v>CHU de Brest - Hôpital de la Cavale Blanche</v>
          </cell>
        </row>
        <row r="1055">
          <cell r="D1055" t="str">
            <v>Thierry Perez</v>
          </cell>
          <cell r="F1055" t="str">
            <v>CHRU de Lille / Hôpital Calmette - France</v>
          </cell>
        </row>
        <row r="1056">
          <cell r="D1056" t="str">
            <v>Thomas Aparicio</v>
          </cell>
          <cell r="F1056" t="str">
            <v>GSK Investigational Site</v>
          </cell>
        </row>
        <row r="1057">
          <cell r="D1057" t="str">
            <v>Thomas Bardol</v>
          </cell>
        </row>
        <row r="1058">
          <cell r="D1058" t="str">
            <v>Thomas Bardol</v>
          </cell>
          <cell r="F1058" t="str">
            <v>CHU Montpellier</v>
          </cell>
        </row>
        <row r="1059">
          <cell r="D1059" t="str">
            <v>Thomas Bardol</v>
          </cell>
        </row>
        <row r="1060">
          <cell r="D1060" t="str">
            <v>Thomas Bardol</v>
          </cell>
          <cell r="F1060" t="str">
            <v>University Hospital, Montpellier</v>
          </cell>
        </row>
        <row r="1061">
          <cell r="D1061" t="str">
            <v>Thomas Carlier</v>
          </cell>
          <cell r="F1061" t="str">
            <v>Nantes University Hospital</v>
          </cell>
        </row>
        <row r="1062">
          <cell r="D1062" t="str">
            <v>Thomas Funck-Brentano</v>
          </cell>
          <cell r="F1062" t="str">
            <v>Assistance Publique - Hopitaux de Paris (Ap-Hp)</v>
          </cell>
        </row>
        <row r="1063">
          <cell r="D1063" t="str">
            <v>Thomas Walter</v>
          </cell>
          <cell r="F1063" t="str">
            <v>Hôpital Edouard Herriot</v>
          </cell>
        </row>
        <row r="1064">
          <cell r="D1064" t="str">
            <v>Thomas Walter</v>
          </cell>
          <cell r="F1064" t="str">
            <v>Hôpital Edouard Herriot</v>
          </cell>
        </row>
        <row r="1065">
          <cell r="D1065" t="str">
            <v>Thomas Walter</v>
          </cell>
          <cell r="F1065" t="str">
            <v>Service d'ONCOLOGIE DIGESTIVE et HEPATOLOGIE de l'Hôpital E. Herriot</v>
          </cell>
        </row>
        <row r="1066">
          <cell r="D1066" t="str">
            <v>Thomas Walter</v>
          </cell>
          <cell r="F1066" t="str">
            <v>Service d'ONCOLOGIE DIGESTIVE et HEPATOLOGIE de l'Hôpital E. Herriot</v>
          </cell>
        </row>
        <row r="1067">
          <cell r="D1067" t="str">
            <v>Toll Free Number</v>
          </cell>
        </row>
        <row r="1068">
          <cell r="D1068" t="str">
            <v>Trial Questions Or Participation Questions: 1-877-Ctlilly (1-877-285-4559) Or</v>
          </cell>
        </row>
        <row r="1069">
          <cell r="D1069" t="str">
            <v>Trial Questions Or Participation Questions: 1-877-Ctlilly (1-877-285-4559) Or</v>
          </cell>
        </row>
        <row r="1070">
          <cell r="D1070" t="str">
            <v>Trial Questions Or Participation Questions: 1-877-Ctlilly (1-877-285-4559) Or</v>
          </cell>
        </row>
        <row r="1071">
          <cell r="D1071" t="str">
            <v>Ugo Marchese</v>
          </cell>
          <cell r="F1071" t="str">
            <v>Hôpital Cochin</v>
          </cell>
        </row>
        <row r="1072">
          <cell r="D1072" t="str">
            <v>Ugo Marchese</v>
          </cell>
          <cell r="F1072" t="str">
            <v>Hôpital Cochin</v>
          </cell>
        </row>
        <row r="1073">
          <cell r="D1073" t="str">
            <v>Us Gsk Clinical Trials Call Center</v>
          </cell>
        </row>
        <row r="1074">
          <cell r="D1074" t="str">
            <v>Us Gsk Clinical Trials Call Center</v>
          </cell>
          <cell r="F1074" t="str">
            <v>GSK Investigational Site</v>
          </cell>
        </row>
        <row r="1075">
          <cell r="D1075" t="str">
            <v>Us Gsk Clinical Trials Call Center</v>
          </cell>
          <cell r="F1075" t="str">
            <v>GSK Investigational Site</v>
          </cell>
        </row>
        <row r="1076">
          <cell r="D1076" t="str">
            <v>Us Gsk Clinical Trials Call Center</v>
          </cell>
          <cell r="F1076" t="str">
            <v>GSK Investigational Site</v>
          </cell>
        </row>
        <row r="1077">
          <cell r="D1077" t="str">
            <v>Valerie Barder</v>
          </cell>
          <cell r="F1077" t="str">
            <v>Ambroise Pare Hospital</v>
          </cell>
        </row>
        <row r="1078">
          <cell r="D1078" t="str">
            <v>Valérie Bardet</v>
          </cell>
        </row>
        <row r="1079">
          <cell r="D1079" t="str">
            <v>Valérie Bardet</v>
          </cell>
          <cell r="F1079" t="str">
            <v>hematology immunology transfusion Service, Ambroise Pare hospital</v>
          </cell>
        </row>
        <row r="1080">
          <cell r="D1080" t="str">
            <v>Valérie Paradis</v>
          </cell>
        </row>
        <row r="1081">
          <cell r="D1081" t="str">
            <v>Valérie Paradis</v>
          </cell>
          <cell r="F1081" t="str">
            <v>Assistance Publique - Hôpitaux de Paris</v>
          </cell>
        </row>
        <row r="1082">
          <cell r="D1082" t="str">
            <v>Valérie Paradis</v>
          </cell>
          <cell r="F1082" t="str">
            <v>Hôpital Beaujon</v>
          </cell>
        </row>
        <row r="1083">
          <cell r="D1083" t="str">
            <v>Valérie Vilgrain</v>
          </cell>
          <cell r="F1083" t="str">
            <v>Hôpital Beaujon</v>
          </cell>
        </row>
        <row r="1084">
          <cell r="D1084" t="str">
            <v>Vanina Faucher</v>
          </cell>
          <cell r="F1084" t="str">
            <v>Service de Radiologie et d'Echographie, NHC Strasbourg</v>
          </cell>
        </row>
        <row r="1085">
          <cell r="D1085" t="str">
            <v>Vassilis Tsatsaris</v>
          </cell>
          <cell r="F1085" t="str">
            <v>Hôpital Cochin, Maternité Port-Royal, service de Gynécologie obstétrique</v>
          </cell>
        </row>
        <row r="1086">
          <cell r="D1086" t="str">
            <v>Véronica Cusin</v>
          </cell>
          <cell r="F1086" t="str">
            <v>Groupe Hospitalier Pitié-Salpêtrière</v>
          </cell>
        </row>
        <row r="1087">
          <cell r="D1087" t="str">
            <v>Véronica Cusin</v>
          </cell>
          <cell r="F1087" t="str">
            <v>Groupe Hospitalier Pitié-Salpêtrière</v>
          </cell>
        </row>
        <row r="1088">
          <cell r="D1088" t="str">
            <v>Veronique Breuil</v>
          </cell>
          <cell r="F1088" t="str">
            <v>CHU de Nice</v>
          </cell>
        </row>
        <row r="1089">
          <cell r="D1089" t="str">
            <v>Véronique Debien</v>
          </cell>
          <cell r="F1089" t="str">
            <v>Service d'Oncologie - CHU de Strasbourg - France</v>
          </cell>
        </row>
        <row r="1090">
          <cell r="D1090" t="str">
            <v>Véronique Debien</v>
          </cell>
          <cell r="F1090" t="str">
            <v>Service D'Hematologie Et D'Oncologie</v>
          </cell>
        </row>
        <row r="1091">
          <cell r="D1091" t="str">
            <v>Véronique Debien</v>
          </cell>
          <cell r="F1091" t="str">
            <v>Institut Bergonié</v>
          </cell>
        </row>
        <row r="1092">
          <cell r="D1092" t="str">
            <v>Veronique Dedieu</v>
          </cell>
          <cell r="F1092" t="str">
            <v>Centre Jean PERRIN - Clermont-Ferrand</v>
          </cell>
        </row>
        <row r="1093">
          <cell r="D1093" t="str">
            <v>Véronique Gillon</v>
          </cell>
          <cell r="F1093" t="str">
            <v>Institut Curie</v>
          </cell>
        </row>
        <row r="1094">
          <cell r="D1094" t="str">
            <v>Véronique Mari</v>
          </cell>
          <cell r="F1094" t="str">
            <v>Centre Antoine Lacassagne</v>
          </cell>
        </row>
        <row r="1095">
          <cell r="D1095" t="str">
            <v>Véronique Mari</v>
          </cell>
          <cell r="F1095" t="str">
            <v>Centre Antoine Lacassagne</v>
          </cell>
        </row>
        <row r="1096">
          <cell r="D1096" t="str">
            <v>Véronique Trillet Lenoir</v>
          </cell>
          <cell r="F1096" t="str">
            <v>Service d'Oncologie médicale du Centre hospitalier Lyon Sud</v>
          </cell>
        </row>
        <row r="1097">
          <cell r="D1097" t="str">
            <v>Véronique Vendrely</v>
          </cell>
          <cell r="F1097" t="str">
            <v>CHU Bordeaux Haut-Lévêque</v>
          </cell>
        </row>
        <row r="1098">
          <cell r="D1098" t="str">
            <v>Véronique Vendrely</v>
          </cell>
          <cell r="F1098" t="str">
            <v>Haut-Lévêque Hospital</v>
          </cell>
        </row>
        <row r="1099">
          <cell r="D1099" t="str">
            <v>Victor Passerat</v>
          </cell>
          <cell r="F1099" t="str">
            <v>ORLAM</v>
          </cell>
        </row>
        <row r="1100">
          <cell r="D1100" t="str">
            <v>Victor Simmet</v>
          </cell>
          <cell r="F1100" t="str">
            <v>Institut de Cancérologie de l'Ouest</v>
          </cell>
        </row>
        <row r="1101">
          <cell r="D1101" t="str">
            <v>Victoria Manax</v>
          </cell>
          <cell r="F1101" t="str">
            <v>Celgene</v>
          </cell>
        </row>
        <row r="1102">
          <cell r="D1102" t="str">
            <v>Vincent Bourbonne</v>
          </cell>
          <cell r="F1102" t="str">
            <v>CHU Brest</v>
          </cell>
        </row>
        <row r="1103">
          <cell r="D1103" t="str">
            <v>Vincent Lepilliez</v>
          </cell>
          <cell r="F1103" t="str">
            <v>Jean Mermoz private hosptila</v>
          </cell>
        </row>
        <row r="1104">
          <cell r="D1104" t="str">
            <v>Vincent Moutardier</v>
          </cell>
          <cell r="F1104" t="str">
            <v>Assistance Publique des Hôpitaux de Marseille</v>
          </cell>
        </row>
        <row r="1105">
          <cell r="D1105" t="str">
            <v>Vincianne Rebours</v>
          </cell>
        </row>
        <row r="1106">
          <cell r="D1106" t="str">
            <v>Vincianne Rebours</v>
          </cell>
          <cell r="F1106" t="str">
            <v>Hôpital Beaujon</v>
          </cell>
        </row>
        <row r="1107">
          <cell r="D1107" t="str">
            <v>Virginie Bichon</v>
          </cell>
          <cell r="F1107" t="str">
            <v>AP-HP, Hôpital Européen Georges Pompidou, Paris</v>
          </cell>
        </row>
        <row r="1108">
          <cell r="D1108" t="str">
            <v>Virginie Bubien</v>
          </cell>
          <cell r="F1108" t="str">
            <v>Institut Bergonié</v>
          </cell>
        </row>
        <row r="1109">
          <cell r="D1109" t="str">
            <v>Virginie Bubien</v>
          </cell>
          <cell r="F1109" t="str">
            <v>Institut Bergonié</v>
          </cell>
        </row>
        <row r="1110">
          <cell r="D1110" t="str">
            <v>Volker G. Budach</v>
          </cell>
          <cell r="F1110" t="str">
            <v>Charite University, Berlin, Germany</v>
          </cell>
        </row>
        <row r="1111">
          <cell r="D1111" t="str">
            <v>Vp</v>
          </cell>
          <cell r="F1111" t="str">
            <v>Halozyme Therapeutics</v>
          </cell>
        </row>
        <row r="1112">
          <cell r="D1112" t="str">
            <v>William Mina</v>
          </cell>
          <cell r="F1112" t="str">
            <v>CH de Troyes</v>
          </cell>
        </row>
        <row r="1113">
          <cell r="D1113" t="str">
            <v>William Wegener</v>
          </cell>
          <cell r="F1113" t="str">
            <v>Gilead Sciences</v>
          </cell>
        </row>
        <row r="1114">
          <cell r="D1114" t="str">
            <v>Wolikow Nicolas</v>
          </cell>
        </row>
        <row r="1115">
          <cell r="D1115" t="str">
            <v>Xavier Muller</v>
          </cell>
          <cell r="F1115" t="str">
            <v>Xavier MULLER</v>
          </cell>
        </row>
        <row r="1116">
          <cell r="D1116" t="str">
            <v>Yago Pico De Coaña</v>
          </cell>
          <cell r="F1116" t="str">
            <v>Alligator Bioscience AB</v>
          </cell>
        </row>
        <row r="1117">
          <cell r="D1117" t="str">
            <v>Yang Chen</v>
          </cell>
          <cell r="F1117" t="str">
            <v>University of Colorado, Denver</v>
          </cell>
        </row>
        <row r="1118">
          <cell r="D1118" t="str">
            <v>Yann Touchefeu</v>
          </cell>
          <cell r="F1118" t="str">
            <v>Nantes University Hospital</v>
          </cell>
        </row>
        <row r="1119">
          <cell r="D1119" t="str">
            <v>Yann Touchefeu</v>
          </cell>
          <cell r="F1119" t="str">
            <v>CHU de Nantes</v>
          </cell>
        </row>
        <row r="1120">
          <cell r="D1120" t="str">
            <v>Ye Yuan</v>
          </cell>
          <cell r="F1120" t="str">
            <v>RayzeBio Sr. Medical Director</v>
          </cell>
        </row>
        <row r="1121">
          <cell r="D1121" t="str">
            <v>Yohann Loriot</v>
          </cell>
        </row>
        <row r="1122">
          <cell r="D1122" t="str">
            <v>Yohann Loriot</v>
          </cell>
          <cell r="F1122" t="str">
            <v>Gustave Roussy</v>
          </cell>
        </row>
        <row r="1123">
          <cell r="D1123" t="str">
            <v>Yohann Renard</v>
          </cell>
        </row>
        <row r="1124">
          <cell r="D1124" t="str">
            <v>Yohann Renard</v>
          </cell>
          <cell r="F1124" t="str">
            <v>Chu de Reims</v>
          </cell>
        </row>
        <row r="1125">
          <cell r="D1125" t="str">
            <v>Yves Eusen</v>
          </cell>
          <cell r="F1125" t="str">
            <v>CHU de Brest</v>
          </cell>
        </row>
        <row r="1126">
          <cell r="F1126" t="str">
            <v>Marseille CRLCC</v>
          </cell>
        </row>
        <row r="1127">
          <cell r="F1127" t="str">
            <v>CHU Hôtel Dieu</v>
          </cell>
        </row>
        <row r="1128">
          <cell r="F1128" t="str">
            <v>Hôpital Européen Georges Pompidou</v>
          </cell>
        </row>
        <row r="1129">
          <cell r="F1129" t="str">
            <v>Hôpital Saint Antoine</v>
          </cell>
        </row>
        <row r="1130">
          <cell r="F1130" t="str">
            <v>Hôpital Foch</v>
          </cell>
        </row>
        <row r="1131">
          <cell r="F1131" t="str">
            <v>APHP - Groupe Hospitalier Pitié-Salpêtrière</v>
          </cell>
        </row>
        <row r="1132">
          <cell r="F1132" t="str">
            <v>Hop Claude Huriez Chu Lille</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m Kroes" refreshedDate="46259.61565428241" createdVersion="8" refreshedVersion="8" minRefreshableVersion="3" recordCount="630" xr:uid="{C1E4675A-27D6-4565-AF1E-D2FB9F4FED92}">
  <cacheSource type="worksheet">
    <worksheetSource ref="A1:A631" sheet="Sheet2"/>
  </cacheSource>
  <cacheFields count="1">
    <cacheField name="City" numFmtId="0">
      <sharedItems count="405">
        <s v="ABBEVILLE"/>
        <s v="AGEN"/>
        <s v="AIX EN PROVENCE"/>
        <s v="AIX LES BAINS"/>
        <s v="AJACCIO"/>
        <s v="ALBERTVILLE"/>
        <s v="ALBI"/>
        <s v="ALENCON"/>
        <s v="ALENÇON"/>
        <s v="ALES"/>
        <s v="AMBERIEU EN BUGEY"/>
        <s v="Amiens"/>
        <s v="AMILLY"/>
        <s v="ANGERS"/>
        <s v="ANGOULÊME"/>
        <s v="ANNECY"/>
        <s v="ANNEMASSE"/>
        <s v="ANNONAY"/>
        <s v="ANTIBES"/>
        <s v="ANTONY"/>
        <s v="ARES"/>
        <s v="ARGENTAN"/>
        <s v="ARGENTEUIL"/>
        <s v="ARGONAY"/>
        <s v="ARLES"/>
        <s v="ARMENTIÈRES"/>
        <s v="ARNAS"/>
        <s v="ARRAS"/>
        <s v="Ars-Laquenexy"/>
        <s v="AUBAGNE"/>
        <s v="AUBENAS"/>
        <s v="AUBERVILLIERS"/>
        <s v="AUCH"/>
        <s v="AULNAY SOUS BOIS"/>
        <s v="AURILLAC"/>
        <s v="AUXERRE"/>
        <s v="AVIGNON"/>
        <s v="AVRANCHES"/>
        <s v="BAGNOLET"/>
        <s v="BAGNOLS SUR CEZE"/>
        <s v="BAR LE DUC"/>
        <s v="BASSE TERRE"/>
        <s v="BASTIA"/>
        <s v="BAYEUX"/>
        <s v="BAYONNE"/>
        <s v="BEAUMONT"/>
        <s v="BEAUNE"/>
        <s v="BEAUVAIS"/>
        <s v="BELFORT"/>
        <s v="BELLEY"/>
        <s v="BESANCON"/>
        <s v="BÉTHUNE"/>
        <s v="BEUVRY"/>
        <s v="BEZANNES"/>
        <s v="BEZIERS"/>
        <s v="BIARRITZ"/>
        <s v="BLOIS"/>
        <s v="BOBIGNY"/>
        <s v="BOIS BERNARD"/>
        <s v="BOIS GUILLAUME"/>
        <s v="BORDEAUX"/>
        <s v="BOUJAN SUR LIBRON"/>
        <s v="BOULOGNE BILLANCOURT"/>
        <s v="BOULOGNE SUR MER"/>
        <s v="BOURG DE PÉAGE"/>
        <s v="BOURG EN BRESSE"/>
        <s v="BOURGES"/>
        <s v="BOURGOIN JALLIEU"/>
        <s v="BREST"/>
        <s v="BRIEY"/>
        <s v="BRIGNOLES"/>
        <s v="BRIIS SOUS FORGES"/>
        <s v="BRIVE LA GAILLARDE"/>
        <s v="BRON"/>
        <s v="BROU SUR CHANTEREINE"/>
        <s v="BRUGES"/>
        <s v="BRY SUR MARNE"/>
        <s v="CABESTANY"/>
        <s v="Caen"/>
        <s v="CAGNES SUR MER"/>
        <s v="CAHORS"/>
        <s v="CALAIS"/>
        <s v="CALUIRE ET CUIRE"/>
        <s v="CAMBRAI"/>
        <s v="CANNES"/>
        <s v="CARCASSONNE"/>
        <s v="CARPENTRAS"/>
        <s v="CASTELNAU LE LEZ"/>
        <s v="CASTRES"/>
        <s v="CAVAILLON"/>
        <s v="CESSON SEVIGNE"/>
        <s v="CESSON SEVIGNÉ"/>
        <s v="CHALLANS"/>
        <s v="CHALLES LES EAUX"/>
        <s v="CHALON SUR SAONE"/>
        <s v="CHALONS EN CHAMPAGNE"/>
        <s v="CHAMBERY"/>
        <s v="CHAMBRAY LES TOURS"/>
        <s v="CHAMPCUEIL"/>
        <s v="CHAMPIGNY SUR MARNE"/>
        <s v="CHARENTON LE PONT"/>
        <s v="CHARLEVILLE MEZIERES"/>
        <s v="CHATEAU GONTIER"/>
        <s v="CHATEAUBRIANT"/>
        <s v="CHATEAUROUX"/>
        <s v="CHATELLERAULT"/>
        <s v="CHAUMONT"/>
        <s v="CHAUNY"/>
        <s v="CHERBOURG EN COTENTIN"/>
        <s v="CHERBOURG OCTEVILLE"/>
        <s v="CHEVILLY LARUE"/>
        <s v="CHOLET"/>
        <s v="CLAMART"/>
        <s v="CLERMONT FERRAND"/>
        <s v="Clermont-Ferrand"/>
        <s v="CLICHY"/>
        <s v="COGNAC"/>
        <s v="COLMAR"/>
        <s v="COLOMBES"/>
        <s v="COMPIEGNE"/>
        <s v="CONTAMINE SUR ARVE"/>
        <s v="COQUELLES"/>
        <s v="CORNEBARRIEU"/>
        <s v="COUDEKERQUE BRANCHE"/>
        <s v="COULOMMIERS"/>
        <s v="CREIL"/>
        <s v="CRETEIL"/>
        <s v="CRICQUEBOEUF"/>
        <s v="CUCQ"/>
        <s v="DAX"/>
        <s v="DECHY"/>
        <s v="DENAIN"/>
        <s v="DESERTINES"/>
        <s v="DIEPPE"/>
        <s v="DIGNE LES BAINS"/>
        <s v="DIJON"/>
        <s v="DINAN"/>
        <s v="DIVION"/>
        <s v="DOLE"/>
        <s v="DRAGUIGNAN"/>
        <s v="DREUX"/>
        <s v="DUNKERQUE"/>
        <s v="EAUBONNE"/>
        <s v="ECHIROLLES"/>
        <s v="ECULLY"/>
        <s v="ELBEUF"/>
        <s v="EPAGNY METZ TESSY"/>
        <s v="EPINAL"/>
        <s v="ERMONT"/>
        <s v="ESSEY LES NANCY"/>
        <s v="ETAMPES"/>
        <s v="EVREUX"/>
        <s v="EVRY"/>
        <s v="FECAMP"/>
        <s v="FEROLLES ATTILLY"/>
        <s v="FIRMINY"/>
        <s v="FLERS"/>
        <s v="FONTAINEBLEAU"/>
        <s v="FONTENAY LE COMTE"/>
        <s v="FORBACH"/>
        <s v="FORT DE FRANCE"/>
        <s v="FOUGÈRES"/>
        <s v="FREJUS"/>
        <s v="GANGES"/>
        <s v="GAP"/>
        <s v="GIEN"/>
        <s v="GLEIZE"/>
        <s v="GONESSE"/>
        <s v="GOUVIEUX"/>
        <s v="GRANVILLE"/>
        <s v="GRASSE"/>
        <s v="GRENOBLE"/>
        <s v="GUERET"/>
        <s v="GUILHERAND GRANGES"/>
        <s v="GUINGAMP"/>
        <s v="HAGUENAU"/>
        <s v="HAZEBROUCK"/>
        <s v="HENIN BEAUMONT"/>
        <s v="ISSOIRE"/>
        <s v="JONZAC"/>
        <s v="JOSSIGNY"/>
        <s v="L ISLE ADAM"/>
        <s v="L UNION"/>
        <s v="LA CHAUSSEE SAINT VICTOR"/>
        <s v="LA GARENNE COLOMBES"/>
        <s v="LA ROCHE SUR YON"/>
        <s v="LA ROCHELLE"/>
        <s v="LA SEYNE SUR MER"/>
        <s v="LA TESTE"/>
        <s v="LA TRONCHE"/>
        <s v="LAMBRES LEZ DOUAI"/>
        <s v="LANNION"/>
        <s v="LAON"/>
        <s v="LAVAL"/>
        <s v="LE BAILLEUL"/>
        <s v="LE BLANC MESNIL"/>
        <s v="LE CATEAU CAMBRESIS"/>
        <s v="LE CHESNAY"/>
        <s v="LE CHESNAY ROCQUENCOURT"/>
        <s v="LE COUDRAY"/>
        <s v="LE CREUSOT"/>
        <s v="LE HAVRE"/>
        <s v="LE KREMLIN BICETRE"/>
        <s v="LE MANS"/>
        <s v="LE PORT"/>
        <s v="LE PORT MARLY"/>
        <s v="LE PUY EN VELAY"/>
        <s v="LENS"/>
        <s v="LES SABLES D OLONNE"/>
        <s v="LEVALLOIS PERRET"/>
        <s v="LIBOURNE"/>
        <s v="LILLE"/>
        <s v="LIMOGES"/>
        <s v="LISIEUX"/>
        <s v="LONGJUMEAU"/>
        <s v="LONS LE SAUNIER"/>
        <s v="LORIENT"/>
        <s v="LORMONT"/>
        <s v="LOURDES"/>
        <s v="LYON"/>
        <s v="MACON"/>
        <s v="MAINVILLIERS"/>
        <s v="MANOSQUE"/>
        <s v="MANTES LA JOLIE"/>
        <s v="MAREUIL LES MEAUX"/>
        <s v="MARIGNANE"/>
        <s v="MARMANDE"/>
        <s v="Marseille"/>
        <s v="MARTIGUES"/>
        <s v="MASSY"/>
        <s v="MAUBEUGE"/>
        <s v="MEAUX"/>
        <s v="MELUN"/>
        <s v="MENDE"/>
        <s v="METZ"/>
        <s v="MEUDON"/>
        <s v="MEULAN EN YVELINES"/>
        <s v="MILLAU"/>
        <s v="MONT DE MARSAN"/>
        <s v="MONTAUBAN"/>
        <s v="MONTBELIARD"/>
        <s v="MONTBRISON"/>
        <s v="MONTELIMAR"/>
        <s v="MONTEREAU"/>
        <s v="MONTFERMEIL"/>
        <s v="MONTIVILLIERS"/>
        <s v="MONTLUÇON"/>
        <s v="MONTPELLIER"/>
        <s v="Montpellier Cedex 5"/>
        <s v="MONTREDON DES CORBIERES"/>
        <s v="MORLAIX"/>
        <s v="MOUGINS"/>
        <s v="MOULINS"/>
        <s v="MULHOUSE"/>
        <s v="MURET"/>
        <s v="NANCY"/>
        <s v="NANTES"/>
        <s v="NARBONNE"/>
        <s v="NEUILLY SUR SEINE"/>
        <s v="NEVERS"/>
        <s v="NICE"/>
        <s v="NIMES"/>
        <s v="NIORT"/>
        <s v="NOGENT SUR MARNE"/>
        <s v="NOYAL PONTIVY"/>
        <s v="OLIVET"/>
        <s v="OLLIOULES"/>
        <s v="ORANGE"/>
        <s v="ORLEANS"/>
        <s v="ORSAY"/>
        <s v="OSNY"/>
        <s v="PARAY LE MONIAL"/>
        <s v="PARIS"/>
        <s v="PAU"/>
        <s v="PERIGUEUX"/>
        <s v="PÉRIGUEUX"/>
        <s v="PERPIGNAN"/>
        <s v="PESSAC"/>
        <s v="PIERRE BENITE"/>
        <s v="PLERIN"/>
        <s v="PLOEMEUR"/>
        <s v="PLOËRMEL"/>
        <s v="POISSY"/>
        <s v="POITIERS"/>
        <s v="PONTARLIER"/>
        <s v="PONTOISE"/>
        <s v="PROVINS"/>
        <s v="PUILBOREAU"/>
        <s v="QUIMPER"/>
        <s v="QUINCY SOUS SENART"/>
        <s v="QUINT FONSEGRIVES"/>
        <s v="RAMBOUILLET"/>
        <s v="RANG DU FLIERS"/>
        <s v="REIMS"/>
        <s v="REMIREMONT"/>
        <s v="RENNES"/>
        <s v="RILLIEUX LA PAPE"/>
        <s v="Riom"/>
        <s v="RIS ORANGIS"/>
        <s v="ROANNE"/>
        <s v="ROCHEFORT"/>
        <s v="RODEZ"/>
        <s v="ROMANS SUR ISERE"/>
        <s v="ROMORANTIN LANTHENAY"/>
        <s v="ROUBAIX"/>
        <s v="ROUEN"/>
        <s v="Rouen Cedex 1"/>
        <s v="ROYAN"/>
        <s v="SAINT AMAND MONTROND"/>
        <s v="SAINT ANDRE LES VERGERS"/>
        <s v="SAINT AUBIN SUR SCIE"/>
        <s v="SAINT AVOLD"/>
        <s v="SAINT BENOÎT LA FORET"/>
        <s v="SAINT BRIEUC"/>
        <s v="SAINT CHAMOND"/>
        <s v="SAINT CLOUD"/>
        <s v="SAINT DENIS"/>
        <s v="SAINT DIE DES VOSGES"/>
        <s v="SAINT DOULCHARD"/>
        <s v="SAINT ETIENNE"/>
        <s v="SAINT FLOUR"/>
        <s v="SAINT GAUDENS"/>
        <s v="SAINT GEORGES DE DIDONNE"/>
        <s v="SAINT GERMAIN EN LAYE"/>
        <s v="SAINT GREGOIRE"/>
        <s v="SAINT HERBLAIN"/>
        <s v="SAINT JEAN DE LUZ"/>
        <s v="SAINT JEAN DE VEDAS"/>
        <s v="SAINT JEAN DE VERGES"/>
        <s v="SAINT JUNIEN"/>
        <s v="SAINT LAURENT DU VAR"/>
        <s v="SAINT LO"/>
        <s v="SAINT MALO"/>
        <s v="SAINT MARTIN BOULOGNE"/>
        <s v="SAINT MARTIN D HERES"/>
        <s v="SAINT NAZAIRE"/>
        <s v="SAINT OMER"/>
        <s v="SAINT PIERRE"/>
        <s v="SAINT PIERRE DU MONT"/>
        <s v="SAINT PRIEST"/>
        <s v="SAINT PRIEST EN JAREZ"/>
        <s v="SAINT QUENTIN"/>
        <s v="SAINTE CLOTILDE"/>
        <s v="SAINTE COLOMBE"/>
        <s v="SAINTE FOY LES LYON"/>
        <s v="SAINTES"/>
        <s v="SALLANCHES"/>
        <s v="SARAN"/>
        <s v="SARCELLES"/>
        <s v="SARREBOURG"/>
        <s v="SARREGUEMINES"/>
        <s v="SAUMUR"/>
        <s v="SAVERNE"/>
        <s v="SECLIN"/>
        <s v="SELESTAT"/>
        <s v="SENS"/>
        <s v="SETE"/>
        <s v="SOISSONS"/>
        <s v="SOYAUX"/>
        <s v="ST LO"/>
        <s v="STAINS"/>
        <s v="STRASBOURG"/>
        <s v="SURESNES"/>
        <s v="TALANT"/>
        <s v="TALENCE"/>
        <s v="TARBES"/>
        <s v="THIAIS"/>
        <s v="THIONVILLE"/>
        <s v="THONON LES BAINS"/>
        <s v="TOUL"/>
        <s v="TOULON"/>
        <s v="TOULOUSE"/>
        <s v="Toulouse Cedex 9"/>
        <s v="TOURCOING"/>
        <s v="TOURNAN EN BRIE"/>
        <s v="TOURS"/>
        <s v="TRAPPES"/>
        <s v="TRELAZE"/>
        <s v="TREMBLAY EN FRANCE"/>
        <s v="TREVENANS"/>
        <s v="TROYES"/>
        <s v="TULLE"/>
        <s v="VALENCE"/>
        <s v="VALENCIENNES"/>
        <s v="VANDOEUVRE LES NANCY"/>
        <s v="VANNES"/>
        <s v="VENDOME"/>
        <s v="VÉNISSIEUX"/>
        <s v="VERDUN"/>
        <s v="VERSAILLES"/>
        <s v="VESOUL"/>
        <s v="VICHY"/>
        <s v="VIENNE"/>
        <s v="VILLEFRANCHE DE ROUERGUE"/>
        <s v="Villejuif"/>
        <s v="VILLENAVE D ORNON"/>
        <s v="VILLENEUVE D ASCQ"/>
        <s v="VILLENEUVE SAINT GEORGES CEDE"/>
        <s v="VILLEURBANNE"/>
        <s v="VIRE NORMANDIE"/>
        <s v="VIRIAT"/>
        <s v="VITRE"/>
        <s v="VOIRON"/>
        <s v="WIGNEHIES"/>
        <s v="YERR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0">
  <r>
    <x v="0"/>
  </r>
  <r>
    <x v="0"/>
  </r>
  <r>
    <x v="1"/>
  </r>
  <r>
    <x v="1"/>
  </r>
  <r>
    <x v="1"/>
  </r>
  <r>
    <x v="2"/>
  </r>
  <r>
    <x v="2"/>
  </r>
  <r>
    <x v="2"/>
  </r>
  <r>
    <x v="3"/>
  </r>
  <r>
    <x v="4"/>
  </r>
  <r>
    <x v="4"/>
  </r>
  <r>
    <x v="5"/>
  </r>
  <r>
    <x v="6"/>
  </r>
  <r>
    <x v="6"/>
  </r>
  <r>
    <x v="7"/>
  </r>
  <r>
    <x v="8"/>
  </r>
  <r>
    <x v="9"/>
  </r>
  <r>
    <x v="9"/>
  </r>
  <r>
    <x v="10"/>
  </r>
  <r>
    <x v="11"/>
  </r>
  <r>
    <x v="11"/>
  </r>
  <r>
    <x v="11"/>
  </r>
  <r>
    <x v="11"/>
  </r>
  <r>
    <x v="12"/>
  </r>
  <r>
    <x v="13"/>
  </r>
  <r>
    <x v="13"/>
  </r>
  <r>
    <x v="13"/>
  </r>
  <r>
    <x v="13"/>
  </r>
  <r>
    <x v="14"/>
  </r>
  <r>
    <x v="15"/>
  </r>
  <r>
    <x v="16"/>
  </r>
  <r>
    <x v="17"/>
  </r>
  <r>
    <x v="18"/>
  </r>
  <r>
    <x v="19"/>
  </r>
  <r>
    <x v="20"/>
  </r>
  <r>
    <x v="21"/>
  </r>
  <r>
    <x v="22"/>
  </r>
  <r>
    <x v="23"/>
  </r>
  <r>
    <x v="24"/>
  </r>
  <r>
    <x v="25"/>
  </r>
  <r>
    <x v="26"/>
  </r>
  <r>
    <x v="27"/>
  </r>
  <r>
    <x v="27"/>
  </r>
  <r>
    <x v="28"/>
  </r>
  <r>
    <x v="29"/>
  </r>
  <r>
    <x v="30"/>
  </r>
  <r>
    <x v="30"/>
  </r>
  <r>
    <x v="31"/>
  </r>
  <r>
    <x v="32"/>
  </r>
  <r>
    <x v="33"/>
  </r>
  <r>
    <x v="33"/>
  </r>
  <r>
    <x v="34"/>
  </r>
  <r>
    <x v="34"/>
  </r>
  <r>
    <x v="35"/>
  </r>
  <r>
    <x v="35"/>
  </r>
  <r>
    <x v="36"/>
  </r>
  <r>
    <x v="36"/>
  </r>
  <r>
    <x v="36"/>
  </r>
  <r>
    <x v="36"/>
  </r>
  <r>
    <x v="37"/>
  </r>
  <r>
    <x v="37"/>
  </r>
  <r>
    <x v="38"/>
  </r>
  <r>
    <x v="39"/>
  </r>
  <r>
    <x v="40"/>
  </r>
  <r>
    <x v="41"/>
  </r>
  <r>
    <x v="41"/>
  </r>
  <r>
    <x v="42"/>
  </r>
  <r>
    <x v="43"/>
  </r>
  <r>
    <x v="44"/>
  </r>
  <r>
    <x v="44"/>
  </r>
  <r>
    <x v="45"/>
  </r>
  <r>
    <x v="46"/>
  </r>
  <r>
    <x v="47"/>
  </r>
  <r>
    <x v="47"/>
  </r>
  <r>
    <x v="48"/>
  </r>
  <r>
    <x v="49"/>
  </r>
  <r>
    <x v="50"/>
  </r>
  <r>
    <x v="50"/>
  </r>
  <r>
    <x v="50"/>
  </r>
  <r>
    <x v="51"/>
  </r>
  <r>
    <x v="52"/>
  </r>
  <r>
    <x v="52"/>
  </r>
  <r>
    <x v="53"/>
  </r>
  <r>
    <x v="54"/>
  </r>
  <r>
    <x v="54"/>
  </r>
  <r>
    <x v="55"/>
  </r>
  <r>
    <x v="56"/>
  </r>
  <r>
    <x v="57"/>
  </r>
  <r>
    <x v="58"/>
  </r>
  <r>
    <x v="59"/>
  </r>
  <r>
    <x v="59"/>
  </r>
  <r>
    <x v="60"/>
  </r>
  <r>
    <x v="60"/>
  </r>
  <r>
    <x v="60"/>
  </r>
  <r>
    <x v="60"/>
  </r>
  <r>
    <x v="60"/>
  </r>
  <r>
    <x v="60"/>
  </r>
  <r>
    <x v="61"/>
  </r>
  <r>
    <x v="62"/>
  </r>
  <r>
    <x v="62"/>
  </r>
  <r>
    <x v="62"/>
  </r>
  <r>
    <x v="63"/>
  </r>
  <r>
    <x v="64"/>
  </r>
  <r>
    <x v="65"/>
  </r>
  <r>
    <x v="66"/>
  </r>
  <r>
    <x v="67"/>
  </r>
  <r>
    <x v="68"/>
  </r>
  <r>
    <x v="68"/>
  </r>
  <r>
    <x v="68"/>
  </r>
  <r>
    <x v="68"/>
  </r>
  <r>
    <x v="69"/>
  </r>
  <r>
    <x v="70"/>
  </r>
  <r>
    <x v="71"/>
  </r>
  <r>
    <x v="72"/>
  </r>
  <r>
    <x v="72"/>
  </r>
  <r>
    <x v="73"/>
  </r>
  <r>
    <x v="74"/>
  </r>
  <r>
    <x v="75"/>
  </r>
  <r>
    <x v="76"/>
  </r>
  <r>
    <x v="77"/>
  </r>
  <r>
    <x v="78"/>
  </r>
  <r>
    <x v="78"/>
  </r>
  <r>
    <x v="78"/>
  </r>
  <r>
    <x v="78"/>
  </r>
  <r>
    <x v="78"/>
  </r>
  <r>
    <x v="79"/>
  </r>
  <r>
    <x v="80"/>
  </r>
  <r>
    <x v="81"/>
  </r>
  <r>
    <x v="82"/>
  </r>
  <r>
    <x v="83"/>
  </r>
  <r>
    <x v="84"/>
  </r>
  <r>
    <x v="84"/>
  </r>
  <r>
    <x v="85"/>
  </r>
  <r>
    <x v="86"/>
  </r>
  <r>
    <x v="87"/>
  </r>
  <r>
    <x v="88"/>
  </r>
  <r>
    <x v="88"/>
  </r>
  <r>
    <x v="89"/>
  </r>
  <r>
    <x v="90"/>
  </r>
  <r>
    <x v="91"/>
  </r>
  <r>
    <x v="92"/>
  </r>
  <r>
    <x v="93"/>
  </r>
  <r>
    <x v="94"/>
  </r>
  <r>
    <x v="94"/>
  </r>
  <r>
    <x v="95"/>
  </r>
  <r>
    <x v="96"/>
  </r>
  <r>
    <x v="97"/>
  </r>
  <r>
    <x v="97"/>
  </r>
  <r>
    <x v="98"/>
  </r>
  <r>
    <x v="99"/>
  </r>
  <r>
    <x v="100"/>
  </r>
  <r>
    <x v="101"/>
  </r>
  <r>
    <x v="102"/>
  </r>
  <r>
    <x v="103"/>
  </r>
  <r>
    <x v="104"/>
  </r>
  <r>
    <x v="104"/>
  </r>
  <r>
    <x v="105"/>
  </r>
  <r>
    <x v="106"/>
  </r>
  <r>
    <x v="106"/>
  </r>
  <r>
    <x v="107"/>
  </r>
  <r>
    <x v="108"/>
  </r>
  <r>
    <x v="109"/>
  </r>
  <r>
    <x v="110"/>
  </r>
  <r>
    <x v="111"/>
  </r>
  <r>
    <x v="111"/>
  </r>
  <r>
    <x v="112"/>
  </r>
  <r>
    <x v="113"/>
  </r>
  <r>
    <x v="113"/>
  </r>
  <r>
    <x v="113"/>
  </r>
  <r>
    <x v="113"/>
  </r>
  <r>
    <x v="114"/>
  </r>
  <r>
    <x v="115"/>
  </r>
  <r>
    <x v="116"/>
  </r>
  <r>
    <x v="117"/>
  </r>
  <r>
    <x v="117"/>
  </r>
  <r>
    <x v="117"/>
  </r>
  <r>
    <x v="118"/>
  </r>
  <r>
    <x v="119"/>
  </r>
  <r>
    <x v="119"/>
  </r>
  <r>
    <x v="120"/>
  </r>
  <r>
    <x v="121"/>
  </r>
  <r>
    <x v="122"/>
  </r>
  <r>
    <x v="123"/>
  </r>
  <r>
    <x v="124"/>
  </r>
  <r>
    <x v="125"/>
  </r>
  <r>
    <x v="126"/>
  </r>
  <r>
    <x v="126"/>
  </r>
  <r>
    <x v="127"/>
  </r>
  <r>
    <x v="128"/>
  </r>
  <r>
    <x v="129"/>
  </r>
  <r>
    <x v="130"/>
  </r>
  <r>
    <x v="130"/>
  </r>
  <r>
    <x v="131"/>
  </r>
  <r>
    <x v="132"/>
  </r>
  <r>
    <x v="133"/>
  </r>
  <r>
    <x v="134"/>
  </r>
  <r>
    <x v="135"/>
  </r>
  <r>
    <x v="135"/>
  </r>
  <r>
    <x v="135"/>
  </r>
  <r>
    <x v="135"/>
  </r>
  <r>
    <x v="136"/>
  </r>
  <r>
    <x v="137"/>
  </r>
  <r>
    <x v="138"/>
  </r>
  <r>
    <x v="139"/>
  </r>
  <r>
    <x v="139"/>
  </r>
  <r>
    <x v="140"/>
  </r>
  <r>
    <x v="141"/>
  </r>
  <r>
    <x v="142"/>
  </r>
  <r>
    <x v="143"/>
  </r>
  <r>
    <x v="144"/>
  </r>
  <r>
    <x v="145"/>
  </r>
  <r>
    <x v="146"/>
  </r>
  <r>
    <x v="147"/>
  </r>
  <r>
    <x v="147"/>
  </r>
  <r>
    <x v="148"/>
  </r>
  <r>
    <x v="149"/>
  </r>
  <r>
    <x v="150"/>
  </r>
  <r>
    <x v="151"/>
  </r>
  <r>
    <x v="151"/>
  </r>
  <r>
    <x v="152"/>
  </r>
  <r>
    <x v="153"/>
  </r>
  <r>
    <x v="154"/>
  </r>
  <r>
    <x v="155"/>
  </r>
  <r>
    <x v="156"/>
  </r>
  <r>
    <x v="157"/>
  </r>
  <r>
    <x v="158"/>
  </r>
  <r>
    <x v="159"/>
  </r>
  <r>
    <x v="160"/>
  </r>
  <r>
    <x v="160"/>
  </r>
  <r>
    <x v="161"/>
  </r>
  <r>
    <x v="162"/>
  </r>
  <r>
    <x v="163"/>
  </r>
  <r>
    <x v="164"/>
  </r>
  <r>
    <x v="165"/>
  </r>
  <r>
    <x v="166"/>
  </r>
  <r>
    <x v="167"/>
  </r>
  <r>
    <x v="168"/>
  </r>
  <r>
    <x v="169"/>
  </r>
  <r>
    <x v="170"/>
  </r>
  <r>
    <x v="171"/>
  </r>
  <r>
    <x v="171"/>
  </r>
  <r>
    <x v="172"/>
  </r>
  <r>
    <x v="172"/>
  </r>
  <r>
    <x v="173"/>
  </r>
  <r>
    <x v="174"/>
  </r>
  <r>
    <x v="175"/>
  </r>
  <r>
    <x v="175"/>
  </r>
  <r>
    <x v="176"/>
  </r>
  <r>
    <x v="177"/>
  </r>
  <r>
    <x v="178"/>
  </r>
  <r>
    <x v="179"/>
  </r>
  <r>
    <x v="180"/>
  </r>
  <r>
    <x v="181"/>
  </r>
  <r>
    <x v="182"/>
  </r>
  <r>
    <x v="183"/>
  </r>
  <r>
    <x v="184"/>
  </r>
  <r>
    <x v="185"/>
  </r>
  <r>
    <x v="185"/>
  </r>
  <r>
    <x v="186"/>
  </r>
  <r>
    <x v="187"/>
  </r>
  <r>
    <x v="188"/>
  </r>
  <r>
    <x v="189"/>
  </r>
  <r>
    <x v="190"/>
  </r>
  <r>
    <x v="191"/>
  </r>
  <r>
    <x v="192"/>
  </r>
  <r>
    <x v="193"/>
  </r>
  <r>
    <x v="193"/>
  </r>
  <r>
    <x v="193"/>
  </r>
  <r>
    <x v="194"/>
  </r>
  <r>
    <x v="195"/>
  </r>
  <r>
    <x v="196"/>
  </r>
  <r>
    <x v="197"/>
  </r>
  <r>
    <x v="198"/>
  </r>
  <r>
    <x v="199"/>
  </r>
  <r>
    <x v="200"/>
  </r>
  <r>
    <x v="201"/>
  </r>
  <r>
    <x v="201"/>
  </r>
  <r>
    <x v="202"/>
  </r>
  <r>
    <x v="203"/>
  </r>
  <r>
    <x v="203"/>
  </r>
  <r>
    <x v="203"/>
  </r>
  <r>
    <x v="203"/>
  </r>
  <r>
    <x v="203"/>
  </r>
  <r>
    <x v="204"/>
  </r>
  <r>
    <x v="205"/>
  </r>
  <r>
    <x v="206"/>
  </r>
  <r>
    <x v="207"/>
  </r>
  <r>
    <x v="208"/>
  </r>
  <r>
    <x v="209"/>
  </r>
  <r>
    <x v="210"/>
  </r>
  <r>
    <x v="211"/>
  </r>
  <r>
    <x v="211"/>
  </r>
  <r>
    <x v="211"/>
  </r>
  <r>
    <x v="211"/>
  </r>
  <r>
    <x v="211"/>
  </r>
  <r>
    <x v="211"/>
  </r>
  <r>
    <x v="211"/>
  </r>
  <r>
    <x v="212"/>
  </r>
  <r>
    <x v="212"/>
  </r>
  <r>
    <x v="212"/>
  </r>
  <r>
    <x v="213"/>
  </r>
  <r>
    <x v="214"/>
  </r>
  <r>
    <x v="215"/>
  </r>
  <r>
    <x v="216"/>
  </r>
  <r>
    <x v="216"/>
  </r>
  <r>
    <x v="217"/>
  </r>
  <r>
    <x v="218"/>
  </r>
  <r>
    <x v="219"/>
  </r>
  <r>
    <x v="219"/>
  </r>
  <r>
    <x v="219"/>
  </r>
  <r>
    <x v="219"/>
  </r>
  <r>
    <x v="219"/>
  </r>
  <r>
    <x v="219"/>
  </r>
  <r>
    <x v="219"/>
  </r>
  <r>
    <x v="219"/>
  </r>
  <r>
    <x v="220"/>
  </r>
  <r>
    <x v="220"/>
  </r>
  <r>
    <x v="221"/>
  </r>
  <r>
    <x v="222"/>
  </r>
  <r>
    <x v="223"/>
  </r>
  <r>
    <x v="223"/>
  </r>
  <r>
    <x v="224"/>
  </r>
  <r>
    <x v="225"/>
  </r>
  <r>
    <x v="226"/>
  </r>
  <r>
    <x v="227"/>
  </r>
  <r>
    <x v="227"/>
  </r>
  <r>
    <x v="227"/>
  </r>
  <r>
    <x v="227"/>
  </r>
  <r>
    <x v="227"/>
  </r>
  <r>
    <x v="227"/>
  </r>
  <r>
    <x v="227"/>
  </r>
  <r>
    <x v="227"/>
  </r>
  <r>
    <x v="227"/>
  </r>
  <r>
    <x v="227"/>
  </r>
  <r>
    <x v="227"/>
  </r>
  <r>
    <x v="228"/>
  </r>
  <r>
    <x v="229"/>
  </r>
  <r>
    <x v="230"/>
  </r>
  <r>
    <x v="231"/>
  </r>
  <r>
    <x v="232"/>
  </r>
  <r>
    <x v="232"/>
  </r>
  <r>
    <x v="232"/>
  </r>
  <r>
    <x v="233"/>
  </r>
  <r>
    <x v="234"/>
  </r>
  <r>
    <x v="235"/>
  </r>
  <r>
    <x v="236"/>
  </r>
  <r>
    <x v="237"/>
  </r>
  <r>
    <x v="238"/>
  </r>
  <r>
    <x v="239"/>
  </r>
  <r>
    <x v="239"/>
  </r>
  <r>
    <x v="239"/>
  </r>
  <r>
    <x v="240"/>
  </r>
  <r>
    <x v="241"/>
  </r>
  <r>
    <x v="242"/>
  </r>
  <r>
    <x v="242"/>
  </r>
  <r>
    <x v="243"/>
  </r>
  <r>
    <x v="244"/>
  </r>
  <r>
    <x v="245"/>
  </r>
  <r>
    <x v="246"/>
  </r>
  <r>
    <x v="247"/>
  </r>
  <r>
    <x v="247"/>
  </r>
  <r>
    <x v="247"/>
  </r>
  <r>
    <x v="247"/>
  </r>
  <r>
    <x v="247"/>
  </r>
  <r>
    <x v="247"/>
  </r>
  <r>
    <x v="248"/>
  </r>
  <r>
    <x v="249"/>
  </r>
  <r>
    <x v="250"/>
  </r>
  <r>
    <x v="250"/>
  </r>
  <r>
    <x v="251"/>
  </r>
  <r>
    <x v="252"/>
  </r>
  <r>
    <x v="252"/>
  </r>
  <r>
    <x v="253"/>
  </r>
  <r>
    <x v="253"/>
  </r>
  <r>
    <x v="254"/>
  </r>
  <r>
    <x v="255"/>
  </r>
  <r>
    <x v="255"/>
  </r>
  <r>
    <x v="256"/>
  </r>
  <r>
    <x v="256"/>
  </r>
  <r>
    <x v="256"/>
  </r>
  <r>
    <x v="257"/>
  </r>
  <r>
    <x v="258"/>
  </r>
  <r>
    <x v="258"/>
  </r>
  <r>
    <x v="259"/>
  </r>
  <r>
    <x v="259"/>
  </r>
  <r>
    <x v="259"/>
  </r>
  <r>
    <x v="260"/>
  </r>
  <r>
    <x v="260"/>
  </r>
  <r>
    <x v="260"/>
  </r>
  <r>
    <x v="260"/>
  </r>
  <r>
    <x v="260"/>
  </r>
  <r>
    <x v="261"/>
  </r>
  <r>
    <x v="261"/>
  </r>
  <r>
    <x v="261"/>
  </r>
  <r>
    <x v="261"/>
  </r>
  <r>
    <x v="262"/>
  </r>
  <r>
    <x v="262"/>
  </r>
  <r>
    <x v="263"/>
  </r>
  <r>
    <x v="264"/>
  </r>
  <r>
    <x v="265"/>
  </r>
  <r>
    <x v="266"/>
  </r>
  <r>
    <x v="266"/>
  </r>
  <r>
    <x v="267"/>
  </r>
  <r>
    <x v="267"/>
  </r>
  <r>
    <x v="268"/>
  </r>
  <r>
    <x v="269"/>
  </r>
  <r>
    <x v="270"/>
  </r>
  <r>
    <x v="271"/>
  </r>
  <r>
    <x v="272"/>
  </r>
  <r>
    <x v="272"/>
  </r>
  <r>
    <x v="272"/>
  </r>
  <r>
    <x v="272"/>
  </r>
  <r>
    <x v="272"/>
  </r>
  <r>
    <x v="272"/>
  </r>
  <r>
    <x v="272"/>
  </r>
  <r>
    <x v="272"/>
  </r>
  <r>
    <x v="272"/>
  </r>
  <r>
    <x v="272"/>
  </r>
  <r>
    <x v="272"/>
  </r>
  <r>
    <x v="272"/>
  </r>
  <r>
    <x v="272"/>
  </r>
  <r>
    <x v="272"/>
  </r>
  <r>
    <x v="272"/>
  </r>
  <r>
    <x v="272"/>
  </r>
  <r>
    <x v="272"/>
  </r>
  <r>
    <x v="272"/>
  </r>
  <r>
    <x v="273"/>
  </r>
  <r>
    <x v="273"/>
  </r>
  <r>
    <x v="273"/>
  </r>
  <r>
    <x v="274"/>
  </r>
  <r>
    <x v="275"/>
  </r>
  <r>
    <x v="276"/>
  </r>
  <r>
    <x v="276"/>
  </r>
  <r>
    <x v="276"/>
  </r>
  <r>
    <x v="276"/>
  </r>
  <r>
    <x v="277"/>
  </r>
  <r>
    <x v="277"/>
  </r>
  <r>
    <x v="278"/>
  </r>
  <r>
    <x v="279"/>
  </r>
  <r>
    <x v="280"/>
  </r>
  <r>
    <x v="281"/>
  </r>
  <r>
    <x v="282"/>
  </r>
  <r>
    <x v="282"/>
  </r>
  <r>
    <x v="283"/>
  </r>
  <r>
    <x v="283"/>
  </r>
  <r>
    <x v="284"/>
  </r>
  <r>
    <x v="285"/>
  </r>
  <r>
    <x v="286"/>
  </r>
  <r>
    <x v="287"/>
  </r>
  <r>
    <x v="288"/>
  </r>
  <r>
    <x v="288"/>
  </r>
  <r>
    <x v="289"/>
  </r>
  <r>
    <x v="290"/>
  </r>
  <r>
    <x v="291"/>
  </r>
  <r>
    <x v="292"/>
  </r>
  <r>
    <x v="293"/>
  </r>
  <r>
    <x v="293"/>
  </r>
  <r>
    <x v="293"/>
  </r>
  <r>
    <x v="293"/>
  </r>
  <r>
    <x v="294"/>
  </r>
  <r>
    <x v="295"/>
  </r>
  <r>
    <x v="295"/>
  </r>
  <r>
    <x v="295"/>
  </r>
  <r>
    <x v="295"/>
  </r>
  <r>
    <x v="295"/>
  </r>
  <r>
    <x v="296"/>
  </r>
  <r>
    <x v="297"/>
  </r>
  <r>
    <x v="298"/>
  </r>
  <r>
    <x v="299"/>
  </r>
  <r>
    <x v="299"/>
  </r>
  <r>
    <x v="300"/>
  </r>
  <r>
    <x v="301"/>
  </r>
  <r>
    <x v="302"/>
  </r>
  <r>
    <x v="303"/>
  </r>
  <r>
    <x v="304"/>
  </r>
  <r>
    <x v="305"/>
  </r>
  <r>
    <x v="305"/>
  </r>
  <r>
    <x v="305"/>
  </r>
  <r>
    <x v="305"/>
  </r>
  <r>
    <x v="306"/>
  </r>
  <r>
    <x v="307"/>
  </r>
  <r>
    <x v="308"/>
  </r>
  <r>
    <x v="309"/>
  </r>
  <r>
    <x v="310"/>
  </r>
  <r>
    <x v="311"/>
  </r>
  <r>
    <x v="312"/>
  </r>
  <r>
    <x v="313"/>
  </r>
  <r>
    <x v="314"/>
  </r>
  <r>
    <x v="315"/>
  </r>
  <r>
    <x v="315"/>
  </r>
  <r>
    <x v="316"/>
  </r>
  <r>
    <x v="316"/>
  </r>
  <r>
    <x v="316"/>
  </r>
  <r>
    <x v="317"/>
  </r>
  <r>
    <x v="318"/>
  </r>
  <r>
    <x v="319"/>
  </r>
  <r>
    <x v="319"/>
  </r>
  <r>
    <x v="320"/>
  </r>
  <r>
    <x v="321"/>
  </r>
  <r>
    <x v="322"/>
  </r>
  <r>
    <x v="323"/>
  </r>
  <r>
    <x v="324"/>
  </r>
  <r>
    <x v="325"/>
  </r>
  <r>
    <x v="325"/>
  </r>
  <r>
    <x v="325"/>
  </r>
  <r>
    <x v="326"/>
  </r>
  <r>
    <x v="327"/>
  </r>
  <r>
    <x v="328"/>
  </r>
  <r>
    <x v="329"/>
  </r>
  <r>
    <x v="330"/>
  </r>
  <r>
    <x v="331"/>
  </r>
  <r>
    <x v="332"/>
  </r>
  <r>
    <x v="332"/>
  </r>
  <r>
    <x v="333"/>
  </r>
  <r>
    <x v="334"/>
  </r>
  <r>
    <x v="335"/>
  </r>
  <r>
    <x v="336"/>
  </r>
  <r>
    <x v="337"/>
  </r>
  <r>
    <x v="338"/>
  </r>
  <r>
    <x v="339"/>
  </r>
  <r>
    <x v="340"/>
  </r>
  <r>
    <x v="340"/>
  </r>
  <r>
    <x v="340"/>
  </r>
  <r>
    <x v="341"/>
  </r>
  <r>
    <x v="341"/>
  </r>
  <r>
    <x v="342"/>
  </r>
  <r>
    <x v="343"/>
  </r>
  <r>
    <x v="344"/>
  </r>
  <r>
    <x v="345"/>
  </r>
  <r>
    <x v="346"/>
  </r>
  <r>
    <x v="346"/>
  </r>
  <r>
    <x v="347"/>
  </r>
  <r>
    <x v="348"/>
  </r>
  <r>
    <x v="349"/>
  </r>
  <r>
    <x v="350"/>
  </r>
  <r>
    <x v="350"/>
  </r>
  <r>
    <x v="351"/>
  </r>
  <r>
    <x v="352"/>
  </r>
  <r>
    <x v="353"/>
  </r>
  <r>
    <x v="354"/>
  </r>
  <r>
    <x v="355"/>
  </r>
  <r>
    <x v="355"/>
  </r>
  <r>
    <x v="356"/>
  </r>
  <r>
    <x v="356"/>
  </r>
  <r>
    <x v="357"/>
  </r>
  <r>
    <x v="358"/>
  </r>
  <r>
    <x v="359"/>
  </r>
  <r>
    <x v="360"/>
  </r>
  <r>
    <x v="361"/>
  </r>
  <r>
    <x v="361"/>
  </r>
  <r>
    <x v="361"/>
  </r>
  <r>
    <x v="361"/>
  </r>
  <r>
    <x v="361"/>
  </r>
  <r>
    <x v="361"/>
  </r>
  <r>
    <x v="361"/>
  </r>
  <r>
    <x v="361"/>
  </r>
  <r>
    <x v="361"/>
  </r>
  <r>
    <x v="362"/>
  </r>
  <r>
    <x v="363"/>
  </r>
  <r>
    <x v="363"/>
  </r>
  <r>
    <x v="364"/>
  </r>
  <r>
    <x v="365"/>
  </r>
  <r>
    <x v="365"/>
  </r>
  <r>
    <x v="365"/>
  </r>
  <r>
    <x v="366"/>
  </r>
  <r>
    <x v="367"/>
  </r>
  <r>
    <x v="367"/>
  </r>
  <r>
    <x v="368"/>
  </r>
  <r>
    <x v="369"/>
  </r>
  <r>
    <x v="370"/>
  </r>
  <r>
    <x v="370"/>
  </r>
  <r>
    <x v="371"/>
  </r>
  <r>
    <x v="371"/>
  </r>
  <r>
    <x v="371"/>
  </r>
  <r>
    <x v="371"/>
  </r>
  <r>
    <x v="371"/>
  </r>
  <r>
    <x v="371"/>
  </r>
  <r>
    <x v="371"/>
  </r>
  <r>
    <x v="371"/>
  </r>
  <r>
    <x v="372"/>
  </r>
  <r>
    <x v="373"/>
  </r>
  <r>
    <x v="373"/>
  </r>
  <r>
    <x v="374"/>
  </r>
  <r>
    <x v="375"/>
  </r>
  <r>
    <x v="376"/>
  </r>
  <r>
    <x v="377"/>
  </r>
  <r>
    <x v="377"/>
  </r>
  <r>
    <x v="378"/>
  </r>
  <r>
    <x v="379"/>
  </r>
  <r>
    <x v="380"/>
  </r>
  <r>
    <x v="380"/>
  </r>
  <r>
    <x v="381"/>
  </r>
  <r>
    <x v="382"/>
  </r>
  <r>
    <x v="382"/>
  </r>
  <r>
    <x v="383"/>
  </r>
  <r>
    <x v="383"/>
  </r>
  <r>
    <x v="383"/>
  </r>
  <r>
    <x v="383"/>
  </r>
  <r>
    <x v="384"/>
  </r>
  <r>
    <x v="384"/>
  </r>
  <r>
    <x v="385"/>
  </r>
  <r>
    <x v="385"/>
  </r>
  <r>
    <x v="385"/>
  </r>
  <r>
    <x v="386"/>
  </r>
  <r>
    <x v="387"/>
  </r>
  <r>
    <x v="388"/>
  </r>
  <r>
    <x v="389"/>
  </r>
  <r>
    <x v="389"/>
  </r>
  <r>
    <x v="390"/>
  </r>
  <r>
    <x v="391"/>
  </r>
  <r>
    <x v="391"/>
  </r>
  <r>
    <x v="391"/>
  </r>
  <r>
    <x v="392"/>
  </r>
  <r>
    <x v="393"/>
  </r>
  <r>
    <x v="394"/>
  </r>
  <r>
    <x v="394"/>
  </r>
  <r>
    <x v="394"/>
  </r>
  <r>
    <x v="395"/>
  </r>
  <r>
    <x v="396"/>
  </r>
  <r>
    <x v="397"/>
  </r>
  <r>
    <x v="397"/>
  </r>
  <r>
    <x v="397"/>
  </r>
  <r>
    <x v="398"/>
  </r>
  <r>
    <x v="399"/>
  </r>
  <r>
    <x v="400"/>
  </r>
  <r>
    <x v="401"/>
  </r>
  <r>
    <x v="402"/>
  </r>
  <r>
    <x v="402"/>
  </r>
  <r>
    <x v="403"/>
  </r>
  <r>
    <x v="4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77643-77E2-4C70-AA28-7E75704897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407" firstHeaderRow="1" firstDataRow="1" firstDataCol="1"/>
  <pivotFields count="1">
    <pivotField axis="axisRow" dataField="1" showAll="0" sortType="descending">
      <items count="4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autoSortScope>
        <pivotArea dataOnly="0" outline="0" fieldPosition="0">
          <references count="1">
            <reference field="4294967294" count="1" selected="0">
              <x v="0"/>
            </reference>
          </references>
        </pivotArea>
      </autoSortScope>
    </pivotField>
  </pivotFields>
  <rowFields count="1">
    <field x="0"/>
  </rowFields>
  <rowItems count="406">
    <i>
      <x v="272"/>
    </i>
    <i>
      <x v="227"/>
    </i>
    <i>
      <x v="361"/>
    </i>
    <i>
      <x v="219"/>
    </i>
    <i>
      <x v="371"/>
    </i>
    <i>
      <x v="211"/>
    </i>
    <i>
      <x v="247"/>
    </i>
    <i>
      <x v="60"/>
    </i>
    <i>
      <x v="295"/>
    </i>
    <i>
      <x v="260"/>
    </i>
    <i>
      <x v="78"/>
    </i>
    <i>
      <x v="203"/>
    </i>
    <i>
      <x v="293"/>
    </i>
    <i>
      <x v="261"/>
    </i>
    <i>
      <x v="305"/>
    </i>
    <i>
      <x v="68"/>
    </i>
    <i>
      <x v="276"/>
    </i>
    <i>
      <x v="13"/>
    </i>
    <i>
      <x v="36"/>
    </i>
    <i>
      <x v="113"/>
    </i>
    <i>
      <x v="11"/>
    </i>
    <i>
      <x v="135"/>
    </i>
    <i>
      <x v="383"/>
    </i>
    <i>
      <x v="365"/>
    </i>
    <i>
      <x v="316"/>
    </i>
    <i>
      <x v="193"/>
    </i>
    <i>
      <x v="256"/>
    </i>
    <i>
      <x v="340"/>
    </i>
    <i>
      <x v="259"/>
    </i>
    <i>
      <x v="394"/>
    </i>
    <i>
      <x v="117"/>
    </i>
    <i>
      <x v="385"/>
    </i>
    <i>
      <x v="212"/>
    </i>
    <i>
      <x v="325"/>
    </i>
    <i>
      <x v="1"/>
    </i>
    <i>
      <x v="239"/>
    </i>
    <i>
      <x v="273"/>
    </i>
    <i>
      <x v="50"/>
    </i>
    <i>
      <x v="62"/>
    </i>
    <i>
      <x v="391"/>
    </i>
    <i>
      <x v="2"/>
    </i>
    <i>
      <x v="232"/>
    </i>
    <i>
      <x v="397"/>
    </i>
    <i>
      <x v="139"/>
    </i>
    <i>
      <x v="119"/>
    </i>
    <i>
      <x v="106"/>
    </i>
    <i>
      <x v="171"/>
    </i>
    <i>
      <x v="130"/>
    </i>
    <i>
      <x v="172"/>
    </i>
    <i>
      <x v="282"/>
    </i>
    <i>
      <x v="175"/>
    </i>
    <i>
      <x v="34"/>
    </i>
    <i>
      <x v="185"/>
    </i>
    <i>
      <x v="355"/>
    </i>
    <i>
      <x v="37"/>
    </i>
    <i>
      <x v="373"/>
    </i>
    <i>
      <x/>
    </i>
    <i>
      <x v="151"/>
    </i>
    <i>
      <x v="41"/>
    </i>
    <i>
      <x v="288"/>
    </i>
    <i>
      <x v="44"/>
    </i>
    <i>
      <x v="111"/>
    </i>
    <i>
      <x v="47"/>
    </i>
    <i>
      <x v="35"/>
    </i>
    <i>
      <x v="216"/>
    </i>
    <i>
      <x v="346"/>
    </i>
    <i>
      <x v="4"/>
    </i>
    <i>
      <x v="126"/>
    </i>
    <i>
      <x v="52"/>
    </i>
    <i>
      <x v="370"/>
    </i>
    <i>
      <x v="402"/>
    </i>
    <i>
      <x v="380"/>
    </i>
    <i>
      <x v="54"/>
    </i>
    <i>
      <x v="147"/>
    </i>
    <i>
      <x v="59"/>
    </i>
    <i>
      <x v="277"/>
    </i>
    <i>
      <x v="6"/>
    </i>
    <i>
      <x v="283"/>
    </i>
    <i>
      <x v="242"/>
    </i>
    <i>
      <x v="104"/>
    </i>
    <i>
      <x v="27"/>
    </i>
    <i>
      <x v="299"/>
    </i>
    <i>
      <x v="250"/>
    </i>
    <i>
      <x v="315"/>
    </i>
    <i>
      <x v="252"/>
    </i>
    <i>
      <x v="319"/>
    </i>
    <i>
      <x v="253"/>
    </i>
    <i>
      <x v="332"/>
    </i>
    <i>
      <x v="255"/>
    </i>
    <i>
      <x v="341"/>
    </i>
    <i>
      <x v="30"/>
    </i>
    <i>
      <x v="350"/>
    </i>
    <i>
      <x v="258"/>
    </i>
    <i>
      <x v="356"/>
    </i>
    <i>
      <x v="72"/>
    </i>
    <i>
      <x v="363"/>
    </i>
    <i>
      <x v="33"/>
    </i>
    <i>
      <x v="367"/>
    </i>
    <i>
      <x v="84"/>
    </i>
    <i>
      <x v="9"/>
    </i>
    <i>
      <x v="262"/>
    </i>
    <i>
      <x v="377"/>
    </i>
    <i>
      <x v="266"/>
    </i>
    <i>
      <x v="382"/>
    </i>
    <i>
      <x v="267"/>
    </i>
    <i>
      <x v="384"/>
    </i>
    <i>
      <x v="88"/>
    </i>
    <i>
      <x v="389"/>
    </i>
    <i>
      <x v="94"/>
    </i>
    <i>
      <x v="160"/>
    </i>
    <i>
      <x v="97"/>
    </i>
    <i>
      <x v="220"/>
    </i>
    <i>
      <x v="223"/>
    </i>
    <i>
      <x v="201"/>
    </i>
    <i>
      <x v="369"/>
    </i>
    <i>
      <x v="8"/>
    </i>
    <i>
      <x v="75"/>
    </i>
    <i>
      <x v="115"/>
    </i>
    <i>
      <x v="337"/>
    </i>
    <i>
      <x v="116"/>
    </i>
    <i>
      <x v="401"/>
    </i>
    <i>
      <x v="12"/>
    </i>
    <i>
      <x v="289"/>
    </i>
    <i>
      <x v="118"/>
    </i>
    <i>
      <x v="321"/>
    </i>
    <i>
      <x v="7"/>
    </i>
    <i>
      <x v="353"/>
    </i>
    <i>
      <x v="120"/>
    </i>
    <i>
      <x v="108"/>
    </i>
    <i>
      <x v="121"/>
    </i>
    <i>
      <x v="265"/>
    </i>
    <i>
      <x v="122"/>
    </i>
    <i>
      <x v="281"/>
    </i>
    <i>
      <x v="123"/>
    </i>
    <i>
      <x v="297"/>
    </i>
    <i>
      <x v="124"/>
    </i>
    <i>
      <x v="313"/>
    </i>
    <i>
      <x v="125"/>
    </i>
    <i>
      <x v="329"/>
    </i>
    <i>
      <x v="14"/>
    </i>
    <i>
      <x v="345"/>
    </i>
    <i>
      <x v="127"/>
    </i>
    <i>
      <x v="96"/>
    </i>
    <i>
      <x v="128"/>
    </i>
    <i>
      <x v="103"/>
    </i>
    <i>
      <x v="129"/>
    </i>
    <i>
      <x v="393"/>
    </i>
    <i>
      <x v="38"/>
    </i>
    <i>
      <x v="70"/>
    </i>
    <i>
      <x v="131"/>
    </i>
    <i>
      <x v="269"/>
    </i>
    <i>
      <x v="132"/>
    </i>
    <i>
      <x v="77"/>
    </i>
    <i>
      <x v="133"/>
    </i>
    <i>
      <x v="285"/>
    </i>
    <i>
      <x v="134"/>
    </i>
    <i>
      <x v="81"/>
    </i>
    <i>
      <x v="39"/>
    </i>
    <i>
      <x v="301"/>
    </i>
    <i>
      <x v="136"/>
    </i>
    <i>
      <x v="309"/>
    </i>
    <i>
      <x v="137"/>
    </i>
    <i>
      <x v="317"/>
    </i>
    <i>
      <x v="138"/>
    </i>
    <i>
      <x v="28"/>
    </i>
    <i>
      <x v="40"/>
    </i>
    <i>
      <x v="333"/>
    </i>
    <i>
      <x v="140"/>
    </i>
    <i>
      <x v="91"/>
    </i>
    <i>
      <x v="141"/>
    </i>
    <i>
      <x v="349"/>
    </i>
    <i>
      <x v="142"/>
    </i>
    <i>
      <x v="357"/>
    </i>
    <i>
      <x v="143"/>
    </i>
    <i>
      <x v="98"/>
    </i>
    <i>
      <x v="144"/>
    </i>
    <i>
      <x v="102"/>
    </i>
    <i>
      <x v="145"/>
    </i>
    <i>
      <x v="381"/>
    </i>
    <i>
      <x v="146"/>
    </i>
    <i>
      <x v="109"/>
    </i>
    <i>
      <x v="15"/>
    </i>
    <i>
      <x v="112"/>
    </i>
    <i>
      <x v="148"/>
    </i>
    <i>
      <x v="24"/>
    </i>
    <i>
      <x v="149"/>
    </i>
    <i>
      <x v="263"/>
    </i>
    <i>
      <x v="150"/>
    </i>
    <i>
      <x v="73"/>
    </i>
    <i>
      <x v="42"/>
    </i>
    <i>
      <x v="271"/>
    </i>
    <i>
      <x v="152"/>
    </i>
    <i>
      <x v="275"/>
    </i>
    <i>
      <x v="153"/>
    </i>
    <i>
      <x v="279"/>
    </i>
    <i>
      <x v="154"/>
    </i>
    <i>
      <x v="79"/>
    </i>
    <i>
      <x v="155"/>
    </i>
    <i>
      <x v="287"/>
    </i>
    <i>
      <x v="156"/>
    </i>
    <i>
      <x v="291"/>
    </i>
    <i>
      <x v="157"/>
    </i>
    <i>
      <x v="82"/>
    </i>
    <i>
      <x v="158"/>
    </i>
    <i>
      <x v="83"/>
    </i>
    <i>
      <x v="159"/>
    </i>
    <i>
      <x v="303"/>
    </i>
    <i>
      <x v="43"/>
    </i>
    <i>
      <x v="307"/>
    </i>
    <i>
      <x v="161"/>
    </i>
    <i>
      <x v="311"/>
    </i>
    <i>
      <x v="162"/>
    </i>
    <i>
      <x v="85"/>
    </i>
    <i>
      <x v="163"/>
    </i>
    <i>
      <x v="87"/>
    </i>
    <i>
      <x v="164"/>
    </i>
    <i>
      <x v="323"/>
    </i>
    <i>
      <x v="165"/>
    </i>
    <i>
      <x v="327"/>
    </i>
    <i>
      <x v="166"/>
    </i>
    <i>
      <x v="331"/>
    </i>
    <i>
      <x v="167"/>
    </i>
    <i>
      <x v="335"/>
    </i>
    <i>
      <x v="168"/>
    </i>
    <i>
      <x v="339"/>
    </i>
    <i>
      <x v="169"/>
    </i>
    <i>
      <x v="343"/>
    </i>
    <i>
      <x v="170"/>
    </i>
    <i>
      <x v="347"/>
    </i>
    <i>
      <x v="16"/>
    </i>
    <i>
      <x v="351"/>
    </i>
    <i>
      <x v="45"/>
    </i>
    <i>
      <x v="29"/>
    </i>
    <i>
      <x v="173"/>
    </i>
    <i>
      <x v="359"/>
    </i>
    <i>
      <x v="174"/>
    </i>
    <i>
      <x v="5"/>
    </i>
    <i>
      <x v="46"/>
    </i>
    <i>
      <x v="99"/>
    </i>
    <i>
      <x v="176"/>
    </i>
    <i>
      <x v="101"/>
    </i>
    <i>
      <x v="177"/>
    </i>
    <i>
      <x v="375"/>
    </i>
    <i>
      <x v="178"/>
    </i>
    <i>
      <x v="379"/>
    </i>
    <i>
      <x v="179"/>
    </i>
    <i>
      <x v="32"/>
    </i>
    <i>
      <x v="180"/>
    </i>
    <i>
      <x v="387"/>
    </i>
    <i>
      <x v="181"/>
    </i>
    <i>
      <x v="110"/>
    </i>
    <i>
      <x v="182"/>
    </i>
    <i>
      <x v="395"/>
    </i>
    <i>
      <x v="183"/>
    </i>
    <i>
      <x v="399"/>
    </i>
    <i>
      <x v="184"/>
    </i>
    <i>
      <x v="403"/>
    </i>
    <i>
      <x v="17"/>
    </i>
    <i>
      <x v="69"/>
    </i>
    <i>
      <x v="186"/>
    </i>
    <i>
      <x v="71"/>
    </i>
    <i>
      <x v="187"/>
    </i>
    <i>
      <x v="264"/>
    </i>
    <i>
      <x v="188"/>
    </i>
    <i>
      <x v="25"/>
    </i>
    <i>
      <x v="189"/>
    </i>
    <i>
      <x v="268"/>
    </i>
    <i>
      <x v="190"/>
    </i>
    <i>
      <x v="270"/>
    </i>
    <i>
      <x v="191"/>
    </i>
    <i>
      <x v="74"/>
    </i>
    <i>
      <x v="192"/>
    </i>
    <i>
      <x v="274"/>
    </i>
    <i>
      <x v="48"/>
    </i>
    <i>
      <x v="76"/>
    </i>
    <i>
      <x v="194"/>
    </i>
    <i>
      <x v="278"/>
    </i>
    <i>
      <x v="195"/>
    </i>
    <i>
      <x v="280"/>
    </i>
    <i>
      <x v="196"/>
    </i>
    <i>
      <x v="26"/>
    </i>
    <i>
      <x v="197"/>
    </i>
    <i>
      <x v="284"/>
    </i>
    <i>
      <x v="198"/>
    </i>
    <i>
      <x v="286"/>
    </i>
    <i>
      <x v="199"/>
    </i>
    <i>
      <x v="80"/>
    </i>
    <i>
      <x v="200"/>
    </i>
    <i>
      <x v="290"/>
    </i>
    <i>
      <x v="404"/>
    </i>
    <i>
      <x v="292"/>
    </i>
    <i>
      <x v="49"/>
    </i>
    <i>
      <x v="294"/>
    </i>
    <i>
      <x v="18"/>
    </i>
    <i>
      <x v="296"/>
    </i>
    <i>
      <x v="204"/>
    </i>
    <i>
      <x v="298"/>
    </i>
    <i>
      <x v="205"/>
    </i>
    <i>
      <x v="300"/>
    </i>
    <i>
      <x v="206"/>
    </i>
    <i>
      <x v="302"/>
    </i>
    <i>
      <x v="207"/>
    </i>
    <i>
      <x v="304"/>
    </i>
    <i>
      <x v="208"/>
    </i>
    <i>
      <x v="306"/>
    </i>
    <i>
      <x v="209"/>
    </i>
    <i>
      <x v="308"/>
    </i>
    <i>
      <x v="210"/>
    </i>
    <i>
      <x v="310"/>
    </i>
    <i>
      <x v="51"/>
    </i>
    <i>
      <x v="312"/>
    </i>
    <i>
      <x v="19"/>
    </i>
    <i>
      <x v="314"/>
    </i>
    <i>
      <x v="213"/>
    </i>
    <i>
      <x v="86"/>
    </i>
    <i>
      <x v="214"/>
    </i>
    <i>
      <x v="318"/>
    </i>
    <i>
      <x v="215"/>
    </i>
    <i>
      <x v="320"/>
    </i>
    <i>
      <x v="53"/>
    </i>
    <i>
      <x v="322"/>
    </i>
    <i>
      <x v="217"/>
    </i>
    <i>
      <x v="324"/>
    </i>
    <i>
      <x v="218"/>
    </i>
    <i>
      <x v="326"/>
    </i>
    <i>
      <x v="20"/>
    </i>
    <i>
      <x v="328"/>
    </i>
    <i>
      <x v="55"/>
    </i>
    <i>
      <x v="330"/>
    </i>
    <i>
      <x v="221"/>
    </i>
    <i>
      <x v="89"/>
    </i>
    <i>
      <x v="222"/>
    </i>
    <i>
      <x v="334"/>
    </i>
    <i>
      <x v="56"/>
    </i>
    <i>
      <x v="336"/>
    </i>
    <i>
      <x v="224"/>
    </i>
    <i>
      <x v="338"/>
    </i>
    <i>
      <x v="225"/>
    </i>
    <i>
      <x v="90"/>
    </i>
    <i>
      <x v="226"/>
    </i>
    <i>
      <x v="342"/>
    </i>
    <i>
      <x v="57"/>
    </i>
    <i>
      <x v="344"/>
    </i>
    <i>
      <x v="228"/>
    </i>
    <i>
      <x v="92"/>
    </i>
    <i>
      <x v="229"/>
    </i>
    <i>
      <x v="348"/>
    </i>
    <i>
      <x v="230"/>
    </i>
    <i>
      <x v="93"/>
    </i>
    <i>
      <x v="231"/>
    </i>
    <i>
      <x v="352"/>
    </i>
    <i>
      <x v="58"/>
    </i>
    <i>
      <x v="354"/>
    </i>
    <i>
      <x v="233"/>
    </i>
    <i>
      <x v="95"/>
    </i>
    <i>
      <x v="234"/>
    </i>
    <i>
      <x v="358"/>
    </i>
    <i>
      <x v="235"/>
    </i>
    <i>
      <x v="360"/>
    </i>
    <i>
      <x v="236"/>
    </i>
    <i>
      <x v="362"/>
    </i>
    <i>
      <x v="237"/>
    </i>
    <i>
      <x v="364"/>
    </i>
    <i>
      <x v="238"/>
    </i>
    <i>
      <x v="366"/>
    </i>
    <i>
      <x v="21"/>
    </i>
    <i>
      <x v="368"/>
    </i>
    <i>
      <x v="240"/>
    </i>
    <i>
      <x v="100"/>
    </i>
    <i>
      <x v="241"/>
    </i>
    <i>
      <x v="372"/>
    </i>
    <i>
      <x v="22"/>
    </i>
    <i>
      <x v="374"/>
    </i>
    <i>
      <x v="243"/>
    </i>
    <i>
      <x v="376"/>
    </i>
    <i>
      <x v="244"/>
    </i>
    <i>
      <x v="378"/>
    </i>
    <i>
      <x v="245"/>
    </i>
    <i>
      <x v="31"/>
    </i>
    <i>
      <x v="246"/>
    </i>
    <i>
      <x v="105"/>
    </i>
    <i>
      <x v="61"/>
    </i>
    <i>
      <x v="107"/>
    </i>
    <i>
      <x v="248"/>
    </i>
    <i>
      <x v="386"/>
    </i>
    <i>
      <x v="249"/>
    </i>
    <i>
      <x v="388"/>
    </i>
    <i>
      <x v="23"/>
    </i>
    <i>
      <x v="390"/>
    </i>
    <i>
      <x v="251"/>
    </i>
    <i>
      <x v="392"/>
    </i>
    <i>
      <x v="63"/>
    </i>
    <i>
      <x v="10"/>
    </i>
    <i>
      <x v="64"/>
    </i>
    <i>
      <x v="396"/>
    </i>
    <i>
      <x v="254"/>
    </i>
    <i>
      <x v="398"/>
    </i>
    <i>
      <x v="65"/>
    </i>
    <i>
      <x v="400"/>
    </i>
    <i>
      <x v="66"/>
    </i>
    <i>
      <x v="3"/>
    </i>
    <i>
      <x v="257"/>
    </i>
    <i>
      <x v="114"/>
    </i>
    <i>
      <x v="67"/>
    </i>
    <i>
      <x v="202"/>
    </i>
    <i t="grand">
      <x/>
    </i>
  </rowItems>
  <colItems count="1">
    <i/>
  </colItems>
  <dataFields count="1">
    <dataField name="Count of City" fld="0" subtotal="count" baseField="0" baseItem="0"/>
  </dataFields>
  <formats count="14">
    <format dxfId="1125">
      <pivotArea dataOnly="0" labelOnly="1" fieldPosition="0">
        <references count="1">
          <reference field="0" count="1">
            <x v="272"/>
          </reference>
        </references>
      </pivotArea>
    </format>
    <format dxfId="1124">
      <pivotArea dataOnly="0" labelOnly="1" fieldPosition="0">
        <references count="1">
          <reference field="0" count="1">
            <x v="227"/>
          </reference>
        </references>
      </pivotArea>
    </format>
    <format dxfId="1123">
      <pivotArea dataOnly="0" labelOnly="1" fieldPosition="0">
        <references count="1">
          <reference field="0" count="1">
            <x v="361"/>
          </reference>
        </references>
      </pivotArea>
    </format>
    <format dxfId="1122">
      <pivotArea dataOnly="0" labelOnly="1" fieldPosition="0">
        <references count="1">
          <reference field="0" count="1">
            <x v="371"/>
          </reference>
        </references>
      </pivotArea>
    </format>
    <format dxfId="1121">
      <pivotArea dataOnly="0" labelOnly="1" fieldPosition="0">
        <references count="1">
          <reference field="0" count="1">
            <x v="295"/>
          </reference>
        </references>
      </pivotArea>
    </format>
    <format dxfId="1120">
      <pivotArea dataOnly="0" labelOnly="1" fieldPosition="0">
        <references count="1">
          <reference field="0" count="1">
            <x v="260"/>
          </reference>
        </references>
      </pivotArea>
    </format>
    <format dxfId="1119">
      <pivotArea dataOnly="0" fieldPosition="0">
        <references count="1">
          <reference field="0" count="1">
            <x v="78"/>
          </reference>
        </references>
      </pivotArea>
    </format>
    <format dxfId="1118">
      <pivotArea dataOnly="0" labelOnly="1" fieldPosition="0">
        <references count="1">
          <reference field="0" count="1">
            <x v="203"/>
          </reference>
        </references>
      </pivotArea>
    </format>
    <format dxfId="1117">
      <pivotArea dataOnly="0" fieldPosition="0">
        <references count="1">
          <reference field="0" count="1">
            <x v="78"/>
          </reference>
        </references>
      </pivotArea>
    </format>
    <format dxfId="1116">
      <pivotArea dataOnly="0" labelOnly="1" fieldPosition="0">
        <references count="1">
          <reference field="0" count="1">
            <x v="293"/>
          </reference>
        </references>
      </pivotArea>
    </format>
    <format dxfId="1115">
      <pivotArea dataOnly="0" labelOnly="1" fieldPosition="0">
        <references count="1">
          <reference field="0" count="1">
            <x v="261"/>
          </reference>
        </references>
      </pivotArea>
    </format>
    <format dxfId="1114">
      <pivotArea dataOnly="0" labelOnly="1" fieldPosition="0">
        <references count="1">
          <reference field="0" count="1">
            <x v="305"/>
          </reference>
        </references>
      </pivotArea>
    </format>
    <format dxfId="1113">
      <pivotArea dataOnly="0" labelOnly="1" fieldPosition="0">
        <references count="1">
          <reference field="0" count="1">
            <x v="68"/>
          </reference>
        </references>
      </pivotArea>
    </format>
    <format dxfId="1112">
      <pivotArea dataOnly="0" labelOnly="1" fieldPosition="0">
        <references count="1">
          <reference field="0" count="1">
            <x v="2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827" Type="http://schemas.openxmlformats.org/officeDocument/2006/relationships/hyperlink" Target="https://clinicaltrials.gov/study/NCT00958841" TargetMode="External"/><Relationship Id="rId170" Type="http://schemas.openxmlformats.org/officeDocument/2006/relationships/hyperlink" Target="https://clinicaltrials.gov/study/NCT01215578" TargetMode="External"/><Relationship Id="rId987" Type="http://schemas.openxmlformats.org/officeDocument/2006/relationships/hyperlink" Target="https://clinicaltrials.gov/study/NCT02818829" TargetMode="External"/><Relationship Id="rId847" Type="http://schemas.openxmlformats.org/officeDocument/2006/relationships/hyperlink" Target="https://clinicaltrials.gov/study/NCT07097064" TargetMode="External"/><Relationship Id="rId1477" Type="http://schemas.openxmlformats.org/officeDocument/2006/relationships/hyperlink" Target="https://clinicaltrials.gov/study/NCT00112658" TargetMode="External"/><Relationship Id="rId1684" Type="http://schemas.openxmlformats.org/officeDocument/2006/relationships/hyperlink" Target="https://clinicaltrials.gov/study/NCT01444456" TargetMode="External"/><Relationship Id="rId1891" Type="http://schemas.openxmlformats.org/officeDocument/2006/relationships/hyperlink" Target="https://clinicaltrials.gov/study/NCT01214720" TargetMode="External"/><Relationship Id="rId2528" Type="http://schemas.openxmlformats.org/officeDocument/2006/relationships/hyperlink" Target="https://clinicaltrials.gov/study/NCT02352337" TargetMode="External"/><Relationship Id="rId707" Type="http://schemas.openxmlformats.org/officeDocument/2006/relationships/hyperlink" Target="https://clinicaltrials.gov/study/NCT04935359" TargetMode="External"/><Relationship Id="rId914" Type="http://schemas.openxmlformats.org/officeDocument/2006/relationships/hyperlink" Target="https://clinicaltrials.gov/study/NCT03504423" TargetMode="External"/><Relationship Id="rId1337" Type="http://schemas.openxmlformats.org/officeDocument/2006/relationships/hyperlink" Target="https://clinicaltrials.gov/study/NCT00634725" TargetMode="External"/><Relationship Id="rId1544" Type="http://schemas.openxmlformats.org/officeDocument/2006/relationships/hyperlink" Target="https://clinicaltrials.gov/study/NCT02830620" TargetMode="External"/><Relationship Id="rId1751" Type="http://schemas.openxmlformats.org/officeDocument/2006/relationships/hyperlink" Target="https://clinicaltrials.gov/study/NCT00841191" TargetMode="External"/><Relationship Id="rId43" Type="http://schemas.openxmlformats.org/officeDocument/2006/relationships/hyperlink" Target="https://clinicaltrials.gov/study/NCT02487836" TargetMode="External"/><Relationship Id="rId1404" Type="http://schemas.openxmlformats.org/officeDocument/2006/relationships/hyperlink" Target="https://clinicaltrials.gov/study/NCT01989624" TargetMode="External"/><Relationship Id="rId1611" Type="http://schemas.openxmlformats.org/officeDocument/2006/relationships/hyperlink" Target="https://clinicaltrials.gov/study/NCT02352337" TargetMode="External"/><Relationship Id="rId497" Type="http://schemas.openxmlformats.org/officeDocument/2006/relationships/hyperlink" Target="https://clinicaltrials.gov/study/NCT07076121" TargetMode="External"/><Relationship Id="rId2178" Type="http://schemas.openxmlformats.org/officeDocument/2006/relationships/hyperlink" Target="https://clinicaltrials.gov/study/NCT01964534" TargetMode="External"/><Relationship Id="rId2385" Type="http://schemas.openxmlformats.org/officeDocument/2006/relationships/hyperlink" Target="https://clinicaltrials.gov/study/NCT03693677" TargetMode="External"/><Relationship Id="rId357" Type="http://schemas.openxmlformats.org/officeDocument/2006/relationships/hyperlink" Target="https://clinicaltrials.gov/study/NCT03821935" TargetMode="External"/><Relationship Id="rId1194" Type="http://schemas.openxmlformats.org/officeDocument/2006/relationships/hyperlink" Target="https://clinicaltrials.gov/study/NCT01989624" TargetMode="External"/><Relationship Id="rId2038" Type="http://schemas.openxmlformats.org/officeDocument/2006/relationships/hyperlink" Target="https://clinicaltrials.gov/study/NCT06755359" TargetMode="External"/><Relationship Id="rId217" Type="http://schemas.openxmlformats.org/officeDocument/2006/relationships/hyperlink" Target="https://clinicaltrials.gov/study/NCT04704154" TargetMode="External"/><Relationship Id="rId564" Type="http://schemas.openxmlformats.org/officeDocument/2006/relationships/hyperlink" Target="https://clinicaltrials.gov/study/NCT07483983" TargetMode="External"/><Relationship Id="rId771" Type="http://schemas.openxmlformats.org/officeDocument/2006/relationships/hyperlink" Target="https://clinicaltrials.gov/study/NCT02806687" TargetMode="External"/><Relationship Id="rId2245" Type="http://schemas.openxmlformats.org/officeDocument/2006/relationships/hyperlink" Target="https://clinicaltrials.gov/study/NCT01964534" TargetMode="External"/><Relationship Id="rId2452" Type="http://schemas.openxmlformats.org/officeDocument/2006/relationships/hyperlink" Target="https://clinicaltrials.gov/study/NCT01444456" TargetMode="External"/><Relationship Id="rId424" Type="http://schemas.openxmlformats.org/officeDocument/2006/relationships/hyperlink" Target="https://clinicaltrials.gov/study/NCT00902291" TargetMode="External"/><Relationship Id="rId631" Type="http://schemas.openxmlformats.org/officeDocument/2006/relationships/hyperlink" Target="https://clinicaltrials.gov/study/NCT05254171" TargetMode="External"/><Relationship Id="rId1054" Type="http://schemas.openxmlformats.org/officeDocument/2006/relationships/hyperlink" Target="https://clinicaltrials.gov/study/NCT07522073" TargetMode="External"/><Relationship Id="rId1261" Type="http://schemas.openxmlformats.org/officeDocument/2006/relationships/hyperlink" Target="https://clinicaltrials.gov/study/NCT06333314" TargetMode="External"/><Relationship Id="rId2105" Type="http://schemas.openxmlformats.org/officeDocument/2006/relationships/hyperlink" Target="https://clinicaltrials.gov/study/NCT04925284" TargetMode="External"/><Relationship Id="rId2312" Type="http://schemas.openxmlformats.org/officeDocument/2006/relationships/hyperlink" Target="https://clinicaltrials.gov/study/NCT02539537" TargetMode="External"/><Relationship Id="rId1121" Type="http://schemas.openxmlformats.org/officeDocument/2006/relationships/hyperlink" Target="https://clinicaltrials.gov/study/NCT00428220" TargetMode="External"/><Relationship Id="rId1938" Type="http://schemas.openxmlformats.org/officeDocument/2006/relationships/hyperlink" Target="https://clinicaltrials.gov/study/NCT02676349" TargetMode="External"/><Relationship Id="rId281" Type="http://schemas.openxmlformats.org/officeDocument/2006/relationships/hyperlink" Target="https://clinicaltrials.gov/study/NCT00358566" TargetMode="External"/><Relationship Id="rId141" Type="http://schemas.openxmlformats.org/officeDocument/2006/relationships/hyperlink" Target="https://clinicaltrials.gov/study/NCT06333314" TargetMode="External"/><Relationship Id="rId7" Type="http://schemas.openxmlformats.org/officeDocument/2006/relationships/hyperlink" Target="https://clinicaltrials.gov/study/NCT06776146" TargetMode="External"/><Relationship Id="rId958" Type="http://schemas.openxmlformats.org/officeDocument/2006/relationships/hyperlink" Target="https://clinicaltrials.gov/study/NCT00075452" TargetMode="External"/><Relationship Id="rId1588" Type="http://schemas.openxmlformats.org/officeDocument/2006/relationships/hyperlink" Target="https://clinicaltrials.gov/study/NCT01658436" TargetMode="External"/><Relationship Id="rId1795" Type="http://schemas.openxmlformats.org/officeDocument/2006/relationships/hyperlink" Target="https://clinicaltrials.gov/study/NCT04925284" TargetMode="External"/><Relationship Id="rId87" Type="http://schemas.openxmlformats.org/officeDocument/2006/relationships/hyperlink" Target="https://clinicaltrials.gov/study/NCT01231347" TargetMode="External"/><Relationship Id="rId818" Type="http://schemas.openxmlformats.org/officeDocument/2006/relationships/hyperlink" Target="https://clinicaltrials.gov/study/NCT06999512" TargetMode="External"/><Relationship Id="rId1448" Type="http://schemas.openxmlformats.org/officeDocument/2006/relationships/hyperlink" Target="https://clinicaltrials.gov/study/NCT00303758" TargetMode="External"/><Relationship Id="rId1655" Type="http://schemas.openxmlformats.org/officeDocument/2006/relationships/hyperlink" Target="https://clinicaltrials.gov/study/NCT04919226" TargetMode="External"/><Relationship Id="rId1308" Type="http://schemas.openxmlformats.org/officeDocument/2006/relationships/hyperlink" Target="https://clinicaltrials.gov/study/NCT01526135" TargetMode="External"/><Relationship Id="rId1862" Type="http://schemas.openxmlformats.org/officeDocument/2006/relationships/hyperlink" Target="https://clinicaltrials.gov/study/NCT04639219" TargetMode="External"/><Relationship Id="rId1515" Type="http://schemas.openxmlformats.org/officeDocument/2006/relationships/hyperlink" Target="https://clinicaltrials.gov/study/NCT01989624" TargetMode="External"/><Relationship Id="rId1722" Type="http://schemas.openxmlformats.org/officeDocument/2006/relationships/hyperlink" Target="https://clinicaltrials.gov/study/NCT01097512" TargetMode="External"/><Relationship Id="rId14" Type="http://schemas.openxmlformats.org/officeDocument/2006/relationships/hyperlink" Target="https://clinicaltrials.gov/study/NCT05511116" TargetMode="External"/><Relationship Id="rId2289" Type="http://schemas.openxmlformats.org/officeDocument/2006/relationships/hyperlink" Target="https://clinicaltrials.gov/study/NCT01689584" TargetMode="External"/><Relationship Id="rId2496" Type="http://schemas.openxmlformats.org/officeDocument/2006/relationships/hyperlink" Target="https://clinicaltrials.gov/study/NCT02352337" TargetMode="External"/><Relationship Id="rId468" Type="http://schemas.openxmlformats.org/officeDocument/2006/relationships/hyperlink" Target="https://clinicaltrials.gov/study/NCT05208762" TargetMode="External"/><Relationship Id="rId675" Type="http://schemas.openxmlformats.org/officeDocument/2006/relationships/hyperlink" Target="https://clinicaltrials.gov/study/NCT05059444" TargetMode="External"/><Relationship Id="rId882" Type="http://schemas.openxmlformats.org/officeDocument/2006/relationships/hyperlink" Target="https://clinicaltrials.gov/study/NCT05706129" TargetMode="External"/><Relationship Id="rId1098" Type="http://schemas.openxmlformats.org/officeDocument/2006/relationships/hyperlink" Target="https://clinicaltrials.gov/study/NCT02195180" TargetMode="External"/><Relationship Id="rId2149" Type="http://schemas.openxmlformats.org/officeDocument/2006/relationships/hyperlink" Target="https://clinicaltrials.gov/study/NCT01485679" TargetMode="External"/><Relationship Id="rId2356" Type="http://schemas.openxmlformats.org/officeDocument/2006/relationships/hyperlink" Target="https://clinicaltrials.gov/study/NCT02827201" TargetMode="External"/><Relationship Id="rId328" Type="http://schemas.openxmlformats.org/officeDocument/2006/relationships/hyperlink" Target="https://clinicaltrials.gov/study/NCT07087054" TargetMode="External"/><Relationship Id="rId535" Type="http://schemas.openxmlformats.org/officeDocument/2006/relationships/hyperlink" Target="https://clinicaltrials.gov/study/NCT02119663" TargetMode="External"/><Relationship Id="rId742" Type="http://schemas.openxmlformats.org/officeDocument/2006/relationships/hyperlink" Target="https://clinicaltrials.gov/study/NCT00428597" TargetMode="External"/><Relationship Id="rId1165" Type="http://schemas.openxmlformats.org/officeDocument/2006/relationships/hyperlink" Target="https://clinicaltrials.gov/study/NCT00303758" TargetMode="External"/><Relationship Id="rId1372" Type="http://schemas.openxmlformats.org/officeDocument/2006/relationships/hyperlink" Target="https://clinicaltrials.gov/study/NCT00064207" TargetMode="External"/><Relationship Id="rId2009" Type="http://schemas.openxmlformats.org/officeDocument/2006/relationships/hyperlink" Target="https://clinicaltrials.gov/study/NCT01964534" TargetMode="External"/><Relationship Id="rId2216" Type="http://schemas.openxmlformats.org/officeDocument/2006/relationships/hyperlink" Target="https://clinicaltrials.gov/study/NCT02676349" TargetMode="External"/><Relationship Id="rId2423" Type="http://schemas.openxmlformats.org/officeDocument/2006/relationships/hyperlink" Target="https://clinicaltrials.gov/study/NCT02352337" TargetMode="External"/><Relationship Id="rId602" Type="http://schemas.openxmlformats.org/officeDocument/2006/relationships/hyperlink" Target="https://clinicaltrials.gov/study/NCT02806687" TargetMode="External"/><Relationship Id="rId1025" Type="http://schemas.openxmlformats.org/officeDocument/2006/relationships/hyperlink" Target="https://clinicaltrials.gov/study/NCT00918853" TargetMode="External"/><Relationship Id="rId1232" Type="http://schemas.openxmlformats.org/officeDocument/2006/relationships/hyperlink" Target="https://clinicaltrials.gov/study/NCT01526135" TargetMode="External"/><Relationship Id="rId185" Type="http://schemas.openxmlformats.org/officeDocument/2006/relationships/hyperlink" Target="https://clinicaltrials.gov/study/NCT02820857" TargetMode="External"/><Relationship Id="rId1909" Type="http://schemas.openxmlformats.org/officeDocument/2006/relationships/hyperlink" Target="https://clinicaltrials.gov/study/NCT05850130" TargetMode="External"/><Relationship Id="rId392" Type="http://schemas.openxmlformats.org/officeDocument/2006/relationships/hyperlink" Target="https://clinicaltrials.gov/study/NCT05365581" TargetMode="External"/><Relationship Id="rId2073" Type="http://schemas.openxmlformats.org/officeDocument/2006/relationships/hyperlink" Target="https://clinicaltrials.gov/study/NCT03400072" TargetMode="External"/><Relationship Id="rId2280" Type="http://schemas.openxmlformats.org/officeDocument/2006/relationships/hyperlink" Target="https://clinicaltrials.gov/study/NCT02827201" TargetMode="External"/><Relationship Id="rId252" Type="http://schemas.openxmlformats.org/officeDocument/2006/relationships/hyperlink" Target="https://clinicaltrials.gov/study/NCT07097064" TargetMode="External"/><Relationship Id="rId2140" Type="http://schemas.openxmlformats.org/officeDocument/2006/relationships/hyperlink" Target="https://clinicaltrials.gov/study/NCT03400072" TargetMode="External"/><Relationship Id="rId112" Type="http://schemas.openxmlformats.org/officeDocument/2006/relationships/hyperlink" Target="https://clinicaltrials.gov/study/NCT00550004" TargetMode="External"/><Relationship Id="rId1699" Type="http://schemas.openxmlformats.org/officeDocument/2006/relationships/hyperlink" Target="https://clinicaltrials.gov/study/NCT02312167" TargetMode="External"/><Relationship Id="rId2000" Type="http://schemas.openxmlformats.org/officeDocument/2006/relationships/hyperlink" Target="https://clinicaltrials.gov/study/NCT03351296" TargetMode="External"/><Relationship Id="rId929" Type="http://schemas.openxmlformats.org/officeDocument/2006/relationships/hyperlink" Target="https://clinicaltrials.gov/study/NCT00471146" TargetMode="External"/><Relationship Id="rId1559" Type="http://schemas.openxmlformats.org/officeDocument/2006/relationships/hyperlink" Target="https://clinicaltrials.gov/study/NCT02871336" TargetMode="External"/><Relationship Id="rId1766" Type="http://schemas.openxmlformats.org/officeDocument/2006/relationships/hyperlink" Target="https://clinicaltrials.gov/study/NCT06400472" TargetMode="External"/><Relationship Id="rId1973" Type="http://schemas.openxmlformats.org/officeDocument/2006/relationships/hyperlink" Target="https://clinicaltrials.gov/study/NCT03049189" TargetMode="External"/><Relationship Id="rId58" Type="http://schemas.openxmlformats.org/officeDocument/2006/relationships/hyperlink" Target="https://clinicaltrials.gov/study/NCT06478056" TargetMode="External"/><Relationship Id="rId1419" Type="http://schemas.openxmlformats.org/officeDocument/2006/relationships/hyperlink" Target="https://clinicaltrials.gov/study/NCT00075452" TargetMode="External"/><Relationship Id="rId1626" Type="http://schemas.openxmlformats.org/officeDocument/2006/relationships/hyperlink" Target="https://clinicaltrials.gov/study/NCT00841191" TargetMode="External"/><Relationship Id="rId1833" Type="http://schemas.openxmlformats.org/officeDocument/2006/relationships/hyperlink" Target="https://clinicaltrials.gov/study/NCT03693677" TargetMode="External"/><Relationship Id="rId1900" Type="http://schemas.openxmlformats.org/officeDocument/2006/relationships/hyperlink" Target="https://clinicaltrials.gov/study/NCT00958841" TargetMode="External"/><Relationship Id="rId579" Type="http://schemas.openxmlformats.org/officeDocument/2006/relationships/hyperlink" Target="https://clinicaltrials.gov/study/NCT03210298" TargetMode="External"/><Relationship Id="rId786" Type="http://schemas.openxmlformats.org/officeDocument/2006/relationships/hyperlink" Target="https://clinicaltrials.gov/study/NCT02979483" TargetMode="External"/><Relationship Id="rId993" Type="http://schemas.openxmlformats.org/officeDocument/2006/relationships/hyperlink" Target="https://clinicaltrials.gov/study/NCT02195180" TargetMode="External"/><Relationship Id="rId2467" Type="http://schemas.openxmlformats.org/officeDocument/2006/relationships/hyperlink" Target="https://clinicaltrials.gov/study/NCT02264665" TargetMode="External"/><Relationship Id="rId439" Type="http://schemas.openxmlformats.org/officeDocument/2006/relationships/hyperlink" Target="https://clinicaltrials.gov/study/NCT07522073" TargetMode="External"/><Relationship Id="rId646" Type="http://schemas.openxmlformats.org/officeDocument/2006/relationships/hyperlink" Target="https://clinicaltrials.gov/study/NCT00112658" TargetMode="External"/><Relationship Id="rId1069" Type="http://schemas.openxmlformats.org/officeDocument/2006/relationships/hyperlink" Target="https://clinicaltrials.gov/study/NCT07547033" TargetMode="External"/><Relationship Id="rId1276" Type="http://schemas.openxmlformats.org/officeDocument/2006/relationships/hyperlink" Target="https://clinicaltrials.gov/study/NCT03806309" TargetMode="External"/><Relationship Id="rId1483" Type="http://schemas.openxmlformats.org/officeDocument/2006/relationships/hyperlink" Target="https://clinicaltrials.gov/study/NCT01989624" TargetMode="External"/><Relationship Id="rId2327" Type="http://schemas.openxmlformats.org/officeDocument/2006/relationships/hyperlink" Target="https://clinicaltrials.gov/study/NCT02853474" TargetMode="External"/><Relationship Id="rId506" Type="http://schemas.openxmlformats.org/officeDocument/2006/relationships/hyperlink" Target="https://clinicaltrials.gov/study/NCT02436668" TargetMode="External"/><Relationship Id="rId853" Type="http://schemas.openxmlformats.org/officeDocument/2006/relationships/hyperlink" Target="https://clinicaltrials.gov/study/NCT02184195" TargetMode="External"/><Relationship Id="rId1136" Type="http://schemas.openxmlformats.org/officeDocument/2006/relationships/hyperlink" Target="https://clinicaltrials.gov/study/NCT03126435" TargetMode="External"/><Relationship Id="rId1690" Type="http://schemas.openxmlformats.org/officeDocument/2006/relationships/hyperlink" Target="https://clinicaltrials.gov/study/NCT03787056" TargetMode="External"/><Relationship Id="rId2534" Type="http://schemas.openxmlformats.org/officeDocument/2006/relationships/hyperlink" Target="https://clinicaltrials.gov/study/NCT01689584" TargetMode="External"/><Relationship Id="rId713" Type="http://schemas.openxmlformats.org/officeDocument/2006/relationships/hyperlink" Target="https://clinicaltrials.gov/study/NCT04570943" TargetMode="External"/><Relationship Id="rId920" Type="http://schemas.openxmlformats.org/officeDocument/2006/relationships/hyperlink" Target="https://clinicaltrials.gov/study/NCT02715804" TargetMode="External"/><Relationship Id="rId1343" Type="http://schemas.openxmlformats.org/officeDocument/2006/relationships/hyperlink" Target="https://clinicaltrials.gov/study/NCT03806309" TargetMode="External"/><Relationship Id="rId1550" Type="http://schemas.openxmlformats.org/officeDocument/2006/relationships/hyperlink" Target="https://clinicaltrials.gov/study/NCT01774019" TargetMode="External"/><Relationship Id="rId1203" Type="http://schemas.openxmlformats.org/officeDocument/2006/relationships/hyperlink" Target="https://clinicaltrials.gov/study/NCT00010088" TargetMode="External"/><Relationship Id="rId1410" Type="http://schemas.openxmlformats.org/officeDocument/2006/relationships/hyperlink" Target="https://clinicaltrials.gov/study/NCT00064207" TargetMode="External"/><Relationship Id="rId296" Type="http://schemas.openxmlformats.org/officeDocument/2006/relationships/hyperlink" Target="https://clinicaltrials.gov/study/NCT02143219" TargetMode="External"/><Relationship Id="rId2184" Type="http://schemas.openxmlformats.org/officeDocument/2006/relationships/hyperlink" Target="https://clinicaltrials.gov/study/NCT02184663" TargetMode="External"/><Relationship Id="rId2391" Type="http://schemas.openxmlformats.org/officeDocument/2006/relationships/hyperlink" Target="https://clinicaltrials.gov/study/NCT02352337" TargetMode="External"/><Relationship Id="rId156" Type="http://schemas.openxmlformats.org/officeDocument/2006/relationships/hyperlink" Target="https://clinicaltrials.gov/study/NCT06131840" TargetMode="External"/><Relationship Id="rId363" Type="http://schemas.openxmlformats.org/officeDocument/2006/relationships/hyperlink" Target="https://clinicaltrials.gov/study/NCT02810730" TargetMode="External"/><Relationship Id="rId570" Type="http://schemas.openxmlformats.org/officeDocument/2006/relationships/hyperlink" Target="https://clinicaltrials.gov/study/NCT02077933" TargetMode="External"/><Relationship Id="rId2044" Type="http://schemas.openxmlformats.org/officeDocument/2006/relationships/hyperlink" Target="https://clinicaltrials.gov/study/NCT02288377" TargetMode="External"/><Relationship Id="rId2251" Type="http://schemas.openxmlformats.org/officeDocument/2006/relationships/hyperlink" Target="https://clinicaltrials.gov/study/NCT03787056" TargetMode="External"/><Relationship Id="rId223" Type="http://schemas.openxmlformats.org/officeDocument/2006/relationships/hyperlink" Target="https://clinicaltrials.gov/study/NCT06892054" TargetMode="External"/><Relationship Id="rId430" Type="http://schemas.openxmlformats.org/officeDocument/2006/relationships/hyperlink" Target="https://clinicaltrials.gov/study/NCT00005053" TargetMode="External"/><Relationship Id="rId1060" Type="http://schemas.openxmlformats.org/officeDocument/2006/relationships/hyperlink" Target="https://clinicaltrials.gov/study/NCT00918853" TargetMode="External"/><Relationship Id="rId2111" Type="http://schemas.openxmlformats.org/officeDocument/2006/relationships/hyperlink" Target="https://clinicaltrials.gov/study/NCT01395017" TargetMode="External"/><Relationship Id="rId1877" Type="http://schemas.openxmlformats.org/officeDocument/2006/relationships/hyperlink" Target="https://clinicaltrials.gov/study/NCT06360354" TargetMode="External"/><Relationship Id="rId1737" Type="http://schemas.openxmlformats.org/officeDocument/2006/relationships/hyperlink" Target="https://clinicaltrials.gov/study/NCT02021500" TargetMode="External"/><Relationship Id="rId1944" Type="http://schemas.openxmlformats.org/officeDocument/2006/relationships/hyperlink" Target="https://clinicaltrials.gov/study/NCT01395017" TargetMode="External"/><Relationship Id="rId29" Type="http://schemas.openxmlformats.org/officeDocument/2006/relationships/hyperlink" Target="https://clinicaltrials.gov/study/NCT02981342" TargetMode="External"/><Relationship Id="rId1804" Type="http://schemas.openxmlformats.org/officeDocument/2006/relationships/hyperlink" Target="https://clinicaltrials.gov/study/NCT00219557" TargetMode="External"/><Relationship Id="rId897" Type="http://schemas.openxmlformats.org/officeDocument/2006/relationships/hyperlink" Target="https://clinicaltrials.gov/study/NCT02195180" TargetMode="External"/><Relationship Id="rId757" Type="http://schemas.openxmlformats.org/officeDocument/2006/relationships/hyperlink" Target="https://clinicaltrials.gov/study/NCT02820857" TargetMode="External"/><Relationship Id="rId964" Type="http://schemas.openxmlformats.org/officeDocument/2006/relationships/hyperlink" Target="https://clinicaltrials.gov/study/NCT00010088" TargetMode="External"/><Relationship Id="rId1387" Type="http://schemas.openxmlformats.org/officeDocument/2006/relationships/hyperlink" Target="https://clinicaltrials.gov/study/NCT00303758" TargetMode="External"/><Relationship Id="rId1594" Type="http://schemas.openxmlformats.org/officeDocument/2006/relationships/hyperlink" Target="https://clinicaltrials.gov/study/NCT06499792" TargetMode="External"/><Relationship Id="rId2438" Type="http://schemas.openxmlformats.org/officeDocument/2006/relationships/hyperlink" Target="https://clinicaltrials.gov/study/NCT00789633" TargetMode="External"/><Relationship Id="rId93" Type="http://schemas.openxmlformats.org/officeDocument/2006/relationships/hyperlink" Target="https://clinicaltrials.gov/study/NCT00634725" TargetMode="External"/><Relationship Id="rId617" Type="http://schemas.openxmlformats.org/officeDocument/2006/relationships/hyperlink" Target="https://clinicaltrials.gov/study/NCT07547033" TargetMode="External"/><Relationship Id="rId824" Type="http://schemas.openxmlformats.org/officeDocument/2006/relationships/hyperlink" Target="https://clinicaltrials.gov/study/NCT00428220" TargetMode="External"/><Relationship Id="rId1247" Type="http://schemas.openxmlformats.org/officeDocument/2006/relationships/hyperlink" Target="https://clinicaltrials.gov/study/NCT01989624" TargetMode="External"/><Relationship Id="rId1454" Type="http://schemas.openxmlformats.org/officeDocument/2006/relationships/hyperlink" Target="https://clinicaltrials.gov/study/NCT00303758" TargetMode="External"/><Relationship Id="rId1661" Type="http://schemas.openxmlformats.org/officeDocument/2006/relationships/hyperlink" Target="https://clinicaltrials.gov/study/NCT01374451" TargetMode="External"/><Relationship Id="rId2505" Type="http://schemas.openxmlformats.org/officeDocument/2006/relationships/hyperlink" Target="https://clinicaltrials.gov/study/NCT02539537" TargetMode="External"/><Relationship Id="rId1107" Type="http://schemas.openxmlformats.org/officeDocument/2006/relationships/hyperlink" Target="https://clinicaltrials.gov/study/NCT00634725" TargetMode="External"/><Relationship Id="rId1314" Type="http://schemas.openxmlformats.org/officeDocument/2006/relationships/hyperlink" Target="https://clinicaltrials.gov/study/NCT00112658" TargetMode="External"/><Relationship Id="rId1521" Type="http://schemas.openxmlformats.org/officeDocument/2006/relationships/hyperlink" Target="https://clinicaltrials.gov/study/NCT01989624" TargetMode="External"/><Relationship Id="rId20" Type="http://schemas.openxmlformats.org/officeDocument/2006/relationships/hyperlink" Target="https://clinicaltrials.gov/study/NCT04083235" TargetMode="External"/><Relationship Id="rId2088" Type="http://schemas.openxmlformats.org/officeDocument/2006/relationships/hyperlink" Target="https://clinicaltrials.gov/study/NCT01964534" TargetMode="External"/><Relationship Id="rId2295" Type="http://schemas.openxmlformats.org/officeDocument/2006/relationships/hyperlink" Target="https://clinicaltrials.gov/study/NCT02352337" TargetMode="External"/><Relationship Id="rId267" Type="http://schemas.openxmlformats.org/officeDocument/2006/relationships/hyperlink" Target="https://clinicaltrials.gov/study/NCT06275737" TargetMode="External"/><Relationship Id="rId474" Type="http://schemas.openxmlformats.org/officeDocument/2006/relationships/hyperlink" Target="https://clinicaltrials.gov/study/NCT04580485" TargetMode="External"/><Relationship Id="rId2155" Type="http://schemas.openxmlformats.org/officeDocument/2006/relationships/hyperlink" Target="https://clinicaltrials.gov/study/NCT03941093" TargetMode="External"/><Relationship Id="rId127" Type="http://schemas.openxmlformats.org/officeDocument/2006/relationships/hyperlink" Target="https://clinicaltrials.gov/study/NCT00303758" TargetMode="External"/><Relationship Id="rId681" Type="http://schemas.openxmlformats.org/officeDocument/2006/relationships/hyperlink" Target="https://clinicaltrials.gov/study/NCT05706129" TargetMode="External"/><Relationship Id="rId2362" Type="http://schemas.openxmlformats.org/officeDocument/2006/relationships/hyperlink" Target="https://clinicaltrials.gov/study/NCT02676349" TargetMode="External"/><Relationship Id="rId334" Type="http://schemas.openxmlformats.org/officeDocument/2006/relationships/hyperlink" Target="https://clinicaltrials.gov/study/NCT02820857" TargetMode="External"/><Relationship Id="rId541" Type="http://schemas.openxmlformats.org/officeDocument/2006/relationships/hyperlink" Target="https://clinicaltrials.gov/study/NCT00112697" TargetMode="External"/><Relationship Id="rId1171" Type="http://schemas.openxmlformats.org/officeDocument/2006/relationships/hyperlink" Target="https://clinicaltrials.gov/study/NCT01964430" TargetMode="External"/><Relationship Id="rId2015" Type="http://schemas.openxmlformats.org/officeDocument/2006/relationships/hyperlink" Target="https://clinicaltrials.gov/study/NCT03305146" TargetMode="External"/><Relationship Id="rId2222" Type="http://schemas.openxmlformats.org/officeDocument/2006/relationships/hyperlink" Target="https://clinicaltrials.gov/study/NCT02352337" TargetMode="External"/><Relationship Id="rId401" Type="http://schemas.openxmlformats.org/officeDocument/2006/relationships/hyperlink" Target="https://clinicaltrials.gov/study/NCT02184195" TargetMode="External"/><Relationship Id="rId1031" Type="http://schemas.openxmlformats.org/officeDocument/2006/relationships/hyperlink" Target="https://clinicaltrials.gov/study/NCT03943667" TargetMode="External"/><Relationship Id="rId1988" Type="http://schemas.openxmlformats.org/officeDocument/2006/relationships/hyperlink" Target="https://clinicaltrials.gov/study/NCT04925284" TargetMode="External"/><Relationship Id="rId1848" Type="http://schemas.openxmlformats.org/officeDocument/2006/relationships/hyperlink" Target="https://clinicaltrials.gov/study/NCT02184663" TargetMode="External"/><Relationship Id="rId191" Type="http://schemas.openxmlformats.org/officeDocument/2006/relationships/hyperlink" Target="https://clinicaltrials.gov/study/NCT05208762" TargetMode="External"/><Relationship Id="rId1708" Type="http://schemas.openxmlformats.org/officeDocument/2006/relationships/hyperlink" Target="https://clinicaltrials.gov/study/NCT04429074" TargetMode="External"/><Relationship Id="rId1915" Type="http://schemas.openxmlformats.org/officeDocument/2006/relationships/hyperlink" Target="https://clinicaltrials.gov/study/NCT02264665" TargetMode="External"/><Relationship Id="rId868" Type="http://schemas.openxmlformats.org/officeDocument/2006/relationships/hyperlink" Target="https://clinicaltrials.gov/study/NCT00303758" TargetMode="External"/><Relationship Id="rId1498" Type="http://schemas.openxmlformats.org/officeDocument/2006/relationships/hyperlink" Target="https://clinicaltrials.gov/study/NCT00634725" TargetMode="External"/><Relationship Id="rId728" Type="http://schemas.openxmlformats.org/officeDocument/2006/relationships/hyperlink" Target="https://clinicaltrials.gov/study/NCT00112658" TargetMode="External"/><Relationship Id="rId935" Type="http://schemas.openxmlformats.org/officeDocument/2006/relationships/hyperlink" Target="https://clinicaltrials.gov/study/NCT00428220" TargetMode="External"/><Relationship Id="rId1358" Type="http://schemas.openxmlformats.org/officeDocument/2006/relationships/hyperlink" Target="https://clinicaltrials.gov/study/NCT00075452" TargetMode="External"/><Relationship Id="rId1565" Type="http://schemas.openxmlformats.org/officeDocument/2006/relationships/hyperlink" Target="https://clinicaltrials.gov/study/NCT04520932" TargetMode="External"/><Relationship Id="rId1772" Type="http://schemas.openxmlformats.org/officeDocument/2006/relationships/hyperlink" Target="https://clinicaltrials.gov/study/NCT01374451" TargetMode="External"/><Relationship Id="rId2409" Type="http://schemas.openxmlformats.org/officeDocument/2006/relationships/hyperlink" Target="https://clinicaltrials.gov/study/NCT02539537" TargetMode="External"/><Relationship Id="rId64" Type="http://schemas.openxmlformats.org/officeDocument/2006/relationships/hyperlink" Target="https://clinicaltrials.gov/study/NCT07034703" TargetMode="External"/><Relationship Id="rId1218" Type="http://schemas.openxmlformats.org/officeDocument/2006/relationships/hyperlink" Target="https://clinicaltrials.gov/study/NCT03816163" TargetMode="External"/><Relationship Id="rId1425" Type="http://schemas.openxmlformats.org/officeDocument/2006/relationships/hyperlink" Target="https://clinicaltrials.gov/study/NCT01989624" TargetMode="External"/><Relationship Id="rId1632" Type="http://schemas.openxmlformats.org/officeDocument/2006/relationships/hyperlink" Target="https://clinicaltrials.gov/study/NCT04200131" TargetMode="External"/><Relationship Id="rId2199" Type="http://schemas.openxmlformats.org/officeDocument/2006/relationships/hyperlink" Target="https://clinicaltrials.gov/study/NCT03022188" TargetMode="External"/><Relationship Id="rId378" Type="http://schemas.openxmlformats.org/officeDocument/2006/relationships/hyperlink" Target="https://clinicaltrials.gov/study/NCT03974854" TargetMode="External"/><Relationship Id="rId585" Type="http://schemas.openxmlformats.org/officeDocument/2006/relationships/hyperlink" Target="https://clinicaltrials.gov/study/NCT05706129" TargetMode="External"/><Relationship Id="rId792" Type="http://schemas.openxmlformats.org/officeDocument/2006/relationships/hyperlink" Target="https://clinicaltrials.gov/study/NCT00075452" TargetMode="External"/><Relationship Id="rId2059" Type="http://schemas.openxmlformats.org/officeDocument/2006/relationships/hyperlink" Target="https://clinicaltrials.gov/study/NCT02853474" TargetMode="External"/><Relationship Id="rId2266" Type="http://schemas.openxmlformats.org/officeDocument/2006/relationships/hyperlink" Target="https://clinicaltrials.gov/study/NCT02853474" TargetMode="External"/><Relationship Id="rId2473" Type="http://schemas.openxmlformats.org/officeDocument/2006/relationships/hyperlink" Target="https://clinicaltrials.gov/study/NCT02539537" TargetMode="External"/><Relationship Id="rId238" Type="http://schemas.openxmlformats.org/officeDocument/2006/relationships/hyperlink" Target="https://clinicaltrials.gov/study/NCT05846516" TargetMode="External"/><Relationship Id="rId445" Type="http://schemas.openxmlformats.org/officeDocument/2006/relationships/hyperlink" Target="https://clinicaltrials.gov/study/NCT00662688" TargetMode="External"/><Relationship Id="rId652" Type="http://schemas.openxmlformats.org/officeDocument/2006/relationships/hyperlink" Target="https://clinicaltrials.gov/study/NCT00303758" TargetMode="External"/><Relationship Id="rId1075" Type="http://schemas.openxmlformats.org/officeDocument/2006/relationships/hyperlink" Target="https://clinicaltrials.gov/study/NCT03126435" TargetMode="External"/><Relationship Id="rId1282" Type="http://schemas.openxmlformats.org/officeDocument/2006/relationships/hyperlink" Target="https://clinicaltrials.gov/study/NCT04348045" TargetMode="External"/><Relationship Id="rId2126" Type="http://schemas.openxmlformats.org/officeDocument/2006/relationships/hyperlink" Target="https://clinicaltrials.gov/study/NCT03941093" TargetMode="External"/><Relationship Id="rId2333" Type="http://schemas.openxmlformats.org/officeDocument/2006/relationships/hyperlink" Target="https://clinicaltrials.gov/study/NCT03351296" TargetMode="External"/><Relationship Id="rId305" Type="http://schemas.openxmlformats.org/officeDocument/2006/relationships/hyperlink" Target="https://clinicaltrials.gov/study/NCT06999512" TargetMode="External"/><Relationship Id="rId512" Type="http://schemas.openxmlformats.org/officeDocument/2006/relationships/hyperlink" Target="https://clinicaltrials.gov/study/NCT03816163" TargetMode="External"/><Relationship Id="rId1142" Type="http://schemas.openxmlformats.org/officeDocument/2006/relationships/hyperlink" Target="https://clinicaltrials.gov/study/NCT00303758" TargetMode="External"/><Relationship Id="rId2400" Type="http://schemas.openxmlformats.org/officeDocument/2006/relationships/hyperlink" Target="https://clinicaltrials.gov/study/NCT02827201" TargetMode="External"/><Relationship Id="rId1002" Type="http://schemas.openxmlformats.org/officeDocument/2006/relationships/hyperlink" Target="https://clinicaltrials.gov/study/NCT02184195" TargetMode="External"/><Relationship Id="rId1959" Type="http://schemas.openxmlformats.org/officeDocument/2006/relationships/hyperlink" Target="https://clinicaltrials.gov/study/NCT01964534" TargetMode="External"/><Relationship Id="rId1819" Type="http://schemas.openxmlformats.org/officeDocument/2006/relationships/hyperlink" Target="https://clinicaltrials.gov/study/NCT02288377" TargetMode="External"/><Relationship Id="rId2190" Type="http://schemas.openxmlformats.org/officeDocument/2006/relationships/hyperlink" Target="https://clinicaltrials.gov/study/NCT03485209" TargetMode="External"/><Relationship Id="rId162" Type="http://schemas.openxmlformats.org/officeDocument/2006/relationships/hyperlink" Target="https://clinicaltrials.gov/study/NCT06562192" TargetMode="External"/><Relationship Id="rId2050" Type="http://schemas.openxmlformats.org/officeDocument/2006/relationships/hyperlink" Target="https://clinicaltrials.gov/study/NCT01485679" TargetMode="External"/><Relationship Id="rId979" Type="http://schemas.openxmlformats.org/officeDocument/2006/relationships/hyperlink" Target="https://clinicaltrials.gov/study/NCT06999512" TargetMode="External"/><Relationship Id="rId839" Type="http://schemas.openxmlformats.org/officeDocument/2006/relationships/hyperlink" Target="https://clinicaltrials.gov/study/NCT03943667" TargetMode="External"/><Relationship Id="rId1469" Type="http://schemas.openxmlformats.org/officeDocument/2006/relationships/hyperlink" Target="https://clinicaltrials.gov/study/NCT00634725" TargetMode="External"/><Relationship Id="rId1676" Type="http://schemas.openxmlformats.org/officeDocument/2006/relationships/hyperlink" Target="https://clinicaltrials.gov/study/NCT07260617" TargetMode="External"/><Relationship Id="rId1883" Type="http://schemas.openxmlformats.org/officeDocument/2006/relationships/hyperlink" Target="https://clinicaltrials.gov/study/NCT00035035" TargetMode="External"/><Relationship Id="rId906" Type="http://schemas.openxmlformats.org/officeDocument/2006/relationships/hyperlink" Target="https://clinicaltrials.gov/study/NCT04570943" TargetMode="External"/><Relationship Id="rId1329" Type="http://schemas.openxmlformats.org/officeDocument/2006/relationships/hyperlink" Target="https://clinicaltrials.gov/study/NCT00064207" TargetMode="External"/><Relationship Id="rId1536" Type="http://schemas.openxmlformats.org/officeDocument/2006/relationships/hyperlink" Target="https://clinicaltrials.gov/study/NCT05528614" TargetMode="External"/><Relationship Id="rId1743" Type="http://schemas.openxmlformats.org/officeDocument/2006/relationships/hyperlink" Target="https://clinicaltrials.gov/study/NCT00958841" TargetMode="External"/><Relationship Id="rId1950" Type="http://schemas.openxmlformats.org/officeDocument/2006/relationships/hyperlink" Target="https://clinicaltrials.gov/study/NCT02288377" TargetMode="External"/><Relationship Id="rId35" Type="http://schemas.openxmlformats.org/officeDocument/2006/relationships/hyperlink" Target="https://clinicaltrials.gov/study/NCT06006728" TargetMode="External"/><Relationship Id="rId1603" Type="http://schemas.openxmlformats.org/officeDocument/2006/relationships/hyperlink" Target="https://clinicaltrials.gov/study/NCT03022188" TargetMode="External"/><Relationship Id="rId1810" Type="http://schemas.openxmlformats.org/officeDocument/2006/relationships/hyperlink" Target="https://clinicaltrials.gov/study/NCT01395017" TargetMode="External"/><Relationship Id="rId489" Type="http://schemas.openxmlformats.org/officeDocument/2006/relationships/hyperlink" Target="https://clinicaltrials.gov/study/NCT00918853" TargetMode="External"/><Relationship Id="rId696" Type="http://schemas.openxmlformats.org/officeDocument/2006/relationships/hyperlink" Target="https://clinicaltrials.gov/study/NCT04083235" TargetMode="External"/><Relationship Id="rId2377" Type="http://schemas.openxmlformats.org/officeDocument/2006/relationships/hyperlink" Target="https://clinicaltrials.gov/study/NCT02264665" TargetMode="External"/><Relationship Id="rId349" Type="http://schemas.openxmlformats.org/officeDocument/2006/relationships/hyperlink" Target="https://clinicaltrials.gov/study/NCT05732831" TargetMode="External"/><Relationship Id="rId556" Type="http://schemas.openxmlformats.org/officeDocument/2006/relationships/hyperlink" Target="https://clinicaltrials.gov/study/NCT07522073" TargetMode="External"/><Relationship Id="rId763" Type="http://schemas.openxmlformats.org/officeDocument/2006/relationships/hyperlink" Target="https://clinicaltrials.gov/study/NCT00274885" TargetMode="External"/><Relationship Id="rId1186" Type="http://schemas.openxmlformats.org/officeDocument/2006/relationships/hyperlink" Target="https://clinicaltrials.gov/study/NCT00303758" TargetMode="External"/><Relationship Id="rId1393" Type="http://schemas.openxmlformats.org/officeDocument/2006/relationships/hyperlink" Target="https://clinicaltrials.gov/study/NCT00010088" TargetMode="External"/><Relationship Id="rId2237" Type="http://schemas.openxmlformats.org/officeDocument/2006/relationships/hyperlink" Target="https://clinicaltrials.gov/study/NCT03400072" TargetMode="External"/><Relationship Id="rId2444" Type="http://schemas.openxmlformats.org/officeDocument/2006/relationships/hyperlink" Target="https://clinicaltrials.gov/study/NCT01444456" TargetMode="External"/><Relationship Id="rId209" Type="http://schemas.openxmlformats.org/officeDocument/2006/relationships/hyperlink" Target="https://clinicaltrials.gov/study/NCT03102320" TargetMode="External"/><Relationship Id="rId416" Type="http://schemas.openxmlformats.org/officeDocument/2006/relationships/hyperlink" Target="https://clinicaltrials.gov/study/NCT02119663" TargetMode="External"/><Relationship Id="rId970" Type="http://schemas.openxmlformats.org/officeDocument/2006/relationships/hyperlink" Target="https://clinicaltrials.gov/study/NCT00003029" TargetMode="External"/><Relationship Id="rId1046" Type="http://schemas.openxmlformats.org/officeDocument/2006/relationships/hyperlink" Target="https://clinicaltrials.gov/study/NCT00112658" TargetMode="External"/><Relationship Id="rId1253" Type="http://schemas.openxmlformats.org/officeDocument/2006/relationships/hyperlink" Target="https://clinicaltrials.gov/study/NCT00075452" TargetMode="External"/><Relationship Id="rId623" Type="http://schemas.openxmlformats.org/officeDocument/2006/relationships/hyperlink" Target="https://clinicaltrials.gov/study/NCT07097064" TargetMode="External"/><Relationship Id="rId830" Type="http://schemas.openxmlformats.org/officeDocument/2006/relationships/hyperlink" Target="https://clinicaltrials.gov/study/NCT03377491" TargetMode="External"/><Relationship Id="rId1460" Type="http://schemas.openxmlformats.org/officeDocument/2006/relationships/hyperlink" Target="https://clinicaltrials.gov/study/NCT00303758" TargetMode="External"/><Relationship Id="rId2304" Type="http://schemas.openxmlformats.org/officeDocument/2006/relationships/hyperlink" Target="https://clinicaltrials.gov/study/NCT01689584" TargetMode="External"/><Relationship Id="rId2511" Type="http://schemas.openxmlformats.org/officeDocument/2006/relationships/hyperlink" Target="https://clinicaltrials.gov/study/NCT02539537" TargetMode="External"/><Relationship Id="rId1113" Type="http://schemas.openxmlformats.org/officeDocument/2006/relationships/hyperlink" Target="https://clinicaltrials.gov/study/NCT00303758" TargetMode="External"/><Relationship Id="rId1320" Type="http://schemas.openxmlformats.org/officeDocument/2006/relationships/hyperlink" Target="https://clinicaltrials.gov/study/NCT01989624" TargetMode="External"/><Relationship Id="rId2094" Type="http://schemas.openxmlformats.org/officeDocument/2006/relationships/hyperlink" Target="https://clinicaltrials.gov/study/NCT03941093" TargetMode="External"/><Relationship Id="rId273" Type="http://schemas.openxmlformats.org/officeDocument/2006/relationships/hyperlink" Target="https://clinicaltrials.gov/study/NCT00191568" TargetMode="External"/><Relationship Id="rId480" Type="http://schemas.openxmlformats.org/officeDocument/2006/relationships/hyperlink" Target="https://clinicaltrials.gov/study/NCT02988960" TargetMode="External"/><Relationship Id="rId2161" Type="http://schemas.openxmlformats.org/officeDocument/2006/relationships/hyperlink" Target="https://clinicaltrials.gov/study/NCT01444456" TargetMode="External"/><Relationship Id="rId133" Type="http://schemas.openxmlformats.org/officeDocument/2006/relationships/hyperlink" Target="https://clinicaltrials.gov/study/NCT00005053" TargetMode="External"/><Relationship Id="rId340" Type="http://schemas.openxmlformats.org/officeDocument/2006/relationships/hyperlink" Target="https://clinicaltrials.gov/study/NCT03906331" TargetMode="External"/><Relationship Id="rId2021" Type="http://schemas.openxmlformats.org/officeDocument/2006/relationships/hyperlink" Target="https://clinicaltrials.gov/study/NCT04924075" TargetMode="External"/><Relationship Id="rId200" Type="http://schemas.openxmlformats.org/officeDocument/2006/relationships/hyperlink" Target="https://clinicaltrials.gov/study/NCT01478685" TargetMode="External"/><Relationship Id="rId1787" Type="http://schemas.openxmlformats.org/officeDocument/2006/relationships/hyperlink" Target="https://clinicaltrials.gov/study/NCT03915678" TargetMode="External"/><Relationship Id="rId1994" Type="http://schemas.openxmlformats.org/officeDocument/2006/relationships/hyperlink" Target="https://clinicaltrials.gov/study/NCT03400072" TargetMode="External"/><Relationship Id="rId79" Type="http://schemas.openxmlformats.org/officeDocument/2006/relationships/hyperlink" Target="https://clinicaltrials.gov/study/NCT04677244" TargetMode="External"/><Relationship Id="rId1647" Type="http://schemas.openxmlformats.org/officeDocument/2006/relationships/hyperlink" Target="https://clinicaltrials.gov/study/NCT02853474" TargetMode="External"/><Relationship Id="rId1854" Type="http://schemas.openxmlformats.org/officeDocument/2006/relationships/hyperlink" Target="https://clinicaltrials.gov/study/NCT00312013" TargetMode="External"/><Relationship Id="rId1507" Type="http://schemas.openxmlformats.org/officeDocument/2006/relationships/hyperlink" Target="https://clinicaltrials.gov/study/NCT00634725" TargetMode="External"/><Relationship Id="rId1714" Type="http://schemas.openxmlformats.org/officeDocument/2006/relationships/hyperlink" Target="https://clinicaltrials.gov/study/NCT02301143" TargetMode="External"/><Relationship Id="rId1921" Type="http://schemas.openxmlformats.org/officeDocument/2006/relationships/hyperlink" Target="https://clinicaltrials.gov/study/NCT04924075" TargetMode="External"/><Relationship Id="rId2488" Type="http://schemas.openxmlformats.org/officeDocument/2006/relationships/hyperlink" Target="https://clinicaltrials.gov/study/NCT02352337" TargetMode="External"/><Relationship Id="rId1297" Type="http://schemas.openxmlformats.org/officeDocument/2006/relationships/hyperlink" Target="https://clinicaltrials.gov/study/NCT04348045" TargetMode="External"/><Relationship Id="rId667" Type="http://schemas.openxmlformats.org/officeDocument/2006/relationships/hyperlink" Target="https://clinicaltrials.gov/study/NCT07483983" TargetMode="External"/><Relationship Id="rId874" Type="http://schemas.openxmlformats.org/officeDocument/2006/relationships/hyperlink" Target="https://clinicaltrials.gov/study/NCT00471146" TargetMode="External"/><Relationship Id="rId2348" Type="http://schemas.openxmlformats.org/officeDocument/2006/relationships/hyperlink" Target="https://clinicaltrials.gov/study/NCT02539537" TargetMode="External"/><Relationship Id="rId527" Type="http://schemas.openxmlformats.org/officeDocument/2006/relationships/hyperlink" Target="https://clinicaltrials.gov/study/NCT06275737" TargetMode="External"/><Relationship Id="rId734" Type="http://schemas.openxmlformats.org/officeDocument/2006/relationships/hyperlink" Target="https://clinicaltrials.gov/study/NCT00303758" TargetMode="External"/><Relationship Id="rId941" Type="http://schemas.openxmlformats.org/officeDocument/2006/relationships/hyperlink" Target="https://clinicaltrials.gov/study/NCT02818829" TargetMode="External"/><Relationship Id="rId1157" Type="http://schemas.openxmlformats.org/officeDocument/2006/relationships/hyperlink" Target="https://clinicaltrials.gov/study/NCT07547033" TargetMode="External"/><Relationship Id="rId1364" Type="http://schemas.openxmlformats.org/officeDocument/2006/relationships/hyperlink" Target="https://clinicaltrials.gov/study/NCT00010062" TargetMode="External"/><Relationship Id="rId1571" Type="http://schemas.openxmlformats.org/officeDocument/2006/relationships/hyperlink" Target="https://clinicaltrials.gov/study/NCT00035035" TargetMode="External"/><Relationship Id="rId2208" Type="http://schemas.openxmlformats.org/officeDocument/2006/relationships/hyperlink" Target="https://clinicaltrials.gov/study/NCT02264665" TargetMode="External"/><Relationship Id="rId2415" Type="http://schemas.openxmlformats.org/officeDocument/2006/relationships/hyperlink" Target="https://clinicaltrials.gov/study/NCT02352337" TargetMode="External"/><Relationship Id="rId70" Type="http://schemas.openxmlformats.org/officeDocument/2006/relationships/hyperlink" Target="https://clinicaltrials.gov/study/NCT06128343" TargetMode="External"/><Relationship Id="rId801" Type="http://schemas.openxmlformats.org/officeDocument/2006/relationships/hyperlink" Target="https://clinicaltrials.gov/study/NCT00358566" TargetMode="External"/><Relationship Id="rId1017" Type="http://schemas.openxmlformats.org/officeDocument/2006/relationships/hyperlink" Target="https://clinicaltrials.gov/study/NCT06333314" TargetMode="External"/><Relationship Id="rId1224" Type="http://schemas.openxmlformats.org/officeDocument/2006/relationships/hyperlink" Target="https://clinicaltrials.gov/study/NCT00303758" TargetMode="External"/><Relationship Id="rId1431" Type="http://schemas.openxmlformats.org/officeDocument/2006/relationships/hyperlink" Target="https://clinicaltrials.gov/study/NCT00064207" TargetMode="External"/><Relationship Id="rId177" Type="http://schemas.openxmlformats.org/officeDocument/2006/relationships/hyperlink" Target="https://clinicaltrials.gov/study/NCT04325425" TargetMode="External"/><Relationship Id="rId384" Type="http://schemas.openxmlformats.org/officeDocument/2006/relationships/hyperlink" Target="https://clinicaltrials.gov/study/NCT02436668" TargetMode="External"/><Relationship Id="rId591" Type="http://schemas.openxmlformats.org/officeDocument/2006/relationships/hyperlink" Target="https://clinicaltrials.gov/study/NCT03821935" TargetMode="External"/><Relationship Id="rId2065" Type="http://schemas.openxmlformats.org/officeDocument/2006/relationships/hyperlink" Target="https://clinicaltrials.gov/study/NCT03915678" TargetMode="External"/><Relationship Id="rId2272" Type="http://schemas.openxmlformats.org/officeDocument/2006/relationships/hyperlink" Target="https://clinicaltrials.gov/study/NCT06177327" TargetMode="External"/><Relationship Id="rId244" Type="http://schemas.openxmlformats.org/officeDocument/2006/relationships/hyperlink" Target="https://clinicaltrials.gov/study/NCT04348045" TargetMode="External"/><Relationship Id="rId1081" Type="http://schemas.openxmlformats.org/officeDocument/2006/relationships/hyperlink" Target="https://clinicaltrials.gov/study/NCT00003029" TargetMode="External"/><Relationship Id="rId451" Type="http://schemas.openxmlformats.org/officeDocument/2006/relationships/hyperlink" Target="https://clinicaltrials.gov/study/NCT06305247" TargetMode="External"/><Relationship Id="rId2132" Type="http://schemas.openxmlformats.org/officeDocument/2006/relationships/hyperlink" Target="https://clinicaltrials.gov/study/NCT01444456" TargetMode="External"/><Relationship Id="rId104" Type="http://schemas.openxmlformats.org/officeDocument/2006/relationships/hyperlink" Target="https://clinicaltrials.gov/study/NCT02893085" TargetMode="External"/><Relationship Id="rId311" Type="http://schemas.openxmlformats.org/officeDocument/2006/relationships/hyperlink" Target="https://clinicaltrials.gov/study/NCT07094204" TargetMode="External"/><Relationship Id="rId1898" Type="http://schemas.openxmlformats.org/officeDocument/2006/relationships/hyperlink" Target="https://clinicaltrials.gov/study/NCT05442749" TargetMode="External"/><Relationship Id="rId1758" Type="http://schemas.openxmlformats.org/officeDocument/2006/relationships/hyperlink" Target="https://clinicaltrials.gov/study/NCT03941093" TargetMode="External"/><Relationship Id="rId1965" Type="http://schemas.openxmlformats.org/officeDocument/2006/relationships/hyperlink" Target="https://clinicaltrials.gov/study/NCT05850130" TargetMode="External"/><Relationship Id="rId1618" Type="http://schemas.openxmlformats.org/officeDocument/2006/relationships/hyperlink" Target="https://clinicaltrials.gov/study/NCT01964534" TargetMode="External"/><Relationship Id="rId1825" Type="http://schemas.openxmlformats.org/officeDocument/2006/relationships/hyperlink" Target="https://clinicaltrials.gov/study/NCT05442749" TargetMode="External"/><Relationship Id="rId778" Type="http://schemas.openxmlformats.org/officeDocument/2006/relationships/hyperlink" Target="https://clinicaltrials.gov/study/NCT01124786" TargetMode="External"/><Relationship Id="rId985" Type="http://schemas.openxmlformats.org/officeDocument/2006/relationships/hyperlink" Target="https://clinicaltrials.gov/study/NCT06330064" TargetMode="External"/><Relationship Id="rId2459" Type="http://schemas.openxmlformats.org/officeDocument/2006/relationships/hyperlink" Target="https://clinicaltrials.gov/study/NCT02264665" TargetMode="External"/><Relationship Id="rId638" Type="http://schemas.openxmlformats.org/officeDocument/2006/relationships/hyperlink" Target="https://clinicaltrials.gov/study/NCT06757244" TargetMode="External"/><Relationship Id="rId845" Type="http://schemas.openxmlformats.org/officeDocument/2006/relationships/hyperlink" Target="https://clinicaltrials.gov/study/NCT03816163" TargetMode="External"/><Relationship Id="rId1268" Type="http://schemas.openxmlformats.org/officeDocument/2006/relationships/hyperlink" Target="https://clinicaltrials.gov/study/NCT05470738" TargetMode="External"/><Relationship Id="rId1475" Type="http://schemas.openxmlformats.org/officeDocument/2006/relationships/hyperlink" Target="https://clinicaltrials.gov/study/NCT00634725" TargetMode="External"/><Relationship Id="rId1682" Type="http://schemas.openxmlformats.org/officeDocument/2006/relationships/hyperlink" Target="https://clinicaltrials.gov/study/NCT02143869" TargetMode="External"/><Relationship Id="rId2319" Type="http://schemas.openxmlformats.org/officeDocument/2006/relationships/hyperlink" Target="https://clinicaltrials.gov/study/NCT00789633" TargetMode="External"/><Relationship Id="rId2526" Type="http://schemas.openxmlformats.org/officeDocument/2006/relationships/hyperlink" Target="https://clinicaltrials.gov/study/NCT02352337" TargetMode="External"/><Relationship Id="rId705" Type="http://schemas.openxmlformats.org/officeDocument/2006/relationships/hyperlink" Target="https://clinicaltrials.gov/study/NCT07547033" TargetMode="External"/><Relationship Id="rId1128" Type="http://schemas.openxmlformats.org/officeDocument/2006/relationships/hyperlink" Target="https://clinicaltrials.gov/study/NCT02195180" TargetMode="External"/><Relationship Id="rId1335" Type="http://schemas.openxmlformats.org/officeDocument/2006/relationships/hyperlink" Target="https://clinicaltrials.gov/study/NCT04348045" TargetMode="External"/><Relationship Id="rId1542" Type="http://schemas.openxmlformats.org/officeDocument/2006/relationships/hyperlink" Target="https://clinicaltrials.gov/study/NCT03444051" TargetMode="External"/><Relationship Id="rId912" Type="http://schemas.openxmlformats.org/officeDocument/2006/relationships/hyperlink" Target="https://clinicaltrials.gov/study/NCT00634725" TargetMode="External"/><Relationship Id="rId1847" Type="http://schemas.openxmlformats.org/officeDocument/2006/relationships/hyperlink" Target="https://clinicaltrials.gov/study/NCT06400472" TargetMode="External"/><Relationship Id="rId41" Type="http://schemas.openxmlformats.org/officeDocument/2006/relationships/hyperlink" Target="https://clinicaltrials.gov/study/NCT01964287" TargetMode="External"/><Relationship Id="rId1402" Type="http://schemas.openxmlformats.org/officeDocument/2006/relationships/hyperlink" Target="https://clinicaltrials.gov/study/NCT00303758" TargetMode="External"/><Relationship Id="rId1707" Type="http://schemas.openxmlformats.org/officeDocument/2006/relationships/hyperlink" Target="https://clinicaltrials.gov/study/NCT02229994" TargetMode="External"/><Relationship Id="rId190" Type="http://schemas.openxmlformats.org/officeDocument/2006/relationships/hyperlink" Target="https://clinicaltrials.gov/study/NCT03210298" TargetMode="External"/><Relationship Id="rId288" Type="http://schemas.openxmlformats.org/officeDocument/2006/relationships/hyperlink" Target="https://clinicaltrials.gov/study/NCT00003029" TargetMode="External"/><Relationship Id="rId1914" Type="http://schemas.openxmlformats.org/officeDocument/2006/relationships/hyperlink" Target="https://clinicaltrials.gov/study/NCT02853474" TargetMode="External"/><Relationship Id="rId495" Type="http://schemas.openxmlformats.org/officeDocument/2006/relationships/hyperlink" Target="https://clinicaltrials.gov/study/NCT04083235" TargetMode="External"/><Relationship Id="rId2176" Type="http://schemas.openxmlformats.org/officeDocument/2006/relationships/hyperlink" Target="https://clinicaltrials.gov/study/NCT01485679" TargetMode="External"/><Relationship Id="rId2383" Type="http://schemas.openxmlformats.org/officeDocument/2006/relationships/hyperlink" Target="https://clinicaltrials.gov/study/NCT02827201" TargetMode="External"/><Relationship Id="rId148" Type="http://schemas.openxmlformats.org/officeDocument/2006/relationships/hyperlink" Target="https://clinicaltrials.gov/study/NCT06710132" TargetMode="External"/><Relationship Id="rId355" Type="http://schemas.openxmlformats.org/officeDocument/2006/relationships/hyperlink" Target="https://clinicaltrials.gov/study/NCT02988960" TargetMode="External"/><Relationship Id="rId562" Type="http://schemas.openxmlformats.org/officeDocument/2006/relationships/hyperlink" Target="https://clinicaltrials.gov/study/NCT00662688" TargetMode="External"/><Relationship Id="rId1192" Type="http://schemas.openxmlformats.org/officeDocument/2006/relationships/hyperlink" Target="https://clinicaltrials.gov/study/NCT02820857" TargetMode="External"/><Relationship Id="rId2036" Type="http://schemas.openxmlformats.org/officeDocument/2006/relationships/hyperlink" Target="https://clinicaltrials.gov/study/NCT03400072" TargetMode="External"/><Relationship Id="rId2243" Type="http://schemas.openxmlformats.org/officeDocument/2006/relationships/hyperlink" Target="https://clinicaltrials.gov/study/NCT02827201" TargetMode="External"/><Relationship Id="rId2450" Type="http://schemas.openxmlformats.org/officeDocument/2006/relationships/hyperlink" Target="https://clinicaltrials.gov/study/NCT03693677" TargetMode="External"/><Relationship Id="rId215" Type="http://schemas.openxmlformats.org/officeDocument/2006/relationships/hyperlink" Target="https://clinicaltrials.gov/study/NCT04373564" TargetMode="External"/><Relationship Id="rId422" Type="http://schemas.openxmlformats.org/officeDocument/2006/relationships/hyperlink" Target="https://clinicaltrials.gov/study/NCT00112658" TargetMode="External"/><Relationship Id="rId867" Type="http://schemas.openxmlformats.org/officeDocument/2006/relationships/hyperlink" Target="https://clinicaltrials.gov/study/NCT00003029" TargetMode="External"/><Relationship Id="rId1052" Type="http://schemas.openxmlformats.org/officeDocument/2006/relationships/hyperlink" Target="https://clinicaltrials.gov/study/NCT03806309" TargetMode="External"/><Relationship Id="rId1497" Type="http://schemas.openxmlformats.org/officeDocument/2006/relationships/hyperlink" Target="https://clinicaltrials.gov/study/NCT01989624" TargetMode="External"/><Relationship Id="rId2103" Type="http://schemas.openxmlformats.org/officeDocument/2006/relationships/hyperlink" Target="https://clinicaltrials.gov/study/NCT03787056" TargetMode="External"/><Relationship Id="rId2310" Type="http://schemas.openxmlformats.org/officeDocument/2006/relationships/hyperlink" Target="https://clinicaltrials.gov/study/NCT02352337" TargetMode="External"/><Relationship Id="rId727" Type="http://schemas.openxmlformats.org/officeDocument/2006/relationships/hyperlink" Target="https://clinicaltrials.gov/study/NCT00268411" TargetMode="External"/><Relationship Id="rId934" Type="http://schemas.openxmlformats.org/officeDocument/2006/relationships/hyperlink" Target="https://clinicaltrials.gov/study/NCT02820857" TargetMode="External"/><Relationship Id="rId1357" Type="http://schemas.openxmlformats.org/officeDocument/2006/relationships/hyperlink" Target="https://clinicaltrials.gov/study/NCT04348045" TargetMode="External"/><Relationship Id="rId1564" Type="http://schemas.openxmlformats.org/officeDocument/2006/relationships/hyperlink" Target="https://clinicaltrials.gov/study/NCT02973217" TargetMode="External"/><Relationship Id="rId1771" Type="http://schemas.openxmlformats.org/officeDocument/2006/relationships/hyperlink" Target="https://clinicaltrials.gov/study/NCT03049189" TargetMode="External"/><Relationship Id="rId2408" Type="http://schemas.openxmlformats.org/officeDocument/2006/relationships/hyperlink" Target="https://clinicaltrials.gov/study/NCT02827201" TargetMode="External"/><Relationship Id="rId63" Type="http://schemas.openxmlformats.org/officeDocument/2006/relationships/hyperlink" Target="https://clinicaltrials.gov/study/NCT07097064" TargetMode="External"/><Relationship Id="rId1217" Type="http://schemas.openxmlformats.org/officeDocument/2006/relationships/hyperlink" Target="https://clinicaltrials.gov/study/NCT07547033" TargetMode="External"/><Relationship Id="rId1424" Type="http://schemas.openxmlformats.org/officeDocument/2006/relationships/hyperlink" Target="https://clinicaltrials.gov/study/NCT00064207" TargetMode="External"/><Relationship Id="rId1631" Type="http://schemas.openxmlformats.org/officeDocument/2006/relationships/hyperlink" Target="https://clinicaltrials.gov/study/NCT03410394" TargetMode="External"/><Relationship Id="rId1869" Type="http://schemas.openxmlformats.org/officeDocument/2006/relationships/hyperlink" Target="https://clinicaltrials.gov/study/NCT02955069" TargetMode="External"/><Relationship Id="rId1729" Type="http://schemas.openxmlformats.org/officeDocument/2006/relationships/hyperlink" Target="https://clinicaltrials.gov/study/NCT02923921" TargetMode="External"/><Relationship Id="rId1936" Type="http://schemas.openxmlformats.org/officeDocument/2006/relationships/hyperlink" Target="https://clinicaltrials.gov/study/NCT01689584" TargetMode="External"/><Relationship Id="rId2198" Type="http://schemas.openxmlformats.org/officeDocument/2006/relationships/hyperlink" Target="https://clinicaltrials.gov/study/NCT02288377" TargetMode="External"/><Relationship Id="rId377" Type="http://schemas.openxmlformats.org/officeDocument/2006/relationships/hyperlink" Target="https://clinicaltrials.gov/study/NCT01124786" TargetMode="External"/><Relationship Id="rId584" Type="http://schemas.openxmlformats.org/officeDocument/2006/relationships/hyperlink" Target="https://clinicaltrials.gov/study/NCT05732831" TargetMode="External"/><Relationship Id="rId2058" Type="http://schemas.openxmlformats.org/officeDocument/2006/relationships/hyperlink" Target="https://clinicaltrials.gov/study/NCT03941093" TargetMode="External"/><Relationship Id="rId2265" Type="http://schemas.openxmlformats.org/officeDocument/2006/relationships/hyperlink" Target="https://clinicaltrials.gov/study/NCT03693677" TargetMode="External"/><Relationship Id="rId5" Type="http://schemas.openxmlformats.org/officeDocument/2006/relationships/hyperlink" Target="https://clinicaltrials.gov/study/NCT01315548" TargetMode="External"/><Relationship Id="rId237" Type="http://schemas.openxmlformats.org/officeDocument/2006/relationships/hyperlink" Target="https://clinicaltrials.gov/study/NCT05968326" TargetMode="External"/><Relationship Id="rId791" Type="http://schemas.openxmlformats.org/officeDocument/2006/relationships/hyperlink" Target="https://clinicaltrials.gov/study/NCT02184195" TargetMode="External"/><Relationship Id="rId889" Type="http://schemas.openxmlformats.org/officeDocument/2006/relationships/hyperlink" Target="https://clinicaltrials.gov/study/NCT02818829" TargetMode="External"/><Relationship Id="rId1074" Type="http://schemas.openxmlformats.org/officeDocument/2006/relationships/hyperlink" Target="https://clinicaltrials.gov/study/NCT00075452" TargetMode="External"/><Relationship Id="rId2472" Type="http://schemas.openxmlformats.org/officeDocument/2006/relationships/hyperlink" Target="https://clinicaltrials.gov/study/NCT02827201" TargetMode="External"/><Relationship Id="rId444" Type="http://schemas.openxmlformats.org/officeDocument/2006/relationships/hyperlink" Target="https://clinicaltrials.gov/study/NCT01964430" TargetMode="External"/><Relationship Id="rId651" Type="http://schemas.openxmlformats.org/officeDocument/2006/relationships/hyperlink" Target="https://clinicaltrials.gov/study/NCT00003029" TargetMode="External"/><Relationship Id="rId749" Type="http://schemas.openxmlformats.org/officeDocument/2006/relationships/hyperlink" Target="https://clinicaltrials.gov/study/NCT07483983" TargetMode="External"/><Relationship Id="rId1281" Type="http://schemas.openxmlformats.org/officeDocument/2006/relationships/hyperlink" Target="https://clinicaltrials.gov/study/NCT03943667" TargetMode="External"/><Relationship Id="rId1379" Type="http://schemas.openxmlformats.org/officeDocument/2006/relationships/hyperlink" Target="https://clinicaltrials.gov/study/NCT00303758" TargetMode="External"/><Relationship Id="rId1586" Type="http://schemas.openxmlformats.org/officeDocument/2006/relationships/hyperlink" Target="https://clinicaltrials.gov/study/NCT05380414" TargetMode="External"/><Relationship Id="rId2125" Type="http://schemas.openxmlformats.org/officeDocument/2006/relationships/hyperlink" Target="https://clinicaltrials.gov/study/NCT03305146" TargetMode="External"/><Relationship Id="rId2332" Type="http://schemas.openxmlformats.org/officeDocument/2006/relationships/hyperlink" Target="https://clinicaltrials.gov/study/NCT00789633" TargetMode="External"/><Relationship Id="rId304" Type="http://schemas.openxmlformats.org/officeDocument/2006/relationships/hyperlink" Target="https://clinicaltrials.gov/study/NCT06710132" TargetMode="External"/><Relationship Id="rId511" Type="http://schemas.openxmlformats.org/officeDocument/2006/relationships/hyperlink" Target="https://clinicaltrials.gov/study/NCT04888312" TargetMode="External"/><Relationship Id="rId609" Type="http://schemas.openxmlformats.org/officeDocument/2006/relationships/hyperlink" Target="https://clinicaltrials.gov/study/NCT01124786" TargetMode="External"/><Relationship Id="rId956" Type="http://schemas.openxmlformats.org/officeDocument/2006/relationships/hyperlink" Target="https://clinicaltrials.gov/study/NCT05470738" TargetMode="External"/><Relationship Id="rId1141" Type="http://schemas.openxmlformats.org/officeDocument/2006/relationships/hyperlink" Target="https://clinicaltrials.gov/study/NCT02715804" TargetMode="External"/><Relationship Id="rId1239" Type="http://schemas.openxmlformats.org/officeDocument/2006/relationships/hyperlink" Target="https://clinicaltrials.gov/study/NCT00010088" TargetMode="External"/><Relationship Id="rId1793" Type="http://schemas.openxmlformats.org/officeDocument/2006/relationships/hyperlink" Target="https://clinicaltrials.gov/study/NCT02955069" TargetMode="External"/><Relationship Id="rId85" Type="http://schemas.openxmlformats.org/officeDocument/2006/relationships/hyperlink" Target="https://clinicaltrials.gov/study/NCT00075452" TargetMode="External"/><Relationship Id="rId816" Type="http://schemas.openxmlformats.org/officeDocument/2006/relationships/hyperlink" Target="https://clinicaltrials.gov/study/NCT07522073" TargetMode="External"/><Relationship Id="rId1001" Type="http://schemas.openxmlformats.org/officeDocument/2006/relationships/hyperlink" Target="https://clinicaltrials.gov/study/NCT05470738" TargetMode="External"/><Relationship Id="rId1446" Type="http://schemas.openxmlformats.org/officeDocument/2006/relationships/hyperlink" Target="https://clinicaltrials.gov/study/NCT00010088" TargetMode="External"/><Relationship Id="rId1653" Type="http://schemas.openxmlformats.org/officeDocument/2006/relationships/hyperlink" Target="https://clinicaltrials.gov/study/NCT06400472" TargetMode="External"/><Relationship Id="rId1860" Type="http://schemas.openxmlformats.org/officeDocument/2006/relationships/hyperlink" Target="https://clinicaltrials.gov/study/NCT03098550" TargetMode="External"/><Relationship Id="rId1306" Type="http://schemas.openxmlformats.org/officeDocument/2006/relationships/hyperlink" Target="https://clinicaltrials.gov/study/NCT02820857" TargetMode="External"/><Relationship Id="rId1513" Type="http://schemas.openxmlformats.org/officeDocument/2006/relationships/hyperlink" Target="https://clinicaltrials.gov/study/NCT01989624" TargetMode="External"/><Relationship Id="rId1720" Type="http://schemas.openxmlformats.org/officeDocument/2006/relationships/hyperlink" Target="https://clinicaltrials.gov/study/NCT00035035" TargetMode="External"/><Relationship Id="rId1958" Type="http://schemas.openxmlformats.org/officeDocument/2006/relationships/hyperlink" Target="https://clinicaltrials.gov/study/NCT02539537" TargetMode="External"/><Relationship Id="rId12" Type="http://schemas.openxmlformats.org/officeDocument/2006/relationships/hyperlink" Target="https://clinicaltrials.gov/study/NCT01989624" TargetMode="External"/><Relationship Id="rId1818" Type="http://schemas.openxmlformats.org/officeDocument/2006/relationships/hyperlink" Target="https://clinicaltrials.gov/study/NCT03351296" TargetMode="External"/><Relationship Id="rId161" Type="http://schemas.openxmlformats.org/officeDocument/2006/relationships/hyperlink" Target="https://clinicaltrials.gov/study/NCT04779151" TargetMode="External"/><Relationship Id="rId399" Type="http://schemas.openxmlformats.org/officeDocument/2006/relationships/hyperlink" Target="https://clinicaltrials.gov/study/NCT05470738" TargetMode="External"/><Relationship Id="rId2287" Type="http://schemas.openxmlformats.org/officeDocument/2006/relationships/hyperlink" Target="https://clinicaltrials.gov/study/NCT03787056" TargetMode="External"/><Relationship Id="rId2494" Type="http://schemas.openxmlformats.org/officeDocument/2006/relationships/hyperlink" Target="https://clinicaltrials.gov/study/NCT01444456" TargetMode="External"/><Relationship Id="rId259" Type="http://schemas.openxmlformats.org/officeDocument/2006/relationships/hyperlink" Target="https://clinicaltrials.gov/study/NCT04570943" TargetMode="External"/><Relationship Id="rId466" Type="http://schemas.openxmlformats.org/officeDocument/2006/relationships/hyperlink" Target="https://clinicaltrials.gov/study/NCT06885034" TargetMode="External"/><Relationship Id="rId673" Type="http://schemas.openxmlformats.org/officeDocument/2006/relationships/hyperlink" Target="https://clinicaltrials.gov/study/NCT07087054" TargetMode="External"/><Relationship Id="rId880" Type="http://schemas.openxmlformats.org/officeDocument/2006/relationships/hyperlink" Target="https://clinicaltrials.gov/study/NCT02820857" TargetMode="External"/><Relationship Id="rId1096" Type="http://schemas.openxmlformats.org/officeDocument/2006/relationships/hyperlink" Target="https://clinicaltrials.gov/study/NCT07076121" TargetMode="External"/><Relationship Id="rId2147" Type="http://schemas.openxmlformats.org/officeDocument/2006/relationships/hyperlink" Target="https://clinicaltrials.gov/study/NCT02352337" TargetMode="External"/><Relationship Id="rId2354" Type="http://schemas.openxmlformats.org/officeDocument/2006/relationships/hyperlink" Target="https://clinicaltrials.gov/study/NCT00789633" TargetMode="External"/><Relationship Id="rId119" Type="http://schemas.openxmlformats.org/officeDocument/2006/relationships/hyperlink" Target="https://clinicaltrials.gov/study/NCT00112697" TargetMode="External"/><Relationship Id="rId326" Type="http://schemas.openxmlformats.org/officeDocument/2006/relationships/hyperlink" Target="https://clinicaltrials.gov/study/NCT03678883" TargetMode="External"/><Relationship Id="rId533" Type="http://schemas.openxmlformats.org/officeDocument/2006/relationships/hyperlink" Target="https://clinicaltrials.gov/study/NCT03504423" TargetMode="External"/><Relationship Id="rId978" Type="http://schemas.openxmlformats.org/officeDocument/2006/relationships/hyperlink" Target="https://clinicaltrials.gov/study/NCT06710132" TargetMode="External"/><Relationship Id="rId1163" Type="http://schemas.openxmlformats.org/officeDocument/2006/relationships/hyperlink" Target="https://clinicaltrials.gov/study/NCT00010088" TargetMode="External"/><Relationship Id="rId1370" Type="http://schemas.openxmlformats.org/officeDocument/2006/relationships/hyperlink" Target="https://clinicaltrials.gov/study/NCT00112658" TargetMode="External"/><Relationship Id="rId2007" Type="http://schemas.openxmlformats.org/officeDocument/2006/relationships/hyperlink" Target="https://clinicaltrials.gov/study/NCT01485679" TargetMode="External"/><Relationship Id="rId2214" Type="http://schemas.openxmlformats.org/officeDocument/2006/relationships/hyperlink" Target="https://clinicaltrials.gov/study/NCT06177327" TargetMode="External"/><Relationship Id="rId740" Type="http://schemas.openxmlformats.org/officeDocument/2006/relationships/hyperlink" Target="https://clinicaltrials.gov/study/NCT06333314" TargetMode="External"/><Relationship Id="rId838" Type="http://schemas.openxmlformats.org/officeDocument/2006/relationships/hyperlink" Target="https://clinicaltrials.gov/study/NCT07076121" TargetMode="External"/><Relationship Id="rId1023" Type="http://schemas.openxmlformats.org/officeDocument/2006/relationships/hyperlink" Target="https://clinicaltrials.gov/study/NCT03102320" TargetMode="External"/><Relationship Id="rId1468" Type="http://schemas.openxmlformats.org/officeDocument/2006/relationships/hyperlink" Target="https://clinicaltrials.gov/study/NCT01989624" TargetMode="External"/><Relationship Id="rId1675" Type="http://schemas.openxmlformats.org/officeDocument/2006/relationships/hyperlink" Target="https://clinicaltrials.gov/study/NCT04548960" TargetMode="External"/><Relationship Id="rId1882" Type="http://schemas.openxmlformats.org/officeDocument/2006/relationships/hyperlink" Target="https://clinicaltrials.gov/study/NCT03400072" TargetMode="External"/><Relationship Id="rId2421" Type="http://schemas.openxmlformats.org/officeDocument/2006/relationships/hyperlink" Target="https://clinicaltrials.gov/study/NCT01689584" TargetMode="External"/><Relationship Id="rId2519" Type="http://schemas.openxmlformats.org/officeDocument/2006/relationships/hyperlink" Target="https://clinicaltrials.gov/study/NCT01689584" TargetMode="External"/><Relationship Id="rId600" Type="http://schemas.openxmlformats.org/officeDocument/2006/relationships/hyperlink" Target="https://clinicaltrials.gov/study/NCT02818829" TargetMode="External"/><Relationship Id="rId1230" Type="http://schemas.openxmlformats.org/officeDocument/2006/relationships/hyperlink" Target="https://clinicaltrials.gov/study/NCT00918853" TargetMode="External"/><Relationship Id="rId1328" Type="http://schemas.openxmlformats.org/officeDocument/2006/relationships/hyperlink" Target="https://clinicaltrials.gov/study/NCT00303758" TargetMode="External"/><Relationship Id="rId1535" Type="http://schemas.openxmlformats.org/officeDocument/2006/relationships/hyperlink" Target="https://clinicaltrials.gov/study/NCT00634725" TargetMode="External"/><Relationship Id="rId905" Type="http://schemas.openxmlformats.org/officeDocument/2006/relationships/hyperlink" Target="https://clinicaltrials.gov/study/NCT07028424" TargetMode="External"/><Relationship Id="rId1742" Type="http://schemas.openxmlformats.org/officeDocument/2006/relationships/hyperlink" Target="https://clinicaltrials.gov/study/NCT02827201" TargetMode="External"/><Relationship Id="rId34" Type="http://schemas.openxmlformats.org/officeDocument/2006/relationships/hyperlink" Target="https://clinicaltrials.gov/study/NCT03974854" TargetMode="External"/><Relationship Id="rId1602" Type="http://schemas.openxmlformats.org/officeDocument/2006/relationships/hyperlink" Target="https://clinicaltrials.gov/study/NCT04011982" TargetMode="External"/><Relationship Id="rId183" Type="http://schemas.openxmlformats.org/officeDocument/2006/relationships/hyperlink" Target="https://clinicaltrials.gov/study/NCT03525392" TargetMode="External"/><Relationship Id="rId390" Type="http://schemas.openxmlformats.org/officeDocument/2006/relationships/hyperlink" Target="https://clinicaltrials.gov/study/NCT03816163" TargetMode="External"/><Relationship Id="rId1907" Type="http://schemas.openxmlformats.org/officeDocument/2006/relationships/hyperlink" Target="https://clinicaltrials.gov/study/NCT04698915" TargetMode="External"/><Relationship Id="rId2071" Type="http://schemas.openxmlformats.org/officeDocument/2006/relationships/hyperlink" Target="https://clinicaltrials.gov/study/NCT01689584" TargetMode="External"/><Relationship Id="rId250" Type="http://schemas.openxmlformats.org/officeDocument/2006/relationships/hyperlink" Target="https://clinicaltrials.gov/study/NCT04935359" TargetMode="External"/><Relationship Id="rId488" Type="http://schemas.openxmlformats.org/officeDocument/2006/relationships/hyperlink" Target="https://clinicaltrials.gov/study/NCT03377491" TargetMode="External"/><Relationship Id="rId695" Type="http://schemas.openxmlformats.org/officeDocument/2006/relationships/hyperlink" Target="https://clinicaltrials.gov/study/NCT05776342" TargetMode="External"/><Relationship Id="rId2169" Type="http://schemas.openxmlformats.org/officeDocument/2006/relationships/hyperlink" Target="https://clinicaltrials.gov/study/NCT00789633" TargetMode="External"/><Relationship Id="rId2376" Type="http://schemas.openxmlformats.org/officeDocument/2006/relationships/hyperlink" Target="https://clinicaltrials.gov/study/NCT03693677" TargetMode="External"/><Relationship Id="rId110" Type="http://schemas.openxmlformats.org/officeDocument/2006/relationships/hyperlink" Target="https://clinicaltrials.gov/study/NCT01956812" TargetMode="External"/><Relationship Id="rId348" Type="http://schemas.openxmlformats.org/officeDocument/2006/relationships/hyperlink" Target="https://clinicaltrials.gov/study/NCT00896467" TargetMode="External"/><Relationship Id="rId555" Type="http://schemas.openxmlformats.org/officeDocument/2006/relationships/hyperlink" Target="https://clinicaltrials.gov/study/NCT00428597" TargetMode="External"/><Relationship Id="rId762" Type="http://schemas.openxmlformats.org/officeDocument/2006/relationships/hyperlink" Target="https://clinicaltrials.gov/study/NCT04704154" TargetMode="External"/><Relationship Id="rId1185" Type="http://schemas.openxmlformats.org/officeDocument/2006/relationships/hyperlink" Target="https://clinicaltrials.gov/study/NCT00112658" TargetMode="External"/><Relationship Id="rId1392" Type="http://schemas.openxmlformats.org/officeDocument/2006/relationships/hyperlink" Target="https://clinicaltrials.gov/study/NCT00634725" TargetMode="External"/><Relationship Id="rId2029" Type="http://schemas.openxmlformats.org/officeDocument/2006/relationships/hyperlink" Target="https://clinicaltrials.gov/study/NCT06172478" TargetMode="External"/><Relationship Id="rId2236" Type="http://schemas.openxmlformats.org/officeDocument/2006/relationships/hyperlink" Target="https://clinicaltrials.gov/study/NCT02676349" TargetMode="External"/><Relationship Id="rId2443" Type="http://schemas.openxmlformats.org/officeDocument/2006/relationships/hyperlink" Target="https://clinicaltrials.gov/study/NCT02264665" TargetMode="External"/><Relationship Id="rId208" Type="http://schemas.openxmlformats.org/officeDocument/2006/relationships/hyperlink" Target="https://clinicaltrials.gov/study/NCT04985604" TargetMode="External"/><Relationship Id="rId415" Type="http://schemas.openxmlformats.org/officeDocument/2006/relationships/hyperlink" Target="https://clinicaltrials.gov/study/NCT00010088" TargetMode="External"/><Relationship Id="rId622" Type="http://schemas.openxmlformats.org/officeDocument/2006/relationships/hyperlink" Target="https://clinicaltrials.gov/study/NCT05365581" TargetMode="External"/><Relationship Id="rId1045" Type="http://schemas.openxmlformats.org/officeDocument/2006/relationships/hyperlink" Target="https://clinicaltrials.gov/study/NCT00268411" TargetMode="External"/><Relationship Id="rId1252" Type="http://schemas.openxmlformats.org/officeDocument/2006/relationships/hyperlink" Target="https://clinicaltrials.gov/study/NCT05470738" TargetMode="External"/><Relationship Id="rId1697" Type="http://schemas.openxmlformats.org/officeDocument/2006/relationships/hyperlink" Target="https://clinicaltrials.gov/study/NCT06238479" TargetMode="External"/><Relationship Id="rId2303" Type="http://schemas.openxmlformats.org/officeDocument/2006/relationships/hyperlink" Target="https://clinicaltrials.gov/study/NCT03787056" TargetMode="External"/><Relationship Id="rId2510" Type="http://schemas.openxmlformats.org/officeDocument/2006/relationships/hyperlink" Target="https://clinicaltrials.gov/study/NCT02352337" TargetMode="External"/><Relationship Id="rId927" Type="http://schemas.openxmlformats.org/officeDocument/2006/relationships/hyperlink" Target="https://clinicaltrials.gov/study/NCT03806309" TargetMode="External"/><Relationship Id="rId1112" Type="http://schemas.openxmlformats.org/officeDocument/2006/relationships/hyperlink" Target="https://clinicaltrials.gov/study/NCT00003029" TargetMode="External"/><Relationship Id="rId1557" Type="http://schemas.openxmlformats.org/officeDocument/2006/relationships/hyperlink" Target="https://clinicaltrials.gov/study/NCT06144762" TargetMode="External"/><Relationship Id="rId1764" Type="http://schemas.openxmlformats.org/officeDocument/2006/relationships/hyperlink" Target="https://clinicaltrials.gov/study/NCT02264665" TargetMode="External"/><Relationship Id="rId1971" Type="http://schemas.openxmlformats.org/officeDocument/2006/relationships/hyperlink" Target="https://clinicaltrials.gov/study/NCT02184663" TargetMode="External"/><Relationship Id="rId56" Type="http://schemas.openxmlformats.org/officeDocument/2006/relationships/hyperlink" Target="https://clinicaltrials.gov/study/NCT00964171" TargetMode="External"/><Relationship Id="rId1417" Type="http://schemas.openxmlformats.org/officeDocument/2006/relationships/hyperlink" Target="https://clinicaltrials.gov/study/NCT00064207" TargetMode="External"/><Relationship Id="rId1624" Type="http://schemas.openxmlformats.org/officeDocument/2006/relationships/hyperlink" Target="https://clinicaltrials.gov/study/NCT00353496" TargetMode="External"/><Relationship Id="rId1831" Type="http://schemas.openxmlformats.org/officeDocument/2006/relationships/hyperlink" Target="https://clinicaltrials.gov/study/NCT01494506" TargetMode="External"/><Relationship Id="rId1929" Type="http://schemas.openxmlformats.org/officeDocument/2006/relationships/hyperlink" Target="https://clinicaltrials.gov/study/NCT06172478" TargetMode="External"/><Relationship Id="rId2093" Type="http://schemas.openxmlformats.org/officeDocument/2006/relationships/hyperlink" Target="https://clinicaltrials.gov/study/NCT03305146" TargetMode="External"/><Relationship Id="rId2398" Type="http://schemas.openxmlformats.org/officeDocument/2006/relationships/hyperlink" Target="https://clinicaltrials.gov/study/NCT00789633" TargetMode="External"/><Relationship Id="rId272" Type="http://schemas.openxmlformats.org/officeDocument/2006/relationships/hyperlink" Target="https://clinicaltrials.gov/study/NCT02993731" TargetMode="External"/><Relationship Id="rId577" Type="http://schemas.openxmlformats.org/officeDocument/2006/relationships/hyperlink" Target="https://clinicaltrials.gov/study/NCT05477576" TargetMode="External"/><Relationship Id="rId2160" Type="http://schemas.openxmlformats.org/officeDocument/2006/relationships/hyperlink" Target="https://clinicaltrials.gov/study/NCT04548960" TargetMode="External"/><Relationship Id="rId2258" Type="http://schemas.openxmlformats.org/officeDocument/2006/relationships/hyperlink" Target="https://clinicaltrials.gov/study/NCT03351296" TargetMode="External"/><Relationship Id="rId132" Type="http://schemas.openxmlformats.org/officeDocument/2006/relationships/hyperlink" Target="https://clinicaltrials.gov/study/NCT02072616" TargetMode="External"/><Relationship Id="rId784" Type="http://schemas.openxmlformats.org/officeDocument/2006/relationships/hyperlink" Target="https://clinicaltrials.gov/study/NCT04935359" TargetMode="External"/><Relationship Id="rId991" Type="http://schemas.openxmlformats.org/officeDocument/2006/relationships/hyperlink" Target="https://clinicaltrials.gov/study/NCT07076121" TargetMode="External"/><Relationship Id="rId1067" Type="http://schemas.openxmlformats.org/officeDocument/2006/relationships/hyperlink" Target="https://clinicaltrials.gov/study/NCT02195180" TargetMode="External"/><Relationship Id="rId2020" Type="http://schemas.openxmlformats.org/officeDocument/2006/relationships/hyperlink" Target="https://clinicaltrials.gov/study/NCT03049189" TargetMode="External"/><Relationship Id="rId2465" Type="http://schemas.openxmlformats.org/officeDocument/2006/relationships/hyperlink" Target="https://clinicaltrials.gov/study/NCT02539537" TargetMode="External"/><Relationship Id="rId437" Type="http://schemas.openxmlformats.org/officeDocument/2006/relationships/hyperlink" Target="https://clinicaltrials.gov/study/NCT00471146" TargetMode="External"/><Relationship Id="rId644" Type="http://schemas.openxmlformats.org/officeDocument/2006/relationships/hyperlink" Target="https://clinicaltrials.gov/study/NCT00358566" TargetMode="External"/><Relationship Id="rId851" Type="http://schemas.openxmlformats.org/officeDocument/2006/relationships/hyperlink" Target="https://clinicaltrials.gov/study/NCT04570943" TargetMode="External"/><Relationship Id="rId1274" Type="http://schemas.openxmlformats.org/officeDocument/2006/relationships/hyperlink" Target="https://clinicaltrials.gov/study/NCT00064207" TargetMode="External"/><Relationship Id="rId1481" Type="http://schemas.openxmlformats.org/officeDocument/2006/relationships/hyperlink" Target="https://clinicaltrials.gov/study/NCT00010088" TargetMode="External"/><Relationship Id="rId1579" Type="http://schemas.openxmlformats.org/officeDocument/2006/relationships/hyperlink" Target="https://clinicaltrials.gov/study/NCT01628913" TargetMode="External"/><Relationship Id="rId2118" Type="http://schemas.openxmlformats.org/officeDocument/2006/relationships/hyperlink" Target="https://clinicaltrials.gov/study/NCT02827201" TargetMode="External"/><Relationship Id="rId2325" Type="http://schemas.openxmlformats.org/officeDocument/2006/relationships/hyperlink" Target="https://clinicaltrials.gov/study/NCT02539537" TargetMode="External"/><Relationship Id="rId2532" Type="http://schemas.openxmlformats.org/officeDocument/2006/relationships/hyperlink" Target="https://clinicaltrials.gov/study/NCT01689584" TargetMode="External"/><Relationship Id="rId504" Type="http://schemas.openxmlformats.org/officeDocument/2006/relationships/hyperlink" Target="https://clinicaltrials.gov/study/NCT04483726" TargetMode="External"/><Relationship Id="rId711" Type="http://schemas.openxmlformats.org/officeDocument/2006/relationships/hyperlink" Target="https://clinicaltrials.gov/study/NCT06128343" TargetMode="External"/><Relationship Id="rId949" Type="http://schemas.openxmlformats.org/officeDocument/2006/relationships/hyperlink" Target="https://clinicaltrials.gov/study/NCT02436668" TargetMode="External"/><Relationship Id="rId1134" Type="http://schemas.openxmlformats.org/officeDocument/2006/relationships/hyperlink" Target="https://clinicaltrials.gov/study/NCT02184195" TargetMode="External"/><Relationship Id="rId1341" Type="http://schemas.openxmlformats.org/officeDocument/2006/relationships/hyperlink" Target="https://clinicaltrials.gov/study/NCT00064207" TargetMode="External"/><Relationship Id="rId1786" Type="http://schemas.openxmlformats.org/officeDocument/2006/relationships/hyperlink" Target="https://clinicaltrials.gov/study/NCT06760819" TargetMode="External"/><Relationship Id="rId1993" Type="http://schemas.openxmlformats.org/officeDocument/2006/relationships/hyperlink" Target="https://clinicaltrials.gov/study/NCT02301143" TargetMode="External"/><Relationship Id="rId78" Type="http://schemas.openxmlformats.org/officeDocument/2006/relationships/hyperlink" Target="https://clinicaltrials.gov/study/NCT02404363" TargetMode="External"/><Relationship Id="rId809" Type="http://schemas.openxmlformats.org/officeDocument/2006/relationships/hyperlink" Target="https://clinicaltrials.gov/study/NCT00275119" TargetMode="External"/><Relationship Id="rId1201" Type="http://schemas.openxmlformats.org/officeDocument/2006/relationships/hyperlink" Target="https://clinicaltrials.gov/study/NCT00075452" TargetMode="External"/><Relationship Id="rId1439" Type="http://schemas.openxmlformats.org/officeDocument/2006/relationships/hyperlink" Target="https://clinicaltrials.gov/study/NCT00634725" TargetMode="External"/><Relationship Id="rId1646" Type="http://schemas.openxmlformats.org/officeDocument/2006/relationships/hyperlink" Target="https://clinicaltrials.gov/study/NCT07587827" TargetMode="External"/><Relationship Id="rId1853" Type="http://schemas.openxmlformats.org/officeDocument/2006/relationships/hyperlink" Target="https://clinicaltrials.gov/study/NCT04924075" TargetMode="External"/><Relationship Id="rId1506" Type="http://schemas.openxmlformats.org/officeDocument/2006/relationships/hyperlink" Target="https://clinicaltrials.gov/study/NCT01989624" TargetMode="External"/><Relationship Id="rId1713" Type="http://schemas.openxmlformats.org/officeDocument/2006/relationships/hyperlink" Target="https://clinicaltrials.gov/study/NCT06360354" TargetMode="External"/><Relationship Id="rId1920" Type="http://schemas.openxmlformats.org/officeDocument/2006/relationships/hyperlink" Target="https://clinicaltrials.gov/study/NCT01374451" TargetMode="External"/><Relationship Id="rId294" Type="http://schemas.openxmlformats.org/officeDocument/2006/relationships/hyperlink" Target="https://clinicaltrials.gov/study/NCT00064207" TargetMode="External"/><Relationship Id="rId2182" Type="http://schemas.openxmlformats.org/officeDocument/2006/relationships/hyperlink" Target="https://clinicaltrials.gov/study/NCT02853474" TargetMode="External"/><Relationship Id="rId154" Type="http://schemas.openxmlformats.org/officeDocument/2006/relationships/hyperlink" Target="https://clinicaltrials.gov/study/NCT07483983" TargetMode="External"/><Relationship Id="rId361" Type="http://schemas.openxmlformats.org/officeDocument/2006/relationships/hyperlink" Target="https://clinicaltrials.gov/study/NCT00274885" TargetMode="External"/><Relationship Id="rId599" Type="http://schemas.openxmlformats.org/officeDocument/2006/relationships/hyperlink" Target="https://clinicaltrials.gov/study/NCT06892054" TargetMode="External"/><Relationship Id="rId2042" Type="http://schemas.openxmlformats.org/officeDocument/2006/relationships/hyperlink" Target="https://clinicaltrials.gov/study/NCT01214720" TargetMode="External"/><Relationship Id="rId2487" Type="http://schemas.openxmlformats.org/officeDocument/2006/relationships/hyperlink" Target="https://clinicaltrials.gov/study/NCT01689584" TargetMode="External"/><Relationship Id="rId459" Type="http://schemas.openxmlformats.org/officeDocument/2006/relationships/hyperlink" Target="https://clinicaltrials.gov/study/NCT07087054" TargetMode="External"/><Relationship Id="rId666" Type="http://schemas.openxmlformats.org/officeDocument/2006/relationships/hyperlink" Target="https://clinicaltrials.gov/study/NCT00662688" TargetMode="External"/><Relationship Id="rId873" Type="http://schemas.openxmlformats.org/officeDocument/2006/relationships/hyperlink" Target="https://clinicaltrials.gov/study/NCT06333314" TargetMode="External"/><Relationship Id="rId1089" Type="http://schemas.openxmlformats.org/officeDocument/2006/relationships/hyperlink" Target="https://clinicaltrials.gov/study/NCT02820857" TargetMode="External"/><Relationship Id="rId1296" Type="http://schemas.openxmlformats.org/officeDocument/2006/relationships/hyperlink" Target="https://clinicaltrials.gov/study/NCT03943667" TargetMode="External"/><Relationship Id="rId2347" Type="http://schemas.openxmlformats.org/officeDocument/2006/relationships/hyperlink" Target="https://clinicaltrials.gov/study/NCT02827201" TargetMode="External"/><Relationship Id="rId221" Type="http://schemas.openxmlformats.org/officeDocument/2006/relationships/hyperlink" Target="https://clinicaltrials.gov/study/NCT03377491" TargetMode="External"/><Relationship Id="rId319" Type="http://schemas.openxmlformats.org/officeDocument/2006/relationships/hyperlink" Target="https://clinicaltrials.gov/study/NCT00363051" TargetMode="External"/><Relationship Id="rId526" Type="http://schemas.openxmlformats.org/officeDocument/2006/relationships/hyperlink" Target="https://clinicaltrials.gov/study/NCT03126435" TargetMode="External"/><Relationship Id="rId1156" Type="http://schemas.openxmlformats.org/officeDocument/2006/relationships/hyperlink" Target="https://clinicaltrials.gov/study/NCT04348045" TargetMode="External"/><Relationship Id="rId1363" Type="http://schemas.openxmlformats.org/officeDocument/2006/relationships/hyperlink" Target="https://clinicaltrials.gov/study/NCT00064207" TargetMode="External"/><Relationship Id="rId2207" Type="http://schemas.openxmlformats.org/officeDocument/2006/relationships/hyperlink" Target="https://clinicaltrials.gov/study/NCT02853474" TargetMode="External"/><Relationship Id="rId733" Type="http://schemas.openxmlformats.org/officeDocument/2006/relationships/hyperlink" Target="https://clinicaltrials.gov/study/NCT00003029" TargetMode="External"/><Relationship Id="rId940" Type="http://schemas.openxmlformats.org/officeDocument/2006/relationships/hyperlink" Target="https://clinicaltrials.gov/study/NCT06892054" TargetMode="External"/><Relationship Id="rId1016" Type="http://schemas.openxmlformats.org/officeDocument/2006/relationships/hyperlink" Target="https://clinicaltrials.gov/study/NCT03806309" TargetMode="External"/><Relationship Id="rId1570" Type="http://schemas.openxmlformats.org/officeDocument/2006/relationships/hyperlink" Target="https://clinicaltrials.gov/study/NCT04469504" TargetMode="External"/><Relationship Id="rId1668" Type="http://schemas.openxmlformats.org/officeDocument/2006/relationships/hyperlink" Target="https://clinicaltrials.gov/study/NCT01878890" TargetMode="External"/><Relationship Id="rId1875" Type="http://schemas.openxmlformats.org/officeDocument/2006/relationships/hyperlink" Target="https://clinicaltrials.gov/study/NCT02651987" TargetMode="External"/><Relationship Id="rId2414" Type="http://schemas.openxmlformats.org/officeDocument/2006/relationships/hyperlink" Target="https://clinicaltrials.gov/study/NCT00789633" TargetMode="External"/><Relationship Id="rId800" Type="http://schemas.openxmlformats.org/officeDocument/2006/relationships/hyperlink" Target="https://clinicaltrials.gov/study/NCT01956812" TargetMode="External"/><Relationship Id="rId1223" Type="http://schemas.openxmlformats.org/officeDocument/2006/relationships/hyperlink" Target="https://clinicaltrials.gov/study/NCT00112658" TargetMode="External"/><Relationship Id="rId1430" Type="http://schemas.openxmlformats.org/officeDocument/2006/relationships/hyperlink" Target="https://clinicaltrials.gov/study/NCT00303758" TargetMode="External"/><Relationship Id="rId1528" Type="http://schemas.openxmlformats.org/officeDocument/2006/relationships/hyperlink" Target="https://clinicaltrials.gov/study/NCT00634725" TargetMode="External"/><Relationship Id="rId1735" Type="http://schemas.openxmlformats.org/officeDocument/2006/relationships/hyperlink" Target="https://clinicaltrials.gov/study/NCT00652366" TargetMode="External"/><Relationship Id="rId1942" Type="http://schemas.openxmlformats.org/officeDocument/2006/relationships/hyperlink" Target="https://clinicaltrials.gov/study/NCT00035035" TargetMode="External"/><Relationship Id="rId27" Type="http://schemas.openxmlformats.org/officeDocument/2006/relationships/hyperlink" Target="https://clinicaltrials.gov/study/NCT04436679" TargetMode="External"/><Relationship Id="rId1802" Type="http://schemas.openxmlformats.org/officeDocument/2006/relationships/hyperlink" Target="https://clinicaltrials.gov/study/NCT02301143" TargetMode="External"/><Relationship Id="rId176" Type="http://schemas.openxmlformats.org/officeDocument/2006/relationships/hyperlink" Target="https://clinicaltrials.gov/study/NCT03678883" TargetMode="External"/><Relationship Id="rId383" Type="http://schemas.openxmlformats.org/officeDocument/2006/relationships/hyperlink" Target="https://clinicaltrials.gov/study/NCT02195180" TargetMode="External"/><Relationship Id="rId590" Type="http://schemas.openxmlformats.org/officeDocument/2006/relationships/hyperlink" Target="https://clinicaltrials.gov/study/NCT06188702" TargetMode="External"/><Relationship Id="rId2064" Type="http://schemas.openxmlformats.org/officeDocument/2006/relationships/hyperlink" Target="https://clinicaltrials.gov/study/NCT01444456" TargetMode="External"/><Relationship Id="rId2271" Type="http://schemas.openxmlformats.org/officeDocument/2006/relationships/hyperlink" Target="https://clinicaltrials.gov/study/NCT03485209" TargetMode="External"/><Relationship Id="rId243" Type="http://schemas.openxmlformats.org/officeDocument/2006/relationships/hyperlink" Target="https://clinicaltrials.gov/study/NCT02436668" TargetMode="External"/><Relationship Id="rId450" Type="http://schemas.openxmlformats.org/officeDocument/2006/relationships/hyperlink" Target="https://clinicaltrials.gov/study/NCT05403554" TargetMode="External"/><Relationship Id="rId688" Type="http://schemas.openxmlformats.org/officeDocument/2006/relationships/hyperlink" Target="https://clinicaltrials.gov/study/NCT02810730" TargetMode="External"/><Relationship Id="rId895" Type="http://schemas.openxmlformats.org/officeDocument/2006/relationships/hyperlink" Target="https://clinicaltrials.gov/study/NCT03943667" TargetMode="External"/><Relationship Id="rId1080" Type="http://schemas.openxmlformats.org/officeDocument/2006/relationships/hyperlink" Target="https://clinicaltrials.gov/study/NCT02715804" TargetMode="External"/><Relationship Id="rId2131" Type="http://schemas.openxmlformats.org/officeDocument/2006/relationships/hyperlink" Target="https://clinicaltrials.gov/study/NCT04548960" TargetMode="External"/><Relationship Id="rId2369" Type="http://schemas.openxmlformats.org/officeDocument/2006/relationships/hyperlink" Target="https://clinicaltrials.gov/study/NCT01444456" TargetMode="External"/><Relationship Id="rId103" Type="http://schemas.openxmlformats.org/officeDocument/2006/relationships/hyperlink" Target="https://clinicaltrials.gov/study/NCT06649474" TargetMode="External"/><Relationship Id="rId310" Type="http://schemas.openxmlformats.org/officeDocument/2006/relationships/hyperlink" Target="https://clinicaltrials.gov/study/NCT07483983" TargetMode="External"/><Relationship Id="rId548" Type="http://schemas.openxmlformats.org/officeDocument/2006/relationships/hyperlink" Target="https://clinicaltrials.gov/study/NCT00005053" TargetMode="External"/><Relationship Id="rId755" Type="http://schemas.openxmlformats.org/officeDocument/2006/relationships/hyperlink" Target="https://clinicaltrials.gov/study/NCT07087054" TargetMode="External"/><Relationship Id="rId962" Type="http://schemas.openxmlformats.org/officeDocument/2006/relationships/hyperlink" Target="https://clinicaltrials.gov/study/NCT02993731" TargetMode="External"/><Relationship Id="rId1178" Type="http://schemas.openxmlformats.org/officeDocument/2006/relationships/hyperlink" Target="https://clinicaltrials.gov/study/NCT07547033" TargetMode="External"/><Relationship Id="rId1385" Type="http://schemas.openxmlformats.org/officeDocument/2006/relationships/hyperlink" Target="https://clinicaltrials.gov/study/NCT00010088" TargetMode="External"/><Relationship Id="rId1592" Type="http://schemas.openxmlformats.org/officeDocument/2006/relationships/hyperlink" Target="https://clinicaltrials.gov/study/NCT02923921" TargetMode="External"/><Relationship Id="rId2229" Type="http://schemas.openxmlformats.org/officeDocument/2006/relationships/hyperlink" Target="https://clinicaltrials.gov/study/NCT02264665" TargetMode="External"/><Relationship Id="rId2436" Type="http://schemas.openxmlformats.org/officeDocument/2006/relationships/hyperlink" Target="https://clinicaltrials.gov/study/NCT01444456" TargetMode="External"/><Relationship Id="rId91" Type="http://schemas.openxmlformats.org/officeDocument/2006/relationships/hyperlink" Target="https://clinicaltrials.gov/study/NCT04667403" TargetMode="External"/><Relationship Id="rId408" Type="http://schemas.openxmlformats.org/officeDocument/2006/relationships/hyperlink" Target="https://clinicaltrials.gov/study/NCT04632199" TargetMode="External"/><Relationship Id="rId615" Type="http://schemas.openxmlformats.org/officeDocument/2006/relationships/hyperlink" Target="https://clinicaltrials.gov/study/NCT02436668" TargetMode="External"/><Relationship Id="rId822" Type="http://schemas.openxmlformats.org/officeDocument/2006/relationships/hyperlink" Target="https://clinicaltrials.gov/study/NCT03678883" TargetMode="External"/><Relationship Id="rId1038" Type="http://schemas.openxmlformats.org/officeDocument/2006/relationships/hyperlink" Target="https://clinicaltrials.gov/study/NCT07028424" TargetMode="External"/><Relationship Id="rId1245" Type="http://schemas.openxmlformats.org/officeDocument/2006/relationships/hyperlink" Target="https://clinicaltrials.gov/study/NCT06333314" TargetMode="External"/><Relationship Id="rId1452" Type="http://schemas.openxmlformats.org/officeDocument/2006/relationships/hyperlink" Target="https://clinicaltrials.gov/study/NCT00010088" TargetMode="External"/><Relationship Id="rId1897" Type="http://schemas.openxmlformats.org/officeDocument/2006/relationships/hyperlink" Target="https://clinicaltrials.gov/study/NCT02352337" TargetMode="External"/><Relationship Id="rId2503" Type="http://schemas.openxmlformats.org/officeDocument/2006/relationships/hyperlink" Target="https://clinicaltrials.gov/study/NCT01689584" TargetMode="External"/><Relationship Id="rId1105" Type="http://schemas.openxmlformats.org/officeDocument/2006/relationships/hyperlink" Target="https://clinicaltrials.gov/study/NCT00075452" TargetMode="External"/><Relationship Id="rId1312" Type="http://schemas.openxmlformats.org/officeDocument/2006/relationships/hyperlink" Target="https://clinicaltrials.gov/study/NCT00634725" TargetMode="External"/><Relationship Id="rId1757" Type="http://schemas.openxmlformats.org/officeDocument/2006/relationships/hyperlink" Target="https://clinicaltrials.gov/study/NCT03305146" TargetMode="External"/><Relationship Id="rId1964" Type="http://schemas.openxmlformats.org/officeDocument/2006/relationships/hyperlink" Target="https://clinicaltrials.gov/study/NCT00510068" TargetMode="External"/><Relationship Id="rId49" Type="http://schemas.openxmlformats.org/officeDocument/2006/relationships/hyperlink" Target="https://clinicaltrials.gov/study/NCT03490604" TargetMode="External"/><Relationship Id="rId1617" Type="http://schemas.openxmlformats.org/officeDocument/2006/relationships/hyperlink" Target="https://clinicaltrials.gov/study/NCT02539537" TargetMode="External"/><Relationship Id="rId1824" Type="http://schemas.openxmlformats.org/officeDocument/2006/relationships/hyperlink" Target="https://clinicaltrials.gov/study/NCT02352337" TargetMode="External"/><Relationship Id="rId198" Type="http://schemas.openxmlformats.org/officeDocument/2006/relationships/hyperlink" Target="https://clinicaltrials.gov/study/NCT01351103" TargetMode="External"/><Relationship Id="rId2086" Type="http://schemas.openxmlformats.org/officeDocument/2006/relationships/hyperlink" Target="https://clinicaltrials.gov/study/NCT01485679" TargetMode="External"/><Relationship Id="rId2293" Type="http://schemas.openxmlformats.org/officeDocument/2006/relationships/hyperlink" Target="https://clinicaltrials.gov/study/NCT02288377" TargetMode="External"/><Relationship Id="rId265" Type="http://schemas.openxmlformats.org/officeDocument/2006/relationships/hyperlink" Target="https://clinicaltrials.gov/study/NCT05254171" TargetMode="External"/><Relationship Id="rId472" Type="http://schemas.openxmlformats.org/officeDocument/2006/relationships/hyperlink" Target="https://clinicaltrials.gov/study/NCT00428220" TargetMode="External"/><Relationship Id="rId2153" Type="http://schemas.openxmlformats.org/officeDocument/2006/relationships/hyperlink" Target="https://clinicaltrials.gov/study/NCT00510068" TargetMode="External"/><Relationship Id="rId2360" Type="http://schemas.openxmlformats.org/officeDocument/2006/relationships/hyperlink" Target="https://clinicaltrials.gov/study/NCT01444456" TargetMode="External"/><Relationship Id="rId125" Type="http://schemas.openxmlformats.org/officeDocument/2006/relationships/hyperlink" Target="https://clinicaltrials.gov/study/NCT00003029" TargetMode="External"/><Relationship Id="rId332" Type="http://schemas.openxmlformats.org/officeDocument/2006/relationships/hyperlink" Target="https://clinicaltrials.gov/study/NCT05477576" TargetMode="External"/><Relationship Id="rId777" Type="http://schemas.openxmlformats.org/officeDocument/2006/relationships/hyperlink" Target="https://clinicaltrials.gov/study/NCT05546853" TargetMode="External"/><Relationship Id="rId984" Type="http://schemas.openxmlformats.org/officeDocument/2006/relationships/hyperlink" Target="https://clinicaltrials.gov/study/NCT02568267" TargetMode="External"/><Relationship Id="rId2013" Type="http://schemas.openxmlformats.org/officeDocument/2006/relationships/hyperlink" Target="https://clinicaltrials.gov/study/NCT04698915" TargetMode="External"/><Relationship Id="rId2220" Type="http://schemas.openxmlformats.org/officeDocument/2006/relationships/hyperlink" Target="https://clinicaltrials.gov/study/NCT02288377" TargetMode="External"/><Relationship Id="rId2458" Type="http://schemas.openxmlformats.org/officeDocument/2006/relationships/hyperlink" Target="https://clinicaltrials.gov/study/NCT03693677" TargetMode="External"/><Relationship Id="rId637" Type="http://schemas.openxmlformats.org/officeDocument/2006/relationships/hyperlink" Target="https://clinicaltrials.gov/study/NCT00191568" TargetMode="External"/><Relationship Id="rId844" Type="http://schemas.openxmlformats.org/officeDocument/2006/relationships/hyperlink" Target="https://clinicaltrials.gov/study/NCT07547033" TargetMode="External"/><Relationship Id="rId1267" Type="http://schemas.openxmlformats.org/officeDocument/2006/relationships/hyperlink" Target="https://clinicaltrials.gov/study/NCT07547033" TargetMode="External"/><Relationship Id="rId1474" Type="http://schemas.openxmlformats.org/officeDocument/2006/relationships/hyperlink" Target="https://clinicaltrials.gov/study/NCT01989624" TargetMode="External"/><Relationship Id="rId1681" Type="http://schemas.openxmlformats.org/officeDocument/2006/relationships/hyperlink" Target="https://clinicaltrials.gov/study/NCT03098550" TargetMode="External"/><Relationship Id="rId2318" Type="http://schemas.openxmlformats.org/officeDocument/2006/relationships/hyperlink" Target="https://clinicaltrials.gov/study/NCT02676349" TargetMode="External"/><Relationship Id="rId2525" Type="http://schemas.openxmlformats.org/officeDocument/2006/relationships/hyperlink" Target="https://clinicaltrials.gov/study/NCT01689584" TargetMode="External"/><Relationship Id="rId704" Type="http://schemas.openxmlformats.org/officeDocument/2006/relationships/hyperlink" Target="https://clinicaltrials.gov/study/NCT04348045" TargetMode="External"/><Relationship Id="rId911" Type="http://schemas.openxmlformats.org/officeDocument/2006/relationships/hyperlink" Target="https://clinicaltrials.gov/study/NCT06275737" TargetMode="External"/><Relationship Id="rId1127" Type="http://schemas.openxmlformats.org/officeDocument/2006/relationships/hyperlink" Target="https://clinicaltrials.gov/study/NCT03943667" TargetMode="External"/><Relationship Id="rId1334" Type="http://schemas.openxmlformats.org/officeDocument/2006/relationships/hyperlink" Target="https://clinicaltrials.gov/study/NCT01526135" TargetMode="External"/><Relationship Id="rId1541" Type="http://schemas.openxmlformats.org/officeDocument/2006/relationships/hyperlink" Target="https://clinicaltrials.gov/study/NCT05234450" TargetMode="External"/><Relationship Id="rId1779" Type="http://schemas.openxmlformats.org/officeDocument/2006/relationships/hyperlink" Target="https://clinicaltrials.gov/study/NCT07260617" TargetMode="External"/><Relationship Id="rId1986" Type="http://schemas.openxmlformats.org/officeDocument/2006/relationships/hyperlink" Target="https://clinicaltrials.gov/study/NCT03362177" TargetMode="External"/><Relationship Id="rId40" Type="http://schemas.openxmlformats.org/officeDocument/2006/relationships/hyperlink" Target="https://clinicaltrials.gov/study/NCT03567863" TargetMode="External"/><Relationship Id="rId1401" Type="http://schemas.openxmlformats.org/officeDocument/2006/relationships/hyperlink" Target="https://clinicaltrials.gov/study/NCT00112658" TargetMode="External"/><Relationship Id="rId1639" Type="http://schemas.openxmlformats.org/officeDocument/2006/relationships/hyperlink" Target="https://clinicaltrials.gov/study/NCT02811666" TargetMode="External"/><Relationship Id="rId1846" Type="http://schemas.openxmlformats.org/officeDocument/2006/relationships/hyperlink" Target="https://clinicaltrials.gov/study/NCT02264665" TargetMode="External"/><Relationship Id="rId1706" Type="http://schemas.openxmlformats.org/officeDocument/2006/relationships/hyperlink" Target="https://clinicaltrials.gov/study/NCT03394365" TargetMode="External"/><Relationship Id="rId1913" Type="http://schemas.openxmlformats.org/officeDocument/2006/relationships/hyperlink" Target="https://clinicaltrials.gov/study/NCT04956640" TargetMode="External"/><Relationship Id="rId287" Type="http://schemas.openxmlformats.org/officeDocument/2006/relationships/hyperlink" Target="https://clinicaltrials.gov/study/NCT00006117" TargetMode="External"/><Relationship Id="rId494" Type="http://schemas.openxmlformats.org/officeDocument/2006/relationships/hyperlink" Target="https://clinicaltrials.gov/study/NCT05776342" TargetMode="External"/><Relationship Id="rId2175" Type="http://schemas.openxmlformats.org/officeDocument/2006/relationships/hyperlink" Target="https://clinicaltrials.gov/study/NCT02827201" TargetMode="External"/><Relationship Id="rId2382" Type="http://schemas.openxmlformats.org/officeDocument/2006/relationships/hyperlink" Target="https://clinicaltrials.gov/study/NCT02352337" TargetMode="External"/><Relationship Id="rId147" Type="http://schemas.openxmlformats.org/officeDocument/2006/relationships/hyperlink" Target="https://clinicaltrials.gov/study/NCT06586515" TargetMode="External"/><Relationship Id="rId354" Type="http://schemas.openxmlformats.org/officeDocument/2006/relationships/hyperlink" Target="https://clinicaltrials.gov/study/NCT02568267" TargetMode="External"/><Relationship Id="rId799" Type="http://schemas.openxmlformats.org/officeDocument/2006/relationships/hyperlink" Target="https://clinicaltrials.gov/study/NCT00010088" TargetMode="External"/><Relationship Id="rId1191" Type="http://schemas.openxmlformats.org/officeDocument/2006/relationships/hyperlink" Target="https://clinicaltrials.gov/study/NCT01964430" TargetMode="External"/><Relationship Id="rId2035" Type="http://schemas.openxmlformats.org/officeDocument/2006/relationships/hyperlink" Target="https://clinicaltrials.gov/study/NCT02676349" TargetMode="External"/><Relationship Id="rId561" Type="http://schemas.openxmlformats.org/officeDocument/2006/relationships/hyperlink" Target="https://clinicaltrials.gov/study/NCT01964430" TargetMode="External"/><Relationship Id="rId659" Type="http://schemas.openxmlformats.org/officeDocument/2006/relationships/hyperlink" Target="https://clinicaltrials.gov/study/NCT00471146" TargetMode="External"/><Relationship Id="rId866" Type="http://schemas.openxmlformats.org/officeDocument/2006/relationships/hyperlink" Target="https://clinicaltrials.gov/study/NCT00006117" TargetMode="External"/><Relationship Id="rId1289" Type="http://schemas.openxmlformats.org/officeDocument/2006/relationships/hyperlink" Target="https://clinicaltrials.gov/study/NCT00303758" TargetMode="External"/><Relationship Id="rId1496" Type="http://schemas.openxmlformats.org/officeDocument/2006/relationships/hyperlink" Target="https://clinicaltrials.gov/study/NCT00112658" TargetMode="External"/><Relationship Id="rId2242" Type="http://schemas.openxmlformats.org/officeDocument/2006/relationships/hyperlink" Target="https://clinicaltrials.gov/study/NCT02352337" TargetMode="External"/><Relationship Id="rId214" Type="http://schemas.openxmlformats.org/officeDocument/2006/relationships/hyperlink" Target="https://clinicaltrials.gov/study/NCT03821935" TargetMode="External"/><Relationship Id="rId421" Type="http://schemas.openxmlformats.org/officeDocument/2006/relationships/hyperlink" Target="https://clinicaltrials.gov/study/NCT00268411" TargetMode="External"/><Relationship Id="rId519" Type="http://schemas.openxmlformats.org/officeDocument/2006/relationships/hyperlink" Target="https://clinicaltrials.gov/study/NCT07028424" TargetMode="External"/><Relationship Id="rId1051" Type="http://schemas.openxmlformats.org/officeDocument/2006/relationships/hyperlink" Target="https://clinicaltrials.gov/study/NCT00010062" TargetMode="External"/><Relationship Id="rId1149" Type="http://schemas.openxmlformats.org/officeDocument/2006/relationships/hyperlink" Target="https://clinicaltrials.gov/study/NCT02820857" TargetMode="External"/><Relationship Id="rId1356" Type="http://schemas.openxmlformats.org/officeDocument/2006/relationships/hyperlink" Target="https://clinicaltrials.gov/study/NCT01526135" TargetMode="External"/><Relationship Id="rId2102" Type="http://schemas.openxmlformats.org/officeDocument/2006/relationships/hyperlink" Target="https://clinicaltrials.gov/study/NCT06172478" TargetMode="External"/><Relationship Id="rId726" Type="http://schemas.openxmlformats.org/officeDocument/2006/relationships/hyperlink" Target="https://clinicaltrials.gov/study/NCT00358566" TargetMode="External"/><Relationship Id="rId933" Type="http://schemas.openxmlformats.org/officeDocument/2006/relationships/hyperlink" Target="https://clinicaltrials.gov/study/NCT01964430" TargetMode="External"/><Relationship Id="rId1009" Type="http://schemas.openxmlformats.org/officeDocument/2006/relationships/hyperlink" Target="https://clinicaltrials.gov/study/NCT00112658" TargetMode="External"/><Relationship Id="rId1563" Type="http://schemas.openxmlformats.org/officeDocument/2006/relationships/hyperlink" Target="https://clinicaltrials.gov/study/NCT00602745" TargetMode="External"/><Relationship Id="rId1770" Type="http://schemas.openxmlformats.org/officeDocument/2006/relationships/hyperlink" Target="https://clinicaltrials.gov/study/NCT02912949" TargetMode="External"/><Relationship Id="rId1868" Type="http://schemas.openxmlformats.org/officeDocument/2006/relationships/hyperlink" Target="https://clinicaltrials.gov/study/NCT03362177" TargetMode="External"/><Relationship Id="rId2407" Type="http://schemas.openxmlformats.org/officeDocument/2006/relationships/hyperlink" Target="https://clinicaltrials.gov/study/NCT02352337" TargetMode="External"/><Relationship Id="rId62" Type="http://schemas.openxmlformats.org/officeDocument/2006/relationships/hyperlink" Target="https://clinicaltrials.gov/study/NCT05365581" TargetMode="External"/><Relationship Id="rId1216" Type="http://schemas.openxmlformats.org/officeDocument/2006/relationships/hyperlink" Target="https://clinicaltrials.gov/study/NCT04348045" TargetMode="External"/><Relationship Id="rId1423" Type="http://schemas.openxmlformats.org/officeDocument/2006/relationships/hyperlink" Target="https://clinicaltrials.gov/study/NCT00303758" TargetMode="External"/><Relationship Id="rId1630" Type="http://schemas.openxmlformats.org/officeDocument/2006/relationships/hyperlink" Target="https://clinicaltrials.gov/study/NCT00510068" TargetMode="External"/><Relationship Id="rId1728" Type="http://schemas.openxmlformats.org/officeDocument/2006/relationships/hyperlink" Target="https://clinicaltrials.gov/study/NCT04431258" TargetMode="External"/><Relationship Id="rId1935" Type="http://schemas.openxmlformats.org/officeDocument/2006/relationships/hyperlink" Target="https://clinicaltrials.gov/study/NCT06177327" TargetMode="External"/><Relationship Id="rId2197" Type="http://schemas.openxmlformats.org/officeDocument/2006/relationships/hyperlink" Target="https://clinicaltrials.gov/study/NCT03351296" TargetMode="External"/><Relationship Id="rId169" Type="http://schemas.openxmlformats.org/officeDocument/2006/relationships/hyperlink" Target="https://clinicaltrials.gov/study/NCT02077933" TargetMode="External"/><Relationship Id="rId376" Type="http://schemas.openxmlformats.org/officeDocument/2006/relationships/hyperlink" Target="https://clinicaltrials.gov/study/NCT02981342" TargetMode="External"/><Relationship Id="rId583" Type="http://schemas.openxmlformats.org/officeDocument/2006/relationships/hyperlink" Target="https://clinicaltrials.gov/study/NCT00428220" TargetMode="External"/><Relationship Id="rId790" Type="http://schemas.openxmlformats.org/officeDocument/2006/relationships/hyperlink" Target="https://clinicaltrials.gov/study/NCT05470738" TargetMode="External"/><Relationship Id="rId2057" Type="http://schemas.openxmlformats.org/officeDocument/2006/relationships/hyperlink" Target="https://clinicaltrials.gov/study/NCT03305146" TargetMode="External"/><Relationship Id="rId2264" Type="http://schemas.openxmlformats.org/officeDocument/2006/relationships/hyperlink" Target="https://clinicaltrials.gov/study/NCT01964534" TargetMode="External"/><Relationship Id="rId2471" Type="http://schemas.openxmlformats.org/officeDocument/2006/relationships/hyperlink" Target="https://clinicaltrials.gov/study/NCT02352337" TargetMode="External"/><Relationship Id="rId4" Type="http://schemas.openxmlformats.org/officeDocument/2006/relationships/hyperlink" Target="https://clinicaltrials.gov/study/NCT03377491" TargetMode="External"/><Relationship Id="rId236" Type="http://schemas.openxmlformats.org/officeDocument/2006/relationships/hyperlink" Target="https://clinicaltrials.gov/study/NCT03974854" TargetMode="External"/><Relationship Id="rId443" Type="http://schemas.openxmlformats.org/officeDocument/2006/relationships/hyperlink" Target="https://clinicaltrials.gov/study/NCT06128551" TargetMode="External"/><Relationship Id="rId650" Type="http://schemas.openxmlformats.org/officeDocument/2006/relationships/hyperlink" Target="https://clinicaltrials.gov/study/NCT00006117" TargetMode="External"/><Relationship Id="rId888" Type="http://schemas.openxmlformats.org/officeDocument/2006/relationships/hyperlink" Target="https://clinicaltrials.gov/study/NCT06892054" TargetMode="External"/><Relationship Id="rId1073" Type="http://schemas.openxmlformats.org/officeDocument/2006/relationships/hyperlink" Target="https://clinicaltrials.gov/study/NCT02184195" TargetMode="External"/><Relationship Id="rId1280" Type="http://schemas.openxmlformats.org/officeDocument/2006/relationships/hyperlink" Target="https://clinicaltrials.gov/study/NCT01526135" TargetMode="External"/><Relationship Id="rId2124" Type="http://schemas.openxmlformats.org/officeDocument/2006/relationships/hyperlink" Target="https://clinicaltrials.gov/study/NCT00510068" TargetMode="External"/><Relationship Id="rId2331" Type="http://schemas.openxmlformats.org/officeDocument/2006/relationships/hyperlink" Target="https://clinicaltrials.gov/study/NCT02676349" TargetMode="External"/><Relationship Id="rId303" Type="http://schemas.openxmlformats.org/officeDocument/2006/relationships/hyperlink" Target="https://clinicaltrials.gov/study/NCT06586515" TargetMode="External"/><Relationship Id="rId748" Type="http://schemas.openxmlformats.org/officeDocument/2006/relationships/hyperlink" Target="https://clinicaltrials.gov/study/NCT00662688" TargetMode="External"/><Relationship Id="rId955" Type="http://schemas.openxmlformats.org/officeDocument/2006/relationships/hyperlink" Target="https://clinicaltrials.gov/study/NCT07028424" TargetMode="External"/><Relationship Id="rId1140" Type="http://schemas.openxmlformats.org/officeDocument/2006/relationships/hyperlink" Target="https://clinicaltrials.gov/study/NCT00112658" TargetMode="External"/><Relationship Id="rId1378" Type="http://schemas.openxmlformats.org/officeDocument/2006/relationships/hyperlink" Target="https://clinicaltrials.gov/study/NCT00112658" TargetMode="External"/><Relationship Id="rId1585" Type="http://schemas.openxmlformats.org/officeDocument/2006/relationships/hyperlink" Target="https://clinicaltrials.gov/study/NCT05663515" TargetMode="External"/><Relationship Id="rId1792" Type="http://schemas.openxmlformats.org/officeDocument/2006/relationships/hyperlink" Target="https://clinicaltrials.gov/study/NCT03362177" TargetMode="External"/><Relationship Id="rId2429" Type="http://schemas.openxmlformats.org/officeDocument/2006/relationships/hyperlink" Target="https://clinicaltrials.gov/study/NCT01689584" TargetMode="External"/><Relationship Id="rId84" Type="http://schemas.openxmlformats.org/officeDocument/2006/relationships/hyperlink" Target="https://clinicaltrials.gov/study/NCT02184195" TargetMode="External"/><Relationship Id="rId510" Type="http://schemas.openxmlformats.org/officeDocument/2006/relationships/hyperlink" Target="https://clinicaltrials.gov/study/NCT04990037" TargetMode="External"/><Relationship Id="rId608" Type="http://schemas.openxmlformats.org/officeDocument/2006/relationships/hyperlink" Target="https://clinicaltrials.gov/study/NCT05546853" TargetMode="External"/><Relationship Id="rId815" Type="http://schemas.openxmlformats.org/officeDocument/2006/relationships/hyperlink" Target="https://clinicaltrials.gov/study/NCT00428597" TargetMode="External"/><Relationship Id="rId1238" Type="http://schemas.openxmlformats.org/officeDocument/2006/relationships/hyperlink" Target="https://clinicaltrials.gov/study/NCT00634725" TargetMode="External"/><Relationship Id="rId1445" Type="http://schemas.openxmlformats.org/officeDocument/2006/relationships/hyperlink" Target="https://clinicaltrials.gov/study/NCT00634725" TargetMode="External"/><Relationship Id="rId1652" Type="http://schemas.openxmlformats.org/officeDocument/2006/relationships/hyperlink" Target="https://clinicaltrials.gov/study/NCT05571839" TargetMode="External"/><Relationship Id="rId1000" Type="http://schemas.openxmlformats.org/officeDocument/2006/relationships/hyperlink" Target="https://clinicaltrials.gov/study/NCT07028424" TargetMode="External"/><Relationship Id="rId1305" Type="http://schemas.openxmlformats.org/officeDocument/2006/relationships/hyperlink" Target="https://clinicaltrials.gov/study/NCT03806309" TargetMode="External"/><Relationship Id="rId1957" Type="http://schemas.openxmlformats.org/officeDocument/2006/relationships/hyperlink" Target="https://clinicaltrials.gov/study/NCT01485679" TargetMode="External"/><Relationship Id="rId1512" Type="http://schemas.openxmlformats.org/officeDocument/2006/relationships/hyperlink" Target="https://clinicaltrials.gov/study/NCT00634725" TargetMode="External"/><Relationship Id="rId1817" Type="http://schemas.openxmlformats.org/officeDocument/2006/relationships/hyperlink" Target="https://clinicaltrials.gov/study/NCT01214720" TargetMode="External"/><Relationship Id="rId11" Type="http://schemas.openxmlformats.org/officeDocument/2006/relationships/hyperlink" Target="https://clinicaltrials.gov/study/NCT02818829" TargetMode="External"/><Relationship Id="rId398" Type="http://schemas.openxmlformats.org/officeDocument/2006/relationships/hyperlink" Target="https://clinicaltrials.gov/study/NCT04570943" TargetMode="External"/><Relationship Id="rId2079" Type="http://schemas.openxmlformats.org/officeDocument/2006/relationships/hyperlink" Target="https://clinicaltrials.gov/study/NCT03351296" TargetMode="External"/><Relationship Id="rId160" Type="http://schemas.openxmlformats.org/officeDocument/2006/relationships/hyperlink" Target="https://clinicaltrials.gov/study/NCT06305247" TargetMode="External"/><Relationship Id="rId2286" Type="http://schemas.openxmlformats.org/officeDocument/2006/relationships/hyperlink" Target="https://clinicaltrials.gov/study/NCT01444456" TargetMode="External"/><Relationship Id="rId2493" Type="http://schemas.openxmlformats.org/officeDocument/2006/relationships/hyperlink" Target="https://clinicaltrials.gov/study/NCT02539537" TargetMode="External"/><Relationship Id="rId258" Type="http://schemas.openxmlformats.org/officeDocument/2006/relationships/hyperlink" Target="https://clinicaltrials.gov/study/NCT07028424" TargetMode="External"/><Relationship Id="rId465" Type="http://schemas.openxmlformats.org/officeDocument/2006/relationships/hyperlink" Target="https://clinicaltrials.gov/study/NCT04083599" TargetMode="External"/><Relationship Id="rId672" Type="http://schemas.openxmlformats.org/officeDocument/2006/relationships/hyperlink" Target="https://clinicaltrials.gov/study/NCT04325425" TargetMode="External"/><Relationship Id="rId1095" Type="http://schemas.openxmlformats.org/officeDocument/2006/relationships/hyperlink" Target="https://clinicaltrials.gov/study/NCT01526135" TargetMode="External"/><Relationship Id="rId2146" Type="http://schemas.openxmlformats.org/officeDocument/2006/relationships/hyperlink" Target="https://clinicaltrials.gov/study/NCT03022188" TargetMode="External"/><Relationship Id="rId2353" Type="http://schemas.openxmlformats.org/officeDocument/2006/relationships/hyperlink" Target="https://clinicaltrials.gov/study/NCT02676349" TargetMode="External"/><Relationship Id="rId118" Type="http://schemas.openxmlformats.org/officeDocument/2006/relationships/hyperlink" Target="https://clinicaltrials.gov/study/NCT00112658" TargetMode="External"/><Relationship Id="rId325" Type="http://schemas.openxmlformats.org/officeDocument/2006/relationships/hyperlink" Target="https://clinicaltrials.gov/study/NCT04389632" TargetMode="External"/><Relationship Id="rId532" Type="http://schemas.openxmlformats.org/officeDocument/2006/relationships/hyperlink" Target="https://clinicaltrials.gov/study/NCT06757244" TargetMode="External"/><Relationship Id="rId977" Type="http://schemas.openxmlformats.org/officeDocument/2006/relationships/hyperlink" Target="https://clinicaltrials.gov/study/NCT07522073" TargetMode="External"/><Relationship Id="rId1162" Type="http://schemas.openxmlformats.org/officeDocument/2006/relationships/hyperlink" Target="https://clinicaltrials.gov/study/NCT00634725" TargetMode="External"/><Relationship Id="rId2006" Type="http://schemas.openxmlformats.org/officeDocument/2006/relationships/hyperlink" Target="https://clinicaltrials.gov/study/NCT00958841" TargetMode="External"/><Relationship Id="rId2213" Type="http://schemas.openxmlformats.org/officeDocument/2006/relationships/hyperlink" Target="https://clinicaltrials.gov/study/NCT03485209" TargetMode="External"/><Relationship Id="rId2420" Type="http://schemas.openxmlformats.org/officeDocument/2006/relationships/hyperlink" Target="https://clinicaltrials.gov/study/NCT01444456" TargetMode="External"/><Relationship Id="rId837" Type="http://schemas.openxmlformats.org/officeDocument/2006/relationships/hyperlink" Target="https://clinicaltrials.gov/study/NCT01526135" TargetMode="External"/><Relationship Id="rId1022" Type="http://schemas.openxmlformats.org/officeDocument/2006/relationships/hyperlink" Target="https://clinicaltrials.gov/study/NCT00428220" TargetMode="External"/><Relationship Id="rId1467" Type="http://schemas.openxmlformats.org/officeDocument/2006/relationships/hyperlink" Target="https://clinicaltrials.gov/study/NCT00064207" TargetMode="External"/><Relationship Id="rId1674" Type="http://schemas.openxmlformats.org/officeDocument/2006/relationships/hyperlink" Target="https://clinicaltrials.gov/study/NCT05154474" TargetMode="External"/><Relationship Id="rId1881" Type="http://schemas.openxmlformats.org/officeDocument/2006/relationships/hyperlink" Target="https://clinicaltrials.gov/study/NCT01368094" TargetMode="External"/><Relationship Id="rId2518" Type="http://schemas.openxmlformats.org/officeDocument/2006/relationships/hyperlink" Target="https://clinicaltrials.gov/study/NCT02352337" TargetMode="External"/><Relationship Id="rId904" Type="http://schemas.openxmlformats.org/officeDocument/2006/relationships/hyperlink" Target="https://clinicaltrials.gov/study/NCT02979483" TargetMode="External"/><Relationship Id="rId1327" Type="http://schemas.openxmlformats.org/officeDocument/2006/relationships/hyperlink" Target="https://clinicaltrials.gov/study/NCT00112658" TargetMode="External"/><Relationship Id="rId1534" Type="http://schemas.openxmlformats.org/officeDocument/2006/relationships/hyperlink" Target="https://clinicaltrials.gov/study/NCT00634725" TargetMode="External"/><Relationship Id="rId1741" Type="http://schemas.openxmlformats.org/officeDocument/2006/relationships/hyperlink" Target="https://clinicaltrials.gov/study/NCT05442749" TargetMode="External"/><Relationship Id="rId1979" Type="http://schemas.openxmlformats.org/officeDocument/2006/relationships/hyperlink" Target="https://clinicaltrials.gov/study/NCT03797326" TargetMode="External"/><Relationship Id="rId33" Type="http://schemas.openxmlformats.org/officeDocument/2006/relationships/hyperlink" Target="https://clinicaltrials.gov/study/NCT07478523" TargetMode="External"/><Relationship Id="rId1601" Type="http://schemas.openxmlformats.org/officeDocument/2006/relationships/hyperlink" Target="https://clinicaltrials.gov/study/NCT00652366" TargetMode="External"/><Relationship Id="rId1839" Type="http://schemas.openxmlformats.org/officeDocument/2006/relationships/hyperlink" Target="https://clinicaltrials.gov/study/NCT05389462" TargetMode="External"/><Relationship Id="rId182" Type="http://schemas.openxmlformats.org/officeDocument/2006/relationships/hyperlink" Target="https://clinicaltrials.gov/study/NCT05477576" TargetMode="External"/><Relationship Id="rId1906" Type="http://schemas.openxmlformats.org/officeDocument/2006/relationships/hyperlink" Target="https://clinicaltrials.gov/study/NCT00353496" TargetMode="External"/><Relationship Id="rId487" Type="http://schemas.openxmlformats.org/officeDocument/2006/relationships/hyperlink" Target="https://clinicaltrials.gov/study/NCT02810730" TargetMode="External"/><Relationship Id="rId694" Type="http://schemas.openxmlformats.org/officeDocument/2006/relationships/hyperlink" Target="https://clinicaltrials.gov/study/NCT02806687" TargetMode="External"/><Relationship Id="rId2070" Type="http://schemas.openxmlformats.org/officeDocument/2006/relationships/hyperlink" Target="https://clinicaltrials.gov/study/NCT06177327" TargetMode="External"/><Relationship Id="rId2168" Type="http://schemas.openxmlformats.org/officeDocument/2006/relationships/hyperlink" Target="https://clinicaltrials.gov/study/NCT03400072" TargetMode="External"/><Relationship Id="rId2375" Type="http://schemas.openxmlformats.org/officeDocument/2006/relationships/hyperlink" Target="https://clinicaltrials.gov/study/NCT02539537" TargetMode="External"/><Relationship Id="rId347" Type="http://schemas.openxmlformats.org/officeDocument/2006/relationships/hyperlink" Target="https://clinicaltrials.gov/study/NCT04580485" TargetMode="External"/><Relationship Id="rId999" Type="http://schemas.openxmlformats.org/officeDocument/2006/relationships/hyperlink" Target="https://clinicaltrials.gov/study/NCT02979483" TargetMode="External"/><Relationship Id="rId1184" Type="http://schemas.openxmlformats.org/officeDocument/2006/relationships/hyperlink" Target="https://clinicaltrials.gov/study/NCT00010088" TargetMode="External"/><Relationship Id="rId2028" Type="http://schemas.openxmlformats.org/officeDocument/2006/relationships/hyperlink" Target="https://clinicaltrials.gov/study/NCT03915678" TargetMode="External"/><Relationship Id="rId554" Type="http://schemas.openxmlformats.org/officeDocument/2006/relationships/hyperlink" Target="https://clinicaltrials.gov/study/NCT00471146" TargetMode="External"/><Relationship Id="rId761" Type="http://schemas.openxmlformats.org/officeDocument/2006/relationships/hyperlink" Target="https://clinicaltrials.gov/study/NCT02568267" TargetMode="External"/><Relationship Id="rId859" Type="http://schemas.openxmlformats.org/officeDocument/2006/relationships/hyperlink" Target="https://clinicaltrials.gov/study/NCT03504423" TargetMode="External"/><Relationship Id="rId1391" Type="http://schemas.openxmlformats.org/officeDocument/2006/relationships/hyperlink" Target="https://clinicaltrials.gov/study/NCT00075452" TargetMode="External"/><Relationship Id="rId1489" Type="http://schemas.openxmlformats.org/officeDocument/2006/relationships/hyperlink" Target="https://clinicaltrials.gov/study/NCT00010088" TargetMode="External"/><Relationship Id="rId1696" Type="http://schemas.openxmlformats.org/officeDocument/2006/relationships/hyperlink" Target="https://clinicaltrials.gov/study/NCT06465069" TargetMode="External"/><Relationship Id="rId2235" Type="http://schemas.openxmlformats.org/officeDocument/2006/relationships/hyperlink" Target="https://clinicaltrials.gov/study/NCT01689584" TargetMode="External"/><Relationship Id="rId2442" Type="http://schemas.openxmlformats.org/officeDocument/2006/relationships/hyperlink" Target="https://clinicaltrials.gov/study/NCT03693677" TargetMode="External"/><Relationship Id="rId207" Type="http://schemas.openxmlformats.org/officeDocument/2006/relationships/hyperlink" Target="https://clinicaltrials.gov/study/NCT01177397" TargetMode="External"/><Relationship Id="rId414" Type="http://schemas.openxmlformats.org/officeDocument/2006/relationships/hyperlink" Target="https://clinicaltrials.gov/study/NCT03504423" TargetMode="External"/><Relationship Id="rId621" Type="http://schemas.openxmlformats.org/officeDocument/2006/relationships/hyperlink" Target="https://clinicaltrials.gov/study/NCT04935359" TargetMode="External"/><Relationship Id="rId1044" Type="http://schemas.openxmlformats.org/officeDocument/2006/relationships/hyperlink" Target="https://clinicaltrials.gov/study/NCT00010088" TargetMode="External"/><Relationship Id="rId1251" Type="http://schemas.openxmlformats.org/officeDocument/2006/relationships/hyperlink" Target="https://clinicaltrials.gov/study/NCT07547033" TargetMode="External"/><Relationship Id="rId1349" Type="http://schemas.openxmlformats.org/officeDocument/2006/relationships/hyperlink" Target="https://clinicaltrials.gov/study/NCT00010088" TargetMode="External"/><Relationship Id="rId2302" Type="http://schemas.openxmlformats.org/officeDocument/2006/relationships/hyperlink" Target="https://clinicaltrials.gov/study/NCT01444456" TargetMode="External"/><Relationship Id="rId719" Type="http://schemas.openxmlformats.org/officeDocument/2006/relationships/hyperlink" Target="https://clinicaltrials.gov/study/NCT00634725" TargetMode="External"/><Relationship Id="rId926" Type="http://schemas.openxmlformats.org/officeDocument/2006/relationships/hyperlink" Target="https://clinicaltrials.gov/study/NCT00010062" TargetMode="External"/><Relationship Id="rId1111" Type="http://schemas.openxmlformats.org/officeDocument/2006/relationships/hyperlink" Target="https://clinicaltrials.gov/study/NCT02715804" TargetMode="External"/><Relationship Id="rId1556" Type="http://schemas.openxmlformats.org/officeDocument/2006/relationships/hyperlink" Target="https://clinicaltrials.gov/study/NCT00842348" TargetMode="External"/><Relationship Id="rId1763" Type="http://schemas.openxmlformats.org/officeDocument/2006/relationships/hyperlink" Target="https://clinicaltrials.gov/study/NCT02602067" TargetMode="External"/><Relationship Id="rId1970" Type="http://schemas.openxmlformats.org/officeDocument/2006/relationships/hyperlink" Target="https://clinicaltrials.gov/study/NCT02264665" TargetMode="External"/><Relationship Id="rId55" Type="http://schemas.openxmlformats.org/officeDocument/2006/relationships/hyperlink" Target="https://clinicaltrials.gov/study/NCT04990037" TargetMode="External"/><Relationship Id="rId1209" Type="http://schemas.openxmlformats.org/officeDocument/2006/relationships/hyperlink" Target="https://clinicaltrials.gov/study/NCT06333314" TargetMode="External"/><Relationship Id="rId1416" Type="http://schemas.openxmlformats.org/officeDocument/2006/relationships/hyperlink" Target="https://clinicaltrials.gov/study/NCT00303758" TargetMode="External"/><Relationship Id="rId1623" Type="http://schemas.openxmlformats.org/officeDocument/2006/relationships/hyperlink" Target="https://clinicaltrials.gov/study/NCT02734160" TargetMode="External"/><Relationship Id="rId1830" Type="http://schemas.openxmlformats.org/officeDocument/2006/relationships/hyperlink" Target="https://clinicaltrials.gov/study/NCT01964534" TargetMode="External"/><Relationship Id="rId1928" Type="http://schemas.openxmlformats.org/officeDocument/2006/relationships/hyperlink" Target="https://clinicaltrials.gov/study/NCT03915678" TargetMode="External"/><Relationship Id="rId2092" Type="http://schemas.openxmlformats.org/officeDocument/2006/relationships/hyperlink" Target="https://clinicaltrials.gov/study/NCT00510068" TargetMode="External"/><Relationship Id="rId271" Type="http://schemas.openxmlformats.org/officeDocument/2006/relationships/hyperlink" Target="https://clinicaltrials.gov/study/NCT00844649" TargetMode="External"/><Relationship Id="rId2397" Type="http://schemas.openxmlformats.org/officeDocument/2006/relationships/hyperlink" Target="https://clinicaltrials.gov/study/NCT01689584" TargetMode="External"/><Relationship Id="rId131" Type="http://schemas.openxmlformats.org/officeDocument/2006/relationships/hyperlink" Target="https://clinicaltrials.gov/study/NCT03852836" TargetMode="External"/><Relationship Id="rId369" Type="http://schemas.openxmlformats.org/officeDocument/2006/relationships/hyperlink" Target="https://clinicaltrials.gov/study/NCT02806687" TargetMode="External"/><Relationship Id="rId576" Type="http://schemas.openxmlformats.org/officeDocument/2006/relationships/hyperlink" Target="https://clinicaltrials.gov/study/NCT05059444" TargetMode="External"/><Relationship Id="rId783" Type="http://schemas.openxmlformats.org/officeDocument/2006/relationships/hyperlink" Target="https://clinicaltrials.gov/study/NCT03816163" TargetMode="External"/><Relationship Id="rId990" Type="http://schemas.openxmlformats.org/officeDocument/2006/relationships/hyperlink" Target="https://clinicaltrials.gov/study/NCT01526135" TargetMode="External"/><Relationship Id="rId2257" Type="http://schemas.openxmlformats.org/officeDocument/2006/relationships/hyperlink" Target="https://clinicaltrials.gov/study/NCT00789633" TargetMode="External"/><Relationship Id="rId2464" Type="http://schemas.openxmlformats.org/officeDocument/2006/relationships/hyperlink" Target="https://clinicaltrials.gov/study/NCT02827201" TargetMode="External"/><Relationship Id="rId229" Type="http://schemas.openxmlformats.org/officeDocument/2006/relationships/hyperlink" Target="https://clinicaltrials.gov/study/NCT01526135" TargetMode="External"/><Relationship Id="rId436" Type="http://schemas.openxmlformats.org/officeDocument/2006/relationships/hyperlink" Target="https://clinicaltrials.gov/study/NCT06333314" TargetMode="External"/><Relationship Id="rId643" Type="http://schemas.openxmlformats.org/officeDocument/2006/relationships/hyperlink" Target="https://clinicaltrials.gov/study/NCT01956812" TargetMode="External"/><Relationship Id="rId1066" Type="http://schemas.openxmlformats.org/officeDocument/2006/relationships/hyperlink" Target="https://clinicaltrials.gov/study/NCT03943667" TargetMode="External"/><Relationship Id="rId1273" Type="http://schemas.openxmlformats.org/officeDocument/2006/relationships/hyperlink" Target="https://clinicaltrials.gov/study/NCT00303758" TargetMode="External"/><Relationship Id="rId1480" Type="http://schemas.openxmlformats.org/officeDocument/2006/relationships/hyperlink" Target="https://clinicaltrials.gov/study/NCT00634725" TargetMode="External"/><Relationship Id="rId2117" Type="http://schemas.openxmlformats.org/officeDocument/2006/relationships/hyperlink" Target="https://clinicaltrials.gov/study/NCT02352337" TargetMode="External"/><Relationship Id="rId2324" Type="http://schemas.openxmlformats.org/officeDocument/2006/relationships/hyperlink" Target="https://clinicaltrials.gov/study/NCT02827201" TargetMode="External"/><Relationship Id="rId850" Type="http://schemas.openxmlformats.org/officeDocument/2006/relationships/hyperlink" Target="https://clinicaltrials.gov/study/NCT07028424" TargetMode="External"/><Relationship Id="rId948" Type="http://schemas.openxmlformats.org/officeDocument/2006/relationships/hyperlink" Target="https://clinicaltrials.gov/study/NCT02195180" TargetMode="External"/><Relationship Id="rId1133" Type="http://schemas.openxmlformats.org/officeDocument/2006/relationships/hyperlink" Target="https://clinicaltrials.gov/study/NCT05470738" TargetMode="External"/><Relationship Id="rId1578" Type="http://schemas.openxmlformats.org/officeDocument/2006/relationships/hyperlink" Target="https://clinicaltrials.gov/study/NCT06755359" TargetMode="External"/><Relationship Id="rId1785" Type="http://schemas.openxmlformats.org/officeDocument/2006/relationships/hyperlink" Target="https://clinicaltrials.gov/study/NCT04639219" TargetMode="External"/><Relationship Id="rId1992" Type="http://schemas.openxmlformats.org/officeDocument/2006/relationships/hyperlink" Target="https://clinicaltrials.gov/study/NCT02676349" TargetMode="External"/><Relationship Id="rId2531" Type="http://schemas.openxmlformats.org/officeDocument/2006/relationships/hyperlink" Target="https://clinicaltrials.gov/study/NCT01689584" TargetMode="External"/><Relationship Id="rId77" Type="http://schemas.openxmlformats.org/officeDocument/2006/relationships/hyperlink" Target="https://clinicaltrials.gov/study/NCT04570943" TargetMode="External"/><Relationship Id="rId503" Type="http://schemas.openxmlformats.org/officeDocument/2006/relationships/hyperlink" Target="https://clinicaltrials.gov/study/NCT05383352" TargetMode="External"/><Relationship Id="rId710" Type="http://schemas.openxmlformats.org/officeDocument/2006/relationships/hyperlink" Target="https://clinicaltrials.gov/study/NCT02979483" TargetMode="External"/><Relationship Id="rId808" Type="http://schemas.openxmlformats.org/officeDocument/2006/relationships/hyperlink" Target="https://clinicaltrials.gov/study/NCT00303758" TargetMode="External"/><Relationship Id="rId1340" Type="http://schemas.openxmlformats.org/officeDocument/2006/relationships/hyperlink" Target="https://clinicaltrials.gov/study/NCT00303758" TargetMode="External"/><Relationship Id="rId1438" Type="http://schemas.openxmlformats.org/officeDocument/2006/relationships/hyperlink" Target="https://clinicaltrials.gov/study/NCT01989624" TargetMode="External"/><Relationship Id="rId1645" Type="http://schemas.openxmlformats.org/officeDocument/2006/relationships/hyperlink" Target="https://clinicaltrials.gov/study/NCT02777710" TargetMode="External"/><Relationship Id="rId1200" Type="http://schemas.openxmlformats.org/officeDocument/2006/relationships/hyperlink" Target="https://clinicaltrials.gov/study/NCT05470738" TargetMode="External"/><Relationship Id="rId1852" Type="http://schemas.openxmlformats.org/officeDocument/2006/relationships/hyperlink" Target="https://clinicaltrials.gov/study/NCT01374451" TargetMode="External"/><Relationship Id="rId1505" Type="http://schemas.openxmlformats.org/officeDocument/2006/relationships/hyperlink" Target="https://clinicaltrials.gov/study/NCT00112658" TargetMode="External"/><Relationship Id="rId1712" Type="http://schemas.openxmlformats.org/officeDocument/2006/relationships/hyperlink" Target="https://clinicaltrials.gov/study/NCT02676349" TargetMode="External"/><Relationship Id="rId293" Type="http://schemas.openxmlformats.org/officeDocument/2006/relationships/hyperlink" Target="https://clinicaltrials.gov/study/NCT00004884" TargetMode="External"/><Relationship Id="rId2181" Type="http://schemas.openxmlformats.org/officeDocument/2006/relationships/hyperlink" Target="https://clinicaltrials.gov/study/NCT03305146" TargetMode="External"/><Relationship Id="rId153" Type="http://schemas.openxmlformats.org/officeDocument/2006/relationships/hyperlink" Target="https://clinicaltrials.gov/study/NCT04137289" TargetMode="External"/><Relationship Id="rId360" Type="http://schemas.openxmlformats.org/officeDocument/2006/relationships/hyperlink" Target="https://clinicaltrials.gov/study/NCT04704154" TargetMode="External"/><Relationship Id="rId598" Type="http://schemas.openxmlformats.org/officeDocument/2006/relationships/hyperlink" Target="https://clinicaltrials.gov/study/NCT00918853" TargetMode="External"/><Relationship Id="rId2041" Type="http://schemas.openxmlformats.org/officeDocument/2006/relationships/hyperlink" Target="https://clinicaltrials.gov/study/NCT00789633" TargetMode="External"/><Relationship Id="rId2279" Type="http://schemas.openxmlformats.org/officeDocument/2006/relationships/hyperlink" Target="https://clinicaltrials.gov/study/NCT02352337" TargetMode="External"/><Relationship Id="rId2486" Type="http://schemas.openxmlformats.org/officeDocument/2006/relationships/hyperlink" Target="https://clinicaltrials.gov/study/NCT01444456" TargetMode="External"/><Relationship Id="rId220" Type="http://schemas.openxmlformats.org/officeDocument/2006/relationships/hyperlink" Target="https://clinicaltrials.gov/study/NCT02810730" TargetMode="External"/><Relationship Id="rId458" Type="http://schemas.openxmlformats.org/officeDocument/2006/relationships/hyperlink" Target="https://clinicaltrials.gov/study/NCT04325425" TargetMode="External"/><Relationship Id="rId665" Type="http://schemas.openxmlformats.org/officeDocument/2006/relationships/hyperlink" Target="https://clinicaltrials.gov/study/NCT01964430" TargetMode="External"/><Relationship Id="rId872" Type="http://schemas.openxmlformats.org/officeDocument/2006/relationships/hyperlink" Target="https://clinicaltrials.gov/study/NCT03806309" TargetMode="External"/><Relationship Id="rId1088" Type="http://schemas.openxmlformats.org/officeDocument/2006/relationships/hyperlink" Target="https://clinicaltrials.gov/study/NCT01964430" TargetMode="External"/><Relationship Id="rId1295" Type="http://schemas.openxmlformats.org/officeDocument/2006/relationships/hyperlink" Target="https://clinicaltrials.gov/study/NCT01526135" TargetMode="External"/><Relationship Id="rId2139" Type="http://schemas.openxmlformats.org/officeDocument/2006/relationships/hyperlink" Target="https://clinicaltrials.gov/study/NCT02676349" TargetMode="External"/><Relationship Id="rId2346" Type="http://schemas.openxmlformats.org/officeDocument/2006/relationships/hyperlink" Target="https://clinicaltrials.gov/study/NCT02352337" TargetMode="External"/><Relationship Id="rId318" Type="http://schemas.openxmlformats.org/officeDocument/2006/relationships/hyperlink" Target="https://clinicaltrials.gov/study/NCT06607185" TargetMode="External"/><Relationship Id="rId525" Type="http://schemas.openxmlformats.org/officeDocument/2006/relationships/hyperlink" Target="https://clinicaltrials.gov/study/NCT05254171" TargetMode="External"/><Relationship Id="rId732" Type="http://schemas.openxmlformats.org/officeDocument/2006/relationships/hyperlink" Target="https://clinicaltrials.gov/study/NCT00006117" TargetMode="External"/><Relationship Id="rId1155" Type="http://schemas.openxmlformats.org/officeDocument/2006/relationships/hyperlink" Target="https://clinicaltrials.gov/study/NCT02195180" TargetMode="External"/><Relationship Id="rId1362" Type="http://schemas.openxmlformats.org/officeDocument/2006/relationships/hyperlink" Target="https://clinicaltrials.gov/study/NCT00303758" TargetMode="External"/><Relationship Id="rId2206" Type="http://schemas.openxmlformats.org/officeDocument/2006/relationships/hyperlink" Target="https://clinicaltrials.gov/study/NCT00510068" TargetMode="External"/><Relationship Id="rId2413" Type="http://schemas.openxmlformats.org/officeDocument/2006/relationships/hyperlink" Target="https://clinicaltrials.gov/study/NCT01689584" TargetMode="External"/><Relationship Id="rId99" Type="http://schemas.openxmlformats.org/officeDocument/2006/relationships/hyperlink" Target="https://clinicaltrials.gov/study/NCT05346536" TargetMode="External"/><Relationship Id="rId1015" Type="http://schemas.openxmlformats.org/officeDocument/2006/relationships/hyperlink" Target="https://clinicaltrials.gov/study/NCT00010062" TargetMode="External"/><Relationship Id="rId1222" Type="http://schemas.openxmlformats.org/officeDocument/2006/relationships/hyperlink" Target="https://clinicaltrials.gov/study/NCT00010088" TargetMode="External"/><Relationship Id="rId1667" Type="http://schemas.openxmlformats.org/officeDocument/2006/relationships/hyperlink" Target="https://clinicaltrials.gov/study/NCT04517448" TargetMode="External"/><Relationship Id="rId1874" Type="http://schemas.openxmlformats.org/officeDocument/2006/relationships/hyperlink" Target="https://clinicaltrials.gov/study/NCT03394365" TargetMode="External"/><Relationship Id="rId1527" Type="http://schemas.openxmlformats.org/officeDocument/2006/relationships/hyperlink" Target="https://clinicaltrials.gov/study/NCT01989624" TargetMode="External"/><Relationship Id="rId1734" Type="http://schemas.openxmlformats.org/officeDocument/2006/relationships/hyperlink" Target="https://clinicaltrials.gov/study/NCT02288377" TargetMode="External"/><Relationship Id="rId1941" Type="http://schemas.openxmlformats.org/officeDocument/2006/relationships/hyperlink" Target="https://clinicaltrials.gov/study/NCT03400072" TargetMode="External"/><Relationship Id="rId26" Type="http://schemas.openxmlformats.org/officeDocument/2006/relationships/hyperlink" Target="https://clinicaltrials.gov/study/NCT03943667" TargetMode="External"/><Relationship Id="rId175" Type="http://schemas.openxmlformats.org/officeDocument/2006/relationships/hyperlink" Target="https://clinicaltrials.gov/study/NCT04389632" TargetMode="External"/><Relationship Id="rId1801" Type="http://schemas.openxmlformats.org/officeDocument/2006/relationships/hyperlink" Target="https://clinicaltrials.gov/study/NCT06360354" TargetMode="External"/><Relationship Id="rId382" Type="http://schemas.openxmlformats.org/officeDocument/2006/relationships/hyperlink" Target="https://clinicaltrials.gov/study/NCT04483726" TargetMode="External"/><Relationship Id="rId687" Type="http://schemas.openxmlformats.org/officeDocument/2006/relationships/hyperlink" Target="https://clinicaltrials.gov/study/NCT06330064" TargetMode="External"/><Relationship Id="rId2063" Type="http://schemas.openxmlformats.org/officeDocument/2006/relationships/hyperlink" Target="https://clinicaltrials.gov/study/NCT04548960" TargetMode="External"/><Relationship Id="rId2270" Type="http://schemas.openxmlformats.org/officeDocument/2006/relationships/hyperlink" Target="https://clinicaltrials.gov/study/NCT03787056" TargetMode="External"/><Relationship Id="rId2368" Type="http://schemas.openxmlformats.org/officeDocument/2006/relationships/hyperlink" Target="https://clinicaltrials.gov/study/NCT02264665" TargetMode="External"/><Relationship Id="rId242" Type="http://schemas.openxmlformats.org/officeDocument/2006/relationships/hyperlink" Target="https://clinicaltrials.gov/study/NCT02195180" TargetMode="External"/><Relationship Id="rId894" Type="http://schemas.openxmlformats.org/officeDocument/2006/relationships/hyperlink" Target="https://clinicaltrials.gov/study/NCT07076121" TargetMode="External"/><Relationship Id="rId1177" Type="http://schemas.openxmlformats.org/officeDocument/2006/relationships/hyperlink" Target="https://clinicaltrials.gov/study/NCT04348045" TargetMode="External"/><Relationship Id="rId2130" Type="http://schemas.openxmlformats.org/officeDocument/2006/relationships/hyperlink" Target="https://clinicaltrials.gov/study/NCT00312013" TargetMode="External"/><Relationship Id="rId102" Type="http://schemas.openxmlformats.org/officeDocument/2006/relationships/hyperlink" Target="https://clinicaltrials.gov/study/NCT06757244" TargetMode="External"/><Relationship Id="rId547" Type="http://schemas.openxmlformats.org/officeDocument/2006/relationships/hyperlink" Target="https://clinicaltrials.gov/study/NCT00275119" TargetMode="External"/><Relationship Id="rId754" Type="http://schemas.openxmlformats.org/officeDocument/2006/relationships/hyperlink" Target="https://clinicaltrials.gov/study/NCT04325425" TargetMode="External"/><Relationship Id="rId961" Type="http://schemas.openxmlformats.org/officeDocument/2006/relationships/hyperlink" Target="https://clinicaltrials.gov/study/NCT00634725" TargetMode="External"/><Relationship Id="rId1384" Type="http://schemas.openxmlformats.org/officeDocument/2006/relationships/hyperlink" Target="https://clinicaltrials.gov/study/NCT00634725" TargetMode="External"/><Relationship Id="rId1591" Type="http://schemas.openxmlformats.org/officeDocument/2006/relationships/hyperlink" Target="https://clinicaltrials.gov/study/NCT04431258" TargetMode="External"/><Relationship Id="rId1689" Type="http://schemas.openxmlformats.org/officeDocument/2006/relationships/hyperlink" Target="https://clinicaltrials.gov/study/NCT06172478" TargetMode="External"/><Relationship Id="rId2228" Type="http://schemas.openxmlformats.org/officeDocument/2006/relationships/hyperlink" Target="https://clinicaltrials.gov/study/NCT02853474" TargetMode="External"/><Relationship Id="rId2435" Type="http://schemas.openxmlformats.org/officeDocument/2006/relationships/hyperlink" Target="https://clinicaltrials.gov/study/NCT02264665" TargetMode="External"/><Relationship Id="rId90" Type="http://schemas.openxmlformats.org/officeDocument/2006/relationships/hyperlink" Target="https://clinicaltrials.gov/study/NCT03126435" TargetMode="External"/><Relationship Id="rId407" Type="http://schemas.openxmlformats.org/officeDocument/2006/relationships/hyperlink" Target="https://clinicaltrials.gov/study/NCT00634725" TargetMode="External"/><Relationship Id="rId614" Type="http://schemas.openxmlformats.org/officeDocument/2006/relationships/hyperlink" Target="https://clinicaltrials.gov/study/NCT02195180" TargetMode="External"/><Relationship Id="rId821" Type="http://schemas.openxmlformats.org/officeDocument/2006/relationships/hyperlink" Target="https://clinicaltrials.gov/study/NCT05462717" TargetMode="External"/><Relationship Id="rId1037" Type="http://schemas.openxmlformats.org/officeDocument/2006/relationships/hyperlink" Target="https://clinicaltrials.gov/study/NCT02979483" TargetMode="External"/><Relationship Id="rId1244" Type="http://schemas.openxmlformats.org/officeDocument/2006/relationships/hyperlink" Target="https://clinicaltrials.gov/study/NCT03806309" TargetMode="External"/><Relationship Id="rId1451" Type="http://schemas.openxmlformats.org/officeDocument/2006/relationships/hyperlink" Target="https://clinicaltrials.gov/study/NCT00634725" TargetMode="External"/><Relationship Id="rId1896" Type="http://schemas.openxmlformats.org/officeDocument/2006/relationships/hyperlink" Target="https://clinicaltrials.gov/study/NCT05065801" TargetMode="External"/><Relationship Id="rId2502" Type="http://schemas.openxmlformats.org/officeDocument/2006/relationships/hyperlink" Target="https://clinicaltrials.gov/study/NCT01444456" TargetMode="External"/><Relationship Id="rId919" Type="http://schemas.openxmlformats.org/officeDocument/2006/relationships/hyperlink" Target="https://clinicaltrials.gov/study/NCT00112697" TargetMode="External"/><Relationship Id="rId1104" Type="http://schemas.openxmlformats.org/officeDocument/2006/relationships/hyperlink" Target="https://clinicaltrials.gov/study/NCT02184195" TargetMode="External"/><Relationship Id="rId1311" Type="http://schemas.openxmlformats.org/officeDocument/2006/relationships/hyperlink" Target="https://clinicaltrials.gov/study/NCT00075452" TargetMode="External"/><Relationship Id="rId1549" Type="http://schemas.openxmlformats.org/officeDocument/2006/relationships/hyperlink" Target="https://clinicaltrials.gov/study/NCT05155475" TargetMode="External"/><Relationship Id="rId1756" Type="http://schemas.openxmlformats.org/officeDocument/2006/relationships/hyperlink" Target="https://clinicaltrials.gov/study/NCT07492680" TargetMode="External"/><Relationship Id="rId1963" Type="http://schemas.openxmlformats.org/officeDocument/2006/relationships/hyperlink" Target="https://clinicaltrials.gov/study/NCT04698915" TargetMode="External"/><Relationship Id="rId48" Type="http://schemas.openxmlformats.org/officeDocument/2006/relationships/hyperlink" Target="https://clinicaltrials.gov/study/NCT02436668" TargetMode="External"/><Relationship Id="rId1409" Type="http://schemas.openxmlformats.org/officeDocument/2006/relationships/hyperlink" Target="https://clinicaltrials.gov/study/NCT00303758" TargetMode="External"/><Relationship Id="rId1616" Type="http://schemas.openxmlformats.org/officeDocument/2006/relationships/hyperlink" Target="https://clinicaltrials.gov/study/NCT01485679" TargetMode="External"/><Relationship Id="rId1823" Type="http://schemas.openxmlformats.org/officeDocument/2006/relationships/hyperlink" Target="https://clinicaltrials.gov/study/NCT03721744" TargetMode="External"/><Relationship Id="rId197" Type="http://schemas.openxmlformats.org/officeDocument/2006/relationships/hyperlink" Target="https://clinicaltrials.gov/study/NCT00428220" TargetMode="External"/><Relationship Id="rId2085" Type="http://schemas.openxmlformats.org/officeDocument/2006/relationships/hyperlink" Target="https://clinicaltrials.gov/study/NCT00958841" TargetMode="External"/><Relationship Id="rId2292" Type="http://schemas.openxmlformats.org/officeDocument/2006/relationships/hyperlink" Target="https://clinicaltrials.gov/study/NCT03351296" TargetMode="External"/><Relationship Id="rId264" Type="http://schemas.openxmlformats.org/officeDocument/2006/relationships/hyperlink" Target="https://clinicaltrials.gov/study/NCT01231347" TargetMode="External"/><Relationship Id="rId471" Type="http://schemas.openxmlformats.org/officeDocument/2006/relationships/hyperlink" Target="https://clinicaltrials.gov/study/NCT03175224" TargetMode="External"/><Relationship Id="rId2152" Type="http://schemas.openxmlformats.org/officeDocument/2006/relationships/hyperlink" Target="https://clinicaltrials.gov/study/NCT03693677" TargetMode="External"/><Relationship Id="rId124" Type="http://schemas.openxmlformats.org/officeDocument/2006/relationships/hyperlink" Target="https://clinicaltrials.gov/study/NCT00006117" TargetMode="External"/><Relationship Id="rId569" Type="http://schemas.openxmlformats.org/officeDocument/2006/relationships/hyperlink" Target="https://clinicaltrials.gov/study/NCT00363051" TargetMode="External"/><Relationship Id="rId776" Type="http://schemas.openxmlformats.org/officeDocument/2006/relationships/hyperlink" Target="https://clinicaltrials.gov/study/NCT03943667" TargetMode="External"/><Relationship Id="rId983" Type="http://schemas.openxmlformats.org/officeDocument/2006/relationships/hyperlink" Target="https://clinicaltrials.gov/study/NCT03102320" TargetMode="External"/><Relationship Id="rId1199" Type="http://schemas.openxmlformats.org/officeDocument/2006/relationships/hyperlink" Target="https://clinicaltrials.gov/study/NCT03816163" TargetMode="External"/><Relationship Id="rId2457" Type="http://schemas.openxmlformats.org/officeDocument/2006/relationships/hyperlink" Target="https://clinicaltrials.gov/study/NCT02539537" TargetMode="External"/><Relationship Id="rId331" Type="http://schemas.openxmlformats.org/officeDocument/2006/relationships/hyperlink" Target="https://clinicaltrials.gov/study/NCT05059444" TargetMode="External"/><Relationship Id="rId429" Type="http://schemas.openxmlformats.org/officeDocument/2006/relationships/hyperlink" Target="https://clinicaltrials.gov/study/NCT00275119" TargetMode="External"/><Relationship Id="rId636" Type="http://schemas.openxmlformats.org/officeDocument/2006/relationships/hyperlink" Target="https://clinicaltrials.gov/study/NCT02993731" TargetMode="External"/><Relationship Id="rId1059" Type="http://schemas.openxmlformats.org/officeDocument/2006/relationships/hyperlink" Target="https://clinicaltrials.gov/study/NCT03102320" TargetMode="External"/><Relationship Id="rId1266" Type="http://schemas.openxmlformats.org/officeDocument/2006/relationships/hyperlink" Target="https://clinicaltrials.gov/study/NCT04348045" TargetMode="External"/><Relationship Id="rId1473" Type="http://schemas.openxmlformats.org/officeDocument/2006/relationships/hyperlink" Target="https://clinicaltrials.gov/study/NCT00064207" TargetMode="External"/><Relationship Id="rId2012" Type="http://schemas.openxmlformats.org/officeDocument/2006/relationships/hyperlink" Target="https://clinicaltrials.gov/study/NCT00353496" TargetMode="External"/><Relationship Id="rId2317" Type="http://schemas.openxmlformats.org/officeDocument/2006/relationships/hyperlink" Target="https://clinicaltrials.gov/study/NCT01689584" TargetMode="External"/><Relationship Id="rId843" Type="http://schemas.openxmlformats.org/officeDocument/2006/relationships/hyperlink" Target="https://clinicaltrials.gov/study/NCT04348045" TargetMode="External"/><Relationship Id="rId1126" Type="http://schemas.openxmlformats.org/officeDocument/2006/relationships/hyperlink" Target="https://clinicaltrials.gov/study/NCT01526135" TargetMode="External"/><Relationship Id="rId1680" Type="http://schemas.openxmlformats.org/officeDocument/2006/relationships/hyperlink" Target="https://clinicaltrials.gov/study/NCT02791334" TargetMode="External"/><Relationship Id="rId1778" Type="http://schemas.openxmlformats.org/officeDocument/2006/relationships/hyperlink" Target="https://clinicaltrials.gov/study/NCT04548960" TargetMode="External"/><Relationship Id="rId1985" Type="http://schemas.openxmlformats.org/officeDocument/2006/relationships/hyperlink" Target="https://clinicaltrials.gov/study/NCT03485209" TargetMode="External"/><Relationship Id="rId2524" Type="http://schemas.openxmlformats.org/officeDocument/2006/relationships/hyperlink" Target="https://clinicaltrials.gov/study/NCT02352337" TargetMode="External"/><Relationship Id="rId703" Type="http://schemas.openxmlformats.org/officeDocument/2006/relationships/hyperlink" Target="https://clinicaltrials.gov/study/NCT02436668" TargetMode="External"/><Relationship Id="rId910" Type="http://schemas.openxmlformats.org/officeDocument/2006/relationships/hyperlink" Target="https://clinicaltrials.gov/study/NCT03126435" TargetMode="External"/><Relationship Id="rId1333" Type="http://schemas.openxmlformats.org/officeDocument/2006/relationships/hyperlink" Target="https://clinicaltrials.gov/study/NCT01989624" TargetMode="External"/><Relationship Id="rId1540" Type="http://schemas.openxmlformats.org/officeDocument/2006/relationships/hyperlink" Target="https://clinicaltrials.gov/study/NCT02150408" TargetMode="External"/><Relationship Id="rId1638" Type="http://schemas.openxmlformats.org/officeDocument/2006/relationships/hyperlink" Target="https://clinicaltrials.gov/study/NCT07492680" TargetMode="External"/><Relationship Id="rId1400" Type="http://schemas.openxmlformats.org/officeDocument/2006/relationships/hyperlink" Target="https://clinicaltrials.gov/study/NCT00010088" TargetMode="External"/><Relationship Id="rId1845" Type="http://schemas.openxmlformats.org/officeDocument/2006/relationships/hyperlink" Target="https://clinicaltrials.gov/study/NCT02602067" TargetMode="External"/><Relationship Id="rId1705" Type="http://schemas.openxmlformats.org/officeDocument/2006/relationships/hyperlink" Target="https://clinicaltrials.gov/study/NCT05783908" TargetMode="External"/><Relationship Id="rId1912" Type="http://schemas.openxmlformats.org/officeDocument/2006/relationships/hyperlink" Target="https://clinicaltrials.gov/study/NCT03941093" TargetMode="External"/><Relationship Id="rId286" Type="http://schemas.openxmlformats.org/officeDocument/2006/relationships/hyperlink" Target="https://clinicaltrials.gov/study/NCT02715804" TargetMode="External"/><Relationship Id="rId493" Type="http://schemas.openxmlformats.org/officeDocument/2006/relationships/hyperlink" Target="https://clinicaltrials.gov/study/NCT02806687" TargetMode="External"/><Relationship Id="rId2174" Type="http://schemas.openxmlformats.org/officeDocument/2006/relationships/hyperlink" Target="https://clinicaltrials.gov/study/NCT02352337" TargetMode="External"/><Relationship Id="rId2381" Type="http://schemas.openxmlformats.org/officeDocument/2006/relationships/hyperlink" Target="https://clinicaltrials.gov/study/NCT00789633" TargetMode="External"/><Relationship Id="rId146" Type="http://schemas.openxmlformats.org/officeDocument/2006/relationships/hyperlink" Target="https://clinicaltrials.gov/study/NCT07522073" TargetMode="External"/><Relationship Id="rId353" Type="http://schemas.openxmlformats.org/officeDocument/2006/relationships/hyperlink" Target="https://clinicaltrials.gov/study/NCT03102320" TargetMode="External"/><Relationship Id="rId560" Type="http://schemas.openxmlformats.org/officeDocument/2006/relationships/hyperlink" Target="https://clinicaltrials.gov/study/NCT06128551" TargetMode="External"/><Relationship Id="rId798" Type="http://schemas.openxmlformats.org/officeDocument/2006/relationships/hyperlink" Target="https://clinicaltrials.gov/study/NCT03504423" TargetMode="External"/><Relationship Id="rId1190" Type="http://schemas.openxmlformats.org/officeDocument/2006/relationships/hyperlink" Target="https://clinicaltrials.gov/study/NCT06333314" TargetMode="External"/><Relationship Id="rId2034" Type="http://schemas.openxmlformats.org/officeDocument/2006/relationships/hyperlink" Target="https://clinicaltrials.gov/study/NCT01689584" TargetMode="External"/><Relationship Id="rId2241" Type="http://schemas.openxmlformats.org/officeDocument/2006/relationships/hyperlink" Target="https://clinicaltrials.gov/study/NCT03022188" TargetMode="External"/><Relationship Id="rId2479" Type="http://schemas.openxmlformats.org/officeDocument/2006/relationships/hyperlink" Target="https://clinicaltrials.gov/study/NCT02827201" TargetMode="External"/><Relationship Id="rId213" Type="http://schemas.openxmlformats.org/officeDocument/2006/relationships/hyperlink" Target="https://clinicaltrials.gov/study/NCT03207867" TargetMode="External"/><Relationship Id="rId420" Type="http://schemas.openxmlformats.org/officeDocument/2006/relationships/hyperlink" Target="https://clinicaltrials.gov/study/NCT00358566" TargetMode="External"/><Relationship Id="rId658" Type="http://schemas.openxmlformats.org/officeDocument/2006/relationships/hyperlink" Target="https://clinicaltrials.gov/study/NCT06333314" TargetMode="External"/><Relationship Id="rId865" Type="http://schemas.openxmlformats.org/officeDocument/2006/relationships/hyperlink" Target="https://clinicaltrials.gov/study/NCT02715804" TargetMode="External"/><Relationship Id="rId1050" Type="http://schemas.openxmlformats.org/officeDocument/2006/relationships/hyperlink" Target="https://clinicaltrials.gov/study/NCT00064207" TargetMode="External"/><Relationship Id="rId1288" Type="http://schemas.openxmlformats.org/officeDocument/2006/relationships/hyperlink" Target="https://clinicaltrials.gov/study/NCT00112658" TargetMode="External"/><Relationship Id="rId1495" Type="http://schemas.openxmlformats.org/officeDocument/2006/relationships/hyperlink" Target="https://clinicaltrials.gov/study/NCT00634725" TargetMode="External"/><Relationship Id="rId2101" Type="http://schemas.openxmlformats.org/officeDocument/2006/relationships/hyperlink" Target="https://clinicaltrials.gov/study/NCT03915678" TargetMode="External"/><Relationship Id="rId2339" Type="http://schemas.openxmlformats.org/officeDocument/2006/relationships/hyperlink" Target="https://clinicaltrials.gov/study/NCT02853474" TargetMode="External"/><Relationship Id="rId518" Type="http://schemas.openxmlformats.org/officeDocument/2006/relationships/hyperlink" Target="https://clinicaltrials.gov/study/NCT06128343" TargetMode="External"/><Relationship Id="rId725" Type="http://schemas.openxmlformats.org/officeDocument/2006/relationships/hyperlink" Target="https://clinicaltrials.gov/study/NCT01956812" TargetMode="External"/><Relationship Id="rId932" Type="http://schemas.openxmlformats.org/officeDocument/2006/relationships/hyperlink" Target="https://clinicaltrials.gov/study/NCT06999512" TargetMode="External"/><Relationship Id="rId1148" Type="http://schemas.openxmlformats.org/officeDocument/2006/relationships/hyperlink" Target="https://clinicaltrials.gov/study/NCT01964430" TargetMode="External"/><Relationship Id="rId1355" Type="http://schemas.openxmlformats.org/officeDocument/2006/relationships/hyperlink" Target="https://clinicaltrials.gov/study/NCT01989624" TargetMode="External"/><Relationship Id="rId1562" Type="http://schemas.openxmlformats.org/officeDocument/2006/relationships/hyperlink" Target="https://clinicaltrials.gov/study/NCT00219557" TargetMode="External"/><Relationship Id="rId2406" Type="http://schemas.openxmlformats.org/officeDocument/2006/relationships/hyperlink" Target="https://clinicaltrials.gov/study/NCT00789633" TargetMode="External"/><Relationship Id="rId1008" Type="http://schemas.openxmlformats.org/officeDocument/2006/relationships/hyperlink" Target="https://clinicaltrials.gov/study/NCT00268411" TargetMode="External"/><Relationship Id="rId1215" Type="http://schemas.openxmlformats.org/officeDocument/2006/relationships/hyperlink" Target="https://clinicaltrials.gov/study/NCT03943667" TargetMode="External"/><Relationship Id="rId1422" Type="http://schemas.openxmlformats.org/officeDocument/2006/relationships/hyperlink" Target="https://clinicaltrials.gov/study/NCT00112658" TargetMode="External"/><Relationship Id="rId1867" Type="http://schemas.openxmlformats.org/officeDocument/2006/relationships/hyperlink" Target="https://clinicaltrials.gov/study/NCT03485209" TargetMode="External"/><Relationship Id="rId61" Type="http://schemas.openxmlformats.org/officeDocument/2006/relationships/hyperlink" Target="https://clinicaltrials.gov/study/NCT04935359" TargetMode="External"/><Relationship Id="rId1727" Type="http://schemas.openxmlformats.org/officeDocument/2006/relationships/hyperlink" Target="https://clinicaltrials.gov/study/NCT00789633" TargetMode="External"/><Relationship Id="rId1934" Type="http://schemas.openxmlformats.org/officeDocument/2006/relationships/hyperlink" Target="https://clinicaltrials.gov/study/NCT04925284" TargetMode="External"/><Relationship Id="rId19" Type="http://schemas.openxmlformats.org/officeDocument/2006/relationships/hyperlink" Target="https://clinicaltrials.gov/study/NCT02174887" TargetMode="External"/><Relationship Id="rId2196" Type="http://schemas.openxmlformats.org/officeDocument/2006/relationships/hyperlink" Target="https://clinicaltrials.gov/study/NCT00789633" TargetMode="External"/><Relationship Id="rId168" Type="http://schemas.openxmlformats.org/officeDocument/2006/relationships/hyperlink" Target="https://clinicaltrials.gov/study/NCT06458712" TargetMode="External"/><Relationship Id="rId375" Type="http://schemas.openxmlformats.org/officeDocument/2006/relationships/hyperlink" Target="https://clinicaltrials.gov/study/NCT05546853" TargetMode="External"/><Relationship Id="rId582" Type="http://schemas.openxmlformats.org/officeDocument/2006/relationships/hyperlink" Target="https://clinicaltrials.gov/study/NCT03175224" TargetMode="External"/><Relationship Id="rId2056" Type="http://schemas.openxmlformats.org/officeDocument/2006/relationships/hyperlink" Target="https://clinicaltrials.gov/study/NCT00510068" TargetMode="External"/><Relationship Id="rId2263" Type="http://schemas.openxmlformats.org/officeDocument/2006/relationships/hyperlink" Target="https://clinicaltrials.gov/study/NCT02539537" TargetMode="External"/><Relationship Id="rId2470" Type="http://schemas.openxmlformats.org/officeDocument/2006/relationships/hyperlink" Target="https://clinicaltrials.gov/study/NCT00789633" TargetMode="External"/><Relationship Id="rId3" Type="http://schemas.openxmlformats.org/officeDocument/2006/relationships/hyperlink" Target="https://clinicaltrials.gov/study/NCT03472716" TargetMode="External"/><Relationship Id="rId235" Type="http://schemas.openxmlformats.org/officeDocument/2006/relationships/hyperlink" Target="https://clinicaltrials.gov/study/NCT01124786" TargetMode="External"/><Relationship Id="rId442" Type="http://schemas.openxmlformats.org/officeDocument/2006/relationships/hyperlink" Target="https://clinicaltrials.gov/study/NCT06999512" TargetMode="External"/><Relationship Id="rId887" Type="http://schemas.openxmlformats.org/officeDocument/2006/relationships/hyperlink" Target="https://clinicaltrials.gov/study/NCT00918853" TargetMode="External"/><Relationship Id="rId1072" Type="http://schemas.openxmlformats.org/officeDocument/2006/relationships/hyperlink" Target="https://clinicaltrials.gov/study/NCT05470738" TargetMode="External"/><Relationship Id="rId2123" Type="http://schemas.openxmlformats.org/officeDocument/2006/relationships/hyperlink" Target="https://clinicaltrials.gov/study/NCT00353496" TargetMode="External"/><Relationship Id="rId2330" Type="http://schemas.openxmlformats.org/officeDocument/2006/relationships/hyperlink" Target="https://clinicaltrials.gov/study/NCT01689584" TargetMode="External"/><Relationship Id="rId302" Type="http://schemas.openxmlformats.org/officeDocument/2006/relationships/hyperlink" Target="https://clinicaltrials.gov/study/NCT07522073" TargetMode="External"/><Relationship Id="rId747" Type="http://schemas.openxmlformats.org/officeDocument/2006/relationships/hyperlink" Target="https://clinicaltrials.gov/study/NCT01964430" TargetMode="External"/><Relationship Id="rId954" Type="http://schemas.openxmlformats.org/officeDocument/2006/relationships/hyperlink" Target="https://clinicaltrials.gov/study/NCT02979483" TargetMode="External"/><Relationship Id="rId1377" Type="http://schemas.openxmlformats.org/officeDocument/2006/relationships/hyperlink" Target="https://clinicaltrials.gov/study/NCT00010088" TargetMode="External"/><Relationship Id="rId1584" Type="http://schemas.openxmlformats.org/officeDocument/2006/relationships/hyperlink" Target="https://clinicaltrials.gov/study/NCT04007640" TargetMode="External"/><Relationship Id="rId1791" Type="http://schemas.openxmlformats.org/officeDocument/2006/relationships/hyperlink" Target="https://clinicaltrials.gov/study/NCT03009058" TargetMode="External"/><Relationship Id="rId2428" Type="http://schemas.openxmlformats.org/officeDocument/2006/relationships/hyperlink" Target="https://clinicaltrials.gov/study/NCT01444456" TargetMode="External"/><Relationship Id="rId83" Type="http://schemas.openxmlformats.org/officeDocument/2006/relationships/hyperlink" Target="https://clinicaltrials.gov/study/NCT04136132" TargetMode="External"/><Relationship Id="rId607" Type="http://schemas.openxmlformats.org/officeDocument/2006/relationships/hyperlink" Target="https://clinicaltrials.gov/study/NCT03943667" TargetMode="External"/><Relationship Id="rId814" Type="http://schemas.openxmlformats.org/officeDocument/2006/relationships/hyperlink" Target="https://clinicaltrials.gov/study/NCT00471146" TargetMode="External"/><Relationship Id="rId1237" Type="http://schemas.openxmlformats.org/officeDocument/2006/relationships/hyperlink" Target="https://clinicaltrials.gov/study/NCT00075452" TargetMode="External"/><Relationship Id="rId1444" Type="http://schemas.openxmlformats.org/officeDocument/2006/relationships/hyperlink" Target="https://clinicaltrials.gov/study/NCT01989624" TargetMode="External"/><Relationship Id="rId1651" Type="http://schemas.openxmlformats.org/officeDocument/2006/relationships/hyperlink" Target="https://clinicaltrials.gov/study/NCT02264665" TargetMode="External"/><Relationship Id="rId1889" Type="http://schemas.openxmlformats.org/officeDocument/2006/relationships/hyperlink" Target="https://clinicaltrials.gov/study/NCT00789633" TargetMode="External"/><Relationship Id="rId1304" Type="http://schemas.openxmlformats.org/officeDocument/2006/relationships/hyperlink" Target="https://clinicaltrials.gov/study/NCT00010062" TargetMode="External"/><Relationship Id="rId1511" Type="http://schemas.openxmlformats.org/officeDocument/2006/relationships/hyperlink" Target="https://clinicaltrials.gov/study/NCT01989624" TargetMode="External"/><Relationship Id="rId1749" Type="http://schemas.openxmlformats.org/officeDocument/2006/relationships/hyperlink" Target="https://clinicaltrials.gov/study/NCT03693677" TargetMode="External"/><Relationship Id="rId1956" Type="http://schemas.openxmlformats.org/officeDocument/2006/relationships/hyperlink" Target="https://clinicaltrials.gov/study/NCT00958841" TargetMode="External"/><Relationship Id="rId1609" Type="http://schemas.openxmlformats.org/officeDocument/2006/relationships/hyperlink" Target="https://clinicaltrials.gov/study/NCT01525550" TargetMode="External"/><Relationship Id="rId1816" Type="http://schemas.openxmlformats.org/officeDocument/2006/relationships/hyperlink" Target="https://clinicaltrials.gov/study/NCT01563133" TargetMode="External"/><Relationship Id="rId10" Type="http://schemas.openxmlformats.org/officeDocument/2006/relationships/hyperlink" Target="https://clinicaltrials.gov/study/NCT06892054" TargetMode="External"/><Relationship Id="rId397" Type="http://schemas.openxmlformats.org/officeDocument/2006/relationships/hyperlink" Target="https://clinicaltrials.gov/study/NCT07028424" TargetMode="External"/><Relationship Id="rId2078" Type="http://schemas.openxmlformats.org/officeDocument/2006/relationships/hyperlink" Target="https://clinicaltrials.gov/study/NCT01214720" TargetMode="External"/><Relationship Id="rId2285" Type="http://schemas.openxmlformats.org/officeDocument/2006/relationships/hyperlink" Target="https://clinicaltrials.gov/study/NCT02184663" TargetMode="External"/><Relationship Id="rId2492" Type="http://schemas.openxmlformats.org/officeDocument/2006/relationships/hyperlink" Target="https://clinicaltrials.gov/study/NCT02352337" TargetMode="External"/><Relationship Id="rId257" Type="http://schemas.openxmlformats.org/officeDocument/2006/relationships/hyperlink" Target="https://clinicaltrials.gov/study/NCT04390763" TargetMode="External"/><Relationship Id="rId464" Type="http://schemas.openxmlformats.org/officeDocument/2006/relationships/hyperlink" Target="https://clinicaltrials.gov/study/NCT02820857" TargetMode="External"/><Relationship Id="rId1094" Type="http://schemas.openxmlformats.org/officeDocument/2006/relationships/hyperlink" Target="https://clinicaltrials.gov/study/NCT05776342" TargetMode="External"/><Relationship Id="rId2145" Type="http://schemas.openxmlformats.org/officeDocument/2006/relationships/hyperlink" Target="https://clinicaltrials.gov/study/NCT02288377" TargetMode="External"/><Relationship Id="rId117" Type="http://schemas.openxmlformats.org/officeDocument/2006/relationships/hyperlink" Target="https://clinicaltrials.gov/study/NCT01562899" TargetMode="External"/><Relationship Id="rId671" Type="http://schemas.openxmlformats.org/officeDocument/2006/relationships/hyperlink" Target="https://clinicaltrials.gov/study/NCT03678883" TargetMode="External"/><Relationship Id="rId769" Type="http://schemas.openxmlformats.org/officeDocument/2006/relationships/hyperlink" Target="https://clinicaltrials.gov/study/NCT02818829" TargetMode="External"/><Relationship Id="rId976" Type="http://schemas.openxmlformats.org/officeDocument/2006/relationships/hyperlink" Target="https://clinicaltrials.gov/study/NCT06333314" TargetMode="External"/><Relationship Id="rId1399" Type="http://schemas.openxmlformats.org/officeDocument/2006/relationships/hyperlink" Target="https://clinicaltrials.gov/study/NCT00634725" TargetMode="External"/><Relationship Id="rId2352" Type="http://schemas.openxmlformats.org/officeDocument/2006/relationships/hyperlink" Target="https://clinicaltrials.gov/study/NCT01689584" TargetMode="External"/><Relationship Id="rId324" Type="http://schemas.openxmlformats.org/officeDocument/2006/relationships/hyperlink" Target="https://clinicaltrials.gov/study/NCT05945823" TargetMode="External"/><Relationship Id="rId531" Type="http://schemas.openxmlformats.org/officeDocument/2006/relationships/hyperlink" Target="https://clinicaltrials.gov/study/NCT00191568" TargetMode="External"/><Relationship Id="rId629" Type="http://schemas.openxmlformats.org/officeDocument/2006/relationships/hyperlink" Target="https://clinicaltrials.gov/study/NCT02184195" TargetMode="External"/><Relationship Id="rId1161" Type="http://schemas.openxmlformats.org/officeDocument/2006/relationships/hyperlink" Target="https://clinicaltrials.gov/study/NCT00075452" TargetMode="External"/><Relationship Id="rId1259" Type="http://schemas.openxmlformats.org/officeDocument/2006/relationships/hyperlink" Target="https://clinicaltrials.gov/study/NCT00010062" TargetMode="External"/><Relationship Id="rId1466" Type="http://schemas.openxmlformats.org/officeDocument/2006/relationships/hyperlink" Target="https://clinicaltrials.gov/study/NCT00303758" TargetMode="External"/><Relationship Id="rId2005" Type="http://schemas.openxmlformats.org/officeDocument/2006/relationships/hyperlink" Target="https://clinicaltrials.gov/study/NCT02827201" TargetMode="External"/><Relationship Id="rId2212" Type="http://schemas.openxmlformats.org/officeDocument/2006/relationships/hyperlink" Target="https://clinicaltrials.gov/study/NCT03787056" TargetMode="External"/><Relationship Id="rId836" Type="http://schemas.openxmlformats.org/officeDocument/2006/relationships/hyperlink" Target="https://clinicaltrials.gov/study/NCT04083235" TargetMode="External"/><Relationship Id="rId1021" Type="http://schemas.openxmlformats.org/officeDocument/2006/relationships/hyperlink" Target="https://clinicaltrials.gov/study/NCT02820857" TargetMode="External"/><Relationship Id="rId1119" Type="http://schemas.openxmlformats.org/officeDocument/2006/relationships/hyperlink" Target="https://clinicaltrials.gov/study/NCT01964430" TargetMode="External"/><Relationship Id="rId1673" Type="http://schemas.openxmlformats.org/officeDocument/2006/relationships/hyperlink" Target="https://clinicaltrials.gov/study/NCT07436312" TargetMode="External"/><Relationship Id="rId1880" Type="http://schemas.openxmlformats.org/officeDocument/2006/relationships/hyperlink" Target="https://clinicaltrials.gov/study/NCT00219557" TargetMode="External"/><Relationship Id="rId1978" Type="http://schemas.openxmlformats.org/officeDocument/2006/relationships/hyperlink" Target="https://clinicaltrials.gov/study/NCT04548960" TargetMode="External"/><Relationship Id="rId2517" Type="http://schemas.openxmlformats.org/officeDocument/2006/relationships/hyperlink" Target="https://clinicaltrials.gov/study/NCT01689584" TargetMode="External"/><Relationship Id="rId903" Type="http://schemas.openxmlformats.org/officeDocument/2006/relationships/hyperlink" Target="https://clinicaltrials.gov/study/NCT07097064" TargetMode="External"/><Relationship Id="rId1326" Type="http://schemas.openxmlformats.org/officeDocument/2006/relationships/hyperlink" Target="https://clinicaltrials.gov/study/NCT00010088" TargetMode="External"/><Relationship Id="rId1533" Type="http://schemas.openxmlformats.org/officeDocument/2006/relationships/hyperlink" Target="https://clinicaltrials.gov/study/NCT00634725" TargetMode="External"/><Relationship Id="rId1740" Type="http://schemas.openxmlformats.org/officeDocument/2006/relationships/hyperlink" Target="https://clinicaltrials.gov/study/NCT02352337" TargetMode="External"/><Relationship Id="rId32" Type="http://schemas.openxmlformats.org/officeDocument/2006/relationships/hyperlink" Target="https://clinicaltrials.gov/study/NCT01124786" TargetMode="External"/><Relationship Id="rId1600" Type="http://schemas.openxmlformats.org/officeDocument/2006/relationships/hyperlink" Target="https://clinicaltrials.gov/study/NCT02288377" TargetMode="External"/><Relationship Id="rId1838" Type="http://schemas.openxmlformats.org/officeDocument/2006/relationships/hyperlink" Target="https://clinicaltrials.gov/study/NCT05850130" TargetMode="External"/><Relationship Id="rId181" Type="http://schemas.openxmlformats.org/officeDocument/2006/relationships/hyperlink" Target="https://clinicaltrials.gov/study/NCT05059444" TargetMode="External"/><Relationship Id="rId1905" Type="http://schemas.openxmlformats.org/officeDocument/2006/relationships/hyperlink" Target="https://clinicaltrials.gov/study/NCT03693677" TargetMode="External"/><Relationship Id="rId279" Type="http://schemas.openxmlformats.org/officeDocument/2006/relationships/hyperlink" Target="https://clinicaltrials.gov/study/NCT01956812" TargetMode="External"/><Relationship Id="rId486" Type="http://schemas.openxmlformats.org/officeDocument/2006/relationships/hyperlink" Target="https://clinicaltrials.gov/study/NCT06330064" TargetMode="External"/><Relationship Id="rId693" Type="http://schemas.openxmlformats.org/officeDocument/2006/relationships/hyperlink" Target="https://clinicaltrials.gov/study/NCT01989624" TargetMode="External"/><Relationship Id="rId2167" Type="http://schemas.openxmlformats.org/officeDocument/2006/relationships/hyperlink" Target="https://clinicaltrials.gov/study/NCT02676349" TargetMode="External"/><Relationship Id="rId2374" Type="http://schemas.openxmlformats.org/officeDocument/2006/relationships/hyperlink" Target="https://clinicaltrials.gov/study/NCT02827201" TargetMode="External"/><Relationship Id="rId139" Type="http://schemas.openxmlformats.org/officeDocument/2006/relationships/hyperlink" Target="https://clinicaltrials.gov/study/NCT03806309" TargetMode="External"/><Relationship Id="rId346" Type="http://schemas.openxmlformats.org/officeDocument/2006/relationships/hyperlink" Target="https://clinicaltrials.gov/study/NCT01478685" TargetMode="External"/><Relationship Id="rId553" Type="http://schemas.openxmlformats.org/officeDocument/2006/relationships/hyperlink" Target="https://clinicaltrials.gov/study/NCT06333314" TargetMode="External"/><Relationship Id="rId760" Type="http://schemas.openxmlformats.org/officeDocument/2006/relationships/hyperlink" Target="https://clinicaltrials.gov/study/NCT03102320" TargetMode="External"/><Relationship Id="rId998" Type="http://schemas.openxmlformats.org/officeDocument/2006/relationships/hyperlink" Target="https://clinicaltrials.gov/study/NCT07097064" TargetMode="External"/><Relationship Id="rId1183" Type="http://schemas.openxmlformats.org/officeDocument/2006/relationships/hyperlink" Target="https://clinicaltrials.gov/study/NCT00634725" TargetMode="External"/><Relationship Id="rId1390" Type="http://schemas.openxmlformats.org/officeDocument/2006/relationships/hyperlink" Target="https://clinicaltrials.gov/study/NCT01526135" TargetMode="External"/><Relationship Id="rId2027" Type="http://schemas.openxmlformats.org/officeDocument/2006/relationships/hyperlink" Target="https://clinicaltrials.gov/study/NCT06760819" TargetMode="External"/><Relationship Id="rId2234" Type="http://schemas.openxmlformats.org/officeDocument/2006/relationships/hyperlink" Target="https://clinicaltrials.gov/study/NCT06177327" TargetMode="External"/><Relationship Id="rId2441" Type="http://schemas.openxmlformats.org/officeDocument/2006/relationships/hyperlink" Target="https://clinicaltrials.gov/study/NCT02539537" TargetMode="External"/><Relationship Id="rId206" Type="http://schemas.openxmlformats.org/officeDocument/2006/relationships/hyperlink" Target="https://clinicaltrials.gov/study/NCT05275478" TargetMode="External"/><Relationship Id="rId413" Type="http://schemas.openxmlformats.org/officeDocument/2006/relationships/hyperlink" Target="https://clinicaltrials.gov/study/NCT06757244" TargetMode="External"/><Relationship Id="rId858" Type="http://schemas.openxmlformats.org/officeDocument/2006/relationships/hyperlink" Target="https://clinicaltrials.gov/study/NCT02993731" TargetMode="External"/><Relationship Id="rId1043" Type="http://schemas.openxmlformats.org/officeDocument/2006/relationships/hyperlink" Target="https://clinicaltrials.gov/study/NCT00634725" TargetMode="External"/><Relationship Id="rId1488" Type="http://schemas.openxmlformats.org/officeDocument/2006/relationships/hyperlink" Target="https://clinicaltrials.gov/study/NCT00634725" TargetMode="External"/><Relationship Id="rId1695" Type="http://schemas.openxmlformats.org/officeDocument/2006/relationships/hyperlink" Target="https://clinicaltrials.gov/study/NCT03686592" TargetMode="External"/><Relationship Id="rId620" Type="http://schemas.openxmlformats.org/officeDocument/2006/relationships/hyperlink" Target="https://clinicaltrials.gov/study/NCT03816163" TargetMode="External"/><Relationship Id="rId718" Type="http://schemas.openxmlformats.org/officeDocument/2006/relationships/hyperlink" Target="https://clinicaltrials.gov/study/NCT06275737" TargetMode="External"/><Relationship Id="rId925" Type="http://schemas.openxmlformats.org/officeDocument/2006/relationships/hyperlink" Target="https://clinicaltrials.gov/study/NCT00064207" TargetMode="External"/><Relationship Id="rId1250" Type="http://schemas.openxmlformats.org/officeDocument/2006/relationships/hyperlink" Target="https://clinicaltrials.gov/study/NCT04348045" TargetMode="External"/><Relationship Id="rId1348" Type="http://schemas.openxmlformats.org/officeDocument/2006/relationships/hyperlink" Target="https://clinicaltrials.gov/study/NCT00634725" TargetMode="External"/><Relationship Id="rId1555" Type="http://schemas.openxmlformats.org/officeDocument/2006/relationships/hyperlink" Target="https://clinicaltrials.gov/study/NCT02301143" TargetMode="External"/><Relationship Id="rId1762" Type="http://schemas.openxmlformats.org/officeDocument/2006/relationships/hyperlink" Target="https://clinicaltrials.gov/study/NCT02853474" TargetMode="External"/><Relationship Id="rId2301" Type="http://schemas.openxmlformats.org/officeDocument/2006/relationships/hyperlink" Target="https://clinicaltrials.gov/study/NCT02184663" TargetMode="External"/><Relationship Id="rId1110" Type="http://schemas.openxmlformats.org/officeDocument/2006/relationships/hyperlink" Target="https://clinicaltrials.gov/study/NCT00112658" TargetMode="External"/><Relationship Id="rId1208" Type="http://schemas.openxmlformats.org/officeDocument/2006/relationships/hyperlink" Target="https://clinicaltrials.gov/study/NCT03806309" TargetMode="External"/><Relationship Id="rId1415" Type="http://schemas.openxmlformats.org/officeDocument/2006/relationships/hyperlink" Target="https://clinicaltrials.gov/study/NCT00112658" TargetMode="External"/><Relationship Id="rId54" Type="http://schemas.openxmlformats.org/officeDocument/2006/relationships/hyperlink" Target="https://clinicaltrials.gov/study/NCT06608927" TargetMode="External"/><Relationship Id="rId1622" Type="http://schemas.openxmlformats.org/officeDocument/2006/relationships/hyperlink" Target="https://clinicaltrials.gov/study/NCT03693677" TargetMode="External"/><Relationship Id="rId1927" Type="http://schemas.openxmlformats.org/officeDocument/2006/relationships/hyperlink" Target="https://clinicaltrials.gov/study/NCT06760819" TargetMode="External"/><Relationship Id="rId2091" Type="http://schemas.openxmlformats.org/officeDocument/2006/relationships/hyperlink" Target="https://clinicaltrials.gov/study/NCT00353496" TargetMode="External"/><Relationship Id="rId2189" Type="http://schemas.openxmlformats.org/officeDocument/2006/relationships/hyperlink" Target="https://clinicaltrials.gov/study/NCT03787056" TargetMode="External"/><Relationship Id="rId270" Type="http://schemas.openxmlformats.org/officeDocument/2006/relationships/hyperlink" Target="https://clinicaltrials.gov/study/NCT05475366" TargetMode="External"/><Relationship Id="rId2396" Type="http://schemas.openxmlformats.org/officeDocument/2006/relationships/hyperlink" Target="https://clinicaltrials.gov/study/NCT01444456" TargetMode="External"/><Relationship Id="rId130" Type="http://schemas.openxmlformats.org/officeDocument/2006/relationships/hyperlink" Target="https://clinicaltrials.gov/study/NCT00541021" TargetMode="External"/><Relationship Id="rId368" Type="http://schemas.openxmlformats.org/officeDocument/2006/relationships/hyperlink" Target="https://clinicaltrials.gov/study/NCT01989624" TargetMode="External"/><Relationship Id="rId575" Type="http://schemas.openxmlformats.org/officeDocument/2006/relationships/hyperlink" Target="https://clinicaltrials.gov/study/NCT04657068" TargetMode="External"/><Relationship Id="rId782" Type="http://schemas.openxmlformats.org/officeDocument/2006/relationships/hyperlink" Target="https://clinicaltrials.gov/study/NCT07547033" TargetMode="External"/><Relationship Id="rId2049" Type="http://schemas.openxmlformats.org/officeDocument/2006/relationships/hyperlink" Target="https://clinicaltrials.gov/study/NCT00958841" TargetMode="External"/><Relationship Id="rId2256" Type="http://schemas.openxmlformats.org/officeDocument/2006/relationships/hyperlink" Target="https://clinicaltrials.gov/study/NCT03400072" TargetMode="External"/><Relationship Id="rId2463" Type="http://schemas.openxmlformats.org/officeDocument/2006/relationships/hyperlink" Target="https://clinicaltrials.gov/study/NCT02352337" TargetMode="External"/><Relationship Id="rId228" Type="http://schemas.openxmlformats.org/officeDocument/2006/relationships/hyperlink" Target="https://clinicaltrials.gov/study/NCT04083235" TargetMode="External"/><Relationship Id="rId435" Type="http://schemas.openxmlformats.org/officeDocument/2006/relationships/hyperlink" Target="https://clinicaltrials.gov/study/NCT03806309" TargetMode="External"/><Relationship Id="rId642" Type="http://schemas.openxmlformats.org/officeDocument/2006/relationships/hyperlink" Target="https://clinicaltrials.gov/study/NCT06119217" TargetMode="External"/><Relationship Id="rId1065" Type="http://schemas.openxmlformats.org/officeDocument/2006/relationships/hyperlink" Target="https://clinicaltrials.gov/study/NCT07076121" TargetMode="External"/><Relationship Id="rId1272" Type="http://schemas.openxmlformats.org/officeDocument/2006/relationships/hyperlink" Target="https://clinicaltrials.gov/study/NCT00112658" TargetMode="External"/><Relationship Id="rId2116" Type="http://schemas.openxmlformats.org/officeDocument/2006/relationships/hyperlink" Target="https://clinicaltrials.gov/study/NCT03022188" TargetMode="External"/><Relationship Id="rId2323" Type="http://schemas.openxmlformats.org/officeDocument/2006/relationships/hyperlink" Target="https://clinicaltrials.gov/study/NCT02352337" TargetMode="External"/><Relationship Id="rId2530" Type="http://schemas.openxmlformats.org/officeDocument/2006/relationships/hyperlink" Target="https://clinicaltrials.gov/study/NCT01689584" TargetMode="External"/><Relationship Id="rId502" Type="http://schemas.openxmlformats.org/officeDocument/2006/relationships/hyperlink" Target="https://clinicaltrials.gov/study/NCT05968326" TargetMode="External"/><Relationship Id="rId947" Type="http://schemas.openxmlformats.org/officeDocument/2006/relationships/hyperlink" Target="https://clinicaltrials.gov/study/NCT03943667" TargetMode="External"/><Relationship Id="rId1132" Type="http://schemas.openxmlformats.org/officeDocument/2006/relationships/hyperlink" Target="https://clinicaltrials.gov/study/NCT07097064" TargetMode="External"/><Relationship Id="rId1577" Type="http://schemas.openxmlformats.org/officeDocument/2006/relationships/hyperlink" Target="https://clinicaltrials.gov/study/NCT03978702" TargetMode="External"/><Relationship Id="rId1784" Type="http://schemas.openxmlformats.org/officeDocument/2006/relationships/hyperlink" Target="https://clinicaltrials.gov/study/NCT04498767" TargetMode="External"/><Relationship Id="rId1991" Type="http://schemas.openxmlformats.org/officeDocument/2006/relationships/hyperlink" Target="https://clinicaltrials.gov/study/NCT03394365" TargetMode="External"/><Relationship Id="rId76" Type="http://schemas.openxmlformats.org/officeDocument/2006/relationships/hyperlink" Target="https://clinicaltrials.gov/study/NCT00909103" TargetMode="External"/><Relationship Id="rId807" Type="http://schemas.openxmlformats.org/officeDocument/2006/relationships/hyperlink" Target="https://clinicaltrials.gov/study/NCT00003029" TargetMode="External"/><Relationship Id="rId1437" Type="http://schemas.openxmlformats.org/officeDocument/2006/relationships/hyperlink" Target="https://clinicaltrials.gov/study/NCT00064207" TargetMode="External"/><Relationship Id="rId1644" Type="http://schemas.openxmlformats.org/officeDocument/2006/relationships/hyperlink" Target="https://clinicaltrials.gov/study/NCT04956640" TargetMode="External"/><Relationship Id="rId1851" Type="http://schemas.openxmlformats.org/officeDocument/2006/relationships/hyperlink" Target="https://clinicaltrials.gov/study/NCT03049189" TargetMode="External"/><Relationship Id="rId1504" Type="http://schemas.openxmlformats.org/officeDocument/2006/relationships/hyperlink" Target="https://clinicaltrials.gov/study/NCT00634725" TargetMode="External"/><Relationship Id="rId1711" Type="http://schemas.openxmlformats.org/officeDocument/2006/relationships/hyperlink" Target="https://clinicaltrials.gov/study/NCT02651987" TargetMode="External"/><Relationship Id="rId1949" Type="http://schemas.openxmlformats.org/officeDocument/2006/relationships/hyperlink" Target="https://clinicaltrials.gov/study/NCT03351296" TargetMode="External"/><Relationship Id="rId292" Type="http://schemas.openxmlformats.org/officeDocument/2006/relationships/hyperlink" Target="https://clinicaltrials.gov/study/NCT00005053" TargetMode="External"/><Relationship Id="rId1809" Type="http://schemas.openxmlformats.org/officeDocument/2006/relationships/hyperlink" Target="https://clinicaltrials.gov/study/NCT01628913" TargetMode="External"/><Relationship Id="rId597" Type="http://schemas.openxmlformats.org/officeDocument/2006/relationships/hyperlink" Target="https://clinicaltrials.gov/study/NCT03377491" TargetMode="External"/><Relationship Id="rId2180" Type="http://schemas.openxmlformats.org/officeDocument/2006/relationships/hyperlink" Target="https://clinicaltrials.gov/study/NCT00510068" TargetMode="External"/><Relationship Id="rId2278" Type="http://schemas.openxmlformats.org/officeDocument/2006/relationships/hyperlink" Target="https://clinicaltrials.gov/study/NCT03022188" TargetMode="External"/><Relationship Id="rId2485" Type="http://schemas.openxmlformats.org/officeDocument/2006/relationships/hyperlink" Target="https://clinicaltrials.gov/study/NCT02539537" TargetMode="External"/><Relationship Id="rId152" Type="http://schemas.openxmlformats.org/officeDocument/2006/relationships/hyperlink" Target="https://clinicaltrials.gov/study/NCT00662688" TargetMode="External"/><Relationship Id="rId457" Type="http://schemas.openxmlformats.org/officeDocument/2006/relationships/hyperlink" Target="https://clinicaltrials.gov/study/NCT03678883" TargetMode="External"/><Relationship Id="rId1087" Type="http://schemas.openxmlformats.org/officeDocument/2006/relationships/hyperlink" Target="https://clinicaltrials.gov/study/NCT07522073" TargetMode="External"/><Relationship Id="rId1294" Type="http://schemas.openxmlformats.org/officeDocument/2006/relationships/hyperlink" Target="https://clinicaltrials.gov/study/NCT01989624" TargetMode="External"/><Relationship Id="rId2040" Type="http://schemas.openxmlformats.org/officeDocument/2006/relationships/hyperlink" Target="https://clinicaltrials.gov/study/NCT02818907" TargetMode="External"/><Relationship Id="rId2138" Type="http://schemas.openxmlformats.org/officeDocument/2006/relationships/hyperlink" Target="https://clinicaltrials.gov/study/NCT01689584" TargetMode="External"/><Relationship Id="rId664" Type="http://schemas.openxmlformats.org/officeDocument/2006/relationships/hyperlink" Target="https://clinicaltrials.gov/study/NCT06128551" TargetMode="External"/><Relationship Id="rId871" Type="http://schemas.openxmlformats.org/officeDocument/2006/relationships/hyperlink" Target="https://clinicaltrials.gov/study/NCT00010062" TargetMode="External"/><Relationship Id="rId969" Type="http://schemas.openxmlformats.org/officeDocument/2006/relationships/hyperlink" Target="https://clinicaltrials.gov/study/NCT02715804" TargetMode="External"/><Relationship Id="rId1599" Type="http://schemas.openxmlformats.org/officeDocument/2006/relationships/hyperlink" Target="https://clinicaltrials.gov/study/NCT03351296" TargetMode="External"/><Relationship Id="rId2345" Type="http://schemas.openxmlformats.org/officeDocument/2006/relationships/hyperlink" Target="https://clinicaltrials.gov/study/NCT03022188" TargetMode="External"/><Relationship Id="rId317" Type="http://schemas.openxmlformats.org/officeDocument/2006/relationships/hyperlink" Target="https://clinicaltrials.gov/study/NCT05462717" TargetMode="External"/><Relationship Id="rId524" Type="http://schemas.openxmlformats.org/officeDocument/2006/relationships/hyperlink" Target="https://clinicaltrials.gov/study/NCT00075452" TargetMode="External"/><Relationship Id="rId731" Type="http://schemas.openxmlformats.org/officeDocument/2006/relationships/hyperlink" Target="https://clinicaltrials.gov/study/NCT02715804" TargetMode="External"/><Relationship Id="rId1154" Type="http://schemas.openxmlformats.org/officeDocument/2006/relationships/hyperlink" Target="https://clinicaltrials.gov/study/NCT03943667" TargetMode="External"/><Relationship Id="rId1361" Type="http://schemas.openxmlformats.org/officeDocument/2006/relationships/hyperlink" Target="https://clinicaltrials.gov/study/NCT00112658" TargetMode="External"/><Relationship Id="rId1459" Type="http://schemas.openxmlformats.org/officeDocument/2006/relationships/hyperlink" Target="https://clinicaltrials.gov/study/NCT00112658" TargetMode="External"/><Relationship Id="rId2205" Type="http://schemas.openxmlformats.org/officeDocument/2006/relationships/hyperlink" Target="https://clinicaltrials.gov/study/NCT03693677" TargetMode="External"/><Relationship Id="rId2412" Type="http://schemas.openxmlformats.org/officeDocument/2006/relationships/hyperlink" Target="https://clinicaltrials.gov/study/NCT01444456" TargetMode="External"/><Relationship Id="rId98" Type="http://schemas.openxmlformats.org/officeDocument/2006/relationships/hyperlink" Target="https://clinicaltrials.gov/study/NCT03435536" TargetMode="External"/><Relationship Id="rId829" Type="http://schemas.openxmlformats.org/officeDocument/2006/relationships/hyperlink" Target="https://clinicaltrials.gov/study/NCT02810730" TargetMode="External"/><Relationship Id="rId1014" Type="http://schemas.openxmlformats.org/officeDocument/2006/relationships/hyperlink" Target="https://clinicaltrials.gov/study/NCT00064207" TargetMode="External"/><Relationship Id="rId1221" Type="http://schemas.openxmlformats.org/officeDocument/2006/relationships/hyperlink" Target="https://clinicaltrials.gov/study/NCT00634725" TargetMode="External"/><Relationship Id="rId1666" Type="http://schemas.openxmlformats.org/officeDocument/2006/relationships/hyperlink" Target="https://clinicaltrials.gov/study/NCT03978078" TargetMode="External"/><Relationship Id="rId1873" Type="http://schemas.openxmlformats.org/officeDocument/2006/relationships/hyperlink" Target="https://clinicaltrials.gov/study/NCT01689584" TargetMode="External"/><Relationship Id="rId1319" Type="http://schemas.openxmlformats.org/officeDocument/2006/relationships/hyperlink" Target="https://clinicaltrials.gov/study/NCT02820857" TargetMode="External"/><Relationship Id="rId1526" Type="http://schemas.openxmlformats.org/officeDocument/2006/relationships/hyperlink" Target="https://clinicaltrials.gov/study/NCT00634725" TargetMode="External"/><Relationship Id="rId1733" Type="http://schemas.openxmlformats.org/officeDocument/2006/relationships/hyperlink" Target="https://clinicaltrials.gov/study/NCT03351296" TargetMode="External"/><Relationship Id="rId1940" Type="http://schemas.openxmlformats.org/officeDocument/2006/relationships/hyperlink" Target="https://clinicaltrials.gov/study/NCT01368094" TargetMode="External"/><Relationship Id="rId25" Type="http://schemas.openxmlformats.org/officeDocument/2006/relationships/hyperlink" Target="https://clinicaltrials.gov/study/NCT04374175" TargetMode="External"/><Relationship Id="rId1800" Type="http://schemas.openxmlformats.org/officeDocument/2006/relationships/hyperlink" Target="https://clinicaltrials.gov/study/NCT02676349" TargetMode="External"/><Relationship Id="rId174" Type="http://schemas.openxmlformats.org/officeDocument/2006/relationships/hyperlink" Target="https://clinicaltrials.gov/study/NCT04665921" TargetMode="External"/><Relationship Id="rId381" Type="http://schemas.openxmlformats.org/officeDocument/2006/relationships/hyperlink" Target="https://clinicaltrials.gov/study/NCT05383352" TargetMode="External"/><Relationship Id="rId2062" Type="http://schemas.openxmlformats.org/officeDocument/2006/relationships/hyperlink" Target="https://clinicaltrials.gov/study/NCT00312013" TargetMode="External"/><Relationship Id="rId241" Type="http://schemas.openxmlformats.org/officeDocument/2006/relationships/hyperlink" Target="https://clinicaltrials.gov/study/NCT04483726" TargetMode="External"/><Relationship Id="rId479" Type="http://schemas.openxmlformats.org/officeDocument/2006/relationships/hyperlink" Target="https://clinicaltrials.gov/study/NCT02568267" TargetMode="External"/><Relationship Id="rId686" Type="http://schemas.openxmlformats.org/officeDocument/2006/relationships/hyperlink" Target="https://clinicaltrials.gov/study/NCT00274885" TargetMode="External"/><Relationship Id="rId893" Type="http://schemas.openxmlformats.org/officeDocument/2006/relationships/hyperlink" Target="https://clinicaltrials.gov/study/NCT01526135" TargetMode="External"/><Relationship Id="rId2367" Type="http://schemas.openxmlformats.org/officeDocument/2006/relationships/hyperlink" Target="https://clinicaltrials.gov/study/NCT03693677" TargetMode="External"/><Relationship Id="rId339" Type="http://schemas.openxmlformats.org/officeDocument/2006/relationships/hyperlink" Target="https://clinicaltrials.gov/study/NCT05208762" TargetMode="External"/><Relationship Id="rId546" Type="http://schemas.openxmlformats.org/officeDocument/2006/relationships/hyperlink" Target="https://clinicaltrials.gov/study/NCT00303758" TargetMode="External"/><Relationship Id="rId753" Type="http://schemas.openxmlformats.org/officeDocument/2006/relationships/hyperlink" Target="https://clinicaltrials.gov/study/NCT03678883" TargetMode="External"/><Relationship Id="rId1176" Type="http://schemas.openxmlformats.org/officeDocument/2006/relationships/hyperlink" Target="https://clinicaltrials.gov/study/NCT03943667" TargetMode="External"/><Relationship Id="rId1383" Type="http://schemas.openxmlformats.org/officeDocument/2006/relationships/hyperlink" Target="https://clinicaltrials.gov/study/NCT00075452" TargetMode="External"/><Relationship Id="rId2227" Type="http://schemas.openxmlformats.org/officeDocument/2006/relationships/hyperlink" Target="https://clinicaltrials.gov/study/NCT00510068" TargetMode="External"/><Relationship Id="rId2434" Type="http://schemas.openxmlformats.org/officeDocument/2006/relationships/hyperlink" Target="https://clinicaltrials.gov/study/NCT03693677" TargetMode="External"/><Relationship Id="rId101" Type="http://schemas.openxmlformats.org/officeDocument/2006/relationships/hyperlink" Target="https://clinicaltrials.gov/study/NCT00191568" TargetMode="External"/><Relationship Id="rId406" Type="http://schemas.openxmlformats.org/officeDocument/2006/relationships/hyperlink" Target="https://clinicaltrials.gov/study/NCT06275737" TargetMode="External"/><Relationship Id="rId960" Type="http://schemas.openxmlformats.org/officeDocument/2006/relationships/hyperlink" Target="https://clinicaltrials.gov/study/NCT06275737" TargetMode="External"/><Relationship Id="rId1036" Type="http://schemas.openxmlformats.org/officeDocument/2006/relationships/hyperlink" Target="https://clinicaltrials.gov/study/NCT07097064" TargetMode="External"/><Relationship Id="rId1243" Type="http://schemas.openxmlformats.org/officeDocument/2006/relationships/hyperlink" Target="https://clinicaltrials.gov/study/NCT00010062" TargetMode="External"/><Relationship Id="rId1590" Type="http://schemas.openxmlformats.org/officeDocument/2006/relationships/hyperlink" Target="https://clinicaltrials.gov/study/NCT00789633" TargetMode="External"/><Relationship Id="rId1688" Type="http://schemas.openxmlformats.org/officeDocument/2006/relationships/hyperlink" Target="https://clinicaltrials.gov/study/NCT03915678" TargetMode="External"/><Relationship Id="rId1895" Type="http://schemas.openxmlformats.org/officeDocument/2006/relationships/hyperlink" Target="https://clinicaltrials.gov/study/NCT03022188" TargetMode="External"/><Relationship Id="rId613" Type="http://schemas.openxmlformats.org/officeDocument/2006/relationships/hyperlink" Target="https://clinicaltrials.gov/study/NCT04483726" TargetMode="External"/><Relationship Id="rId820" Type="http://schemas.openxmlformats.org/officeDocument/2006/relationships/hyperlink" Target="https://clinicaltrials.gov/study/NCT01964430" TargetMode="External"/><Relationship Id="rId918" Type="http://schemas.openxmlformats.org/officeDocument/2006/relationships/hyperlink" Target="https://clinicaltrials.gov/study/NCT00112658" TargetMode="External"/><Relationship Id="rId1450" Type="http://schemas.openxmlformats.org/officeDocument/2006/relationships/hyperlink" Target="https://clinicaltrials.gov/study/NCT01989624" TargetMode="External"/><Relationship Id="rId1548" Type="http://schemas.openxmlformats.org/officeDocument/2006/relationships/hyperlink" Target="https://clinicaltrials.gov/study/NCT02869581" TargetMode="External"/><Relationship Id="rId1755" Type="http://schemas.openxmlformats.org/officeDocument/2006/relationships/hyperlink" Target="https://clinicaltrials.gov/study/NCT05389462" TargetMode="External"/><Relationship Id="rId2501" Type="http://schemas.openxmlformats.org/officeDocument/2006/relationships/hyperlink" Target="https://clinicaltrials.gov/study/NCT02539537" TargetMode="External"/><Relationship Id="rId1103" Type="http://schemas.openxmlformats.org/officeDocument/2006/relationships/hyperlink" Target="https://clinicaltrials.gov/study/NCT05470738" TargetMode="External"/><Relationship Id="rId1310" Type="http://schemas.openxmlformats.org/officeDocument/2006/relationships/hyperlink" Target="https://clinicaltrials.gov/study/NCT04348045" TargetMode="External"/><Relationship Id="rId1408" Type="http://schemas.openxmlformats.org/officeDocument/2006/relationships/hyperlink" Target="https://clinicaltrials.gov/study/NCT00112658" TargetMode="External"/><Relationship Id="rId1962" Type="http://schemas.openxmlformats.org/officeDocument/2006/relationships/hyperlink" Target="https://clinicaltrials.gov/study/NCT00353496" TargetMode="External"/><Relationship Id="rId47" Type="http://schemas.openxmlformats.org/officeDocument/2006/relationships/hyperlink" Target="https://clinicaltrials.gov/study/NCT06046794" TargetMode="External"/><Relationship Id="rId1615" Type="http://schemas.openxmlformats.org/officeDocument/2006/relationships/hyperlink" Target="https://clinicaltrials.gov/study/NCT00958841" TargetMode="External"/><Relationship Id="rId1822" Type="http://schemas.openxmlformats.org/officeDocument/2006/relationships/hyperlink" Target="https://clinicaltrials.gov/study/NCT05065801" TargetMode="External"/><Relationship Id="rId196" Type="http://schemas.openxmlformats.org/officeDocument/2006/relationships/hyperlink" Target="https://clinicaltrials.gov/study/NCT07094113" TargetMode="External"/><Relationship Id="rId2084" Type="http://schemas.openxmlformats.org/officeDocument/2006/relationships/hyperlink" Target="https://clinicaltrials.gov/study/NCT02827201" TargetMode="External"/><Relationship Id="rId2291" Type="http://schemas.openxmlformats.org/officeDocument/2006/relationships/hyperlink" Target="https://clinicaltrials.gov/study/NCT00789633" TargetMode="External"/><Relationship Id="rId263" Type="http://schemas.openxmlformats.org/officeDocument/2006/relationships/hyperlink" Target="https://clinicaltrials.gov/study/NCT00075452" TargetMode="External"/><Relationship Id="rId470" Type="http://schemas.openxmlformats.org/officeDocument/2006/relationships/hyperlink" Target="https://clinicaltrials.gov/study/NCT06026410" TargetMode="External"/><Relationship Id="rId2151" Type="http://schemas.openxmlformats.org/officeDocument/2006/relationships/hyperlink" Target="https://clinicaltrials.gov/study/NCT01964534" TargetMode="External"/><Relationship Id="rId2389" Type="http://schemas.openxmlformats.org/officeDocument/2006/relationships/hyperlink" Target="https://clinicaltrials.gov/study/NCT02676349" TargetMode="External"/><Relationship Id="rId123" Type="http://schemas.openxmlformats.org/officeDocument/2006/relationships/hyperlink" Target="https://clinicaltrials.gov/study/NCT00058201" TargetMode="External"/><Relationship Id="rId330" Type="http://schemas.openxmlformats.org/officeDocument/2006/relationships/hyperlink" Target="https://clinicaltrials.gov/study/NCT04657068" TargetMode="External"/><Relationship Id="rId568" Type="http://schemas.openxmlformats.org/officeDocument/2006/relationships/hyperlink" Target="https://clinicaltrials.gov/study/NCT05462717" TargetMode="External"/><Relationship Id="rId775" Type="http://schemas.openxmlformats.org/officeDocument/2006/relationships/hyperlink" Target="https://clinicaltrials.gov/study/NCT07076121" TargetMode="External"/><Relationship Id="rId982" Type="http://schemas.openxmlformats.org/officeDocument/2006/relationships/hyperlink" Target="https://clinicaltrials.gov/study/NCT00428220" TargetMode="External"/><Relationship Id="rId1198" Type="http://schemas.openxmlformats.org/officeDocument/2006/relationships/hyperlink" Target="https://clinicaltrials.gov/study/NCT07547033" TargetMode="External"/><Relationship Id="rId2011" Type="http://schemas.openxmlformats.org/officeDocument/2006/relationships/hyperlink" Target="https://clinicaltrials.gov/study/NCT03693677" TargetMode="External"/><Relationship Id="rId2249" Type="http://schemas.openxmlformats.org/officeDocument/2006/relationships/hyperlink" Target="https://clinicaltrials.gov/study/NCT02184663" TargetMode="External"/><Relationship Id="rId2456" Type="http://schemas.openxmlformats.org/officeDocument/2006/relationships/hyperlink" Target="https://clinicaltrials.gov/study/NCT02827201" TargetMode="External"/><Relationship Id="rId428" Type="http://schemas.openxmlformats.org/officeDocument/2006/relationships/hyperlink" Target="https://clinicaltrials.gov/study/NCT00303758" TargetMode="External"/><Relationship Id="rId635" Type="http://schemas.openxmlformats.org/officeDocument/2006/relationships/hyperlink" Target="https://clinicaltrials.gov/study/NCT05475366" TargetMode="External"/><Relationship Id="rId842" Type="http://schemas.openxmlformats.org/officeDocument/2006/relationships/hyperlink" Target="https://clinicaltrials.gov/study/NCT02436668" TargetMode="External"/><Relationship Id="rId1058" Type="http://schemas.openxmlformats.org/officeDocument/2006/relationships/hyperlink" Target="https://clinicaltrials.gov/study/NCT00428220" TargetMode="External"/><Relationship Id="rId1265" Type="http://schemas.openxmlformats.org/officeDocument/2006/relationships/hyperlink" Target="https://clinicaltrials.gov/study/NCT03943667" TargetMode="External"/><Relationship Id="rId1472" Type="http://schemas.openxmlformats.org/officeDocument/2006/relationships/hyperlink" Target="https://clinicaltrials.gov/study/NCT00303758" TargetMode="External"/><Relationship Id="rId2109" Type="http://schemas.openxmlformats.org/officeDocument/2006/relationships/hyperlink" Target="https://clinicaltrials.gov/study/NCT03400072" TargetMode="External"/><Relationship Id="rId2316" Type="http://schemas.openxmlformats.org/officeDocument/2006/relationships/hyperlink" Target="https://clinicaltrials.gov/study/NCT01444456" TargetMode="External"/><Relationship Id="rId2523" Type="http://schemas.openxmlformats.org/officeDocument/2006/relationships/hyperlink" Target="https://clinicaltrials.gov/study/NCT01689584" TargetMode="External"/><Relationship Id="rId702" Type="http://schemas.openxmlformats.org/officeDocument/2006/relationships/hyperlink" Target="https://clinicaltrials.gov/study/NCT02195180" TargetMode="External"/><Relationship Id="rId1125" Type="http://schemas.openxmlformats.org/officeDocument/2006/relationships/hyperlink" Target="https://clinicaltrials.gov/study/NCT05776342" TargetMode="External"/><Relationship Id="rId1332" Type="http://schemas.openxmlformats.org/officeDocument/2006/relationships/hyperlink" Target="https://clinicaltrials.gov/study/NCT02820857" TargetMode="External"/><Relationship Id="rId1777" Type="http://schemas.openxmlformats.org/officeDocument/2006/relationships/hyperlink" Target="https://clinicaltrials.gov/study/NCT05154474" TargetMode="External"/><Relationship Id="rId1984" Type="http://schemas.openxmlformats.org/officeDocument/2006/relationships/hyperlink" Target="https://clinicaltrials.gov/study/NCT03787056" TargetMode="External"/><Relationship Id="rId69" Type="http://schemas.openxmlformats.org/officeDocument/2006/relationships/hyperlink" Target="https://clinicaltrials.gov/study/NCT01521702" TargetMode="External"/><Relationship Id="rId1637" Type="http://schemas.openxmlformats.org/officeDocument/2006/relationships/hyperlink" Target="https://clinicaltrials.gov/study/NCT04117958" TargetMode="External"/><Relationship Id="rId1844" Type="http://schemas.openxmlformats.org/officeDocument/2006/relationships/hyperlink" Target="https://clinicaltrials.gov/study/NCT02853474" TargetMode="External"/><Relationship Id="rId1704" Type="http://schemas.openxmlformats.org/officeDocument/2006/relationships/hyperlink" Target="https://clinicaltrials.gov/study/NCT01689584" TargetMode="External"/><Relationship Id="rId285" Type="http://schemas.openxmlformats.org/officeDocument/2006/relationships/hyperlink" Target="https://clinicaltrials.gov/study/NCT00902291" TargetMode="External"/><Relationship Id="rId1911" Type="http://schemas.openxmlformats.org/officeDocument/2006/relationships/hyperlink" Target="https://clinicaltrials.gov/study/NCT03305146" TargetMode="External"/><Relationship Id="rId492" Type="http://schemas.openxmlformats.org/officeDocument/2006/relationships/hyperlink" Target="https://clinicaltrials.gov/study/NCT01989624" TargetMode="External"/><Relationship Id="rId797" Type="http://schemas.openxmlformats.org/officeDocument/2006/relationships/hyperlink" Target="https://clinicaltrials.gov/study/NCT02993731" TargetMode="External"/><Relationship Id="rId2173" Type="http://schemas.openxmlformats.org/officeDocument/2006/relationships/hyperlink" Target="https://clinicaltrials.gov/study/NCT03022188" TargetMode="External"/><Relationship Id="rId2380" Type="http://schemas.openxmlformats.org/officeDocument/2006/relationships/hyperlink" Target="https://clinicaltrials.gov/study/NCT02676349" TargetMode="External"/><Relationship Id="rId2478" Type="http://schemas.openxmlformats.org/officeDocument/2006/relationships/hyperlink" Target="https://clinicaltrials.gov/study/NCT02352337" TargetMode="External"/><Relationship Id="rId145" Type="http://schemas.openxmlformats.org/officeDocument/2006/relationships/hyperlink" Target="https://clinicaltrials.gov/study/NCT02230176" TargetMode="External"/><Relationship Id="rId352" Type="http://schemas.openxmlformats.org/officeDocument/2006/relationships/hyperlink" Target="https://clinicaltrials.gov/study/NCT01177397" TargetMode="External"/><Relationship Id="rId1287" Type="http://schemas.openxmlformats.org/officeDocument/2006/relationships/hyperlink" Target="https://clinicaltrials.gov/study/NCT00010088" TargetMode="External"/><Relationship Id="rId2033" Type="http://schemas.openxmlformats.org/officeDocument/2006/relationships/hyperlink" Target="https://clinicaltrials.gov/study/NCT06177327" TargetMode="External"/><Relationship Id="rId2240" Type="http://schemas.openxmlformats.org/officeDocument/2006/relationships/hyperlink" Target="https://clinicaltrials.gov/study/NCT02288377" TargetMode="External"/><Relationship Id="rId212" Type="http://schemas.openxmlformats.org/officeDocument/2006/relationships/hyperlink" Target="https://clinicaltrials.gov/study/NCT06188702" TargetMode="External"/><Relationship Id="rId657" Type="http://schemas.openxmlformats.org/officeDocument/2006/relationships/hyperlink" Target="https://clinicaltrials.gov/study/NCT03806309" TargetMode="External"/><Relationship Id="rId864" Type="http://schemas.openxmlformats.org/officeDocument/2006/relationships/hyperlink" Target="https://clinicaltrials.gov/study/NCT00112697" TargetMode="External"/><Relationship Id="rId1494" Type="http://schemas.openxmlformats.org/officeDocument/2006/relationships/hyperlink" Target="https://clinicaltrials.gov/study/NCT01989624" TargetMode="External"/><Relationship Id="rId1799" Type="http://schemas.openxmlformats.org/officeDocument/2006/relationships/hyperlink" Target="https://clinicaltrials.gov/study/NCT02651987" TargetMode="External"/><Relationship Id="rId2100" Type="http://schemas.openxmlformats.org/officeDocument/2006/relationships/hyperlink" Target="https://clinicaltrials.gov/study/NCT01444456" TargetMode="External"/><Relationship Id="rId2338" Type="http://schemas.openxmlformats.org/officeDocument/2006/relationships/hyperlink" Target="https://clinicaltrials.gov/study/NCT03693677" TargetMode="External"/><Relationship Id="rId517" Type="http://schemas.openxmlformats.org/officeDocument/2006/relationships/hyperlink" Target="https://clinicaltrials.gov/study/NCT02979483" TargetMode="External"/><Relationship Id="rId724" Type="http://schemas.openxmlformats.org/officeDocument/2006/relationships/hyperlink" Target="https://clinicaltrials.gov/study/NCT00010088" TargetMode="External"/><Relationship Id="rId931" Type="http://schemas.openxmlformats.org/officeDocument/2006/relationships/hyperlink" Target="https://clinicaltrials.gov/study/NCT06710132" TargetMode="External"/><Relationship Id="rId1147" Type="http://schemas.openxmlformats.org/officeDocument/2006/relationships/hyperlink" Target="https://clinicaltrials.gov/study/NCT07522073" TargetMode="External"/><Relationship Id="rId1354" Type="http://schemas.openxmlformats.org/officeDocument/2006/relationships/hyperlink" Target="https://clinicaltrials.gov/study/NCT03806309" TargetMode="External"/><Relationship Id="rId1561" Type="http://schemas.openxmlformats.org/officeDocument/2006/relationships/hyperlink" Target="https://clinicaltrials.gov/study/NCT04263948" TargetMode="External"/><Relationship Id="rId2405" Type="http://schemas.openxmlformats.org/officeDocument/2006/relationships/hyperlink" Target="https://clinicaltrials.gov/study/NCT01689584" TargetMode="External"/><Relationship Id="rId60" Type="http://schemas.openxmlformats.org/officeDocument/2006/relationships/hyperlink" Target="https://clinicaltrials.gov/study/NCT03816163" TargetMode="External"/><Relationship Id="rId1007" Type="http://schemas.openxmlformats.org/officeDocument/2006/relationships/hyperlink" Target="https://clinicaltrials.gov/study/NCT00010088" TargetMode="External"/><Relationship Id="rId1214" Type="http://schemas.openxmlformats.org/officeDocument/2006/relationships/hyperlink" Target="https://clinicaltrials.gov/study/NCT01526135" TargetMode="External"/><Relationship Id="rId1421" Type="http://schemas.openxmlformats.org/officeDocument/2006/relationships/hyperlink" Target="https://clinicaltrials.gov/study/NCT00010088" TargetMode="External"/><Relationship Id="rId1659" Type="http://schemas.openxmlformats.org/officeDocument/2006/relationships/hyperlink" Target="https://clinicaltrials.gov/study/NCT03049189" TargetMode="External"/><Relationship Id="rId1866" Type="http://schemas.openxmlformats.org/officeDocument/2006/relationships/hyperlink" Target="https://clinicaltrials.gov/study/NCT03787056" TargetMode="External"/><Relationship Id="rId1519" Type="http://schemas.openxmlformats.org/officeDocument/2006/relationships/hyperlink" Target="https://clinicaltrials.gov/study/NCT01989624" TargetMode="External"/><Relationship Id="rId1726" Type="http://schemas.openxmlformats.org/officeDocument/2006/relationships/hyperlink" Target="https://clinicaltrials.gov/study/NCT02818907" TargetMode="External"/><Relationship Id="rId1933" Type="http://schemas.openxmlformats.org/officeDocument/2006/relationships/hyperlink" Target="https://clinicaltrials.gov/study/NCT06238479" TargetMode="External"/><Relationship Id="rId18" Type="http://schemas.openxmlformats.org/officeDocument/2006/relationships/hyperlink" Target="https://clinicaltrials.gov/study/NCT05776342" TargetMode="External"/><Relationship Id="rId2195" Type="http://schemas.openxmlformats.org/officeDocument/2006/relationships/hyperlink" Target="https://clinicaltrials.gov/study/NCT06755359" TargetMode="External"/><Relationship Id="rId167" Type="http://schemas.openxmlformats.org/officeDocument/2006/relationships/hyperlink" Target="https://clinicaltrials.gov/study/NCT04478175" TargetMode="External"/><Relationship Id="rId374" Type="http://schemas.openxmlformats.org/officeDocument/2006/relationships/hyperlink" Target="https://clinicaltrials.gov/study/NCT03943667" TargetMode="External"/><Relationship Id="rId581" Type="http://schemas.openxmlformats.org/officeDocument/2006/relationships/hyperlink" Target="https://clinicaltrials.gov/study/NCT06026410" TargetMode="External"/><Relationship Id="rId2055" Type="http://schemas.openxmlformats.org/officeDocument/2006/relationships/hyperlink" Target="https://clinicaltrials.gov/study/NCT00353496" TargetMode="External"/><Relationship Id="rId2262" Type="http://schemas.openxmlformats.org/officeDocument/2006/relationships/hyperlink" Target="https://clinicaltrials.gov/study/NCT02827201" TargetMode="External"/><Relationship Id="rId234" Type="http://schemas.openxmlformats.org/officeDocument/2006/relationships/hyperlink" Target="https://clinicaltrials.gov/study/NCT02981342" TargetMode="External"/><Relationship Id="rId679" Type="http://schemas.openxmlformats.org/officeDocument/2006/relationships/hyperlink" Target="https://clinicaltrials.gov/study/NCT03175224" TargetMode="External"/><Relationship Id="rId886" Type="http://schemas.openxmlformats.org/officeDocument/2006/relationships/hyperlink" Target="https://clinicaltrials.gov/study/NCT02810730" TargetMode="External"/><Relationship Id="rId2" Type="http://schemas.openxmlformats.org/officeDocument/2006/relationships/hyperlink" Target="https://clinicaltrials.gov/study/NCT02810730" TargetMode="External"/><Relationship Id="rId441" Type="http://schemas.openxmlformats.org/officeDocument/2006/relationships/hyperlink" Target="https://clinicaltrials.gov/study/NCT06710132" TargetMode="External"/><Relationship Id="rId539" Type="http://schemas.openxmlformats.org/officeDocument/2006/relationships/hyperlink" Target="https://clinicaltrials.gov/study/NCT00268411" TargetMode="External"/><Relationship Id="rId746" Type="http://schemas.openxmlformats.org/officeDocument/2006/relationships/hyperlink" Target="https://clinicaltrials.gov/study/NCT06128551" TargetMode="External"/><Relationship Id="rId1071" Type="http://schemas.openxmlformats.org/officeDocument/2006/relationships/hyperlink" Target="https://clinicaltrials.gov/study/NCT07097064" TargetMode="External"/><Relationship Id="rId1169" Type="http://schemas.openxmlformats.org/officeDocument/2006/relationships/hyperlink" Target="https://clinicaltrials.gov/study/NCT06333314" TargetMode="External"/><Relationship Id="rId1376" Type="http://schemas.openxmlformats.org/officeDocument/2006/relationships/hyperlink" Target="https://clinicaltrials.gov/study/NCT00634725" TargetMode="External"/><Relationship Id="rId1583" Type="http://schemas.openxmlformats.org/officeDocument/2006/relationships/hyperlink" Target="https://clinicaltrials.gov/study/NCT01395017" TargetMode="External"/><Relationship Id="rId2122" Type="http://schemas.openxmlformats.org/officeDocument/2006/relationships/hyperlink" Target="https://clinicaltrials.gov/study/NCT03693677" TargetMode="External"/><Relationship Id="rId2427" Type="http://schemas.openxmlformats.org/officeDocument/2006/relationships/hyperlink" Target="https://clinicaltrials.gov/study/NCT02264665" TargetMode="External"/><Relationship Id="rId301" Type="http://schemas.openxmlformats.org/officeDocument/2006/relationships/hyperlink" Target="https://clinicaltrials.gov/study/NCT05512377" TargetMode="External"/><Relationship Id="rId953" Type="http://schemas.openxmlformats.org/officeDocument/2006/relationships/hyperlink" Target="https://clinicaltrials.gov/study/NCT07097064" TargetMode="External"/><Relationship Id="rId1029" Type="http://schemas.openxmlformats.org/officeDocument/2006/relationships/hyperlink" Target="https://clinicaltrials.gov/study/NCT01526135" TargetMode="External"/><Relationship Id="rId1236" Type="http://schemas.openxmlformats.org/officeDocument/2006/relationships/hyperlink" Target="https://clinicaltrials.gov/study/NCT05470738" TargetMode="External"/><Relationship Id="rId1790" Type="http://schemas.openxmlformats.org/officeDocument/2006/relationships/hyperlink" Target="https://clinicaltrials.gov/study/NCT03485209" TargetMode="External"/><Relationship Id="rId1888" Type="http://schemas.openxmlformats.org/officeDocument/2006/relationships/hyperlink" Target="https://clinicaltrials.gov/study/NCT02818907" TargetMode="External"/><Relationship Id="rId82" Type="http://schemas.openxmlformats.org/officeDocument/2006/relationships/hyperlink" Target="https://clinicaltrials.gov/study/NCT07144917" TargetMode="External"/><Relationship Id="rId606" Type="http://schemas.openxmlformats.org/officeDocument/2006/relationships/hyperlink" Target="https://clinicaltrials.gov/study/NCT07076121" TargetMode="External"/><Relationship Id="rId813" Type="http://schemas.openxmlformats.org/officeDocument/2006/relationships/hyperlink" Target="https://clinicaltrials.gov/study/NCT06333314" TargetMode="External"/><Relationship Id="rId1443" Type="http://schemas.openxmlformats.org/officeDocument/2006/relationships/hyperlink" Target="https://clinicaltrials.gov/study/NCT00064207" TargetMode="External"/><Relationship Id="rId1650" Type="http://schemas.openxmlformats.org/officeDocument/2006/relationships/hyperlink" Target="https://clinicaltrials.gov/study/NCT05515705" TargetMode="External"/><Relationship Id="rId1748" Type="http://schemas.openxmlformats.org/officeDocument/2006/relationships/hyperlink" Target="https://clinicaltrials.gov/study/NCT02246127" TargetMode="External"/><Relationship Id="rId1303" Type="http://schemas.openxmlformats.org/officeDocument/2006/relationships/hyperlink" Target="https://clinicaltrials.gov/study/NCT00064207" TargetMode="External"/><Relationship Id="rId1510" Type="http://schemas.openxmlformats.org/officeDocument/2006/relationships/hyperlink" Target="https://clinicaltrials.gov/study/NCT00634725" TargetMode="External"/><Relationship Id="rId1955" Type="http://schemas.openxmlformats.org/officeDocument/2006/relationships/hyperlink" Target="https://clinicaltrials.gov/study/NCT02827201" TargetMode="External"/><Relationship Id="rId1608" Type="http://schemas.openxmlformats.org/officeDocument/2006/relationships/hyperlink" Target="https://clinicaltrials.gov/study/NCT05065801" TargetMode="External"/><Relationship Id="rId1815" Type="http://schemas.openxmlformats.org/officeDocument/2006/relationships/hyperlink" Target="https://clinicaltrials.gov/study/NCT02923921" TargetMode="External"/><Relationship Id="rId189" Type="http://schemas.openxmlformats.org/officeDocument/2006/relationships/hyperlink" Target="https://clinicaltrials.gov/study/NCT02611024" TargetMode="External"/><Relationship Id="rId396" Type="http://schemas.openxmlformats.org/officeDocument/2006/relationships/hyperlink" Target="https://clinicaltrials.gov/study/NCT06128343" TargetMode="External"/><Relationship Id="rId2077" Type="http://schemas.openxmlformats.org/officeDocument/2006/relationships/hyperlink" Target="https://clinicaltrials.gov/study/NCT00789633" TargetMode="External"/><Relationship Id="rId2284" Type="http://schemas.openxmlformats.org/officeDocument/2006/relationships/hyperlink" Target="https://clinicaltrials.gov/study/NCT02264665" TargetMode="External"/><Relationship Id="rId2491" Type="http://schemas.openxmlformats.org/officeDocument/2006/relationships/hyperlink" Target="https://clinicaltrials.gov/study/NCT01689584" TargetMode="External"/><Relationship Id="rId256" Type="http://schemas.openxmlformats.org/officeDocument/2006/relationships/hyperlink" Target="https://clinicaltrials.gov/study/NCT06666803" TargetMode="External"/><Relationship Id="rId463" Type="http://schemas.openxmlformats.org/officeDocument/2006/relationships/hyperlink" Target="https://clinicaltrials.gov/study/NCT03525392" TargetMode="External"/><Relationship Id="rId670" Type="http://schemas.openxmlformats.org/officeDocument/2006/relationships/hyperlink" Target="https://clinicaltrials.gov/study/NCT04389632" TargetMode="External"/><Relationship Id="rId1093" Type="http://schemas.openxmlformats.org/officeDocument/2006/relationships/hyperlink" Target="https://clinicaltrials.gov/study/NCT01989624" TargetMode="External"/><Relationship Id="rId2144" Type="http://schemas.openxmlformats.org/officeDocument/2006/relationships/hyperlink" Target="https://clinicaltrials.gov/study/NCT03351296" TargetMode="External"/><Relationship Id="rId2351" Type="http://schemas.openxmlformats.org/officeDocument/2006/relationships/hyperlink" Target="https://clinicaltrials.gov/study/NCT01444456" TargetMode="External"/><Relationship Id="rId116" Type="http://schemas.openxmlformats.org/officeDocument/2006/relationships/hyperlink" Target="https://clinicaltrials.gov/study/NCT07429487" TargetMode="External"/><Relationship Id="rId323" Type="http://schemas.openxmlformats.org/officeDocument/2006/relationships/hyperlink" Target="https://clinicaltrials.gov/study/NCT00633789" TargetMode="External"/><Relationship Id="rId530" Type="http://schemas.openxmlformats.org/officeDocument/2006/relationships/hyperlink" Target="https://clinicaltrials.gov/study/NCT02993731" TargetMode="External"/><Relationship Id="rId768" Type="http://schemas.openxmlformats.org/officeDocument/2006/relationships/hyperlink" Target="https://clinicaltrials.gov/study/NCT06892054" TargetMode="External"/><Relationship Id="rId975" Type="http://schemas.openxmlformats.org/officeDocument/2006/relationships/hyperlink" Target="https://clinicaltrials.gov/study/NCT03806309" TargetMode="External"/><Relationship Id="rId1160" Type="http://schemas.openxmlformats.org/officeDocument/2006/relationships/hyperlink" Target="https://clinicaltrials.gov/study/NCT05470738" TargetMode="External"/><Relationship Id="rId1398" Type="http://schemas.openxmlformats.org/officeDocument/2006/relationships/hyperlink" Target="https://clinicaltrials.gov/study/NCT00075452" TargetMode="External"/><Relationship Id="rId2004" Type="http://schemas.openxmlformats.org/officeDocument/2006/relationships/hyperlink" Target="https://clinicaltrials.gov/study/NCT02352337" TargetMode="External"/><Relationship Id="rId2211" Type="http://schemas.openxmlformats.org/officeDocument/2006/relationships/hyperlink" Target="https://clinicaltrials.gov/study/NCT01444456" TargetMode="External"/><Relationship Id="rId2449" Type="http://schemas.openxmlformats.org/officeDocument/2006/relationships/hyperlink" Target="https://clinicaltrials.gov/study/NCT02539537" TargetMode="External"/><Relationship Id="rId628" Type="http://schemas.openxmlformats.org/officeDocument/2006/relationships/hyperlink" Target="https://clinicaltrials.gov/study/NCT05470738" TargetMode="External"/><Relationship Id="rId835" Type="http://schemas.openxmlformats.org/officeDocument/2006/relationships/hyperlink" Target="https://clinicaltrials.gov/study/NCT05776342" TargetMode="External"/><Relationship Id="rId1258" Type="http://schemas.openxmlformats.org/officeDocument/2006/relationships/hyperlink" Target="https://clinicaltrials.gov/study/NCT00064207" TargetMode="External"/><Relationship Id="rId1465" Type="http://schemas.openxmlformats.org/officeDocument/2006/relationships/hyperlink" Target="https://clinicaltrials.gov/study/NCT00112658" TargetMode="External"/><Relationship Id="rId1672" Type="http://schemas.openxmlformats.org/officeDocument/2006/relationships/hyperlink" Target="https://clinicaltrials.gov/study/NCT06973161" TargetMode="External"/><Relationship Id="rId2309" Type="http://schemas.openxmlformats.org/officeDocument/2006/relationships/hyperlink" Target="https://clinicaltrials.gov/study/NCT03022188" TargetMode="External"/><Relationship Id="rId2516" Type="http://schemas.openxmlformats.org/officeDocument/2006/relationships/hyperlink" Target="https://clinicaltrials.gov/study/NCT02352337" TargetMode="External"/><Relationship Id="rId1020" Type="http://schemas.openxmlformats.org/officeDocument/2006/relationships/hyperlink" Target="https://clinicaltrials.gov/study/NCT01964430" TargetMode="External"/><Relationship Id="rId1118" Type="http://schemas.openxmlformats.org/officeDocument/2006/relationships/hyperlink" Target="https://clinicaltrials.gov/study/NCT07522073" TargetMode="External"/><Relationship Id="rId1325" Type="http://schemas.openxmlformats.org/officeDocument/2006/relationships/hyperlink" Target="https://clinicaltrials.gov/study/NCT00634725" TargetMode="External"/><Relationship Id="rId1532" Type="http://schemas.openxmlformats.org/officeDocument/2006/relationships/hyperlink" Target="https://clinicaltrials.gov/study/NCT00634725" TargetMode="External"/><Relationship Id="rId1977" Type="http://schemas.openxmlformats.org/officeDocument/2006/relationships/hyperlink" Target="https://clinicaltrials.gov/study/NCT06973161" TargetMode="External"/><Relationship Id="rId902" Type="http://schemas.openxmlformats.org/officeDocument/2006/relationships/hyperlink" Target="https://clinicaltrials.gov/study/NCT04935359" TargetMode="External"/><Relationship Id="rId1837" Type="http://schemas.openxmlformats.org/officeDocument/2006/relationships/hyperlink" Target="https://clinicaltrials.gov/study/NCT00510068" TargetMode="External"/><Relationship Id="rId31" Type="http://schemas.openxmlformats.org/officeDocument/2006/relationships/hyperlink" Target="https://clinicaltrials.gov/study/NCT06705335" TargetMode="External"/><Relationship Id="rId2099" Type="http://schemas.openxmlformats.org/officeDocument/2006/relationships/hyperlink" Target="https://clinicaltrials.gov/study/NCT04548960" TargetMode="External"/><Relationship Id="rId180" Type="http://schemas.openxmlformats.org/officeDocument/2006/relationships/hyperlink" Target="https://clinicaltrials.gov/study/NCT04657068" TargetMode="External"/><Relationship Id="rId278" Type="http://schemas.openxmlformats.org/officeDocument/2006/relationships/hyperlink" Target="https://clinicaltrials.gov/study/NCT06119217" TargetMode="External"/><Relationship Id="rId1904" Type="http://schemas.openxmlformats.org/officeDocument/2006/relationships/hyperlink" Target="https://clinicaltrials.gov/study/NCT02246127" TargetMode="External"/><Relationship Id="rId485" Type="http://schemas.openxmlformats.org/officeDocument/2006/relationships/hyperlink" Target="https://clinicaltrials.gov/study/NCT00274885" TargetMode="External"/><Relationship Id="rId692" Type="http://schemas.openxmlformats.org/officeDocument/2006/relationships/hyperlink" Target="https://clinicaltrials.gov/study/NCT02818829" TargetMode="External"/><Relationship Id="rId2166" Type="http://schemas.openxmlformats.org/officeDocument/2006/relationships/hyperlink" Target="https://clinicaltrials.gov/study/NCT01689584" TargetMode="External"/><Relationship Id="rId2373" Type="http://schemas.openxmlformats.org/officeDocument/2006/relationships/hyperlink" Target="https://clinicaltrials.gov/study/NCT02352337" TargetMode="External"/><Relationship Id="rId138" Type="http://schemas.openxmlformats.org/officeDocument/2006/relationships/hyperlink" Target="https://clinicaltrials.gov/study/NCT05794048" TargetMode="External"/><Relationship Id="rId345" Type="http://schemas.openxmlformats.org/officeDocument/2006/relationships/hyperlink" Target="https://clinicaltrials.gov/study/NCT06179160" TargetMode="External"/><Relationship Id="rId552" Type="http://schemas.openxmlformats.org/officeDocument/2006/relationships/hyperlink" Target="https://clinicaltrials.gov/study/NCT03806309" TargetMode="External"/><Relationship Id="rId997" Type="http://schemas.openxmlformats.org/officeDocument/2006/relationships/hyperlink" Target="https://clinicaltrials.gov/study/NCT03816163" TargetMode="External"/><Relationship Id="rId1182" Type="http://schemas.openxmlformats.org/officeDocument/2006/relationships/hyperlink" Target="https://clinicaltrials.gov/study/NCT00075452" TargetMode="External"/><Relationship Id="rId2026" Type="http://schemas.openxmlformats.org/officeDocument/2006/relationships/hyperlink" Target="https://clinicaltrials.gov/study/NCT01444456" TargetMode="External"/><Relationship Id="rId2233" Type="http://schemas.openxmlformats.org/officeDocument/2006/relationships/hyperlink" Target="https://clinicaltrials.gov/study/NCT03485209" TargetMode="External"/><Relationship Id="rId2440" Type="http://schemas.openxmlformats.org/officeDocument/2006/relationships/hyperlink" Target="https://clinicaltrials.gov/study/NCT02827201" TargetMode="External"/><Relationship Id="rId205" Type="http://schemas.openxmlformats.org/officeDocument/2006/relationships/hyperlink" Target="https://clinicaltrials.gov/study/NCT05706129" TargetMode="External"/><Relationship Id="rId412" Type="http://schemas.openxmlformats.org/officeDocument/2006/relationships/hyperlink" Target="https://clinicaltrials.gov/study/NCT00191568" TargetMode="External"/><Relationship Id="rId857" Type="http://schemas.openxmlformats.org/officeDocument/2006/relationships/hyperlink" Target="https://clinicaltrials.gov/study/NCT00634725" TargetMode="External"/><Relationship Id="rId1042" Type="http://schemas.openxmlformats.org/officeDocument/2006/relationships/hyperlink" Target="https://clinicaltrials.gov/study/NCT03126435" TargetMode="External"/><Relationship Id="rId1487" Type="http://schemas.openxmlformats.org/officeDocument/2006/relationships/hyperlink" Target="https://clinicaltrials.gov/study/NCT01989624" TargetMode="External"/><Relationship Id="rId1694" Type="http://schemas.openxmlformats.org/officeDocument/2006/relationships/hyperlink" Target="https://clinicaltrials.gov/study/NCT02955069" TargetMode="External"/><Relationship Id="rId2300" Type="http://schemas.openxmlformats.org/officeDocument/2006/relationships/hyperlink" Target="https://clinicaltrials.gov/study/NCT02264665" TargetMode="External"/><Relationship Id="rId717" Type="http://schemas.openxmlformats.org/officeDocument/2006/relationships/hyperlink" Target="https://clinicaltrials.gov/study/NCT03126435" TargetMode="External"/><Relationship Id="rId924" Type="http://schemas.openxmlformats.org/officeDocument/2006/relationships/hyperlink" Target="https://clinicaltrials.gov/study/NCT00275119" TargetMode="External"/><Relationship Id="rId1347" Type="http://schemas.openxmlformats.org/officeDocument/2006/relationships/hyperlink" Target="https://clinicaltrials.gov/study/NCT00075452" TargetMode="External"/><Relationship Id="rId1554" Type="http://schemas.openxmlformats.org/officeDocument/2006/relationships/hyperlink" Target="https://clinicaltrials.gov/study/NCT04370574" TargetMode="External"/><Relationship Id="rId1761" Type="http://schemas.openxmlformats.org/officeDocument/2006/relationships/hyperlink" Target="https://clinicaltrials.gov/study/NCT07587827" TargetMode="External"/><Relationship Id="rId1999" Type="http://schemas.openxmlformats.org/officeDocument/2006/relationships/hyperlink" Target="https://clinicaltrials.gov/study/NCT01214720" TargetMode="External"/><Relationship Id="rId53" Type="http://schemas.openxmlformats.org/officeDocument/2006/relationships/hyperlink" Target="https://clinicaltrials.gov/study/NCT07547033" TargetMode="External"/><Relationship Id="rId1207" Type="http://schemas.openxmlformats.org/officeDocument/2006/relationships/hyperlink" Target="https://clinicaltrials.gov/study/NCT00010062" TargetMode="External"/><Relationship Id="rId1414" Type="http://schemas.openxmlformats.org/officeDocument/2006/relationships/hyperlink" Target="https://clinicaltrials.gov/study/NCT00010088" TargetMode="External"/><Relationship Id="rId1621" Type="http://schemas.openxmlformats.org/officeDocument/2006/relationships/hyperlink" Target="https://clinicaltrials.gov/study/NCT02246127" TargetMode="External"/><Relationship Id="rId1859" Type="http://schemas.openxmlformats.org/officeDocument/2006/relationships/hyperlink" Target="https://clinicaltrials.gov/study/NCT03797326" TargetMode="External"/><Relationship Id="rId1719" Type="http://schemas.openxmlformats.org/officeDocument/2006/relationships/hyperlink" Target="https://clinicaltrials.gov/study/NCT03400072" TargetMode="External"/><Relationship Id="rId1926" Type="http://schemas.openxmlformats.org/officeDocument/2006/relationships/hyperlink" Target="https://clinicaltrials.gov/study/NCT01444456" TargetMode="External"/><Relationship Id="rId2090" Type="http://schemas.openxmlformats.org/officeDocument/2006/relationships/hyperlink" Target="https://clinicaltrials.gov/study/NCT03693677" TargetMode="External"/><Relationship Id="rId2188" Type="http://schemas.openxmlformats.org/officeDocument/2006/relationships/hyperlink" Target="https://clinicaltrials.gov/study/NCT03915678" TargetMode="External"/><Relationship Id="rId2395" Type="http://schemas.openxmlformats.org/officeDocument/2006/relationships/hyperlink" Target="https://clinicaltrials.gov/study/NCT02264665" TargetMode="External"/><Relationship Id="rId367" Type="http://schemas.openxmlformats.org/officeDocument/2006/relationships/hyperlink" Target="https://clinicaltrials.gov/study/NCT02818829" TargetMode="External"/><Relationship Id="rId574" Type="http://schemas.openxmlformats.org/officeDocument/2006/relationships/hyperlink" Target="https://clinicaltrials.gov/study/NCT07087054" TargetMode="External"/><Relationship Id="rId2048" Type="http://schemas.openxmlformats.org/officeDocument/2006/relationships/hyperlink" Target="https://clinicaltrials.gov/study/NCT02827201" TargetMode="External"/><Relationship Id="rId2255" Type="http://schemas.openxmlformats.org/officeDocument/2006/relationships/hyperlink" Target="https://clinicaltrials.gov/study/NCT02676349" TargetMode="External"/><Relationship Id="rId227" Type="http://schemas.openxmlformats.org/officeDocument/2006/relationships/hyperlink" Target="https://clinicaltrials.gov/study/NCT05776342" TargetMode="External"/><Relationship Id="rId781" Type="http://schemas.openxmlformats.org/officeDocument/2006/relationships/hyperlink" Target="https://clinicaltrials.gov/study/NCT04348045" TargetMode="External"/><Relationship Id="rId879" Type="http://schemas.openxmlformats.org/officeDocument/2006/relationships/hyperlink" Target="https://clinicaltrials.gov/study/NCT01964430" TargetMode="External"/><Relationship Id="rId2462" Type="http://schemas.openxmlformats.org/officeDocument/2006/relationships/hyperlink" Target="https://clinicaltrials.gov/study/NCT00789633" TargetMode="External"/><Relationship Id="rId434" Type="http://schemas.openxmlformats.org/officeDocument/2006/relationships/hyperlink" Target="https://clinicaltrials.gov/study/NCT02143219" TargetMode="External"/><Relationship Id="rId641" Type="http://schemas.openxmlformats.org/officeDocument/2006/relationships/hyperlink" Target="https://clinicaltrials.gov/study/NCT02119663" TargetMode="External"/><Relationship Id="rId739" Type="http://schemas.openxmlformats.org/officeDocument/2006/relationships/hyperlink" Target="https://clinicaltrials.gov/study/NCT03806309" TargetMode="External"/><Relationship Id="rId1064" Type="http://schemas.openxmlformats.org/officeDocument/2006/relationships/hyperlink" Target="https://clinicaltrials.gov/study/NCT01526135" TargetMode="External"/><Relationship Id="rId1271" Type="http://schemas.openxmlformats.org/officeDocument/2006/relationships/hyperlink" Target="https://clinicaltrials.gov/study/NCT00010088" TargetMode="External"/><Relationship Id="rId1369" Type="http://schemas.openxmlformats.org/officeDocument/2006/relationships/hyperlink" Target="https://clinicaltrials.gov/study/NCT00010088" TargetMode="External"/><Relationship Id="rId1576" Type="http://schemas.openxmlformats.org/officeDocument/2006/relationships/hyperlink" Target="https://clinicaltrials.gov/study/NCT04196816" TargetMode="External"/><Relationship Id="rId2115" Type="http://schemas.openxmlformats.org/officeDocument/2006/relationships/hyperlink" Target="https://clinicaltrials.gov/study/NCT02288377" TargetMode="External"/><Relationship Id="rId2322" Type="http://schemas.openxmlformats.org/officeDocument/2006/relationships/hyperlink" Target="https://clinicaltrials.gov/study/NCT03022188" TargetMode="External"/><Relationship Id="rId501" Type="http://schemas.openxmlformats.org/officeDocument/2006/relationships/hyperlink" Target="https://clinicaltrials.gov/study/NCT03974854" TargetMode="External"/><Relationship Id="rId946" Type="http://schemas.openxmlformats.org/officeDocument/2006/relationships/hyperlink" Target="https://clinicaltrials.gov/study/NCT07076121" TargetMode="External"/><Relationship Id="rId1131" Type="http://schemas.openxmlformats.org/officeDocument/2006/relationships/hyperlink" Target="https://clinicaltrials.gov/study/NCT03816163" TargetMode="External"/><Relationship Id="rId1229" Type="http://schemas.openxmlformats.org/officeDocument/2006/relationships/hyperlink" Target="https://clinicaltrials.gov/study/NCT02820857" TargetMode="External"/><Relationship Id="rId1783" Type="http://schemas.openxmlformats.org/officeDocument/2006/relationships/hyperlink" Target="https://clinicaltrials.gov/study/NCT01444456" TargetMode="External"/><Relationship Id="rId1990" Type="http://schemas.openxmlformats.org/officeDocument/2006/relationships/hyperlink" Target="https://clinicaltrials.gov/study/NCT01689584" TargetMode="External"/><Relationship Id="rId75" Type="http://schemas.openxmlformats.org/officeDocument/2006/relationships/hyperlink" Target="https://clinicaltrials.gov/study/NCT03105921" TargetMode="External"/><Relationship Id="rId806" Type="http://schemas.openxmlformats.org/officeDocument/2006/relationships/hyperlink" Target="https://clinicaltrials.gov/study/NCT00006117" TargetMode="External"/><Relationship Id="rId1436" Type="http://schemas.openxmlformats.org/officeDocument/2006/relationships/hyperlink" Target="https://clinicaltrials.gov/study/NCT00303758" TargetMode="External"/><Relationship Id="rId1643" Type="http://schemas.openxmlformats.org/officeDocument/2006/relationships/hyperlink" Target="https://clinicaltrials.gov/study/NCT03941093" TargetMode="External"/><Relationship Id="rId1850" Type="http://schemas.openxmlformats.org/officeDocument/2006/relationships/hyperlink" Target="https://clinicaltrials.gov/study/NCT02912949" TargetMode="External"/><Relationship Id="rId1503" Type="http://schemas.openxmlformats.org/officeDocument/2006/relationships/hyperlink" Target="https://clinicaltrials.gov/study/NCT01989624" TargetMode="External"/><Relationship Id="rId1710" Type="http://schemas.openxmlformats.org/officeDocument/2006/relationships/hyperlink" Target="https://clinicaltrials.gov/study/NCT06211933" TargetMode="External"/><Relationship Id="rId1948" Type="http://schemas.openxmlformats.org/officeDocument/2006/relationships/hyperlink" Target="https://clinicaltrials.gov/study/NCT01214720" TargetMode="External"/><Relationship Id="rId291" Type="http://schemas.openxmlformats.org/officeDocument/2006/relationships/hyperlink" Target="https://clinicaltrials.gov/study/NCT00275119" TargetMode="External"/><Relationship Id="rId1808" Type="http://schemas.openxmlformats.org/officeDocument/2006/relationships/hyperlink" Target="https://clinicaltrials.gov/study/NCT06755359" TargetMode="External"/><Relationship Id="rId151" Type="http://schemas.openxmlformats.org/officeDocument/2006/relationships/hyperlink" Target="https://clinicaltrials.gov/study/NCT01964430" TargetMode="External"/><Relationship Id="rId389" Type="http://schemas.openxmlformats.org/officeDocument/2006/relationships/hyperlink" Target="https://clinicaltrials.gov/study/NCT04888312" TargetMode="External"/><Relationship Id="rId596" Type="http://schemas.openxmlformats.org/officeDocument/2006/relationships/hyperlink" Target="https://clinicaltrials.gov/study/NCT02810730" TargetMode="External"/><Relationship Id="rId2277" Type="http://schemas.openxmlformats.org/officeDocument/2006/relationships/hyperlink" Target="https://clinicaltrials.gov/study/NCT02288377" TargetMode="External"/><Relationship Id="rId2484" Type="http://schemas.openxmlformats.org/officeDocument/2006/relationships/hyperlink" Target="https://clinicaltrials.gov/study/NCT02352337" TargetMode="External"/><Relationship Id="rId249" Type="http://schemas.openxmlformats.org/officeDocument/2006/relationships/hyperlink" Target="https://clinicaltrials.gov/study/NCT03816163" TargetMode="External"/><Relationship Id="rId456" Type="http://schemas.openxmlformats.org/officeDocument/2006/relationships/hyperlink" Target="https://clinicaltrials.gov/study/NCT04389632" TargetMode="External"/><Relationship Id="rId663" Type="http://schemas.openxmlformats.org/officeDocument/2006/relationships/hyperlink" Target="https://clinicaltrials.gov/study/NCT06999512" TargetMode="External"/><Relationship Id="rId870" Type="http://schemas.openxmlformats.org/officeDocument/2006/relationships/hyperlink" Target="https://clinicaltrials.gov/study/NCT00064207" TargetMode="External"/><Relationship Id="rId1086" Type="http://schemas.openxmlformats.org/officeDocument/2006/relationships/hyperlink" Target="https://clinicaltrials.gov/study/NCT06333314" TargetMode="External"/><Relationship Id="rId1293" Type="http://schemas.openxmlformats.org/officeDocument/2006/relationships/hyperlink" Target="https://clinicaltrials.gov/study/NCT02820857" TargetMode="External"/><Relationship Id="rId2137" Type="http://schemas.openxmlformats.org/officeDocument/2006/relationships/hyperlink" Target="https://clinicaltrials.gov/study/NCT06177327" TargetMode="External"/><Relationship Id="rId2344" Type="http://schemas.openxmlformats.org/officeDocument/2006/relationships/hyperlink" Target="https://clinicaltrials.gov/study/NCT00789633" TargetMode="External"/><Relationship Id="rId109" Type="http://schemas.openxmlformats.org/officeDocument/2006/relationships/hyperlink" Target="https://clinicaltrials.gov/study/NCT06119217" TargetMode="External"/><Relationship Id="rId316" Type="http://schemas.openxmlformats.org/officeDocument/2006/relationships/hyperlink" Target="https://clinicaltrials.gov/study/NCT06562192" TargetMode="External"/><Relationship Id="rId523" Type="http://schemas.openxmlformats.org/officeDocument/2006/relationships/hyperlink" Target="https://clinicaltrials.gov/study/NCT02184195" TargetMode="External"/><Relationship Id="rId968" Type="http://schemas.openxmlformats.org/officeDocument/2006/relationships/hyperlink" Target="https://clinicaltrials.gov/study/NCT00112697" TargetMode="External"/><Relationship Id="rId1153" Type="http://schemas.openxmlformats.org/officeDocument/2006/relationships/hyperlink" Target="https://clinicaltrials.gov/study/NCT01526135" TargetMode="External"/><Relationship Id="rId1598" Type="http://schemas.openxmlformats.org/officeDocument/2006/relationships/hyperlink" Target="https://clinicaltrials.gov/study/NCT01214720" TargetMode="External"/><Relationship Id="rId2204" Type="http://schemas.openxmlformats.org/officeDocument/2006/relationships/hyperlink" Target="https://clinicaltrials.gov/study/NCT01964534" TargetMode="External"/><Relationship Id="rId97" Type="http://schemas.openxmlformats.org/officeDocument/2006/relationships/hyperlink" Target="https://clinicaltrials.gov/study/NCT02993731" TargetMode="External"/><Relationship Id="rId730" Type="http://schemas.openxmlformats.org/officeDocument/2006/relationships/hyperlink" Target="https://clinicaltrials.gov/study/NCT00902291" TargetMode="External"/><Relationship Id="rId828" Type="http://schemas.openxmlformats.org/officeDocument/2006/relationships/hyperlink" Target="https://clinicaltrials.gov/study/NCT06330064" TargetMode="External"/><Relationship Id="rId1013" Type="http://schemas.openxmlformats.org/officeDocument/2006/relationships/hyperlink" Target="https://clinicaltrials.gov/study/NCT00275119" TargetMode="External"/><Relationship Id="rId1360" Type="http://schemas.openxmlformats.org/officeDocument/2006/relationships/hyperlink" Target="https://clinicaltrials.gov/study/NCT00010088" TargetMode="External"/><Relationship Id="rId1458" Type="http://schemas.openxmlformats.org/officeDocument/2006/relationships/hyperlink" Target="https://clinicaltrials.gov/study/NCT00010088" TargetMode="External"/><Relationship Id="rId1665" Type="http://schemas.openxmlformats.org/officeDocument/2006/relationships/hyperlink" Target="https://clinicaltrials.gov/study/NCT01337765" TargetMode="External"/><Relationship Id="rId1872" Type="http://schemas.openxmlformats.org/officeDocument/2006/relationships/hyperlink" Target="https://clinicaltrials.gov/study/NCT06177327" TargetMode="External"/><Relationship Id="rId2411" Type="http://schemas.openxmlformats.org/officeDocument/2006/relationships/hyperlink" Target="https://clinicaltrials.gov/study/NCT02264665" TargetMode="External"/><Relationship Id="rId2509" Type="http://schemas.openxmlformats.org/officeDocument/2006/relationships/hyperlink" Target="https://clinicaltrials.gov/study/NCT01689584" TargetMode="External"/><Relationship Id="rId1220" Type="http://schemas.openxmlformats.org/officeDocument/2006/relationships/hyperlink" Target="https://clinicaltrials.gov/study/NCT00075452" TargetMode="External"/><Relationship Id="rId1318" Type="http://schemas.openxmlformats.org/officeDocument/2006/relationships/hyperlink" Target="https://clinicaltrials.gov/study/NCT03806309" TargetMode="External"/><Relationship Id="rId1525" Type="http://schemas.openxmlformats.org/officeDocument/2006/relationships/hyperlink" Target="https://clinicaltrials.gov/study/NCT01989624" TargetMode="External"/><Relationship Id="rId1732" Type="http://schemas.openxmlformats.org/officeDocument/2006/relationships/hyperlink" Target="https://clinicaltrials.gov/study/NCT01214720" TargetMode="External"/><Relationship Id="rId24" Type="http://schemas.openxmlformats.org/officeDocument/2006/relationships/hyperlink" Target="https://clinicaltrials.gov/study/NCT07076121" TargetMode="External"/><Relationship Id="rId2299" Type="http://schemas.openxmlformats.org/officeDocument/2006/relationships/hyperlink" Target="https://clinicaltrials.gov/study/NCT02853474" TargetMode="External"/><Relationship Id="rId173" Type="http://schemas.openxmlformats.org/officeDocument/2006/relationships/hyperlink" Target="https://clinicaltrials.gov/study/NCT05945823" TargetMode="External"/><Relationship Id="rId380" Type="http://schemas.openxmlformats.org/officeDocument/2006/relationships/hyperlink" Target="https://clinicaltrials.gov/study/NCT06528093" TargetMode="External"/><Relationship Id="rId2061" Type="http://schemas.openxmlformats.org/officeDocument/2006/relationships/hyperlink" Target="https://clinicaltrials.gov/study/NCT02184663" TargetMode="External"/><Relationship Id="rId240" Type="http://schemas.openxmlformats.org/officeDocument/2006/relationships/hyperlink" Target="https://clinicaltrials.gov/study/NCT05383352" TargetMode="External"/><Relationship Id="rId478" Type="http://schemas.openxmlformats.org/officeDocument/2006/relationships/hyperlink" Target="https://clinicaltrials.gov/study/NCT03102320" TargetMode="External"/><Relationship Id="rId685" Type="http://schemas.openxmlformats.org/officeDocument/2006/relationships/hyperlink" Target="https://clinicaltrials.gov/study/NCT04704154" TargetMode="External"/><Relationship Id="rId892" Type="http://schemas.openxmlformats.org/officeDocument/2006/relationships/hyperlink" Target="https://clinicaltrials.gov/study/NCT04083235" TargetMode="External"/><Relationship Id="rId2159" Type="http://schemas.openxmlformats.org/officeDocument/2006/relationships/hyperlink" Target="https://clinicaltrials.gov/study/NCT00312013" TargetMode="External"/><Relationship Id="rId2366" Type="http://schemas.openxmlformats.org/officeDocument/2006/relationships/hyperlink" Target="https://clinicaltrials.gov/study/NCT02539537" TargetMode="External"/><Relationship Id="rId100" Type="http://schemas.openxmlformats.org/officeDocument/2006/relationships/hyperlink" Target="https://clinicaltrials.gov/study/NCT06160596" TargetMode="External"/><Relationship Id="rId338" Type="http://schemas.openxmlformats.org/officeDocument/2006/relationships/hyperlink" Target="https://clinicaltrials.gov/study/NCT03210298" TargetMode="External"/><Relationship Id="rId545" Type="http://schemas.openxmlformats.org/officeDocument/2006/relationships/hyperlink" Target="https://clinicaltrials.gov/study/NCT00003029" TargetMode="External"/><Relationship Id="rId752" Type="http://schemas.openxmlformats.org/officeDocument/2006/relationships/hyperlink" Target="https://clinicaltrials.gov/study/NCT04389632" TargetMode="External"/><Relationship Id="rId1175" Type="http://schemas.openxmlformats.org/officeDocument/2006/relationships/hyperlink" Target="https://clinicaltrials.gov/study/NCT01526135" TargetMode="External"/><Relationship Id="rId1382" Type="http://schemas.openxmlformats.org/officeDocument/2006/relationships/hyperlink" Target="https://clinicaltrials.gov/study/NCT01526135" TargetMode="External"/><Relationship Id="rId2019" Type="http://schemas.openxmlformats.org/officeDocument/2006/relationships/hyperlink" Target="https://clinicaltrials.gov/study/NCT02184663" TargetMode="External"/><Relationship Id="rId2226" Type="http://schemas.openxmlformats.org/officeDocument/2006/relationships/hyperlink" Target="https://clinicaltrials.gov/study/NCT03693677" TargetMode="External"/><Relationship Id="rId2433" Type="http://schemas.openxmlformats.org/officeDocument/2006/relationships/hyperlink" Target="https://clinicaltrials.gov/study/NCT02539537" TargetMode="External"/><Relationship Id="rId405" Type="http://schemas.openxmlformats.org/officeDocument/2006/relationships/hyperlink" Target="https://clinicaltrials.gov/study/NCT03126435" TargetMode="External"/><Relationship Id="rId612" Type="http://schemas.openxmlformats.org/officeDocument/2006/relationships/hyperlink" Target="https://clinicaltrials.gov/study/NCT05383352" TargetMode="External"/><Relationship Id="rId1035" Type="http://schemas.openxmlformats.org/officeDocument/2006/relationships/hyperlink" Target="https://clinicaltrials.gov/study/NCT03816163" TargetMode="External"/><Relationship Id="rId1242" Type="http://schemas.openxmlformats.org/officeDocument/2006/relationships/hyperlink" Target="https://clinicaltrials.gov/study/NCT00064207" TargetMode="External"/><Relationship Id="rId1687" Type="http://schemas.openxmlformats.org/officeDocument/2006/relationships/hyperlink" Target="https://clinicaltrials.gov/study/NCT06760819" TargetMode="External"/><Relationship Id="rId1894" Type="http://schemas.openxmlformats.org/officeDocument/2006/relationships/hyperlink" Target="https://clinicaltrials.gov/study/NCT00652366" TargetMode="External"/><Relationship Id="rId2500" Type="http://schemas.openxmlformats.org/officeDocument/2006/relationships/hyperlink" Target="https://clinicaltrials.gov/study/NCT02352337" TargetMode="External"/><Relationship Id="rId917" Type="http://schemas.openxmlformats.org/officeDocument/2006/relationships/hyperlink" Target="https://clinicaltrials.gov/study/NCT00268411" TargetMode="External"/><Relationship Id="rId1102" Type="http://schemas.openxmlformats.org/officeDocument/2006/relationships/hyperlink" Target="https://clinicaltrials.gov/study/NCT07097064" TargetMode="External"/><Relationship Id="rId1547" Type="http://schemas.openxmlformats.org/officeDocument/2006/relationships/hyperlink" Target="https://clinicaltrials.gov/study/NCT02676349" TargetMode="External"/><Relationship Id="rId1754" Type="http://schemas.openxmlformats.org/officeDocument/2006/relationships/hyperlink" Target="https://clinicaltrials.gov/study/NCT05850130" TargetMode="External"/><Relationship Id="rId1961" Type="http://schemas.openxmlformats.org/officeDocument/2006/relationships/hyperlink" Target="https://clinicaltrials.gov/study/NCT03693677" TargetMode="External"/><Relationship Id="rId46" Type="http://schemas.openxmlformats.org/officeDocument/2006/relationships/hyperlink" Target="https://clinicaltrials.gov/study/NCT02195180" TargetMode="External"/><Relationship Id="rId1407" Type="http://schemas.openxmlformats.org/officeDocument/2006/relationships/hyperlink" Target="https://clinicaltrials.gov/study/NCT00010088" TargetMode="External"/><Relationship Id="rId1614" Type="http://schemas.openxmlformats.org/officeDocument/2006/relationships/hyperlink" Target="https://clinicaltrials.gov/study/NCT02827201" TargetMode="External"/><Relationship Id="rId1821" Type="http://schemas.openxmlformats.org/officeDocument/2006/relationships/hyperlink" Target="https://clinicaltrials.gov/study/NCT03022188" TargetMode="External"/><Relationship Id="rId195" Type="http://schemas.openxmlformats.org/officeDocument/2006/relationships/hyperlink" Target="https://clinicaltrials.gov/study/NCT03175224" TargetMode="External"/><Relationship Id="rId1919" Type="http://schemas.openxmlformats.org/officeDocument/2006/relationships/hyperlink" Target="https://clinicaltrials.gov/study/NCT03049189" TargetMode="External"/><Relationship Id="rId2083" Type="http://schemas.openxmlformats.org/officeDocument/2006/relationships/hyperlink" Target="https://clinicaltrials.gov/study/NCT02352337" TargetMode="External"/><Relationship Id="rId2290" Type="http://schemas.openxmlformats.org/officeDocument/2006/relationships/hyperlink" Target="https://clinicaltrials.gov/study/NCT02676349" TargetMode="External"/><Relationship Id="rId2388" Type="http://schemas.openxmlformats.org/officeDocument/2006/relationships/hyperlink" Target="https://clinicaltrials.gov/study/NCT01689584" TargetMode="External"/><Relationship Id="rId262" Type="http://schemas.openxmlformats.org/officeDocument/2006/relationships/hyperlink" Target="https://clinicaltrials.gov/study/NCT02184195" TargetMode="External"/><Relationship Id="rId567" Type="http://schemas.openxmlformats.org/officeDocument/2006/relationships/hyperlink" Target="https://clinicaltrials.gov/study/NCT06305247" TargetMode="External"/><Relationship Id="rId1197" Type="http://schemas.openxmlformats.org/officeDocument/2006/relationships/hyperlink" Target="https://clinicaltrials.gov/study/NCT04348045" TargetMode="External"/><Relationship Id="rId2150" Type="http://schemas.openxmlformats.org/officeDocument/2006/relationships/hyperlink" Target="https://clinicaltrials.gov/study/NCT02539537" TargetMode="External"/><Relationship Id="rId2248" Type="http://schemas.openxmlformats.org/officeDocument/2006/relationships/hyperlink" Target="https://clinicaltrials.gov/study/NCT02264665" TargetMode="External"/><Relationship Id="rId122" Type="http://schemas.openxmlformats.org/officeDocument/2006/relationships/hyperlink" Target="https://clinicaltrials.gov/study/NCT00923299" TargetMode="External"/><Relationship Id="rId774" Type="http://schemas.openxmlformats.org/officeDocument/2006/relationships/hyperlink" Target="https://clinicaltrials.gov/study/NCT01526135" TargetMode="External"/><Relationship Id="rId981" Type="http://schemas.openxmlformats.org/officeDocument/2006/relationships/hyperlink" Target="https://clinicaltrials.gov/study/NCT02820857" TargetMode="External"/><Relationship Id="rId1057" Type="http://schemas.openxmlformats.org/officeDocument/2006/relationships/hyperlink" Target="https://clinicaltrials.gov/study/NCT02820857" TargetMode="External"/><Relationship Id="rId2010" Type="http://schemas.openxmlformats.org/officeDocument/2006/relationships/hyperlink" Target="https://clinicaltrials.gov/study/NCT02246127" TargetMode="External"/><Relationship Id="rId2455" Type="http://schemas.openxmlformats.org/officeDocument/2006/relationships/hyperlink" Target="https://clinicaltrials.gov/study/NCT02352337" TargetMode="External"/><Relationship Id="rId427" Type="http://schemas.openxmlformats.org/officeDocument/2006/relationships/hyperlink" Target="https://clinicaltrials.gov/study/NCT00003029" TargetMode="External"/><Relationship Id="rId634" Type="http://schemas.openxmlformats.org/officeDocument/2006/relationships/hyperlink" Target="https://clinicaltrials.gov/study/NCT00634725" TargetMode="External"/><Relationship Id="rId841" Type="http://schemas.openxmlformats.org/officeDocument/2006/relationships/hyperlink" Target="https://clinicaltrials.gov/study/NCT02195180" TargetMode="External"/><Relationship Id="rId1264" Type="http://schemas.openxmlformats.org/officeDocument/2006/relationships/hyperlink" Target="https://clinicaltrials.gov/study/NCT01526135" TargetMode="External"/><Relationship Id="rId1471" Type="http://schemas.openxmlformats.org/officeDocument/2006/relationships/hyperlink" Target="https://clinicaltrials.gov/study/NCT00112658" TargetMode="External"/><Relationship Id="rId1569" Type="http://schemas.openxmlformats.org/officeDocument/2006/relationships/hyperlink" Target="https://clinicaltrials.gov/study/NCT03400072" TargetMode="External"/><Relationship Id="rId2108" Type="http://schemas.openxmlformats.org/officeDocument/2006/relationships/hyperlink" Target="https://clinicaltrials.gov/study/NCT02676349" TargetMode="External"/><Relationship Id="rId2315" Type="http://schemas.openxmlformats.org/officeDocument/2006/relationships/hyperlink" Target="https://clinicaltrials.gov/study/NCT02264665" TargetMode="External"/><Relationship Id="rId2522" Type="http://schemas.openxmlformats.org/officeDocument/2006/relationships/hyperlink" Target="https://clinicaltrials.gov/study/NCT02352337" TargetMode="External"/><Relationship Id="rId701" Type="http://schemas.openxmlformats.org/officeDocument/2006/relationships/hyperlink" Target="https://clinicaltrials.gov/study/NCT01124786" TargetMode="External"/><Relationship Id="rId939" Type="http://schemas.openxmlformats.org/officeDocument/2006/relationships/hyperlink" Target="https://clinicaltrials.gov/study/NCT00918853" TargetMode="External"/><Relationship Id="rId1124" Type="http://schemas.openxmlformats.org/officeDocument/2006/relationships/hyperlink" Target="https://clinicaltrials.gov/study/NCT01989624" TargetMode="External"/><Relationship Id="rId1331" Type="http://schemas.openxmlformats.org/officeDocument/2006/relationships/hyperlink" Target="https://clinicaltrials.gov/study/NCT03806309" TargetMode="External"/><Relationship Id="rId1776" Type="http://schemas.openxmlformats.org/officeDocument/2006/relationships/hyperlink" Target="https://clinicaltrials.gov/study/NCT07436312" TargetMode="External"/><Relationship Id="rId1983" Type="http://schemas.openxmlformats.org/officeDocument/2006/relationships/hyperlink" Target="https://clinicaltrials.gov/study/NCT06172478" TargetMode="External"/><Relationship Id="rId68" Type="http://schemas.openxmlformats.org/officeDocument/2006/relationships/hyperlink" Target="https://clinicaltrials.gov/study/NCT02959879" TargetMode="External"/><Relationship Id="rId1429" Type="http://schemas.openxmlformats.org/officeDocument/2006/relationships/hyperlink" Target="https://clinicaltrials.gov/study/NCT00112658" TargetMode="External"/><Relationship Id="rId1636" Type="http://schemas.openxmlformats.org/officeDocument/2006/relationships/hyperlink" Target="https://clinicaltrials.gov/study/NCT05389462" TargetMode="External"/><Relationship Id="rId1843" Type="http://schemas.openxmlformats.org/officeDocument/2006/relationships/hyperlink" Target="https://clinicaltrials.gov/study/NCT04956640" TargetMode="External"/><Relationship Id="rId1703" Type="http://schemas.openxmlformats.org/officeDocument/2006/relationships/hyperlink" Target="https://clinicaltrials.gov/study/NCT00842465" TargetMode="External"/><Relationship Id="rId1910" Type="http://schemas.openxmlformats.org/officeDocument/2006/relationships/hyperlink" Target="https://clinicaltrials.gov/study/NCT07492680" TargetMode="External"/><Relationship Id="rId284" Type="http://schemas.openxmlformats.org/officeDocument/2006/relationships/hyperlink" Target="https://clinicaltrials.gov/study/NCT00112697" TargetMode="External"/><Relationship Id="rId491" Type="http://schemas.openxmlformats.org/officeDocument/2006/relationships/hyperlink" Target="https://clinicaltrials.gov/study/NCT02818829" TargetMode="External"/><Relationship Id="rId2172" Type="http://schemas.openxmlformats.org/officeDocument/2006/relationships/hyperlink" Target="https://clinicaltrials.gov/study/NCT02288377" TargetMode="External"/><Relationship Id="rId144" Type="http://schemas.openxmlformats.org/officeDocument/2006/relationships/hyperlink" Target="https://clinicaltrials.gov/study/NCT05512377" TargetMode="External"/><Relationship Id="rId589" Type="http://schemas.openxmlformats.org/officeDocument/2006/relationships/hyperlink" Target="https://clinicaltrials.gov/study/NCT02988960" TargetMode="External"/><Relationship Id="rId796" Type="http://schemas.openxmlformats.org/officeDocument/2006/relationships/hyperlink" Target="https://clinicaltrials.gov/study/NCT05475366" TargetMode="External"/><Relationship Id="rId2477" Type="http://schemas.openxmlformats.org/officeDocument/2006/relationships/hyperlink" Target="https://clinicaltrials.gov/study/NCT00789633" TargetMode="External"/><Relationship Id="rId351" Type="http://schemas.openxmlformats.org/officeDocument/2006/relationships/hyperlink" Target="https://clinicaltrials.gov/study/NCT05275478" TargetMode="External"/><Relationship Id="rId449" Type="http://schemas.openxmlformats.org/officeDocument/2006/relationships/hyperlink" Target="https://clinicaltrials.gov/study/NCT07178587" TargetMode="External"/><Relationship Id="rId656" Type="http://schemas.openxmlformats.org/officeDocument/2006/relationships/hyperlink" Target="https://clinicaltrials.gov/study/NCT02143219" TargetMode="External"/><Relationship Id="rId863" Type="http://schemas.openxmlformats.org/officeDocument/2006/relationships/hyperlink" Target="https://clinicaltrials.gov/study/NCT00112658" TargetMode="External"/><Relationship Id="rId1079" Type="http://schemas.openxmlformats.org/officeDocument/2006/relationships/hyperlink" Target="https://clinicaltrials.gov/study/NCT00112658" TargetMode="External"/><Relationship Id="rId1286" Type="http://schemas.openxmlformats.org/officeDocument/2006/relationships/hyperlink" Target="https://clinicaltrials.gov/study/NCT00634725" TargetMode="External"/><Relationship Id="rId1493" Type="http://schemas.openxmlformats.org/officeDocument/2006/relationships/hyperlink" Target="https://clinicaltrials.gov/study/NCT00112658" TargetMode="External"/><Relationship Id="rId2032" Type="http://schemas.openxmlformats.org/officeDocument/2006/relationships/hyperlink" Target="https://clinicaltrials.gov/study/NCT04925284" TargetMode="External"/><Relationship Id="rId2337" Type="http://schemas.openxmlformats.org/officeDocument/2006/relationships/hyperlink" Target="https://clinicaltrials.gov/study/NCT02539537" TargetMode="External"/><Relationship Id="rId211" Type="http://schemas.openxmlformats.org/officeDocument/2006/relationships/hyperlink" Target="https://clinicaltrials.gov/study/NCT02988960" TargetMode="External"/><Relationship Id="rId309" Type="http://schemas.openxmlformats.org/officeDocument/2006/relationships/hyperlink" Target="https://clinicaltrials.gov/study/NCT04137289" TargetMode="External"/><Relationship Id="rId516" Type="http://schemas.openxmlformats.org/officeDocument/2006/relationships/hyperlink" Target="https://clinicaltrials.gov/study/NCT06625320" TargetMode="External"/><Relationship Id="rId1146" Type="http://schemas.openxmlformats.org/officeDocument/2006/relationships/hyperlink" Target="https://clinicaltrials.gov/study/NCT06333314" TargetMode="External"/><Relationship Id="rId1798" Type="http://schemas.openxmlformats.org/officeDocument/2006/relationships/hyperlink" Target="https://clinicaltrials.gov/study/NCT03394365" TargetMode="External"/><Relationship Id="rId723" Type="http://schemas.openxmlformats.org/officeDocument/2006/relationships/hyperlink" Target="https://clinicaltrials.gov/study/NCT03504423" TargetMode="External"/><Relationship Id="rId930" Type="http://schemas.openxmlformats.org/officeDocument/2006/relationships/hyperlink" Target="https://clinicaltrials.gov/study/NCT07522073" TargetMode="External"/><Relationship Id="rId1006" Type="http://schemas.openxmlformats.org/officeDocument/2006/relationships/hyperlink" Target="https://clinicaltrials.gov/study/NCT02993731" TargetMode="External"/><Relationship Id="rId1353" Type="http://schemas.openxmlformats.org/officeDocument/2006/relationships/hyperlink" Target="https://clinicaltrials.gov/study/NCT00010062" TargetMode="External"/><Relationship Id="rId1560" Type="http://schemas.openxmlformats.org/officeDocument/2006/relationships/hyperlink" Target="https://clinicaltrials.gov/study/NCT01251640" TargetMode="External"/><Relationship Id="rId1658" Type="http://schemas.openxmlformats.org/officeDocument/2006/relationships/hyperlink" Target="https://clinicaltrials.gov/study/NCT02912949" TargetMode="External"/><Relationship Id="rId1865" Type="http://schemas.openxmlformats.org/officeDocument/2006/relationships/hyperlink" Target="https://clinicaltrials.gov/study/NCT06172478" TargetMode="External"/><Relationship Id="rId2404" Type="http://schemas.openxmlformats.org/officeDocument/2006/relationships/hyperlink" Target="https://clinicaltrials.gov/study/NCT01444456" TargetMode="External"/><Relationship Id="rId1213" Type="http://schemas.openxmlformats.org/officeDocument/2006/relationships/hyperlink" Target="https://clinicaltrials.gov/study/NCT01989624" TargetMode="External"/><Relationship Id="rId1420" Type="http://schemas.openxmlformats.org/officeDocument/2006/relationships/hyperlink" Target="https://clinicaltrials.gov/study/NCT00634725" TargetMode="External"/><Relationship Id="rId1518" Type="http://schemas.openxmlformats.org/officeDocument/2006/relationships/hyperlink" Target="https://clinicaltrials.gov/study/NCT00634725" TargetMode="External"/><Relationship Id="rId1725" Type="http://schemas.openxmlformats.org/officeDocument/2006/relationships/hyperlink" Target="https://clinicaltrials.gov/study/NCT01658436" TargetMode="External"/><Relationship Id="rId1932" Type="http://schemas.openxmlformats.org/officeDocument/2006/relationships/hyperlink" Target="https://clinicaltrials.gov/study/NCT03362177" TargetMode="External"/><Relationship Id="rId17" Type="http://schemas.openxmlformats.org/officeDocument/2006/relationships/hyperlink" Target="https://clinicaltrials.gov/study/NCT02806687" TargetMode="External"/><Relationship Id="rId2194" Type="http://schemas.openxmlformats.org/officeDocument/2006/relationships/hyperlink" Target="https://clinicaltrials.gov/study/NCT03400072" TargetMode="External"/><Relationship Id="rId166" Type="http://schemas.openxmlformats.org/officeDocument/2006/relationships/hyperlink" Target="https://clinicaltrials.gov/study/NCT04705818" TargetMode="External"/><Relationship Id="rId373" Type="http://schemas.openxmlformats.org/officeDocument/2006/relationships/hyperlink" Target="https://clinicaltrials.gov/study/NCT07076121" TargetMode="External"/><Relationship Id="rId580" Type="http://schemas.openxmlformats.org/officeDocument/2006/relationships/hyperlink" Target="https://clinicaltrials.gov/study/NCT05208762" TargetMode="External"/><Relationship Id="rId2054" Type="http://schemas.openxmlformats.org/officeDocument/2006/relationships/hyperlink" Target="https://clinicaltrials.gov/study/NCT03693677" TargetMode="External"/><Relationship Id="rId2261" Type="http://schemas.openxmlformats.org/officeDocument/2006/relationships/hyperlink" Target="https://clinicaltrials.gov/study/NCT02352337" TargetMode="External"/><Relationship Id="rId2499" Type="http://schemas.openxmlformats.org/officeDocument/2006/relationships/hyperlink" Target="https://clinicaltrials.gov/study/NCT01689584" TargetMode="External"/><Relationship Id="rId1" Type="http://schemas.openxmlformats.org/officeDocument/2006/relationships/hyperlink" Target="https://clinicaltrials.gov/study/NCT06842303" TargetMode="External"/><Relationship Id="rId233" Type="http://schemas.openxmlformats.org/officeDocument/2006/relationships/hyperlink" Target="https://clinicaltrials.gov/study/NCT05546853" TargetMode="External"/><Relationship Id="rId440" Type="http://schemas.openxmlformats.org/officeDocument/2006/relationships/hyperlink" Target="https://clinicaltrials.gov/study/NCT06586515" TargetMode="External"/><Relationship Id="rId678" Type="http://schemas.openxmlformats.org/officeDocument/2006/relationships/hyperlink" Target="https://clinicaltrials.gov/study/NCT05208762" TargetMode="External"/><Relationship Id="rId885" Type="http://schemas.openxmlformats.org/officeDocument/2006/relationships/hyperlink" Target="https://clinicaltrials.gov/study/NCT06330064" TargetMode="External"/><Relationship Id="rId1070" Type="http://schemas.openxmlformats.org/officeDocument/2006/relationships/hyperlink" Target="https://clinicaltrials.gov/study/NCT03816163" TargetMode="External"/><Relationship Id="rId2121" Type="http://schemas.openxmlformats.org/officeDocument/2006/relationships/hyperlink" Target="https://clinicaltrials.gov/study/NCT01964534" TargetMode="External"/><Relationship Id="rId2359" Type="http://schemas.openxmlformats.org/officeDocument/2006/relationships/hyperlink" Target="https://clinicaltrials.gov/study/NCT02264665" TargetMode="External"/><Relationship Id="rId300" Type="http://schemas.openxmlformats.org/officeDocument/2006/relationships/hyperlink" Target="https://clinicaltrials.gov/study/NCT00428597" TargetMode="External"/><Relationship Id="rId538" Type="http://schemas.openxmlformats.org/officeDocument/2006/relationships/hyperlink" Target="https://clinicaltrials.gov/study/NCT00358566" TargetMode="External"/><Relationship Id="rId745" Type="http://schemas.openxmlformats.org/officeDocument/2006/relationships/hyperlink" Target="https://clinicaltrials.gov/study/NCT06999512" TargetMode="External"/><Relationship Id="rId952" Type="http://schemas.openxmlformats.org/officeDocument/2006/relationships/hyperlink" Target="https://clinicaltrials.gov/study/NCT03816163" TargetMode="External"/><Relationship Id="rId1168" Type="http://schemas.openxmlformats.org/officeDocument/2006/relationships/hyperlink" Target="https://clinicaltrials.gov/study/NCT03806309" TargetMode="External"/><Relationship Id="rId1375" Type="http://schemas.openxmlformats.org/officeDocument/2006/relationships/hyperlink" Target="https://clinicaltrials.gov/study/NCT00075452" TargetMode="External"/><Relationship Id="rId1582" Type="http://schemas.openxmlformats.org/officeDocument/2006/relationships/hyperlink" Target="https://clinicaltrials.gov/study/NCT03599154" TargetMode="External"/><Relationship Id="rId2219" Type="http://schemas.openxmlformats.org/officeDocument/2006/relationships/hyperlink" Target="https://clinicaltrials.gov/study/NCT03351296" TargetMode="External"/><Relationship Id="rId2426" Type="http://schemas.openxmlformats.org/officeDocument/2006/relationships/hyperlink" Target="https://clinicaltrials.gov/study/NCT03693677" TargetMode="External"/><Relationship Id="rId81" Type="http://schemas.openxmlformats.org/officeDocument/2006/relationships/hyperlink" Target="https://clinicaltrials.gov/study/NCT05470738" TargetMode="External"/><Relationship Id="rId605" Type="http://schemas.openxmlformats.org/officeDocument/2006/relationships/hyperlink" Target="https://clinicaltrials.gov/study/NCT01526135" TargetMode="External"/><Relationship Id="rId812" Type="http://schemas.openxmlformats.org/officeDocument/2006/relationships/hyperlink" Target="https://clinicaltrials.gov/study/NCT03806309" TargetMode="External"/><Relationship Id="rId1028" Type="http://schemas.openxmlformats.org/officeDocument/2006/relationships/hyperlink" Target="https://clinicaltrials.gov/study/NCT05776342" TargetMode="External"/><Relationship Id="rId1235" Type="http://schemas.openxmlformats.org/officeDocument/2006/relationships/hyperlink" Target="https://clinicaltrials.gov/study/NCT07547033" TargetMode="External"/><Relationship Id="rId1442" Type="http://schemas.openxmlformats.org/officeDocument/2006/relationships/hyperlink" Target="https://clinicaltrials.gov/study/NCT00303758" TargetMode="External"/><Relationship Id="rId1887" Type="http://schemas.openxmlformats.org/officeDocument/2006/relationships/hyperlink" Target="https://clinicaltrials.gov/study/NCT01373164" TargetMode="External"/><Relationship Id="rId1302" Type="http://schemas.openxmlformats.org/officeDocument/2006/relationships/hyperlink" Target="https://clinicaltrials.gov/study/NCT00303758" TargetMode="External"/><Relationship Id="rId1747" Type="http://schemas.openxmlformats.org/officeDocument/2006/relationships/hyperlink" Target="https://clinicaltrials.gov/study/NCT01494506" TargetMode="External"/><Relationship Id="rId1954" Type="http://schemas.openxmlformats.org/officeDocument/2006/relationships/hyperlink" Target="https://clinicaltrials.gov/study/NCT02352337" TargetMode="External"/><Relationship Id="rId39" Type="http://schemas.openxmlformats.org/officeDocument/2006/relationships/hyperlink" Target="https://clinicaltrials.gov/study/NCT05846516" TargetMode="External"/><Relationship Id="rId1607" Type="http://schemas.openxmlformats.org/officeDocument/2006/relationships/hyperlink" Target="https://clinicaltrials.gov/study/NCT05988814" TargetMode="External"/><Relationship Id="rId1814" Type="http://schemas.openxmlformats.org/officeDocument/2006/relationships/hyperlink" Target="https://clinicaltrials.gov/study/NCT04431258" TargetMode="External"/><Relationship Id="rId188" Type="http://schemas.openxmlformats.org/officeDocument/2006/relationships/hyperlink" Target="https://clinicaltrials.gov/study/NCT06885034" TargetMode="External"/><Relationship Id="rId395" Type="http://schemas.openxmlformats.org/officeDocument/2006/relationships/hyperlink" Target="https://clinicaltrials.gov/study/NCT02979483" TargetMode="External"/><Relationship Id="rId2076" Type="http://schemas.openxmlformats.org/officeDocument/2006/relationships/hyperlink" Target="https://clinicaltrials.gov/study/NCT02818907" TargetMode="External"/><Relationship Id="rId2283" Type="http://schemas.openxmlformats.org/officeDocument/2006/relationships/hyperlink" Target="https://clinicaltrials.gov/study/NCT02853474" TargetMode="External"/><Relationship Id="rId2490" Type="http://schemas.openxmlformats.org/officeDocument/2006/relationships/hyperlink" Target="https://clinicaltrials.gov/study/NCT01444456" TargetMode="External"/><Relationship Id="rId255" Type="http://schemas.openxmlformats.org/officeDocument/2006/relationships/hyperlink" Target="https://clinicaltrials.gov/study/NCT06128343" TargetMode="External"/><Relationship Id="rId462" Type="http://schemas.openxmlformats.org/officeDocument/2006/relationships/hyperlink" Target="https://clinicaltrials.gov/study/NCT05477576" TargetMode="External"/><Relationship Id="rId1092" Type="http://schemas.openxmlformats.org/officeDocument/2006/relationships/hyperlink" Target="https://clinicaltrials.gov/study/NCT02818829" TargetMode="External"/><Relationship Id="rId1397" Type="http://schemas.openxmlformats.org/officeDocument/2006/relationships/hyperlink" Target="https://clinicaltrials.gov/study/NCT01989624" TargetMode="External"/><Relationship Id="rId2143" Type="http://schemas.openxmlformats.org/officeDocument/2006/relationships/hyperlink" Target="https://clinicaltrials.gov/study/NCT01214720" TargetMode="External"/><Relationship Id="rId2350" Type="http://schemas.openxmlformats.org/officeDocument/2006/relationships/hyperlink" Target="https://clinicaltrials.gov/study/NCT02264665" TargetMode="External"/><Relationship Id="rId115" Type="http://schemas.openxmlformats.org/officeDocument/2006/relationships/hyperlink" Target="https://clinicaltrials.gov/study/NCT00268411" TargetMode="External"/><Relationship Id="rId322" Type="http://schemas.openxmlformats.org/officeDocument/2006/relationships/hyperlink" Target="https://clinicaltrials.gov/study/NCT02077933" TargetMode="External"/><Relationship Id="rId767" Type="http://schemas.openxmlformats.org/officeDocument/2006/relationships/hyperlink" Target="https://clinicaltrials.gov/study/NCT00918853" TargetMode="External"/><Relationship Id="rId974" Type="http://schemas.openxmlformats.org/officeDocument/2006/relationships/hyperlink" Target="https://clinicaltrials.gov/study/NCT00010062" TargetMode="External"/><Relationship Id="rId2003" Type="http://schemas.openxmlformats.org/officeDocument/2006/relationships/hyperlink" Target="https://clinicaltrials.gov/study/NCT05065801" TargetMode="External"/><Relationship Id="rId2210" Type="http://schemas.openxmlformats.org/officeDocument/2006/relationships/hyperlink" Target="https://clinicaltrials.gov/study/NCT00312013" TargetMode="External"/><Relationship Id="rId2448" Type="http://schemas.openxmlformats.org/officeDocument/2006/relationships/hyperlink" Target="https://clinicaltrials.gov/study/NCT02827201" TargetMode="External"/><Relationship Id="rId627" Type="http://schemas.openxmlformats.org/officeDocument/2006/relationships/hyperlink" Target="https://clinicaltrials.gov/study/NCT04570943" TargetMode="External"/><Relationship Id="rId834" Type="http://schemas.openxmlformats.org/officeDocument/2006/relationships/hyperlink" Target="https://clinicaltrials.gov/study/NCT01989624" TargetMode="External"/><Relationship Id="rId1257" Type="http://schemas.openxmlformats.org/officeDocument/2006/relationships/hyperlink" Target="https://clinicaltrials.gov/study/NCT00303758" TargetMode="External"/><Relationship Id="rId1464" Type="http://schemas.openxmlformats.org/officeDocument/2006/relationships/hyperlink" Target="https://clinicaltrials.gov/study/NCT00010088" TargetMode="External"/><Relationship Id="rId1671" Type="http://schemas.openxmlformats.org/officeDocument/2006/relationships/hyperlink" Target="https://clinicaltrials.gov/study/NCT02711137" TargetMode="External"/><Relationship Id="rId2308" Type="http://schemas.openxmlformats.org/officeDocument/2006/relationships/hyperlink" Target="https://clinicaltrials.gov/study/NCT02288377" TargetMode="External"/><Relationship Id="rId2515" Type="http://schemas.openxmlformats.org/officeDocument/2006/relationships/hyperlink" Target="https://clinicaltrials.gov/study/NCT01689584" TargetMode="External"/><Relationship Id="rId901" Type="http://schemas.openxmlformats.org/officeDocument/2006/relationships/hyperlink" Target="https://clinicaltrials.gov/study/NCT03816163" TargetMode="External"/><Relationship Id="rId1117" Type="http://schemas.openxmlformats.org/officeDocument/2006/relationships/hyperlink" Target="https://clinicaltrials.gov/study/NCT06333314" TargetMode="External"/><Relationship Id="rId1324" Type="http://schemas.openxmlformats.org/officeDocument/2006/relationships/hyperlink" Target="https://clinicaltrials.gov/study/NCT00075452" TargetMode="External"/><Relationship Id="rId1531" Type="http://schemas.openxmlformats.org/officeDocument/2006/relationships/hyperlink" Target="https://clinicaltrials.gov/study/NCT00634725" TargetMode="External"/><Relationship Id="rId1769" Type="http://schemas.openxmlformats.org/officeDocument/2006/relationships/hyperlink" Target="https://clinicaltrials.gov/study/NCT03766295" TargetMode="External"/><Relationship Id="rId1976" Type="http://schemas.openxmlformats.org/officeDocument/2006/relationships/hyperlink" Target="https://clinicaltrials.gov/study/NCT00312013" TargetMode="External"/><Relationship Id="rId30" Type="http://schemas.openxmlformats.org/officeDocument/2006/relationships/hyperlink" Target="https://clinicaltrials.gov/study/NCT07044453" TargetMode="External"/><Relationship Id="rId1629" Type="http://schemas.openxmlformats.org/officeDocument/2006/relationships/hyperlink" Target="https://clinicaltrials.gov/study/NCT07252570" TargetMode="External"/><Relationship Id="rId1836" Type="http://schemas.openxmlformats.org/officeDocument/2006/relationships/hyperlink" Target="https://clinicaltrials.gov/study/NCT04698915" TargetMode="External"/><Relationship Id="rId1903" Type="http://schemas.openxmlformats.org/officeDocument/2006/relationships/hyperlink" Target="https://clinicaltrials.gov/study/NCT01964534" TargetMode="External"/><Relationship Id="rId2098" Type="http://schemas.openxmlformats.org/officeDocument/2006/relationships/hyperlink" Target="https://clinicaltrials.gov/study/NCT00312013" TargetMode="External"/><Relationship Id="rId277" Type="http://schemas.openxmlformats.org/officeDocument/2006/relationships/hyperlink" Target="https://clinicaltrials.gov/study/NCT02119663" TargetMode="External"/><Relationship Id="rId484" Type="http://schemas.openxmlformats.org/officeDocument/2006/relationships/hyperlink" Target="https://clinicaltrials.gov/study/NCT04704154" TargetMode="External"/><Relationship Id="rId2165" Type="http://schemas.openxmlformats.org/officeDocument/2006/relationships/hyperlink" Target="https://clinicaltrials.gov/study/NCT06177327" TargetMode="External"/><Relationship Id="rId137" Type="http://schemas.openxmlformats.org/officeDocument/2006/relationships/hyperlink" Target="https://clinicaltrials.gov/study/NCT02143219" TargetMode="External"/><Relationship Id="rId344" Type="http://schemas.openxmlformats.org/officeDocument/2006/relationships/hyperlink" Target="https://clinicaltrials.gov/study/NCT00428220" TargetMode="External"/><Relationship Id="rId691" Type="http://schemas.openxmlformats.org/officeDocument/2006/relationships/hyperlink" Target="https://clinicaltrials.gov/study/NCT06892054" TargetMode="External"/><Relationship Id="rId789" Type="http://schemas.openxmlformats.org/officeDocument/2006/relationships/hyperlink" Target="https://clinicaltrials.gov/study/NCT04570943" TargetMode="External"/><Relationship Id="rId996" Type="http://schemas.openxmlformats.org/officeDocument/2006/relationships/hyperlink" Target="https://clinicaltrials.gov/study/NCT07547033" TargetMode="External"/><Relationship Id="rId2025" Type="http://schemas.openxmlformats.org/officeDocument/2006/relationships/hyperlink" Target="https://clinicaltrials.gov/study/NCT03797326" TargetMode="External"/><Relationship Id="rId2372" Type="http://schemas.openxmlformats.org/officeDocument/2006/relationships/hyperlink" Target="https://clinicaltrials.gov/study/NCT00789633" TargetMode="External"/><Relationship Id="rId551" Type="http://schemas.openxmlformats.org/officeDocument/2006/relationships/hyperlink" Target="https://clinicaltrials.gov/study/NCT02143219" TargetMode="External"/><Relationship Id="rId649" Type="http://schemas.openxmlformats.org/officeDocument/2006/relationships/hyperlink" Target="https://clinicaltrials.gov/study/NCT02715804" TargetMode="External"/><Relationship Id="rId856" Type="http://schemas.openxmlformats.org/officeDocument/2006/relationships/hyperlink" Target="https://clinicaltrials.gov/study/NCT06275737" TargetMode="External"/><Relationship Id="rId1181" Type="http://schemas.openxmlformats.org/officeDocument/2006/relationships/hyperlink" Target="https://clinicaltrials.gov/study/NCT05470738" TargetMode="External"/><Relationship Id="rId1279" Type="http://schemas.openxmlformats.org/officeDocument/2006/relationships/hyperlink" Target="https://clinicaltrials.gov/study/NCT01989624" TargetMode="External"/><Relationship Id="rId1486" Type="http://schemas.openxmlformats.org/officeDocument/2006/relationships/hyperlink" Target="https://clinicaltrials.gov/study/NCT00112658" TargetMode="External"/><Relationship Id="rId2232" Type="http://schemas.openxmlformats.org/officeDocument/2006/relationships/hyperlink" Target="https://clinicaltrials.gov/study/NCT03787056" TargetMode="External"/><Relationship Id="rId204" Type="http://schemas.openxmlformats.org/officeDocument/2006/relationships/hyperlink" Target="https://clinicaltrials.gov/study/NCT05732831" TargetMode="External"/><Relationship Id="rId411" Type="http://schemas.openxmlformats.org/officeDocument/2006/relationships/hyperlink" Target="https://clinicaltrials.gov/study/NCT02993731" TargetMode="External"/><Relationship Id="rId509" Type="http://schemas.openxmlformats.org/officeDocument/2006/relationships/hyperlink" Target="https://clinicaltrials.gov/study/NCT06608927" TargetMode="External"/><Relationship Id="rId1041" Type="http://schemas.openxmlformats.org/officeDocument/2006/relationships/hyperlink" Target="https://clinicaltrials.gov/study/NCT00075452" TargetMode="External"/><Relationship Id="rId1139" Type="http://schemas.openxmlformats.org/officeDocument/2006/relationships/hyperlink" Target="https://clinicaltrials.gov/study/NCT00268411" TargetMode="External"/><Relationship Id="rId1346" Type="http://schemas.openxmlformats.org/officeDocument/2006/relationships/hyperlink" Target="https://clinicaltrials.gov/study/NCT04348045" TargetMode="External"/><Relationship Id="rId1693" Type="http://schemas.openxmlformats.org/officeDocument/2006/relationships/hyperlink" Target="https://clinicaltrials.gov/study/NCT03362177" TargetMode="External"/><Relationship Id="rId1998" Type="http://schemas.openxmlformats.org/officeDocument/2006/relationships/hyperlink" Target="https://clinicaltrials.gov/study/NCT00789633" TargetMode="External"/><Relationship Id="rId716" Type="http://schemas.openxmlformats.org/officeDocument/2006/relationships/hyperlink" Target="https://clinicaltrials.gov/study/NCT00075452" TargetMode="External"/><Relationship Id="rId923" Type="http://schemas.openxmlformats.org/officeDocument/2006/relationships/hyperlink" Target="https://clinicaltrials.gov/study/NCT00303758" TargetMode="External"/><Relationship Id="rId1553" Type="http://schemas.openxmlformats.org/officeDocument/2006/relationships/hyperlink" Target="https://clinicaltrials.gov/study/NCT04422730" TargetMode="External"/><Relationship Id="rId1760" Type="http://schemas.openxmlformats.org/officeDocument/2006/relationships/hyperlink" Target="https://clinicaltrials.gov/study/NCT02777710" TargetMode="External"/><Relationship Id="rId1858" Type="http://schemas.openxmlformats.org/officeDocument/2006/relationships/hyperlink" Target="https://clinicaltrials.gov/study/NCT07260617" TargetMode="External"/><Relationship Id="rId52" Type="http://schemas.openxmlformats.org/officeDocument/2006/relationships/hyperlink" Target="https://clinicaltrials.gov/study/NCT01416662" TargetMode="External"/><Relationship Id="rId1206" Type="http://schemas.openxmlformats.org/officeDocument/2006/relationships/hyperlink" Target="https://clinicaltrials.gov/study/NCT00064207" TargetMode="External"/><Relationship Id="rId1413" Type="http://schemas.openxmlformats.org/officeDocument/2006/relationships/hyperlink" Target="https://clinicaltrials.gov/study/NCT00634725" TargetMode="External"/><Relationship Id="rId1620" Type="http://schemas.openxmlformats.org/officeDocument/2006/relationships/hyperlink" Target="https://clinicaltrials.gov/study/NCT01494506" TargetMode="External"/><Relationship Id="rId1718" Type="http://schemas.openxmlformats.org/officeDocument/2006/relationships/hyperlink" Target="https://clinicaltrials.gov/study/NCT01368094" TargetMode="External"/><Relationship Id="rId1925" Type="http://schemas.openxmlformats.org/officeDocument/2006/relationships/hyperlink" Target="https://clinicaltrials.gov/study/NCT03797326" TargetMode="External"/><Relationship Id="rId299" Type="http://schemas.openxmlformats.org/officeDocument/2006/relationships/hyperlink" Target="https://clinicaltrials.gov/study/NCT00471146" TargetMode="External"/><Relationship Id="rId2187" Type="http://schemas.openxmlformats.org/officeDocument/2006/relationships/hyperlink" Target="https://clinicaltrials.gov/study/NCT01444456" TargetMode="External"/><Relationship Id="rId2394" Type="http://schemas.openxmlformats.org/officeDocument/2006/relationships/hyperlink" Target="https://clinicaltrials.gov/study/NCT03693677" TargetMode="External"/><Relationship Id="rId159" Type="http://schemas.openxmlformats.org/officeDocument/2006/relationships/hyperlink" Target="https://clinicaltrials.gov/study/NCT05403554" TargetMode="External"/><Relationship Id="rId366" Type="http://schemas.openxmlformats.org/officeDocument/2006/relationships/hyperlink" Target="https://clinicaltrials.gov/study/NCT06892054" TargetMode="External"/><Relationship Id="rId573" Type="http://schemas.openxmlformats.org/officeDocument/2006/relationships/hyperlink" Target="https://clinicaltrials.gov/study/NCT04325425" TargetMode="External"/><Relationship Id="rId780" Type="http://schemas.openxmlformats.org/officeDocument/2006/relationships/hyperlink" Target="https://clinicaltrials.gov/study/NCT02436668" TargetMode="External"/><Relationship Id="rId2047" Type="http://schemas.openxmlformats.org/officeDocument/2006/relationships/hyperlink" Target="https://clinicaltrials.gov/study/NCT02352337" TargetMode="External"/><Relationship Id="rId2254" Type="http://schemas.openxmlformats.org/officeDocument/2006/relationships/hyperlink" Target="https://clinicaltrials.gov/study/NCT01689584" TargetMode="External"/><Relationship Id="rId2461" Type="http://schemas.openxmlformats.org/officeDocument/2006/relationships/hyperlink" Target="https://clinicaltrials.gov/study/NCT01689584" TargetMode="External"/><Relationship Id="rId226" Type="http://schemas.openxmlformats.org/officeDocument/2006/relationships/hyperlink" Target="https://clinicaltrials.gov/study/NCT02806687" TargetMode="External"/><Relationship Id="rId433" Type="http://schemas.openxmlformats.org/officeDocument/2006/relationships/hyperlink" Target="https://clinicaltrials.gov/study/NCT00010062" TargetMode="External"/><Relationship Id="rId878" Type="http://schemas.openxmlformats.org/officeDocument/2006/relationships/hyperlink" Target="https://clinicaltrials.gov/study/NCT06128551" TargetMode="External"/><Relationship Id="rId1063" Type="http://schemas.openxmlformats.org/officeDocument/2006/relationships/hyperlink" Target="https://clinicaltrials.gov/study/NCT05776342" TargetMode="External"/><Relationship Id="rId1270" Type="http://schemas.openxmlformats.org/officeDocument/2006/relationships/hyperlink" Target="https://clinicaltrials.gov/study/NCT00634725" TargetMode="External"/><Relationship Id="rId2114" Type="http://schemas.openxmlformats.org/officeDocument/2006/relationships/hyperlink" Target="https://clinicaltrials.gov/study/NCT03351296" TargetMode="External"/><Relationship Id="rId640" Type="http://schemas.openxmlformats.org/officeDocument/2006/relationships/hyperlink" Target="https://clinicaltrials.gov/study/NCT00010088" TargetMode="External"/><Relationship Id="rId738" Type="http://schemas.openxmlformats.org/officeDocument/2006/relationships/hyperlink" Target="https://clinicaltrials.gov/study/NCT02143219" TargetMode="External"/><Relationship Id="rId945" Type="http://schemas.openxmlformats.org/officeDocument/2006/relationships/hyperlink" Target="https://clinicaltrials.gov/study/NCT01526135" TargetMode="External"/><Relationship Id="rId1368" Type="http://schemas.openxmlformats.org/officeDocument/2006/relationships/hyperlink" Target="https://clinicaltrials.gov/study/NCT00634725" TargetMode="External"/><Relationship Id="rId1575" Type="http://schemas.openxmlformats.org/officeDocument/2006/relationships/hyperlink" Target="https://clinicaltrials.gov/study/NCT06334458" TargetMode="External"/><Relationship Id="rId1782" Type="http://schemas.openxmlformats.org/officeDocument/2006/relationships/hyperlink" Target="https://clinicaltrials.gov/study/NCT03098550" TargetMode="External"/><Relationship Id="rId2321" Type="http://schemas.openxmlformats.org/officeDocument/2006/relationships/hyperlink" Target="https://clinicaltrials.gov/study/NCT02288377" TargetMode="External"/><Relationship Id="rId2419" Type="http://schemas.openxmlformats.org/officeDocument/2006/relationships/hyperlink" Target="https://clinicaltrials.gov/study/NCT02264665" TargetMode="External"/><Relationship Id="rId74" Type="http://schemas.openxmlformats.org/officeDocument/2006/relationships/hyperlink" Target="https://clinicaltrials.gov/study/NCT07028424" TargetMode="External"/><Relationship Id="rId500" Type="http://schemas.openxmlformats.org/officeDocument/2006/relationships/hyperlink" Target="https://clinicaltrials.gov/study/NCT01124786" TargetMode="External"/><Relationship Id="rId805" Type="http://schemas.openxmlformats.org/officeDocument/2006/relationships/hyperlink" Target="https://clinicaltrials.gov/study/NCT02715804" TargetMode="External"/><Relationship Id="rId1130" Type="http://schemas.openxmlformats.org/officeDocument/2006/relationships/hyperlink" Target="https://clinicaltrials.gov/study/NCT07547033" TargetMode="External"/><Relationship Id="rId1228" Type="http://schemas.openxmlformats.org/officeDocument/2006/relationships/hyperlink" Target="https://clinicaltrials.gov/study/NCT06333314" TargetMode="External"/><Relationship Id="rId1435" Type="http://schemas.openxmlformats.org/officeDocument/2006/relationships/hyperlink" Target="https://clinicaltrials.gov/study/NCT00112658" TargetMode="External"/><Relationship Id="rId1642" Type="http://schemas.openxmlformats.org/officeDocument/2006/relationships/hyperlink" Target="https://clinicaltrials.gov/study/NCT06881992" TargetMode="External"/><Relationship Id="rId1947" Type="http://schemas.openxmlformats.org/officeDocument/2006/relationships/hyperlink" Target="https://clinicaltrials.gov/study/NCT00789633" TargetMode="External"/><Relationship Id="rId1502" Type="http://schemas.openxmlformats.org/officeDocument/2006/relationships/hyperlink" Target="https://clinicaltrials.gov/study/NCT00112658" TargetMode="External"/><Relationship Id="rId1807" Type="http://schemas.openxmlformats.org/officeDocument/2006/relationships/hyperlink" Target="https://clinicaltrials.gov/study/NCT00035035" TargetMode="External"/><Relationship Id="rId290" Type="http://schemas.openxmlformats.org/officeDocument/2006/relationships/hyperlink" Target="https://clinicaltrials.gov/study/NCT00303758" TargetMode="External"/><Relationship Id="rId388" Type="http://schemas.openxmlformats.org/officeDocument/2006/relationships/hyperlink" Target="https://clinicaltrials.gov/study/NCT04990037" TargetMode="External"/><Relationship Id="rId2069" Type="http://schemas.openxmlformats.org/officeDocument/2006/relationships/hyperlink" Target="https://clinicaltrials.gov/study/NCT04925284" TargetMode="External"/><Relationship Id="rId150" Type="http://schemas.openxmlformats.org/officeDocument/2006/relationships/hyperlink" Target="https://clinicaltrials.gov/study/NCT06128551" TargetMode="External"/><Relationship Id="rId595" Type="http://schemas.openxmlformats.org/officeDocument/2006/relationships/hyperlink" Target="https://clinicaltrials.gov/study/NCT06330064" TargetMode="External"/><Relationship Id="rId2276" Type="http://schemas.openxmlformats.org/officeDocument/2006/relationships/hyperlink" Target="https://clinicaltrials.gov/study/NCT03351296" TargetMode="External"/><Relationship Id="rId2483" Type="http://schemas.openxmlformats.org/officeDocument/2006/relationships/hyperlink" Target="https://clinicaltrials.gov/study/NCT00789633" TargetMode="External"/><Relationship Id="rId248" Type="http://schemas.openxmlformats.org/officeDocument/2006/relationships/hyperlink" Target="https://clinicaltrials.gov/study/NCT04888312" TargetMode="External"/><Relationship Id="rId455" Type="http://schemas.openxmlformats.org/officeDocument/2006/relationships/hyperlink" Target="https://clinicaltrials.gov/study/NCT02077933" TargetMode="External"/><Relationship Id="rId662" Type="http://schemas.openxmlformats.org/officeDocument/2006/relationships/hyperlink" Target="https://clinicaltrials.gov/study/NCT06710132" TargetMode="External"/><Relationship Id="rId1085" Type="http://schemas.openxmlformats.org/officeDocument/2006/relationships/hyperlink" Target="https://clinicaltrials.gov/study/NCT03806309" TargetMode="External"/><Relationship Id="rId1292" Type="http://schemas.openxmlformats.org/officeDocument/2006/relationships/hyperlink" Target="https://clinicaltrials.gov/study/NCT03806309" TargetMode="External"/><Relationship Id="rId2136" Type="http://schemas.openxmlformats.org/officeDocument/2006/relationships/hyperlink" Target="https://clinicaltrials.gov/study/NCT03485209" TargetMode="External"/><Relationship Id="rId2343" Type="http://schemas.openxmlformats.org/officeDocument/2006/relationships/hyperlink" Target="https://clinicaltrials.gov/study/NCT02676349" TargetMode="External"/><Relationship Id="rId108" Type="http://schemas.openxmlformats.org/officeDocument/2006/relationships/hyperlink" Target="https://clinicaltrials.gov/study/NCT02119663" TargetMode="External"/><Relationship Id="rId315" Type="http://schemas.openxmlformats.org/officeDocument/2006/relationships/hyperlink" Target="https://clinicaltrials.gov/study/NCT06305247" TargetMode="External"/><Relationship Id="rId522" Type="http://schemas.openxmlformats.org/officeDocument/2006/relationships/hyperlink" Target="https://clinicaltrials.gov/study/NCT07144917" TargetMode="External"/><Relationship Id="rId967" Type="http://schemas.openxmlformats.org/officeDocument/2006/relationships/hyperlink" Target="https://clinicaltrials.gov/study/NCT00112658" TargetMode="External"/><Relationship Id="rId1152" Type="http://schemas.openxmlformats.org/officeDocument/2006/relationships/hyperlink" Target="https://clinicaltrials.gov/study/NCT01989624" TargetMode="External"/><Relationship Id="rId1597" Type="http://schemas.openxmlformats.org/officeDocument/2006/relationships/hyperlink" Target="https://clinicaltrials.gov/study/NCT04931069" TargetMode="External"/><Relationship Id="rId2203" Type="http://schemas.openxmlformats.org/officeDocument/2006/relationships/hyperlink" Target="https://clinicaltrials.gov/study/NCT02539537" TargetMode="External"/><Relationship Id="rId2410" Type="http://schemas.openxmlformats.org/officeDocument/2006/relationships/hyperlink" Target="https://clinicaltrials.gov/study/NCT03693677" TargetMode="External"/><Relationship Id="rId96" Type="http://schemas.openxmlformats.org/officeDocument/2006/relationships/hyperlink" Target="https://clinicaltrials.gov/study/NCT00844649" TargetMode="External"/><Relationship Id="rId827" Type="http://schemas.openxmlformats.org/officeDocument/2006/relationships/hyperlink" Target="https://clinicaltrials.gov/study/NCT02568267" TargetMode="External"/><Relationship Id="rId1012" Type="http://schemas.openxmlformats.org/officeDocument/2006/relationships/hyperlink" Target="https://clinicaltrials.gov/study/NCT00303758" TargetMode="External"/><Relationship Id="rId1457" Type="http://schemas.openxmlformats.org/officeDocument/2006/relationships/hyperlink" Target="https://clinicaltrials.gov/study/NCT00634725" TargetMode="External"/><Relationship Id="rId1664" Type="http://schemas.openxmlformats.org/officeDocument/2006/relationships/hyperlink" Target="https://clinicaltrials.gov/study/NCT04924075" TargetMode="External"/><Relationship Id="rId1871" Type="http://schemas.openxmlformats.org/officeDocument/2006/relationships/hyperlink" Target="https://clinicaltrials.gov/study/NCT04925284" TargetMode="External"/><Relationship Id="rId2508" Type="http://schemas.openxmlformats.org/officeDocument/2006/relationships/hyperlink" Target="https://clinicaltrials.gov/study/NCT02539537" TargetMode="External"/><Relationship Id="rId1317" Type="http://schemas.openxmlformats.org/officeDocument/2006/relationships/hyperlink" Target="https://clinicaltrials.gov/study/NCT00010062" TargetMode="External"/><Relationship Id="rId1524" Type="http://schemas.openxmlformats.org/officeDocument/2006/relationships/hyperlink" Target="https://clinicaltrials.gov/study/NCT00634725" TargetMode="External"/><Relationship Id="rId1731" Type="http://schemas.openxmlformats.org/officeDocument/2006/relationships/hyperlink" Target="https://clinicaltrials.gov/study/NCT01563133" TargetMode="External"/><Relationship Id="rId1969" Type="http://schemas.openxmlformats.org/officeDocument/2006/relationships/hyperlink" Target="https://clinicaltrials.gov/study/NCT02853474" TargetMode="External"/><Relationship Id="rId23" Type="http://schemas.openxmlformats.org/officeDocument/2006/relationships/hyperlink" Target="https://clinicaltrials.gov/study/NCT01526135" TargetMode="External"/><Relationship Id="rId1829" Type="http://schemas.openxmlformats.org/officeDocument/2006/relationships/hyperlink" Target="https://clinicaltrials.gov/study/NCT02539537" TargetMode="External"/><Relationship Id="rId2298" Type="http://schemas.openxmlformats.org/officeDocument/2006/relationships/hyperlink" Target="https://clinicaltrials.gov/study/NCT03693677" TargetMode="External"/><Relationship Id="rId172" Type="http://schemas.openxmlformats.org/officeDocument/2006/relationships/hyperlink" Target="https://clinicaltrials.gov/study/NCT00633789" TargetMode="External"/><Relationship Id="rId477" Type="http://schemas.openxmlformats.org/officeDocument/2006/relationships/hyperlink" Target="https://clinicaltrials.gov/study/NCT05275478" TargetMode="External"/><Relationship Id="rId684" Type="http://schemas.openxmlformats.org/officeDocument/2006/relationships/hyperlink" Target="https://clinicaltrials.gov/study/NCT02568267" TargetMode="External"/><Relationship Id="rId2060" Type="http://schemas.openxmlformats.org/officeDocument/2006/relationships/hyperlink" Target="https://clinicaltrials.gov/study/NCT02264665" TargetMode="External"/><Relationship Id="rId2158" Type="http://schemas.openxmlformats.org/officeDocument/2006/relationships/hyperlink" Target="https://clinicaltrials.gov/study/NCT02184663" TargetMode="External"/><Relationship Id="rId2365" Type="http://schemas.openxmlformats.org/officeDocument/2006/relationships/hyperlink" Target="https://clinicaltrials.gov/study/NCT02827201" TargetMode="External"/><Relationship Id="rId337" Type="http://schemas.openxmlformats.org/officeDocument/2006/relationships/hyperlink" Target="https://clinicaltrials.gov/study/NCT02611024" TargetMode="External"/><Relationship Id="rId891" Type="http://schemas.openxmlformats.org/officeDocument/2006/relationships/hyperlink" Target="https://clinicaltrials.gov/study/NCT05776342" TargetMode="External"/><Relationship Id="rId989" Type="http://schemas.openxmlformats.org/officeDocument/2006/relationships/hyperlink" Target="https://clinicaltrials.gov/study/NCT05776342" TargetMode="External"/><Relationship Id="rId2018" Type="http://schemas.openxmlformats.org/officeDocument/2006/relationships/hyperlink" Target="https://clinicaltrials.gov/study/NCT02264665" TargetMode="External"/><Relationship Id="rId544" Type="http://schemas.openxmlformats.org/officeDocument/2006/relationships/hyperlink" Target="https://clinicaltrials.gov/study/NCT00006117" TargetMode="External"/><Relationship Id="rId751" Type="http://schemas.openxmlformats.org/officeDocument/2006/relationships/hyperlink" Target="https://clinicaltrials.gov/study/NCT00363051" TargetMode="External"/><Relationship Id="rId849" Type="http://schemas.openxmlformats.org/officeDocument/2006/relationships/hyperlink" Target="https://clinicaltrials.gov/study/NCT06128343" TargetMode="External"/><Relationship Id="rId1174" Type="http://schemas.openxmlformats.org/officeDocument/2006/relationships/hyperlink" Target="https://clinicaltrials.gov/study/NCT01989624" TargetMode="External"/><Relationship Id="rId1381" Type="http://schemas.openxmlformats.org/officeDocument/2006/relationships/hyperlink" Target="https://clinicaltrials.gov/study/NCT01989624" TargetMode="External"/><Relationship Id="rId1479" Type="http://schemas.openxmlformats.org/officeDocument/2006/relationships/hyperlink" Target="https://clinicaltrials.gov/study/NCT01989624" TargetMode="External"/><Relationship Id="rId1686" Type="http://schemas.openxmlformats.org/officeDocument/2006/relationships/hyperlink" Target="https://clinicaltrials.gov/study/NCT04639219" TargetMode="External"/><Relationship Id="rId2225" Type="http://schemas.openxmlformats.org/officeDocument/2006/relationships/hyperlink" Target="https://clinicaltrials.gov/study/NCT01964534" TargetMode="External"/><Relationship Id="rId2432" Type="http://schemas.openxmlformats.org/officeDocument/2006/relationships/hyperlink" Target="https://clinicaltrials.gov/study/NCT02827201" TargetMode="External"/><Relationship Id="rId404" Type="http://schemas.openxmlformats.org/officeDocument/2006/relationships/hyperlink" Target="https://clinicaltrials.gov/study/NCT05254171" TargetMode="External"/><Relationship Id="rId611" Type="http://schemas.openxmlformats.org/officeDocument/2006/relationships/hyperlink" Target="https://clinicaltrials.gov/study/NCT05968326" TargetMode="External"/><Relationship Id="rId1034" Type="http://schemas.openxmlformats.org/officeDocument/2006/relationships/hyperlink" Target="https://clinicaltrials.gov/study/NCT07547033" TargetMode="External"/><Relationship Id="rId1241" Type="http://schemas.openxmlformats.org/officeDocument/2006/relationships/hyperlink" Target="https://clinicaltrials.gov/study/NCT00303758" TargetMode="External"/><Relationship Id="rId1339" Type="http://schemas.openxmlformats.org/officeDocument/2006/relationships/hyperlink" Target="https://clinicaltrials.gov/study/NCT00112658" TargetMode="External"/><Relationship Id="rId1893" Type="http://schemas.openxmlformats.org/officeDocument/2006/relationships/hyperlink" Target="https://clinicaltrials.gov/study/NCT02288377" TargetMode="External"/><Relationship Id="rId709" Type="http://schemas.openxmlformats.org/officeDocument/2006/relationships/hyperlink" Target="https://clinicaltrials.gov/study/NCT07097064" TargetMode="External"/><Relationship Id="rId916" Type="http://schemas.openxmlformats.org/officeDocument/2006/relationships/hyperlink" Target="https://clinicaltrials.gov/study/NCT00358566" TargetMode="External"/><Relationship Id="rId1101" Type="http://schemas.openxmlformats.org/officeDocument/2006/relationships/hyperlink" Target="https://clinicaltrials.gov/study/NCT03816163" TargetMode="External"/><Relationship Id="rId1546" Type="http://schemas.openxmlformats.org/officeDocument/2006/relationships/hyperlink" Target="https://clinicaltrials.gov/study/NCT02651987" TargetMode="External"/><Relationship Id="rId1753" Type="http://schemas.openxmlformats.org/officeDocument/2006/relationships/hyperlink" Target="https://clinicaltrials.gov/study/NCT00510068" TargetMode="External"/><Relationship Id="rId1960" Type="http://schemas.openxmlformats.org/officeDocument/2006/relationships/hyperlink" Target="https://clinicaltrials.gov/study/NCT02246127" TargetMode="External"/><Relationship Id="rId45" Type="http://schemas.openxmlformats.org/officeDocument/2006/relationships/hyperlink" Target="https://clinicaltrials.gov/study/NCT04483726" TargetMode="External"/><Relationship Id="rId1406" Type="http://schemas.openxmlformats.org/officeDocument/2006/relationships/hyperlink" Target="https://clinicaltrials.gov/study/NCT00634725" TargetMode="External"/><Relationship Id="rId1613" Type="http://schemas.openxmlformats.org/officeDocument/2006/relationships/hyperlink" Target="https://clinicaltrials.gov/study/NCT03471468" TargetMode="External"/><Relationship Id="rId1820" Type="http://schemas.openxmlformats.org/officeDocument/2006/relationships/hyperlink" Target="https://clinicaltrials.gov/study/NCT00652366" TargetMode="External"/><Relationship Id="rId194" Type="http://schemas.openxmlformats.org/officeDocument/2006/relationships/hyperlink" Target="https://clinicaltrials.gov/study/NCT06026410" TargetMode="External"/><Relationship Id="rId1918" Type="http://schemas.openxmlformats.org/officeDocument/2006/relationships/hyperlink" Target="https://clinicaltrials.gov/study/NCT02912949" TargetMode="External"/><Relationship Id="rId2082" Type="http://schemas.openxmlformats.org/officeDocument/2006/relationships/hyperlink" Target="https://clinicaltrials.gov/study/NCT05065801" TargetMode="External"/><Relationship Id="rId261" Type="http://schemas.openxmlformats.org/officeDocument/2006/relationships/hyperlink" Target="https://clinicaltrials.gov/study/NCT07144917" TargetMode="External"/><Relationship Id="rId499" Type="http://schemas.openxmlformats.org/officeDocument/2006/relationships/hyperlink" Target="https://clinicaltrials.gov/study/NCT05546853" TargetMode="External"/><Relationship Id="rId2387" Type="http://schemas.openxmlformats.org/officeDocument/2006/relationships/hyperlink" Target="https://clinicaltrials.gov/study/NCT01444456" TargetMode="External"/><Relationship Id="rId359" Type="http://schemas.openxmlformats.org/officeDocument/2006/relationships/hyperlink" Target="https://clinicaltrials.gov/study/NCT05094336" TargetMode="External"/><Relationship Id="rId566" Type="http://schemas.openxmlformats.org/officeDocument/2006/relationships/hyperlink" Target="https://clinicaltrials.gov/study/NCT05403554" TargetMode="External"/><Relationship Id="rId773" Type="http://schemas.openxmlformats.org/officeDocument/2006/relationships/hyperlink" Target="https://clinicaltrials.gov/study/NCT04083235" TargetMode="External"/><Relationship Id="rId1196" Type="http://schemas.openxmlformats.org/officeDocument/2006/relationships/hyperlink" Target="https://clinicaltrials.gov/study/NCT03943667" TargetMode="External"/><Relationship Id="rId2247" Type="http://schemas.openxmlformats.org/officeDocument/2006/relationships/hyperlink" Target="https://clinicaltrials.gov/study/NCT02853474" TargetMode="External"/><Relationship Id="rId2454" Type="http://schemas.openxmlformats.org/officeDocument/2006/relationships/hyperlink" Target="https://clinicaltrials.gov/study/NCT00789633" TargetMode="External"/><Relationship Id="rId121" Type="http://schemas.openxmlformats.org/officeDocument/2006/relationships/hyperlink" Target="https://clinicaltrials.gov/study/NCT02715804" TargetMode="External"/><Relationship Id="rId219" Type="http://schemas.openxmlformats.org/officeDocument/2006/relationships/hyperlink" Target="https://clinicaltrials.gov/study/NCT06330064" TargetMode="External"/><Relationship Id="rId426" Type="http://schemas.openxmlformats.org/officeDocument/2006/relationships/hyperlink" Target="https://clinicaltrials.gov/study/NCT00006117" TargetMode="External"/><Relationship Id="rId633" Type="http://schemas.openxmlformats.org/officeDocument/2006/relationships/hyperlink" Target="https://clinicaltrials.gov/study/NCT06275737" TargetMode="External"/><Relationship Id="rId980" Type="http://schemas.openxmlformats.org/officeDocument/2006/relationships/hyperlink" Target="https://clinicaltrials.gov/study/NCT01964430" TargetMode="External"/><Relationship Id="rId1056" Type="http://schemas.openxmlformats.org/officeDocument/2006/relationships/hyperlink" Target="https://clinicaltrials.gov/study/NCT01964430" TargetMode="External"/><Relationship Id="rId1263" Type="http://schemas.openxmlformats.org/officeDocument/2006/relationships/hyperlink" Target="https://clinicaltrials.gov/study/NCT01989624" TargetMode="External"/><Relationship Id="rId2107" Type="http://schemas.openxmlformats.org/officeDocument/2006/relationships/hyperlink" Target="https://clinicaltrials.gov/study/NCT01689584" TargetMode="External"/><Relationship Id="rId2314" Type="http://schemas.openxmlformats.org/officeDocument/2006/relationships/hyperlink" Target="https://clinicaltrials.gov/study/NCT02853474" TargetMode="External"/><Relationship Id="rId840" Type="http://schemas.openxmlformats.org/officeDocument/2006/relationships/hyperlink" Target="https://clinicaltrials.gov/study/NCT05546853" TargetMode="External"/><Relationship Id="rId938" Type="http://schemas.openxmlformats.org/officeDocument/2006/relationships/hyperlink" Target="https://clinicaltrials.gov/study/NCT06330064" TargetMode="External"/><Relationship Id="rId1470" Type="http://schemas.openxmlformats.org/officeDocument/2006/relationships/hyperlink" Target="https://clinicaltrials.gov/study/NCT00010088" TargetMode="External"/><Relationship Id="rId1568" Type="http://schemas.openxmlformats.org/officeDocument/2006/relationships/hyperlink" Target="https://clinicaltrials.gov/study/NCT01368094" TargetMode="External"/><Relationship Id="rId1775" Type="http://schemas.openxmlformats.org/officeDocument/2006/relationships/hyperlink" Target="https://clinicaltrials.gov/study/NCT06973161" TargetMode="External"/><Relationship Id="rId2521" Type="http://schemas.openxmlformats.org/officeDocument/2006/relationships/hyperlink" Target="https://clinicaltrials.gov/study/NCT01689584" TargetMode="External"/><Relationship Id="rId67" Type="http://schemas.openxmlformats.org/officeDocument/2006/relationships/hyperlink" Target="https://clinicaltrials.gov/study/NCT06659705" TargetMode="External"/><Relationship Id="rId700" Type="http://schemas.openxmlformats.org/officeDocument/2006/relationships/hyperlink" Target="https://clinicaltrials.gov/study/NCT05546853" TargetMode="External"/><Relationship Id="rId1123" Type="http://schemas.openxmlformats.org/officeDocument/2006/relationships/hyperlink" Target="https://clinicaltrials.gov/study/NCT02818829" TargetMode="External"/><Relationship Id="rId1330" Type="http://schemas.openxmlformats.org/officeDocument/2006/relationships/hyperlink" Target="https://clinicaltrials.gov/study/NCT00010062" TargetMode="External"/><Relationship Id="rId1428" Type="http://schemas.openxmlformats.org/officeDocument/2006/relationships/hyperlink" Target="https://clinicaltrials.gov/study/NCT00010088" TargetMode="External"/><Relationship Id="rId1635" Type="http://schemas.openxmlformats.org/officeDocument/2006/relationships/hyperlink" Target="https://clinicaltrials.gov/study/NCT05850130" TargetMode="External"/><Relationship Id="rId1982" Type="http://schemas.openxmlformats.org/officeDocument/2006/relationships/hyperlink" Target="https://clinicaltrials.gov/study/NCT03915678" TargetMode="External"/><Relationship Id="rId1842" Type="http://schemas.openxmlformats.org/officeDocument/2006/relationships/hyperlink" Target="https://clinicaltrials.gov/study/NCT03941093" TargetMode="External"/><Relationship Id="rId1702" Type="http://schemas.openxmlformats.org/officeDocument/2006/relationships/hyperlink" Target="https://clinicaltrials.gov/study/NCT06177327" TargetMode="External"/><Relationship Id="rId283" Type="http://schemas.openxmlformats.org/officeDocument/2006/relationships/hyperlink" Target="https://clinicaltrials.gov/study/NCT00112658" TargetMode="External"/><Relationship Id="rId490" Type="http://schemas.openxmlformats.org/officeDocument/2006/relationships/hyperlink" Target="https://clinicaltrials.gov/study/NCT06892054" TargetMode="External"/><Relationship Id="rId2171" Type="http://schemas.openxmlformats.org/officeDocument/2006/relationships/hyperlink" Target="https://clinicaltrials.gov/study/NCT03351296" TargetMode="External"/><Relationship Id="rId143" Type="http://schemas.openxmlformats.org/officeDocument/2006/relationships/hyperlink" Target="https://clinicaltrials.gov/study/NCT00428597" TargetMode="External"/><Relationship Id="rId350" Type="http://schemas.openxmlformats.org/officeDocument/2006/relationships/hyperlink" Target="https://clinicaltrials.gov/study/NCT05706129" TargetMode="External"/><Relationship Id="rId588" Type="http://schemas.openxmlformats.org/officeDocument/2006/relationships/hyperlink" Target="https://clinicaltrials.gov/study/NCT02568267" TargetMode="External"/><Relationship Id="rId795" Type="http://schemas.openxmlformats.org/officeDocument/2006/relationships/hyperlink" Target="https://clinicaltrials.gov/study/NCT00634725" TargetMode="External"/><Relationship Id="rId2031" Type="http://schemas.openxmlformats.org/officeDocument/2006/relationships/hyperlink" Target="https://clinicaltrials.gov/study/NCT03485209" TargetMode="External"/><Relationship Id="rId2269" Type="http://schemas.openxmlformats.org/officeDocument/2006/relationships/hyperlink" Target="https://clinicaltrials.gov/study/NCT01444456" TargetMode="External"/><Relationship Id="rId2476" Type="http://schemas.openxmlformats.org/officeDocument/2006/relationships/hyperlink" Target="https://clinicaltrials.gov/study/NCT01689584" TargetMode="External"/><Relationship Id="rId9" Type="http://schemas.openxmlformats.org/officeDocument/2006/relationships/hyperlink" Target="https://clinicaltrials.gov/study/NCT06893536" TargetMode="External"/><Relationship Id="rId210" Type="http://schemas.openxmlformats.org/officeDocument/2006/relationships/hyperlink" Target="https://clinicaltrials.gov/study/NCT02568267" TargetMode="External"/><Relationship Id="rId448" Type="http://schemas.openxmlformats.org/officeDocument/2006/relationships/hyperlink" Target="https://clinicaltrials.gov/study/NCT07094204" TargetMode="External"/><Relationship Id="rId655" Type="http://schemas.openxmlformats.org/officeDocument/2006/relationships/hyperlink" Target="https://clinicaltrials.gov/study/NCT00010062" TargetMode="External"/><Relationship Id="rId862" Type="http://schemas.openxmlformats.org/officeDocument/2006/relationships/hyperlink" Target="https://clinicaltrials.gov/study/NCT00268411" TargetMode="External"/><Relationship Id="rId1078" Type="http://schemas.openxmlformats.org/officeDocument/2006/relationships/hyperlink" Target="https://clinicaltrials.gov/study/NCT00268411" TargetMode="External"/><Relationship Id="rId1285" Type="http://schemas.openxmlformats.org/officeDocument/2006/relationships/hyperlink" Target="https://clinicaltrials.gov/study/NCT00075452" TargetMode="External"/><Relationship Id="rId1492" Type="http://schemas.openxmlformats.org/officeDocument/2006/relationships/hyperlink" Target="https://clinicaltrials.gov/study/NCT00634725" TargetMode="External"/><Relationship Id="rId2129" Type="http://schemas.openxmlformats.org/officeDocument/2006/relationships/hyperlink" Target="https://clinicaltrials.gov/study/NCT02184663" TargetMode="External"/><Relationship Id="rId2336" Type="http://schemas.openxmlformats.org/officeDocument/2006/relationships/hyperlink" Target="https://clinicaltrials.gov/study/NCT02827201" TargetMode="External"/><Relationship Id="rId308" Type="http://schemas.openxmlformats.org/officeDocument/2006/relationships/hyperlink" Target="https://clinicaltrials.gov/study/NCT00662688" TargetMode="External"/><Relationship Id="rId515" Type="http://schemas.openxmlformats.org/officeDocument/2006/relationships/hyperlink" Target="https://clinicaltrials.gov/study/NCT07097064" TargetMode="External"/><Relationship Id="rId722" Type="http://schemas.openxmlformats.org/officeDocument/2006/relationships/hyperlink" Target="https://clinicaltrials.gov/study/NCT00191568" TargetMode="External"/><Relationship Id="rId1145" Type="http://schemas.openxmlformats.org/officeDocument/2006/relationships/hyperlink" Target="https://clinicaltrials.gov/study/NCT03806309" TargetMode="External"/><Relationship Id="rId1352" Type="http://schemas.openxmlformats.org/officeDocument/2006/relationships/hyperlink" Target="https://clinicaltrials.gov/study/NCT00064207" TargetMode="External"/><Relationship Id="rId1797" Type="http://schemas.openxmlformats.org/officeDocument/2006/relationships/hyperlink" Target="https://clinicaltrials.gov/study/NCT01689584" TargetMode="External"/><Relationship Id="rId2403" Type="http://schemas.openxmlformats.org/officeDocument/2006/relationships/hyperlink" Target="https://clinicaltrials.gov/study/NCT02264665" TargetMode="External"/><Relationship Id="rId89" Type="http://schemas.openxmlformats.org/officeDocument/2006/relationships/hyperlink" Target="https://clinicaltrials.gov/study/NCT07243288" TargetMode="External"/><Relationship Id="rId1005" Type="http://schemas.openxmlformats.org/officeDocument/2006/relationships/hyperlink" Target="https://clinicaltrials.gov/study/NCT00634725" TargetMode="External"/><Relationship Id="rId1212" Type="http://schemas.openxmlformats.org/officeDocument/2006/relationships/hyperlink" Target="https://clinicaltrials.gov/study/NCT00918853" TargetMode="External"/><Relationship Id="rId1657" Type="http://schemas.openxmlformats.org/officeDocument/2006/relationships/hyperlink" Target="https://clinicaltrials.gov/study/NCT03766295" TargetMode="External"/><Relationship Id="rId1864" Type="http://schemas.openxmlformats.org/officeDocument/2006/relationships/hyperlink" Target="https://clinicaltrials.gov/study/NCT03915678" TargetMode="External"/><Relationship Id="rId1517" Type="http://schemas.openxmlformats.org/officeDocument/2006/relationships/hyperlink" Target="https://clinicaltrials.gov/study/NCT01989624" TargetMode="External"/><Relationship Id="rId1724" Type="http://schemas.openxmlformats.org/officeDocument/2006/relationships/hyperlink" Target="https://clinicaltrials.gov/study/NCT01373164" TargetMode="External"/><Relationship Id="rId16" Type="http://schemas.openxmlformats.org/officeDocument/2006/relationships/hyperlink" Target="https://clinicaltrials.gov/study/NCT01765036" TargetMode="External"/><Relationship Id="rId1931" Type="http://schemas.openxmlformats.org/officeDocument/2006/relationships/hyperlink" Target="https://clinicaltrials.gov/study/NCT03485209" TargetMode="External"/><Relationship Id="rId2193" Type="http://schemas.openxmlformats.org/officeDocument/2006/relationships/hyperlink" Target="https://clinicaltrials.gov/study/NCT02676349" TargetMode="External"/><Relationship Id="rId2498" Type="http://schemas.openxmlformats.org/officeDocument/2006/relationships/hyperlink" Target="https://clinicaltrials.gov/study/NCT01444456" TargetMode="External"/><Relationship Id="rId165" Type="http://schemas.openxmlformats.org/officeDocument/2006/relationships/hyperlink" Target="https://clinicaltrials.gov/study/NCT00363051" TargetMode="External"/><Relationship Id="rId372" Type="http://schemas.openxmlformats.org/officeDocument/2006/relationships/hyperlink" Target="https://clinicaltrials.gov/study/NCT01526135" TargetMode="External"/><Relationship Id="rId677" Type="http://schemas.openxmlformats.org/officeDocument/2006/relationships/hyperlink" Target="https://clinicaltrials.gov/study/NCT02820857" TargetMode="External"/><Relationship Id="rId2053" Type="http://schemas.openxmlformats.org/officeDocument/2006/relationships/hyperlink" Target="https://clinicaltrials.gov/study/NCT02246127" TargetMode="External"/><Relationship Id="rId2260" Type="http://schemas.openxmlformats.org/officeDocument/2006/relationships/hyperlink" Target="https://clinicaltrials.gov/study/NCT03022188" TargetMode="External"/><Relationship Id="rId2358" Type="http://schemas.openxmlformats.org/officeDocument/2006/relationships/hyperlink" Target="https://clinicaltrials.gov/study/NCT03693677" TargetMode="External"/><Relationship Id="rId232" Type="http://schemas.openxmlformats.org/officeDocument/2006/relationships/hyperlink" Target="https://clinicaltrials.gov/study/NCT03943667" TargetMode="External"/><Relationship Id="rId884" Type="http://schemas.openxmlformats.org/officeDocument/2006/relationships/hyperlink" Target="https://clinicaltrials.gov/study/NCT02568267" TargetMode="External"/><Relationship Id="rId2120" Type="http://schemas.openxmlformats.org/officeDocument/2006/relationships/hyperlink" Target="https://clinicaltrials.gov/study/NCT02539537" TargetMode="External"/><Relationship Id="rId537" Type="http://schemas.openxmlformats.org/officeDocument/2006/relationships/hyperlink" Target="https://clinicaltrials.gov/study/NCT01956812" TargetMode="External"/><Relationship Id="rId744" Type="http://schemas.openxmlformats.org/officeDocument/2006/relationships/hyperlink" Target="https://clinicaltrials.gov/study/NCT06710132" TargetMode="External"/><Relationship Id="rId951" Type="http://schemas.openxmlformats.org/officeDocument/2006/relationships/hyperlink" Target="https://clinicaltrials.gov/study/NCT07547033" TargetMode="External"/><Relationship Id="rId1167" Type="http://schemas.openxmlformats.org/officeDocument/2006/relationships/hyperlink" Target="https://clinicaltrials.gov/study/NCT00010062" TargetMode="External"/><Relationship Id="rId1374" Type="http://schemas.openxmlformats.org/officeDocument/2006/relationships/hyperlink" Target="https://clinicaltrials.gov/study/NCT01526135" TargetMode="External"/><Relationship Id="rId1581" Type="http://schemas.openxmlformats.org/officeDocument/2006/relationships/hyperlink" Target="https://clinicaltrials.gov/study/NCT00930410" TargetMode="External"/><Relationship Id="rId1679" Type="http://schemas.openxmlformats.org/officeDocument/2006/relationships/hyperlink" Target="https://clinicaltrials.gov/study/NCT03797326" TargetMode="External"/><Relationship Id="rId2218" Type="http://schemas.openxmlformats.org/officeDocument/2006/relationships/hyperlink" Target="https://clinicaltrials.gov/study/NCT00789633" TargetMode="External"/><Relationship Id="rId2425" Type="http://schemas.openxmlformats.org/officeDocument/2006/relationships/hyperlink" Target="https://clinicaltrials.gov/study/NCT02539537" TargetMode="External"/><Relationship Id="rId80" Type="http://schemas.openxmlformats.org/officeDocument/2006/relationships/hyperlink" Target="https://clinicaltrials.gov/study/NCT05525286" TargetMode="External"/><Relationship Id="rId604" Type="http://schemas.openxmlformats.org/officeDocument/2006/relationships/hyperlink" Target="https://clinicaltrials.gov/study/NCT04083235" TargetMode="External"/><Relationship Id="rId811" Type="http://schemas.openxmlformats.org/officeDocument/2006/relationships/hyperlink" Target="https://clinicaltrials.gov/study/NCT00010062" TargetMode="External"/><Relationship Id="rId1027" Type="http://schemas.openxmlformats.org/officeDocument/2006/relationships/hyperlink" Target="https://clinicaltrials.gov/study/NCT01989624" TargetMode="External"/><Relationship Id="rId1234" Type="http://schemas.openxmlformats.org/officeDocument/2006/relationships/hyperlink" Target="https://clinicaltrials.gov/study/NCT04348045" TargetMode="External"/><Relationship Id="rId1441" Type="http://schemas.openxmlformats.org/officeDocument/2006/relationships/hyperlink" Target="https://clinicaltrials.gov/study/NCT00112658" TargetMode="External"/><Relationship Id="rId1886" Type="http://schemas.openxmlformats.org/officeDocument/2006/relationships/hyperlink" Target="https://clinicaltrials.gov/study/NCT01395017" TargetMode="External"/><Relationship Id="rId909" Type="http://schemas.openxmlformats.org/officeDocument/2006/relationships/hyperlink" Target="https://clinicaltrials.gov/study/NCT00075452" TargetMode="External"/><Relationship Id="rId1301" Type="http://schemas.openxmlformats.org/officeDocument/2006/relationships/hyperlink" Target="https://clinicaltrials.gov/study/NCT00112658" TargetMode="External"/><Relationship Id="rId1539" Type="http://schemas.openxmlformats.org/officeDocument/2006/relationships/hyperlink" Target="https://clinicaltrials.gov/study/NCT06211933" TargetMode="External"/><Relationship Id="rId1746" Type="http://schemas.openxmlformats.org/officeDocument/2006/relationships/hyperlink" Target="https://clinicaltrials.gov/study/NCT01964534" TargetMode="External"/><Relationship Id="rId1953" Type="http://schemas.openxmlformats.org/officeDocument/2006/relationships/hyperlink" Target="https://clinicaltrials.gov/study/NCT05065801" TargetMode="External"/><Relationship Id="rId38" Type="http://schemas.openxmlformats.org/officeDocument/2006/relationships/hyperlink" Target="https://clinicaltrials.gov/study/NCT01204372" TargetMode="External"/><Relationship Id="rId1606" Type="http://schemas.openxmlformats.org/officeDocument/2006/relationships/hyperlink" Target="https://clinicaltrials.gov/study/NCT03679169" TargetMode="External"/><Relationship Id="rId1813" Type="http://schemas.openxmlformats.org/officeDocument/2006/relationships/hyperlink" Target="https://clinicaltrials.gov/study/NCT00789633" TargetMode="External"/><Relationship Id="rId187" Type="http://schemas.openxmlformats.org/officeDocument/2006/relationships/hyperlink" Target="https://clinicaltrials.gov/study/NCT04299880" TargetMode="External"/><Relationship Id="rId394" Type="http://schemas.openxmlformats.org/officeDocument/2006/relationships/hyperlink" Target="https://clinicaltrials.gov/study/NCT06625320" TargetMode="External"/><Relationship Id="rId2075" Type="http://schemas.openxmlformats.org/officeDocument/2006/relationships/hyperlink" Target="https://clinicaltrials.gov/study/NCT01395017" TargetMode="External"/><Relationship Id="rId2282" Type="http://schemas.openxmlformats.org/officeDocument/2006/relationships/hyperlink" Target="https://clinicaltrials.gov/study/NCT03693677" TargetMode="External"/><Relationship Id="rId254" Type="http://schemas.openxmlformats.org/officeDocument/2006/relationships/hyperlink" Target="https://clinicaltrials.gov/study/NCT02979483" TargetMode="External"/><Relationship Id="rId699" Type="http://schemas.openxmlformats.org/officeDocument/2006/relationships/hyperlink" Target="https://clinicaltrials.gov/study/NCT03943667" TargetMode="External"/><Relationship Id="rId1091" Type="http://schemas.openxmlformats.org/officeDocument/2006/relationships/hyperlink" Target="https://clinicaltrials.gov/study/NCT00918853" TargetMode="External"/><Relationship Id="rId114" Type="http://schemas.openxmlformats.org/officeDocument/2006/relationships/hyperlink" Target="https://clinicaltrials.gov/study/NCT06287749" TargetMode="External"/><Relationship Id="rId461" Type="http://schemas.openxmlformats.org/officeDocument/2006/relationships/hyperlink" Target="https://clinicaltrials.gov/study/NCT05059444" TargetMode="External"/><Relationship Id="rId559" Type="http://schemas.openxmlformats.org/officeDocument/2006/relationships/hyperlink" Target="https://clinicaltrials.gov/study/NCT06999512" TargetMode="External"/><Relationship Id="rId766" Type="http://schemas.openxmlformats.org/officeDocument/2006/relationships/hyperlink" Target="https://clinicaltrials.gov/study/NCT03377491" TargetMode="External"/><Relationship Id="rId1189" Type="http://schemas.openxmlformats.org/officeDocument/2006/relationships/hyperlink" Target="https://clinicaltrials.gov/study/NCT03806309" TargetMode="External"/><Relationship Id="rId1396" Type="http://schemas.openxmlformats.org/officeDocument/2006/relationships/hyperlink" Target="https://clinicaltrials.gov/study/NCT00064207" TargetMode="External"/><Relationship Id="rId2142" Type="http://schemas.openxmlformats.org/officeDocument/2006/relationships/hyperlink" Target="https://clinicaltrials.gov/study/NCT00789633" TargetMode="External"/><Relationship Id="rId2447" Type="http://schemas.openxmlformats.org/officeDocument/2006/relationships/hyperlink" Target="https://clinicaltrials.gov/study/NCT02352337" TargetMode="External"/><Relationship Id="rId321" Type="http://schemas.openxmlformats.org/officeDocument/2006/relationships/hyperlink" Target="https://clinicaltrials.gov/study/NCT06458712" TargetMode="External"/><Relationship Id="rId419" Type="http://schemas.openxmlformats.org/officeDocument/2006/relationships/hyperlink" Target="https://clinicaltrials.gov/study/NCT00550004" TargetMode="External"/><Relationship Id="rId626" Type="http://schemas.openxmlformats.org/officeDocument/2006/relationships/hyperlink" Target="https://clinicaltrials.gov/study/NCT07028424" TargetMode="External"/><Relationship Id="rId973" Type="http://schemas.openxmlformats.org/officeDocument/2006/relationships/hyperlink" Target="https://clinicaltrials.gov/study/NCT00064207" TargetMode="External"/><Relationship Id="rId1049" Type="http://schemas.openxmlformats.org/officeDocument/2006/relationships/hyperlink" Target="https://clinicaltrials.gov/study/NCT00303758" TargetMode="External"/><Relationship Id="rId1256" Type="http://schemas.openxmlformats.org/officeDocument/2006/relationships/hyperlink" Target="https://clinicaltrials.gov/study/NCT00112658" TargetMode="External"/><Relationship Id="rId2002" Type="http://schemas.openxmlformats.org/officeDocument/2006/relationships/hyperlink" Target="https://clinicaltrials.gov/study/NCT03022188" TargetMode="External"/><Relationship Id="rId2307" Type="http://schemas.openxmlformats.org/officeDocument/2006/relationships/hyperlink" Target="https://clinicaltrials.gov/study/NCT03351296" TargetMode="External"/><Relationship Id="rId833" Type="http://schemas.openxmlformats.org/officeDocument/2006/relationships/hyperlink" Target="https://clinicaltrials.gov/study/NCT02818829" TargetMode="External"/><Relationship Id="rId1116" Type="http://schemas.openxmlformats.org/officeDocument/2006/relationships/hyperlink" Target="https://clinicaltrials.gov/study/NCT03806309" TargetMode="External"/><Relationship Id="rId1463" Type="http://schemas.openxmlformats.org/officeDocument/2006/relationships/hyperlink" Target="https://clinicaltrials.gov/study/NCT00634725" TargetMode="External"/><Relationship Id="rId1670" Type="http://schemas.openxmlformats.org/officeDocument/2006/relationships/hyperlink" Target="https://clinicaltrials.gov/study/NCT00955773" TargetMode="External"/><Relationship Id="rId1768" Type="http://schemas.openxmlformats.org/officeDocument/2006/relationships/hyperlink" Target="https://clinicaltrials.gov/study/NCT04919226" TargetMode="External"/><Relationship Id="rId2514" Type="http://schemas.openxmlformats.org/officeDocument/2006/relationships/hyperlink" Target="https://clinicaltrials.gov/study/NCT02352337" TargetMode="External"/><Relationship Id="rId900" Type="http://schemas.openxmlformats.org/officeDocument/2006/relationships/hyperlink" Target="https://clinicaltrials.gov/study/NCT07547033" TargetMode="External"/><Relationship Id="rId1323" Type="http://schemas.openxmlformats.org/officeDocument/2006/relationships/hyperlink" Target="https://clinicaltrials.gov/study/NCT04348045" TargetMode="External"/><Relationship Id="rId1530" Type="http://schemas.openxmlformats.org/officeDocument/2006/relationships/hyperlink" Target="https://clinicaltrials.gov/study/NCT00634725" TargetMode="External"/><Relationship Id="rId1628" Type="http://schemas.openxmlformats.org/officeDocument/2006/relationships/hyperlink" Target="https://clinicaltrials.gov/study/NCT04698915" TargetMode="External"/><Relationship Id="rId1975" Type="http://schemas.openxmlformats.org/officeDocument/2006/relationships/hyperlink" Target="https://clinicaltrials.gov/study/NCT04924075" TargetMode="External"/><Relationship Id="rId1835" Type="http://schemas.openxmlformats.org/officeDocument/2006/relationships/hyperlink" Target="https://clinicaltrials.gov/study/NCT00841191" TargetMode="External"/><Relationship Id="rId1902" Type="http://schemas.openxmlformats.org/officeDocument/2006/relationships/hyperlink" Target="https://clinicaltrials.gov/study/NCT02539537" TargetMode="External"/><Relationship Id="rId2097" Type="http://schemas.openxmlformats.org/officeDocument/2006/relationships/hyperlink" Target="https://clinicaltrials.gov/study/NCT02184663" TargetMode="External"/><Relationship Id="rId276" Type="http://schemas.openxmlformats.org/officeDocument/2006/relationships/hyperlink" Target="https://clinicaltrials.gov/study/NCT00010088" TargetMode="External"/><Relationship Id="rId483" Type="http://schemas.openxmlformats.org/officeDocument/2006/relationships/hyperlink" Target="https://clinicaltrials.gov/study/NCT05094336" TargetMode="External"/><Relationship Id="rId690" Type="http://schemas.openxmlformats.org/officeDocument/2006/relationships/hyperlink" Target="https://clinicaltrials.gov/study/NCT00918853" TargetMode="External"/><Relationship Id="rId2164" Type="http://schemas.openxmlformats.org/officeDocument/2006/relationships/hyperlink" Target="https://clinicaltrials.gov/study/NCT03485209" TargetMode="External"/><Relationship Id="rId2371" Type="http://schemas.openxmlformats.org/officeDocument/2006/relationships/hyperlink" Target="https://clinicaltrials.gov/study/NCT02676349" TargetMode="External"/><Relationship Id="rId136" Type="http://schemas.openxmlformats.org/officeDocument/2006/relationships/hyperlink" Target="https://clinicaltrials.gov/study/NCT00010062" TargetMode="External"/><Relationship Id="rId343" Type="http://schemas.openxmlformats.org/officeDocument/2006/relationships/hyperlink" Target="https://clinicaltrials.gov/study/NCT07094113" TargetMode="External"/><Relationship Id="rId550" Type="http://schemas.openxmlformats.org/officeDocument/2006/relationships/hyperlink" Target="https://clinicaltrials.gov/study/NCT00010062" TargetMode="External"/><Relationship Id="rId788" Type="http://schemas.openxmlformats.org/officeDocument/2006/relationships/hyperlink" Target="https://clinicaltrials.gov/study/NCT07028424" TargetMode="External"/><Relationship Id="rId995" Type="http://schemas.openxmlformats.org/officeDocument/2006/relationships/hyperlink" Target="https://clinicaltrials.gov/study/NCT04348045" TargetMode="External"/><Relationship Id="rId1180" Type="http://schemas.openxmlformats.org/officeDocument/2006/relationships/hyperlink" Target="https://clinicaltrials.gov/study/NCT07097064" TargetMode="External"/><Relationship Id="rId2024" Type="http://schemas.openxmlformats.org/officeDocument/2006/relationships/hyperlink" Target="https://clinicaltrials.gov/study/NCT04548960" TargetMode="External"/><Relationship Id="rId2231" Type="http://schemas.openxmlformats.org/officeDocument/2006/relationships/hyperlink" Target="https://clinicaltrials.gov/study/NCT01444456" TargetMode="External"/><Relationship Id="rId2469" Type="http://schemas.openxmlformats.org/officeDocument/2006/relationships/hyperlink" Target="https://clinicaltrials.gov/study/NCT01689584" TargetMode="External"/><Relationship Id="rId203" Type="http://schemas.openxmlformats.org/officeDocument/2006/relationships/hyperlink" Target="https://clinicaltrials.gov/study/NCT00896467" TargetMode="External"/><Relationship Id="rId648" Type="http://schemas.openxmlformats.org/officeDocument/2006/relationships/hyperlink" Target="https://clinicaltrials.gov/study/NCT00902291" TargetMode="External"/><Relationship Id="rId855" Type="http://schemas.openxmlformats.org/officeDocument/2006/relationships/hyperlink" Target="https://clinicaltrials.gov/study/NCT03126435" TargetMode="External"/><Relationship Id="rId1040" Type="http://schemas.openxmlformats.org/officeDocument/2006/relationships/hyperlink" Target="https://clinicaltrials.gov/study/NCT02184195" TargetMode="External"/><Relationship Id="rId1278" Type="http://schemas.openxmlformats.org/officeDocument/2006/relationships/hyperlink" Target="https://clinicaltrials.gov/study/NCT02820857" TargetMode="External"/><Relationship Id="rId1485" Type="http://schemas.openxmlformats.org/officeDocument/2006/relationships/hyperlink" Target="https://clinicaltrials.gov/study/NCT00010088" TargetMode="External"/><Relationship Id="rId1692" Type="http://schemas.openxmlformats.org/officeDocument/2006/relationships/hyperlink" Target="https://clinicaltrials.gov/study/NCT03009058" TargetMode="External"/><Relationship Id="rId2329" Type="http://schemas.openxmlformats.org/officeDocument/2006/relationships/hyperlink" Target="https://clinicaltrials.gov/study/NCT01444456" TargetMode="External"/><Relationship Id="rId410" Type="http://schemas.openxmlformats.org/officeDocument/2006/relationships/hyperlink" Target="https://clinicaltrials.gov/study/NCT00844649" TargetMode="External"/><Relationship Id="rId508" Type="http://schemas.openxmlformats.org/officeDocument/2006/relationships/hyperlink" Target="https://clinicaltrials.gov/study/NCT07547033" TargetMode="External"/><Relationship Id="rId715" Type="http://schemas.openxmlformats.org/officeDocument/2006/relationships/hyperlink" Target="https://clinicaltrials.gov/study/NCT02184195" TargetMode="External"/><Relationship Id="rId922" Type="http://schemas.openxmlformats.org/officeDocument/2006/relationships/hyperlink" Target="https://clinicaltrials.gov/study/NCT00003029" TargetMode="External"/><Relationship Id="rId1138" Type="http://schemas.openxmlformats.org/officeDocument/2006/relationships/hyperlink" Target="https://clinicaltrials.gov/study/NCT00010088" TargetMode="External"/><Relationship Id="rId1345" Type="http://schemas.openxmlformats.org/officeDocument/2006/relationships/hyperlink" Target="https://clinicaltrials.gov/study/NCT01526135" TargetMode="External"/><Relationship Id="rId1552" Type="http://schemas.openxmlformats.org/officeDocument/2006/relationships/hyperlink" Target="https://clinicaltrials.gov/study/NCT05546970" TargetMode="External"/><Relationship Id="rId1997" Type="http://schemas.openxmlformats.org/officeDocument/2006/relationships/hyperlink" Target="https://clinicaltrials.gov/study/NCT02818907" TargetMode="External"/><Relationship Id="rId1205" Type="http://schemas.openxmlformats.org/officeDocument/2006/relationships/hyperlink" Target="https://clinicaltrials.gov/study/NCT00303758" TargetMode="External"/><Relationship Id="rId1857" Type="http://schemas.openxmlformats.org/officeDocument/2006/relationships/hyperlink" Target="https://clinicaltrials.gov/study/NCT04548960" TargetMode="External"/><Relationship Id="rId51" Type="http://schemas.openxmlformats.org/officeDocument/2006/relationships/hyperlink" Target="https://clinicaltrials.gov/study/NCT02078232" TargetMode="External"/><Relationship Id="rId1412" Type="http://schemas.openxmlformats.org/officeDocument/2006/relationships/hyperlink" Target="https://clinicaltrials.gov/study/NCT00075452" TargetMode="External"/><Relationship Id="rId1717" Type="http://schemas.openxmlformats.org/officeDocument/2006/relationships/hyperlink" Target="https://clinicaltrials.gov/study/NCT00219557" TargetMode="External"/><Relationship Id="rId1924" Type="http://schemas.openxmlformats.org/officeDocument/2006/relationships/hyperlink" Target="https://clinicaltrials.gov/study/NCT04548960" TargetMode="External"/><Relationship Id="rId298" Type="http://schemas.openxmlformats.org/officeDocument/2006/relationships/hyperlink" Target="https://clinicaltrials.gov/study/NCT06333314" TargetMode="External"/><Relationship Id="rId158" Type="http://schemas.openxmlformats.org/officeDocument/2006/relationships/hyperlink" Target="https://clinicaltrials.gov/study/NCT03791073" TargetMode="External"/><Relationship Id="rId2186" Type="http://schemas.openxmlformats.org/officeDocument/2006/relationships/hyperlink" Target="https://clinicaltrials.gov/study/NCT04548960" TargetMode="External"/><Relationship Id="rId2393" Type="http://schemas.openxmlformats.org/officeDocument/2006/relationships/hyperlink" Target="https://clinicaltrials.gov/study/NCT02539537" TargetMode="External"/><Relationship Id="rId365" Type="http://schemas.openxmlformats.org/officeDocument/2006/relationships/hyperlink" Target="https://clinicaltrials.gov/study/NCT00918853" TargetMode="External"/><Relationship Id="rId572" Type="http://schemas.openxmlformats.org/officeDocument/2006/relationships/hyperlink" Target="https://clinicaltrials.gov/study/NCT03678883" TargetMode="External"/><Relationship Id="rId2046" Type="http://schemas.openxmlformats.org/officeDocument/2006/relationships/hyperlink" Target="https://clinicaltrials.gov/study/NCT05065801" TargetMode="External"/><Relationship Id="rId2253" Type="http://schemas.openxmlformats.org/officeDocument/2006/relationships/hyperlink" Target="https://clinicaltrials.gov/study/NCT06177327" TargetMode="External"/><Relationship Id="rId2460" Type="http://schemas.openxmlformats.org/officeDocument/2006/relationships/hyperlink" Target="https://clinicaltrials.gov/study/NCT01444456" TargetMode="External"/><Relationship Id="rId225" Type="http://schemas.openxmlformats.org/officeDocument/2006/relationships/hyperlink" Target="https://clinicaltrials.gov/study/NCT01989624" TargetMode="External"/><Relationship Id="rId432" Type="http://schemas.openxmlformats.org/officeDocument/2006/relationships/hyperlink" Target="https://clinicaltrials.gov/study/NCT00064207" TargetMode="External"/><Relationship Id="rId877" Type="http://schemas.openxmlformats.org/officeDocument/2006/relationships/hyperlink" Target="https://clinicaltrials.gov/study/NCT06999512" TargetMode="External"/><Relationship Id="rId1062" Type="http://schemas.openxmlformats.org/officeDocument/2006/relationships/hyperlink" Target="https://clinicaltrials.gov/study/NCT01989624" TargetMode="External"/><Relationship Id="rId2113" Type="http://schemas.openxmlformats.org/officeDocument/2006/relationships/hyperlink" Target="https://clinicaltrials.gov/study/NCT01214720" TargetMode="External"/><Relationship Id="rId2320" Type="http://schemas.openxmlformats.org/officeDocument/2006/relationships/hyperlink" Target="https://clinicaltrials.gov/study/NCT03351296" TargetMode="External"/><Relationship Id="rId737" Type="http://schemas.openxmlformats.org/officeDocument/2006/relationships/hyperlink" Target="https://clinicaltrials.gov/study/NCT00010062" TargetMode="External"/><Relationship Id="rId944" Type="http://schemas.openxmlformats.org/officeDocument/2006/relationships/hyperlink" Target="https://clinicaltrials.gov/study/NCT04083235" TargetMode="External"/><Relationship Id="rId1367" Type="http://schemas.openxmlformats.org/officeDocument/2006/relationships/hyperlink" Target="https://clinicaltrials.gov/study/NCT00075452" TargetMode="External"/><Relationship Id="rId1574" Type="http://schemas.openxmlformats.org/officeDocument/2006/relationships/hyperlink" Target="https://clinicaltrials.gov/study/NCT04899739" TargetMode="External"/><Relationship Id="rId1781" Type="http://schemas.openxmlformats.org/officeDocument/2006/relationships/hyperlink" Target="https://clinicaltrials.gov/study/NCT02791334" TargetMode="External"/><Relationship Id="rId2418" Type="http://schemas.openxmlformats.org/officeDocument/2006/relationships/hyperlink" Target="https://clinicaltrials.gov/study/NCT03693677" TargetMode="External"/><Relationship Id="rId73" Type="http://schemas.openxmlformats.org/officeDocument/2006/relationships/hyperlink" Target="https://clinicaltrials.gov/study/NCT04390763" TargetMode="External"/><Relationship Id="rId804" Type="http://schemas.openxmlformats.org/officeDocument/2006/relationships/hyperlink" Target="https://clinicaltrials.gov/study/NCT00112697" TargetMode="External"/><Relationship Id="rId1227" Type="http://schemas.openxmlformats.org/officeDocument/2006/relationships/hyperlink" Target="https://clinicaltrials.gov/study/NCT03806309" TargetMode="External"/><Relationship Id="rId1434" Type="http://schemas.openxmlformats.org/officeDocument/2006/relationships/hyperlink" Target="https://clinicaltrials.gov/study/NCT00010088" TargetMode="External"/><Relationship Id="rId1641" Type="http://schemas.openxmlformats.org/officeDocument/2006/relationships/hyperlink" Target="https://clinicaltrials.gov/study/NCT03305146" TargetMode="External"/><Relationship Id="rId1879" Type="http://schemas.openxmlformats.org/officeDocument/2006/relationships/hyperlink" Target="https://clinicaltrials.gov/study/NCT00842348" TargetMode="External"/><Relationship Id="rId1501" Type="http://schemas.openxmlformats.org/officeDocument/2006/relationships/hyperlink" Target="https://clinicaltrials.gov/study/NCT00634725" TargetMode="External"/><Relationship Id="rId1739" Type="http://schemas.openxmlformats.org/officeDocument/2006/relationships/hyperlink" Target="https://clinicaltrials.gov/study/NCT03721744" TargetMode="External"/><Relationship Id="rId1946" Type="http://schemas.openxmlformats.org/officeDocument/2006/relationships/hyperlink" Target="https://clinicaltrials.gov/study/NCT02818907" TargetMode="External"/><Relationship Id="rId1806" Type="http://schemas.openxmlformats.org/officeDocument/2006/relationships/hyperlink" Target="https://clinicaltrials.gov/study/NCT03400072" TargetMode="External"/><Relationship Id="rId387" Type="http://schemas.openxmlformats.org/officeDocument/2006/relationships/hyperlink" Target="https://clinicaltrials.gov/study/NCT06608927" TargetMode="External"/><Relationship Id="rId594" Type="http://schemas.openxmlformats.org/officeDocument/2006/relationships/hyperlink" Target="https://clinicaltrials.gov/study/NCT00274885" TargetMode="External"/><Relationship Id="rId2068" Type="http://schemas.openxmlformats.org/officeDocument/2006/relationships/hyperlink" Target="https://clinicaltrials.gov/study/NCT03485209" TargetMode="External"/><Relationship Id="rId2275" Type="http://schemas.openxmlformats.org/officeDocument/2006/relationships/hyperlink" Target="https://clinicaltrials.gov/study/NCT00789633" TargetMode="External"/><Relationship Id="rId247" Type="http://schemas.openxmlformats.org/officeDocument/2006/relationships/hyperlink" Target="https://clinicaltrials.gov/study/NCT04990037" TargetMode="External"/><Relationship Id="rId899" Type="http://schemas.openxmlformats.org/officeDocument/2006/relationships/hyperlink" Target="https://clinicaltrials.gov/study/NCT04348045" TargetMode="External"/><Relationship Id="rId1084" Type="http://schemas.openxmlformats.org/officeDocument/2006/relationships/hyperlink" Target="https://clinicaltrials.gov/study/NCT00010062" TargetMode="External"/><Relationship Id="rId2482" Type="http://schemas.openxmlformats.org/officeDocument/2006/relationships/hyperlink" Target="https://clinicaltrials.gov/study/NCT01689584" TargetMode="External"/><Relationship Id="rId107" Type="http://schemas.openxmlformats.org/officeDocument/2006/relationships/hyperlink" Target="https://clinicaltrials.gov/study/NCT04348084" TargetMode="External"/><Relationship Id="rId454" Type="http://schemas.openxmlformats.org/officeDocument/2006/relationships/hyperlink" Target="https://clinicaltrials.gov/study/NCT04705818" TargetMode="External"/><Relationship Id="rId661" Type="http://schemas.openxmlformats.org/officeDocument/2006/relationships/hyperlink" Target="https://clinicaltrials.gov/study/NCT07522073" TargetMode="External"/><Relationship Id="rId759" Type="http://schemas.openxmlformats.org/officeDocument/2006/relationships/hyperlink" Target="https://clinicaltrials.gov/study/NCT05706129" TargetMode="External"/><Relationship Id="rId966" Type="http://schemas.openxmlformats.org/officeDocument/2006/relationships/hyperlink" Target="https://clinicaltrials.gov/study/NCT00268411" TargetMode="External"/><Relationship Id="rId1291" Type="http://schemas.openxmlformats.org/officeDocument/2006/relationships/hyperlink" Target="https://clinicaltrials.gov/study/NCT00010062" TargetMode="External"/><Relationship Id="rId1389" Type="http://schemas.openxmlformats.org/officeDocument/2006/relationships/hyperlink" Target="https://clinicaltrials.gov/study/NCT01989624" TargetMode="External"/><Relationship Id="rId1596" Type="http://schemas.openxmlformats.org/officeDocument/2006/relationships/hyperlink" Target="https://clinicaltrials.gov/study/NCT01563133" TargetMode="External"/><Relationship Id="rId2135" Type="http://schemas.openxmlformats.org/officeDocument/2006/relationships/hyperlink" Target="https://clinicaltrials.gov/study/NCT03787056" TargetMode="External"/><Relationship Id="rId2342" Type="http://schemas.openxmlformats.org/officeDocument/2006/relationships/hyperlink" Target="https://clinicaltrials.gov/study/NCT01689584" TargetMode="External"/><Relationship Id="rId314" Type="http://schemas.openxmlformats.org/officeDocument/2006/relationships/hyperlink" Target="https://clinicaltrials.gov/study/NCT05403554" TargetMode="External"/><Relationship Id="rId521" Type="http://schemas.openxmlformats.org/officeDocument/2006/relationships/hyperlink" Target="https://clinicaltrials.gov/study/NCT05470738" TargetMode="External"/><Relationship Id="rId619" Type="http://schemas.openxmlformats.org/officeDocument/2006/relationships/hyperlink" Target="https://clinicaltrials.gov/study/NCT04888312" TargetMode="External"/><Relationship Id="rId1151" Type="http://schemas.openxmlformats.org/officeDocument/2006/relationships/hyperlink" Target="https://clinicaltrials.gov/study/NCT02818829" TargetMode="External"/><Relationship Id="rId1249" Type="http://schemas.openxmlformats.org/officeDocument/2006/relationships/hyperlink" Target="https://clinicaltrials.gov/study/NCT03943667" TargetMode="External"/><Relationship Id="rId2202" Type="http://schemas.openxmlformats.org/officeDocument/2006/relationships/hyperlink" Target="https://clinicaltrials.gov/study/NCT01485679" TargetMode="External"/><Relationship Id="rId95" Type="http://schemas.openxmlformats.org/officeDocument/2006/relationships/hyperlink" Target="https://clinicaltrials.gov/study/NCT05475366" TargetMode="External"/><Relationship Id="rId826" Type="http://schemas.openxmlformats.org/officeDocument/2006/relationships/hyperlink" Target="https://clinicaltrials.gov/study/NCT03102320" TargetMode="External"/><Relationship Id="rId1011" Type="http://schemas.openxmlformats.org/officeDocument/2006/relationships/hyperlink" Target="https://clinicaltrials.gov/study/NCT00003029" TargetMode="External"/><Relationship Id="rId1109" Type="http://schemas.openxmlformats.org/officeDocument/2006/relationships/hyperlink" Target="https://clinicaltrials.gov/study/NCT00268411" TargetMode="External"/><Relationship Id="rId1456" Type="http://schemas.openxmlformats.org/officeDocument/2006/relationships/hyperlink" Target="https://clinicaltrials.gov/study/NCT01989624" TargetMode="External"/><Relationship Id="rId1663" Type="http://schemas.openxmlformats.org/officeDocument/2006/relationships/hyperlink" Target="https://clinicaltrials.gov/study/NCT06118125" TargetMode="External"/><Relationship Id="rId1870" Type="http://schemas.openxmlformats.org/officeDocument/2006/relationships/hyperlink" Target="https://clinicaltrials.gov/study/NCT06238479" TargetMode="External"/><Relationship Id="rId1968" Type="http://schemas.openxmlformats.org/officeDocument/2006/relationships/hyperlink" Target="https://clinicaltrials.gov/study/NCT04956640" TargetMode="External"/><Relationship Id="rId2507" Type="http://schemas.openxmlformats.org/officeDocument/2006/relationships/hyperlink" Target="https://clinicaltrials.gov/study/NCT02352337" TargetMode="External"/><Relationship Id="rId1316" Type="http://schemas.openxmlformats.org/officeDocument/2006/relationships/hyperlink" Target="https://clinicaltrials.gov/study/NCT00064207" TargetMode="External"/><Relationship Id="rId1523" Type="http://schemas.openxmlformats.org/officeDocument/2006/relationships/hyperlink" Target="https://clinicaltrials.gov/study/NCT01989624" TargetMode="External"/><Relationship Id="rId1730" Type="http://schemas.openxmlformats.org/officeDocument/2006/relationships/hyperlink" Target="https://clinicaltrials.gov/study/NCT01314027" TargetMode="External"/><Relationship Id="rId22" Type="http://schemas.openxmlformats.org/officeDocument/2006/relationships/hyperlink" Target="https://clinicaltrials.gov/study/NCT05116072" TargetMode="External"/><Relationship Id="rId1828" Type="http://schemas.openxmlformats.org/officeDocument/2006/relationships/hyperlink" Target="https://clinicaltrials.gov/study/NCT01485679" TargetMode="External"/><Relationship Id="rId171" Type="http://schemas.openxmlformats.org/officeDocument/2006/relationships/hyperlink" Target="https://clinicaltrials.gov/study/NCT04042480" TargetMode="External"/><Relationship Id="rId2297" Type="http://schemas.openxmlformats.org/officeDocument/2006/relationships/hyperlink" Target="https://clinicaltrials.gov/study/NCT02539537" TargetMode="External"/><Relationship Id="rId269" Type="http://schemas.openxmlformats.org/officeDocument/2006/relationships/hyperlink" Target="https://clinicaltrials.gov/study/NCT04632199" TargetMode="External"/><Relationship Id="rId476" Type="http://schemas.openxmlformats.org/officeDocument/2006/relationships/hyperlink" Target="https://clinicaltrials.gov/study/NCT05706129" TargetMode="External"/><Relationship Id="rId683" Type="http://schemas.openxmlformats.org/officeDocument/2006/relationships/hyperlink" Target="https://clinicaltrials.gov/study/NCT03102320" TargetMode="External"/><Relationship Id="rId890" Type="http://schemas.openxmlformats.org/officeDocument/2006/relationships/hyperlink" Target="https://clinicaltrials.gov/study/NCT01989624" TargetMode="External"/><Relationship Id="rId2157" Type="http://schemas.openxmlformats.org/officeDocument/2006/relationships/hyperlink" Target="https://clinicaltrials.gov/study/NCT02264665" TargetMode="External"/><Relationship Id="rId2364" Type="http://schemas.openxmlformats.org/officeDocument/2006/relationships/hyperlink" Target="https://clinicaltrials.gov/study/NCT02352337" TargetMode="External"/><Relationship Id="rId129" Type="http://schemas.openxmlformats.org/officeDocument/2006/relationships/hyperlink" Target="https://clinicaltrials.gov/study/NCT00275119" TargetMode="External"/><Relationship Id="rId336" Type="http://schemas.openxmlformats.org/officeDocument/2006/relationships/hyperlink" Target="https://clinicaltrials.gov/study/NCT06885034" TargetMode="External"/><Relationship Id="rId543" Type="http://schemas.openxmlformats.org/officeDocument/2006/relationships/hyperlink" Target="https://clinicaltrials.gov/study/NCT02715804" TargetMode="External"/><Relationship Id="rId988" Type="http://schemas.openxmlformats.org/officeDocument/2006/relationships/hyperlink" Target="https://clinicaltrials.gov/study/NCT01989624" TargetMode="External"/><Relationship Id="rId1173" Type="http://schemas.openxmlformats.org/officeDocument/2006/relationships/hyperlink" Target="https://clinicaltrials.gov/study/NCT00918853" TargetMode="External"/><Relationship Id="rId1380" Type="http://schemas.openxmlformats.org/officeDocument/2006/relationships/hyperlink" Target="https://clinicaltrials.gov/study/NCT00064207" TargetMode="External"/><Relationship Id="rId2017" Type="http://schemas.openxmlformats.org/officeDocument/2006/relationships/hyperlink" Target="https://clinicaltrials.gov/study/NCT02853474" TargetMode="External"/><Relationship Id="rId2224" Type="http://schemas.openxmlformats.org/officeDocument/2006/relationships/hyperlink" Target="https://clinicaltrials.gov/study/NCT02539537" TargetMode="External"/><Relationship Id="rId403" Type="http://schemas.openxmlformats.org/officeDocument/2006/relationships/hyperlink" Target="https://clinicaltrials.gov/study/NCT01231347" TargetMode="External"/><Relationship Id="rId750" Type="http://schemas.openxmlformats.org/officeDocument/2006/relationships/hyperlink" Target="https://clinicaltrials.gov/study/NCT05462717" TargetMode="External"/><Relationship Id="rId848" Type="http://schemas.openxmlformats.org/officeDocument/2006/relationships/hyperlink" Target="https://clinicaltrials.gov/study/NCT02979483" TargetMode="External"/><Relationship Id="rId1033" Type="http://schemas.openxmlformats.org/officeDocument/2006/relationships/hyperlink" Target="https://clinicaltrials.gov/study/NCT04348045" TargetMode="External"/><Relationship Id="rId1478" Type="http://schemas.openxmlformats.org/officeDocument/2006/relationships/hyperlink" Target="https://clinicaltrials.gov/study/NCT00303758" TargetMode="External"/><Relationship Id="rId1685" Type="http://schemas.openxmlformats.org/officeDocument/2006/relationships/hyperlink" Target="https://clinicaltrials.gov/study/NCT04498767" TargetMode="External"/><Relationship Id="rId1892" Type="http://schemas.openxmlformats.org/officeDocument/2006/relationships/hyperlink" Target="https://clinicaltrials.gov/study/NCT03351296" TargetMode="External"/><Relationship Id="rId2431" Type="http://schemas.openxmlformats.org/officeDocument/2006/relationships/hyperlink" Target="https://clinicaltrials.gov/study/NCT02352337" TargetMode="External"/><Relationship Id="rId2529" Type="http://schemas.openxmlformats.org/officeDocument/2006/relationships/hyperlink" Target="https://clinicaltrials.gov/study/NCT01689584" TargetMode="External"/><Relationship Id="rId610" Type="http://schemas.openxmlformats.org/officeDocument/2006/relationships/hyperlink" Target="https://clinicaltrials.gov/study/NCT03974854" TargetMode="External"/><Relationship Id="rId708" Type="http://schemas.openxmlformats.org/officeDocument/2006/relationships/hyperlink" Target="https://clinicaltrials.gov/study/NCT05365581" TargetMode="External"/><Relationship Id="rId915" Type="http://schemas.openxmlformats.org/officeDocument/2006/relationships/hyperlink" Target="https://clinicaltrials.gov/study/NCT00010088" TargetMode="External"/><Relationship Id="rId1240" Type="http://schemas.openxmlformats.org/officeDocument/2006/relationships/hyperlink" Target="https://clinicaltrials.gov/study/NCT00112658" TargetMode="External"/><Relationship Id="rId1338" Type="http://schemas.openxmlformats.org/officeDocument/2006/relationships/hyperlink" Target="https://clinicaltrials.gov/study/NCT00010088" TargetMode="External"/><Relationship Id="rId1545" Type="http://schemas.openxmlformats.org/officeDocument/2006/relationships/hyperlink" Target="https://clinicaltrials.gov/study/NCT00574275" TargetMode="External"/><Relationship Id="rId1100" Type="http://schemas.openxmlformats.org/officeDocument/2006/relationships/hyperlink" Target="https://clinicaltrials.gov/study/NCT07547033" TargetMode="External"/><Relationship Id="rId1405" Type="http://schemas.openxmlformats.org/officeDocument/2006/relationships/hyperlink" Target="https://clinicaltrials.gov/study/NCT00075452" TargetMode="External"/><Relationship Id="rId1752" Type="http://schemas.openxmlformats.org/officeDocument/2006/relationships/hyperlink" Target="https://clinicaltrials.gov/study/NCT04698915" TargetMode="External"/><Relationship Id="rId44" Type="http://schemas.openxmlformats.org/officeDocument/2006/relationships/hyperlink" Target="https://clinicaltrials.gov/study/NCT05383352" TargetMode="External"/><Relationship Id="rId1612" Type="http://schemas.openxmlformats.org/officeDocument/2006/relationships/hyperlink" Target="https://clinicaltrials.gov/study/NCT05442749" TargetMode="External"/><Relationship Id="rId1917" Type="http://schemas.openxmlformats.org/officeDocument/2006/relationships/hyperlink" Target="https://clinicaltrials.gov/study/NCT04919226" TargetMode="External"/><Relationship Id="rId193" Type="http://schemas.openxmlformats.org/officeDocument/2006/relationships/hyperlink" Target="https://clinicaltrials.gov/study/NCT03870386" TargetMode="External"/><Relationship Id="rId498" Type="http://schemas.openxmlformats.org/officeDocument/2006/relationships/hyperlink" Target="https://clinicaltrials.gov/study/NCT03943667" TargetMode="External"/><Relationship Id="rId2081" Type="http://schemas.openxmlformats.org/officeDocument/2006/relationships/hyperlink" Target="https://clinicaltrials.gov/study/NCT03022188" TargetMode="External"/><Relationship Id="rId2179" Type="http://schemas.openxmlformats.org/officeDocument/2006/relationships/hyperlink" Target="https://clinicaltrials.gov/study/NCT03693677" TargetMode="External"/><Relationship Id="rId260" Type="http://schemas.openxmlformats.org/officeDocument/2006/relationships/hyperlink" Target="https://clinicaltrials.gov/study/NCT05470738" TargetMode="External"/><Relationship Id="rId2386" Type="http://schemas.openxmlformats.org/officeDocument/2006/relationships/hyperlink" Target="https://clinicaltrials.gov/study/NCT02264665" TargetMode="External"/><Relationship Id="rId120" Type="http://schemas.openxmlformats.org/officeDocument/2006/relationships/hyperlink" Target="https://clinicaltrials.gov/study/NCT00902291" TargetMode="External"/><Relationship Id="rId358" Type="http://schemas.openxmlformats.org/officeDocument/2006/relationships/hyperlink" Target="https://clinicaltrials.gov/study/NCT04373564" TargetMode="External"/><Relationship Id="rId565" Type="http://schemas.openxmlformats.org/officeDocument/2006/relationships/hyperlink" Target="https://clinicaltrials.gov/study/NCT07094204" TargetMode="External"/><Relationship Id="rId772" Type="http://schemas.openxmlformats.org/officeDocument/2006/relationships/hyperlink" Target="https://clinicaltrials.gov/study/NCT05776342" TargetMode="External"/><Relationship Id="rId1195" Type="http://schemas.openxmlformats.org/officeDocument/2006/relationships/hyperlink" Target="https://clinicaltrials.gov/study/NCT01526135" TargetMode="External"/><Relationship Id="rId2039" Type="http://schemas.openxmlformats.org/officeDocument/2006/relationships/hyperlink" Target="https://clinicaltrials.gov/study/NCT01395017" TargetMode="External"/><Relationship Id="rId2246" Type="http://schemas.openxmlformats.org/officeDocument/2006/relationships/hyperlink" Target="https://clinicaltrials.gov/study/NCT03693677" TargetMode="External"/><Relationship Id="rId2453" Type="http://schemas.openxmlformats.org/officeDocument/2006/relationships/hyperlink" Target="https://clinicaltrials.gov/study/NCT01689584" TargetMode="External"/><Relationship Id="rId218" Type="http://schemas.openxmlformats.org/officeDocument/2006/relationships/hyperlink" Target="https://clinicaltrials.gov/study/NCT00274885" TargetMode="External"/><Relationship Id="rId425" Type="http://schemas.openxmlformats.org/officeDocument/2006/relationships/hyperlink" Target="https://clinicaltrials.gov/study/NCT02715804" TargetMode="External"/><Relationship Id="rId632" Type="http://schemas.openxmlformats.org/officeDocument/2006/relationships/hyperlink" Target="https://clinicaltrials.gov/study/NCT03126435" TargetMode="External"/><Relationship Id="rId1055" Type="http://schemas.openxmlformats.org/officeDocument/2006/relationships/hyperlink" Target="https://clinicaltrials.gov/study/NCT06999512" TargetMode="External"/><Relationship Id="rId1262" Type="http://schemas.openxmlformats.org/officeDocument/2006/relationships/hyperlink" Target="https://clinicaltrials.gov/study/NCT02820857" TargetMode="External"/><Relationship Id="rId2106" Type="http://schemas.openxmlformats.org/officeDocument/2006/relationships/hyperlink" Target="https://clinicaltrials.gov/study/NCT06177327" TargetMode="External"/><Relationship Id="rId2313" Type="http://schemas.openxmlformats.org/officeDocument/2006/relationships/hyperlink" Target="https://clinicaltrials.gov/study/NCT03693677" TargetMode="External"/><Relationship Id="rId2520" Type="http://schemas.openxmlformats.org/officeDocument/2006/relationships/hyperlink" Target="https://clinicaltrials.gov/study/NCT02352337" TargetMode="External"/><Relationship Id="rId937" Type="http://schemas.openxmlformats.org/officeDocument/2006/relationships/hyperlink" Target="https://clinicaltrials.gov/study/NCT02568267" TargetMode="External"/><Relationship Id="rId1122" Type="http://schemas.openxmlformats.org/officeDocument/2006/relationships/hyperlink" Target="https://clinicaltrials.gov/study/NCT00918853" TargetMode="External"/><Relationship Id="rId1567" Type="http://schemas.openxmlformats.org/officeDocument/2006/relationships/hyperlink" Target="https://clinicaltrials.gov/study/NCT02330497" TargetMode="External"/><Relationship Id="rId1774" Type="http://schemas.openxmlformats.org/officeDocument/2006/relationships/hyperlink" Target="https://clinicaltrials.gov/study/NCT00312013" TargetMode="External"/><Relationship Id="rId1981" Type="http://schemas.openxmlformats.org/officeDocument/2006/relationships/hyperlink" Target="https://clinicaltrials.gov/study/NCT06760819" TargetMode="External"/><Relationship Id="rId66" Type="http://schemas.openxmlformats.org/officeDocument/2006/relationships/hyperlink" Target="https://clinicaltrials.gov/study/NCT02979483" TargetMode="External"/><Relationship Id="rId1427" Type="http://schemas.openxmlformats.org/officeDocument/2006/relationships/hyperlink" Target="https://clinicaltrials.gov/study/NCT00634725" TargetMode="External"/><Relationship Id="rId1634" Type="http://schemas.openxmlformats.org/officeDocument/2006/relationships/hyperlink" Target="https://clinicaltrials.gov/study/NCT04294589" TargetMode="External"/><Relationship Id="rId1841" Type="http://schemas.openxmlformats.org/officeDocument/2006/relationships/hyperlink" Target="https://clinicaltrials.gov/study/NCT03305146" TargetMode="External"/><Relationship Id="rId1939" Type="http://schemas.openxmlformats.org/officeDocument/2006/relationships/hyperlink" Target="https://clinicaltrials.gov/study/NCT02301143" TargetMode="External"/><Relationship Id="rId1701" Type="http://schemas.openxmlformats.org/officeDocument/2006/relationships/hyperlink" Target="https://clinicaltrials.gov/study/NCT00959946" TargetMode="External"/><Relationship Id="rId282" Type="http://schemas.openxmlformats.org/officeDocument/2006/relationships/hyperlink" Target="https://clinicaltrials.gov/study/NCT00268411" TargetMode="External"/><Relationship Id="rId587" Type="http://schemas.openxmlformats.org/officeDocument/2006/relationships/hyperlink" Target="https://clinicaltrials.gov/study/NCT03102320" TargetMode="External"/><Relationship Id="rId2170" Type="http://schemas.openxmlformats.org/officeDocument/2006/relationships/hyperlink" Target="https://clinicaltrials.gov/study/NCT01214720" TargetMode="External"/><Relationship Id="rId2268" Type="http://schemas.openxmlformats.org/officeDocument/2006/relationships/hyperlink" Target="https://clinicaltrials.gov/study/NCT02184663" TargetMode="External"/><Relationship Id="rId8" Type="http://schemas.openxmlformats.org/officeDocument/2006/relationships/hyperlink" Target="https://clinicaltrials.gov/study/NCT03202199" TargetMode="External"/><Relationship Id="rId142" Type="http://schemas.openxmlformats.org/officeDocument/2006/relationships/hyperlink" Target="https://clinicaltrials.gov/study/NCT00471146" TargetMode="External"/><Relationship Id="rId447" Type="http://schemas.openxmlformats.org/officeDocument/2006/relationships/hyperlink" Target="https://clinicaltrials.gov/study/NCT07483983" TargetMode="External"/><Relationship Id="rId794" Type="http://schemas.openxmlformats.org/officeDocument/2006/relationships/hyperlink" Target="https://clinicaltrials.gov/study/NCT06275737" TargetMode="External"/><Relationship Id="rId1077" Type="http://schemas.openxmlformats.org/officeDocument/2006/relationships/hyperlink" Target="https://clinicaltrials.gov/study/NCT00010088" TargetMode="External"/><Relationship Id="rId2030" Type="http://schemas.openxmlformats.org/officeDocument/2006/relationships/hyperlink" Target="https://clinicaltrials.gov/study/NCT03787056" TargetMode="External"/><Relationship Id="rId2128" Type="http://schemas.openxmlformats.org/officeDocument/2006/relationships/hyperlink" Target="https://clinicaltrials.gov/study/NCT02264665" TargetMode="External"/><Relationship Id="rId2475" Type="http://schemas.openxmlformats.org/officeDocument/2006/relationships/hyperlink" Target="https://clinicaltrials.gov/study/NCT01444456" TargetMode="External"/><Relationship Id="rId654" Type="http://schemas.openxmlformats.org/officeDocument/2006/relationships/hyperlink" Target="https://clinicaltrials.gov/study/NCT00064207" TargetMode="External"/><Relationship Id="rId861" Type="http://schemas.openxmlformats.org/officeDocument/2006/relationships/hyperlink" Target="https://clinicaltrials.gov/study/NCT00358566" TargetMode="External"/><Relationship Id="rId959" Type="http://schemas.openxmlformats.org/officeDocument/2006/relationships/hyperlink" Target="https://clinicaltrials.gov/study/NCT03126435" TargetMode="External"/><Relationship Id="rId1284" Type="http://schemas.openxmlformats.org/officeDocument/2006/relationships/hyperlink" Target="https://clinicaltrials.gov/study/NCT05470738" TargetMode="External"/><Relationship Id="rId1491" Type="http://schemas.openxmlformats.org/officeDocument/2006/relationships/hyperlink" Target="https://clinicaltrials.gov/study/NCT01989624" TargetMode="External"/><Relationship Id="rId1589" Type="http://schemas.openxmlformats.org/officeDocument/2006/relationships/hyperlink" Target="https://clinicaltrials.gov/study/NCT02818907" TargetMode="External"/><Relationship Id="rId2335" Type="http://schemas.openxmlformats.org/officeDocument/2006/relationships/hyperlink" Target="https://clinicaltrials.gov/study/NCT02352337" TargetMode="External"/><Relationship Id="rId307" Type="http://schemas.openxmlformats.org/officeDocument/2006/relationships/hyperlink" Target="https://clinicaltrials.gov/study/NCT01964430" TargetMode="External"/><Relationship Id="rId514" Type="http://schemas.openxmlformats.org/officeDocument/2006/relationships/hyperlink" Target="https://clinicaltrials.gov/study/NCT05365581" TargetMode="External"/><Relationship Id="rId721" Type="http://schemas.openxmlformats.org/officeDocument/2006/relationships/hyperlink" Target="https://clinicaltrials.gov/study/NCT02993731" TargetMode="External"/><Relationship Id="rId1144" Type="http://schemas.openxmlformats.org/officeDocument/2006/relationships/hyperlink" Target="https://clinicaltrials.gov/study/NCT00010062" TargetMode="External"/><Relationship Id="rId1351" Type="http://schemas.openxmlformats.org/officeDocument/2006/relationships/hyperlink" Target="https://clinicaltrials.gov/study/NCT00303758" TargetMode="External"/><Relationship Id="rId1449" Type="http://schemas.openxmlformats.org/officeDocument/2006/relationships/hyperlink" Target="https://clinicaltrials.gov/study/NCT00064207" TargetMode="External"/><Relationship Id="rId1796" Type="http://schemas.openxmlformats.org/officeDocument/2006/relationships/hyperlink" Target="https://clinicaltrials.gov/study/NCT06177327" TargetMode="External"/><Relationship Id="rId2402" Type="http://schemas.openxmlformats.org/officeDocument/2006/relationships/hyperlink" Target="https://clinicaltrials.gov/study/NCT03693677" TargetMode="External"/><Relationship Id="rId88" Type="http://schemas.openxmlformats.org/officeDocument/2006/relationships/hyperlink" Target="https://clinicaltrials.gov/study/NCT05254171" TargetMode="External"/><Relationship Id="rId819" Type="http://schemas.openxmlformats.org/officeDocument/2006/relationships/hyperlink" Target="https://clinicaltrials.gov/study/NCT06128551" TargetMode="External"/><Relationship Id="rId1004" Type="http://schemas.openxmlformats.org/officeDocument/2006/relationships/hyperlink" Target="https://clinicaltrials.gov/study/NCT03126435" TargetMode="External"/><Relationship Id="rId1211" Type="http://schemas.openxmlformats.org/officeDocument/2006/relationships/hyperlink" Target="https://clinicaltrials.gov/study/NCT02820857" TargetMode="External"/><Relationship Id="rId1656" Type="http://schemas.openxmlformats.org/officeDocument/2006/relationships/hyperlink" Target="https://clinicaltrials.gov/study/NCT04235556" TargetMode="External"/><Relationship Id="rId1863" Type="http://schemas.openxmlformats.org/officeDocument/2006/relationships/hyperlink" Target="https://clinicaltrials.gov/study/NCT06760819" TargetMode="External"/><Relationship Id="rId1309" Type="http://schemas.openxmlformats.org/officeDocument/2006/relationships/hyperlink" Target="https://clinicaltrials.gov/study/NCT03943667" TargetMode="External"/><Relationship Id="rId1516" Type="http://schemas.openxmlformats.org/officeDocument/2006/relationships/hyperlink" Target="https://clinicaltrials.gov/study/NCT00634725" TargetMode="External"/><Relationship Id="rId1723" Type="http://schemas.openxmlformats.org/officeDocument/2006/relationships/hyperlink" Target="https://clinicaltrials.gov/study/NCT01395017" TargetMode="External"/><Relationship Id="rId1930" Type="http://schemas.openxmlformats.org/officeDocument/2006/relationships/hyperlink" Target="https://clinicaltrials.gov/study/NCT03787056" TargetMode="External"/><Relationship Id="rId15" Type="http://schemas.openxmlformats.org/officeDocument/2006/relationships/hyperlink" Target="https://clinicaltrials.gov/study/NCT04167007" TargetMode="External"/><Relationship Id="rId2192" Type="http://schemas.openxmlformats.org/officeDocument/2006/relationships/hyperlink" Target="https://clinicaltrials.gov/study/NCT01689584" TargetMode="External"/><Relationship Id="rId164" Type="http://schemas.openxmlformats.org/officeDocument/2006/relationships/hyperlink" Target="https://clinicaltrials.gov/study/NCT06607185" TargetMode="External"/><Relationship Id="rId371" Type="http://schemas.openxmlformats.org/officeDocument/2006/relationships/hyperlink" Target="https://clinicaltrials.gov/study/NCT04083235" TargetMode="External"/><Relationship Id="rId2052" Type="http://schemas.openxmlformats.org/officeDocument/2006/relationships/hyperlink" Target="https://clinicaltrials.gov/study/NCT01964534" TargetMode="External"/><Relationship Id="rId2497" Type="http://schemas.openxmlformats.org/officeDocument/2006/relationships/hyperlink" Target="https://clinicaltrials.gov/study/NCT02539537" TargetMode="External"/><Relationship Id="rId469" Type="http://schemas.openxmlformats.org/officeDocument/2006/relationships/hyperlink" Target="https://clinicaltrials.gov/study/NCT03906331" TargetMode="External"/><Relationship Id="rId676" Type="http://schemas.openxmlformats.org/officeDocument/2006/relationships/hyperlink" Target="https://clinicaltrials.gov/study/NCT05477576" TargetMode="External"/><Relationship Id="rId883" Type="http://schemas.openxmlformats.org/officeDocument/2006/relationships/hyperlink" Target="https://clinicaltrials.gov/study/NCT03102320" TargetMode="External"/><Relationship Id="rId1099" Type="http://schemas.openxmlformats.org/officeDocument/2006/relationships/hyperlink" Target="https://clinicaltrials.gov/study/NCT04348045" TargetMode="External"/><Relationship Id="rId2357" Type="http://schemas.openxmlformats.org/officeDocument/2006/relationships/hyperlink" Target="https://clinicaltrials.gov/study/NCT02539537" TargetMode="External"/><Relationship Id="rId231" Type="http://schemas.openxmlformats.org/officeDocument/2006/relationships/hyperlink" Target="https://clinicaltrials.gov/study/NCT04374175" TargetMode="External"/><Relationship Id="rId329" Type="http://schemas.openxmlformats.org/officeDocument/2006/relationships/hyperlink" Target="https://clinicaltrials.gov/study/NCT06735560" TargetMode="External"/><Relationship Id="rId536" Type="http://schemas.openxmlformats.org/officeDocument/2006/relationships/hyperlink" Target="https://clinicaltrials.gov/study/NCT06119217" TargetMode="External"/><Relationship Id="rId1166" Type="http://schemas.openxmlformats.org/officeDocument/2006/relationships/hyperlink" Target="https://clinicaltrials.gov/study/NCT00064207" TargetMode="External"/><Relationship Id="rId1373" Type="http://schemas.openxmlformats.org/officeDocument/2006/relationships/hyperlink" Target="https://clinicaltrials.gov/study/NCT01989624" TargetMode="External"/><Relationship Id="rId2217" Type="http://schemas.openxmlformats.org/officeDocument/2006/relationships/hyperlink" Target="https://clinicaltrials.gov/study/NCT03400072" TargetMode="External"/><Relationship Id="rId743" Type="http://schemas.openxmlformats.org/officeDocument/2006/relationships/hyperlink" Target="https://clinicaltrials.gov/study/NCT07522073" TargetMode="External"/><Relationship Id="rId950" Type="http://schemas.openxmlformats.org/officeDocument/2006/relationships/hyperlink" Target="https://clinicaltrials.gov/study/NCT04348045" TargetMode="External"/><Relationship Id="rId1026" Type="http://schemas.openxmlformats.org/officeDocument/2006/relationships/hyperlink" Target="https://clinicaltrials.gov/study/NCT02818829" TargetMode="External"/><Relationship Id="rId1580" Type="http://schemas.openxmlformats.org/officeDocument/2006/relationships/hyperlink" Target="https://clinicaltrials.gov/study/NCT01097512" TargetMode="External"/><Relationship Id="rId1678" Type="http://schemas.openxmlformats.org/officeDocument/2006/relationships/hyperlink" Target="https://clinicaltrials.gov/study/NCT07236177" TargetMode="External"/><Relationship Id="rId1885" Type="http://schemas.openxmlformats.org/officeDocument/2006/relationships/hyperlink" Target="https://clinicaltrials.gov/study/NCT01628913" TargetMode="External"/><Relationship Id="rId2424" Type="http://schemas.openxmlformats.org/officeDocument/2006/relationships/hyperlink" Target="https://clinicaltrials.gov/study/NCT02827201" TargetMode="External"/><Relationship Id="rId603" Type="http://schemas.openxmlformats.org/officeDocument/2006/relationships/hyperlink" Target="https://clinicaltrials.gov/study/NCT05776342" TargetMode="External"/><Relationship Id="rId810" Type="http://schemas.openxmlformats.org/officeDocument/2006/relationships/hyperlink" Target="https://clinicaltrials.gov/study/NCT00064207" TargetMode="External"/><Relationship Id="rId908" Type="http://schemas.openxmlformats.org/officeDocument/2006/relationships/hyperlink" Target="https://clinicaltrials.gov/study/NCT02184195" TargetMode="External"/><Relationship Id="rId1233" Type="http://schemas.openxmlformats.org/officeDocument/2006/relationships/hyperlink" Target="https://clinicaltrials.gov/study/NCT03943667" TargetMode="External"/><Relationship Id="rId1440" Type="http://schemas.openxmlformats.org/officeDocument/2006/relationships/hyperlink" Target="https://clinicaltrials.gov/study/NCT00010088" TargetMode="External"/><Relationship Id="rId1538" Type="http://schemas.openxmlformats.org/officeDocument/2006/relationships/hyperlink" Target="https://clinicaltrials.gov/study/NCT05871164" TargetMode="External"/><Relationship Id="rId1300" Type="http://schemas.openxmlformats.org/officeDocument/2006/relationships/hyperlink" Target="https://clinicaltrials.gov/study/NCT00010088" TargetMode="External"/><Relationship Id="rId1745" Type="http://schemas.openxmlformats.org/officeDocument/2006/relationships/hyperlink" Target="https://clinicaltrials.gov/study/NCT02539537" TargetMode="External"/><Relationship Id="rId1952" Type="http://schemas.openxmlformats.org/officeDocument/2006/relationships/hyperlink" Target="https://clinicaltrials.gov/study/NCT03022188" TargetMode="External"/><Relationship Id="rId37" Type="http://schemas.openxmlformats.org/officeDocument/2006/relationships/hyperlink" Target="https://clinicaltrials.gov/study/NCT03871959" TargetMode="External"/><Relationship Id="rId1605" Type="http://schemas.openxmlformats.org/officeDocument/2006/relationships/hyperlink" Target="https://clinicaltrials.gov/study/NCT03791346" TargetMode="External"/><Relationship Id="rId1812" Type="http://schemas.openxmlformats.org/officeDocument/2006/relationships/hyperlink" Target="https://clinicaltrials.gov/study/NCT02818907" TargetMode="External"/><Relationship Id="rId186" Type="http://schemas.openxmlformats.org/officeDocument/2006/relationships/hyperlink" Target="https://clinicaltrials.gov/study/NCT04083599" TargetMode="External"/><Relationship Id="rId393" Type="http://schemas.openxmlformats.org/officeDocument/2006/relationships/hyperlink" Target="https://clinicaltrials.gov/study/NCT07097064" TargetMode="External"/><Relationship Id="rId2074" Type="http://schemas.openxmlformats.org/officeDocument/2006/relationships/hyperlink" Target="https://clinicaltrials.gov/study/NCT06755359" TargetMode="External"/><Relationship Id="rId2281" Type="http://schemas.openxmlformats.org/officeDocument/2006/relationships/hyperlink" Target="https://clinicaltrials.gov/study/NCT02539537" TargetMode="External"/><Relationship Id="rId253" Type="http://schemas.openxmlformats.org/officeDocument/2006/relationships/hyperlink" Target="https://clinicaltrials.gov/study/NCT06625320" TargetMode="External"/><Relationship Id="rId460" Type="http://schemas.openxmlformats.org/officeDocument/2006/relationships/hyperlink" Target="https://clinicaltrials.gov/study/NCT04657068" TargetMode="External"/><Relationship Id="rId698" Type="http://schemas.openxmlformats.org/officeDocument/2006/relationships/hyperlink" Target="https://clinicaltrials.gov/study/NCT07076121" TargetMode="External"/><Relationship Id="rId1090" Type="http://schemas.openxmlformats.org/officeDocument/2006/relationships/hyperlink" Target="https://clinicaltrials.gov/study/NCT00428220" TargetMode="External"/><Relationship Id="rId2141" Type="http://schemas.openxmlformats.org/officeDocument/2006/relationships/hyperlink" Target="https://clinicaltrials.gov/study/NCT06755359" TargetMode="External"/><Relationship Id="rId2379" Type="http://schemas.openxmlformats.org/officeDocument/2006/relationships/hyperlink" Target="https://clinicaltrials.gov/study/NCT01689584" TargetMode="External"/><Relationship Id="rId113" Type="http://schemas.openxmlformats.org/officeDocument/2006/relationships/hyperlink" Target="https://clinicaltrials.gov/study/NCT00358566" TargetMode="External"/><Relationship Id="rId320" Type="http://schemas.openxmlformats.org/officeDocument/2006/relationships/hyperlink" Target="https://clinicaltrials.gov/study/NCT04705818" TargetMode="External"/><Relationship Id="rId558" Type="http://schemas.openxmlformats.org/officeDocument/2006/relationships/hyperlink" Target="https://clinicaltrials.gov/study/NCT06710132" TargetMode="External"/><Relationship Id="rId765" Type="http://schemas.openxmlformats.org/officeDocument/2006/relationships/hyperlink" Target="https://clinicaltrials.gov/study/NCT02810730" TargetMode="External"/><Relationship Id="rId972" Type="http://schemas.openxmlformats.org/officeDocument/2006/relationships/hyperlink" Target="https://clinicaltrials.gov/study/NCT00275119" TargetMode="External"/><Relationship Id="rId1188" Type="http://schemas.openxmlformats.org/officeDocument/2006/relationships/hyperlink" Target="https://clinicaltrials.gov/study/NCT00010062" TargetMode="External"/><Relationship Id="rId1395" Type="http://schemas.openxmlformats.org/officeDocument/2006/relationships/hyperlink" Target="https://clinicaltrials.gov/study/NCT00303758" TargetMode="External"/><Relationship Id="rId2001" Type="http://schemas.openxmlformats.org/officeDocument/2006/relationships/hyperlink" Target="https://clinicaltrials.gov/study/NCT02288377" TargetMode="External"/><Relationship Id="rId2239" Type="http://schemas.openxmlformats.org/officeDocument/2006/relationships/hyperlink" Target="https://clinicaltrials.gov/study/NCT03351296" TargetMode="External"/><Relationship Id="rId2446" Type="http://schemas.openxmlformats.org/officeDocument/2006/relationships/hyperlink" Target="https://clinicaltrials.gov/study/NCT00789633" TargetMode="External"/><Relationship Id="rId418" Type="http://schemas.openxmlformats.org/officeDocument/2006/relationships/hyperlink" Target="https://clinicaltrials.gov/study/NCT01956812" TargetMode="External"/><Relationship Id="rId625" Type="http://schemas.openxmlformats.org/officeDocument/2006/relationships/hyperlink" Target="https://clinicaltrials.gov/study/NCT06128343" TargetMode="External"/><Relationship Id="rId832" Type="http://schemas.openxmlformats.org/officeDocument/2006/relationships/hyperlink" Target="https://clinicaltrials.gov/study/NCT06892054" TargetMode="External"/><Relationship Id="rId1048" Type="http://schemas.openxmlformats.org/officeDocument/2006/relationships/hyperlink" Target="https://clinicaltrials.gov/study/NCT00003029" TargetMode="External"/><Relationship Id="rId1255" Type="http://schemas.openxmlformats.org/officeDocument/2006/relationships/hyperlink" Target="https://clinicaltrials.gov/study/NCT00010088" TargetMode="External"/><Relationship Id="rId1462" Type="http://schemas.openxmlformats.org/officeDocument/2006/relationships/hyperlink" Target="https://clinicaltrials.gov/study/NCT01989624" TargetMode="External"/><Relationship Id="rId2306" Type="http://schemas.openxmlformats.org/officeDocument/2006/relationships/hyperlink" Target="https://clinicaltrials.gov/study/NCT00789633" TargetMode="External"/><Relationship Id="rId2513" Type="http://schemas.openxmlformats.org/officeDocument/2006/relationships/hyperlink" Target="https://clinicaltrials.gov/study/NCT01689584" TargetMode="External"/><Relationship Id="rId1115" Type="http://schemas.openxmlformats.org/officeDocument/2006/relationships/hyperlink" Target="https://clinicaltrials.gov/study/NCT00010062" TargetMode="External"/><Relationship Id="rId1322" Type="http://schemas.openxmlformats.org/officeDocument/2006/relationships/hyperlink" Target="https://clinicaltrials.gov/study/NCT03943667" TargetMode="External"/><Relationship Id="rId1767" Type="http://schemas.openxmlformats.org/officeDocument/2006/relationships/hyperlink" Target="https://clinicaltrials.gov/study/NCT02184663" TargetMode="External"/><Relationship Id="rId1974" Type="http://schemas.openxmlformats.org/officeDocument/2006/relationships/hyperlink" Target="https://clinicaltrials.gov/study/NCT01374451" TargetMode="External"/><Relationship Id="rId59" Type="http://schemas.openxmlformats.org/officeDocument/2006/relationships/hyperlink" Target="https://clinicaltrials.gov/study/NCT04888312" TargetMode="External"/><Relationship Id="rId1627" Type="http://schemas.openxmlformats.org/officeDocument/2006/relationships/hyperlink" Target="https://clinicaltrials.gov/study/NCT06079229" TargetMode="External"/><Relationship Id="rId1834" Type="http://schemas.openxmlformats.org/officeDocument/2006/relationships/hyperlink" Target="https://clinicaltrials.gov/study/NCT00353496" TargetMode="External"/><Relationship Id="rId2096" Type="http://schemas.openxmlformats.org/officeDocument/2006/relationships/hyperlink" Target="https://clinicaltrials.gov/study/NCT02264665" TargetMode="External"/><Relationship Id="rId1901" Type="http://schemas.openxmlformats.org/officeDocument/2006/relationships/hyperlink" Target="https://clinicaltrials.gov/study/NCT01485679" TargetMode="External"/><Relationship Id="rId275" Type="http://schemas.openxmlformats.org/officeDocument/2006/relationships/hyperlink" Target="https://clinicaltrials.gov/study/NCT03504423" TargetMode="External"/><Relationship Id="rId482" Type="http://schemas.openxmlformats.org/officeDocument/2006/relationships/hyperlink" Target="https://clinicaltrials.gov/study/NCT03821935" TargetMode="External"/><Relationship Id="rId2163" Type="http://schemas.openxmlformats.org/officeDocument/2006/relationships/hyperlink" Target="https://clinicaltrials.gov/study/NCT03787056" TargetMode="External"/><Relationship Id="rId2370" Type="http://schemas.openxmlformats.org/officeDocument/2006/relationships/hyperlink" Target="https://clinicaltrials.gov/study/NCT01689584" TargetMode="External"/><Relationship Id="rId135" Type="http://schemas.openxmlformats.org/officeDocument/2006/relationships/hyperlink" Target="https://clinicaltrials.gov/study/NCT00064207" TargetMode="External"/><Relationship Id="rId342" Type="http://schemas.openxmlformats.org/officeDocument/2006/relationships/hyperlink" Target="https://clinicaltrials.gov/study/NCT03175224" TargetMode="External"/><Relationship Id="rId787" Type="http://schemas.openxmlformats.org/officeDocument/2006/relationships/hyperlink" Target="https://clinicaltrials.gov/study/NCT06128343" TargetMode="External"/><Relationship Id="rId994" Type="http://schemas.openxmlformats.org/officeDocument/2006/relationships/hyperlink" Target="https://clinicaltrials.gov/study/NCT02436668" TargetMode="External"/><Relationship Id="rId2023" Type="http://schemas.openxmlformats.org/officeDocument/2006/relationships/hyperlink" Target="https://clinicaltrials.gov/study/NCT06973161" TargetMode="External"/><Relationship Id="rId2230" Type="http://schemas.openxmlformats.org/officeDocument/2006/relationships/hyperlink" Target="https://clinicaltrials.gov/study/NCT02184663" TargetMode="External"/><Relationship Id="rId2468" Type="http://schemas.openxmlformats.org/officeDocument/2006/relationships/hyperlink" Target="https://clinicaltrials.gov/study/NCT01444456" TargetMode="External"/><Relationship Id="rId202" Type="http://schemas.openxmlformats.org/officeDocument/2006/relationships/hyperlink" Target="https://clinicaltrials.gov/study/NCT04580485" TargetMode="External"/><Relationship Id="rId647" Type="http://schemas.openxmlformats.org/officeDocument/2006/relationships/hyperlink" Target="https://clinicaltrials.gov/study/NCT00112697" TargetMode="External"/><Relationship Id="rId854" Type="http://schemas.openxmlformats.org/officeDocument/2006/relationships/hyperlink" Target="https://clinicaltrials.gov/study/NCT00075452" TargetMode="External"/><Relationship Id="rId1277" Type="http://schemas.openxmlformats.org/officeDocument/2006/relationships/hyperlink" Target="https://clinicaltrials.gov/study/NCT06333314" TargetMode="External"/><Relationship Id="rId1484" Type="http://schemas.openxmlformats.org/officeDocument/2006/relationships/hyperlink" Target="https://clinicaltrials.gov/study/NCT00634725" TargetMode="External"/><Relationship Id="rId1691" Type="http://schemas.openxmlformats.org/officeDocument/2006/relationships/hyperlink" Target="https://clinicaltrials.gov/study/NCT03485209" TargetMode="External"/><Relationship Id="rId2328" Type="http://schemas.openxmlformats.org/officeDocument/2006/relationships/hyperlink" Target="https://clinicaltrials.gov/study/NCT02264665" TargetMode="External"/><Relationship Id="rId2535" Type="http://schemas.openxmlformats.org/officeDocument/2006/relationships/hyperlink" Target="https://clinicaltrials.gov/study/NCT04167007" TargetMode="External"/><Relationship Id="rId507" Type="http://schemas.openxmlformats.org/officeDocument/2006/relationships/hyperlink" Target="https://clinicaltrials.gov/study/NCT04348045" TargetMode="External"/><Relationship Id="rId714" Type="http://schemas.openxmlformats.org/officeDocument/2006/relationships/hyperlink" Target="https://clinicaltrials.gov/study/NCT05470738" TargetMode="External"/><Relationship Id="rId921" Type="http://schemas.openxmlformats.org/officeDocument/2006/relationships/hyperlink" Target="https://clinicaltrials.gov/study/NCT00006117" TargetMode="External"/><Relationship Id="rId1137" Type="http://schemas.openxmlformats.org/officeDocument/2006/relationships/hyperlink" Target="https://clinicaltrials.gov/study/NCT00634725" TargetMode="External"/><Relationship Id="rId1344" Type="http://schemas.openxmlformats.org/officeDocument/2006/relationships/hyperlink" Target="https://clinicaltrials.gov/study/NCT01989624" TargetMode="External"/><Relationship Id="rId1551" Type="http://schemas.openxmlformats.org/officeDocument/2006/relationships/hyperlink" Target="https://clinicaltrials.gov/study/NCT06360354" TargetMode="External"/><Relationship Id="rId1789" Type="http://schemas.openxmlformats.org/officeDocument/2006/relationships/hyperlink" Target="https://clinicaltrials.gov/study/NCT03787056" TargetMode="External"/><Relationship Id="rId1996" Type="http://schemas.openxmlformats.org/officeDocument/2006/relationships/hyperlink" Target="https://clinicaltrials.gov/study/NCT01395017" TargetMode="External"/><Relationship Id="rId50" Type="http://schemas.openxmlformats.org/officeDocument/2006/relationships/hyperlink" Target="https://clinicaltrials.gov/study/NCT04348045" TargetMode="External"/><Relationship Id="rId1204" Type="http://schemas.openxmlformats.org/officeDocument/2006/relationships/hyperlink" Target="https://clinicaltrials.gov/study/NCT00112658" TargetMode="External"/><Relationship Id="rId1411" Type="http://schemas.openxmlformats.org/officeDocument/2006/relationships/hyperlink" Target="https://clinicaltrials.gov/study/NCT01989624" TargetMode="External"/><Relationship Id="rId1649" Type="http://schemas.openxmlformats.org/officeDocument/2006/relationships/hyperlink" Target="https://clinicaltrials.gov/study/NCT02602067" TargetMode="External"/><Relationship Id="rId1856" Type="http://schemas.openxmlformats.org/officeDocument/2006/relationships/hyperlink" Target="https://clinicaltrials.gov/study/NCT07436312" TargetMode="External"/><Relationship Id="rId1509" Type="http://schemas.openxmlformats.org/officeDocument/2006/relationships/hyperlink" Target="https://clinicaltrials.gov/study/NCT01989624" TargetMode="External"/><Relationship Id="rId1716" Type="http://schemas.openxmlformats.org/officeDocument/2006/relationships/hyperlink" Target="https://clinicaltrials.gov/study/NCT02858141" TargetMode="External"/><Relationship Id="rId1923" Type="http://schemas.openxmlformats.org/officeDocument/2006/relationships/hyperlink" Target="https://clinicaltrials.gov/study/NCT06973161" TargetMode="External"/><Relationship Id="rId297" Type="http://schemas.openxmlformats.org/officeDocument/2006/relationships/hyperlink" Target="https://clinicaltrials.gov/study/NCT03806309" TargetMode="External"/><Relationship Id="rId2185" Type="http://schemas.openxmlformats.org/officeDocument/2006/relationships/hyperlink" Target="https://clinicaltrials.gov/study/NCT00312013" TargetMode="External"/><Relationship Id="rId2392" Type="http://schemas.openxmlformats.org/officeDocument/2006/relationships/hyperlink" Target="https://clinicaltrials.gov/study/NCT02827201" TargetMode="External"/><Relationship Id="rId157" Type="http://schemas.openxmlformats.org/officeDocument/2006/relationships/hyperlink" Target="https://clinicaltrials.gov/study/NCT07178587" TargetMode="External"/><Relationship Id="rId364" Type="http://schemas.openxmlformats.org/officeDocument/2006/relationships/hyperlink" Target="https://clinicaltrials.gov/study/NCT03377491" TargetMode="External"/><Relationship Id="rId2045" Type="http://schemas.openxmlformats.org/officeDocument/2006/relationships/hyperlink" Target="https://clinicaltrials.gov/study/NCT03022188" TargetMode="External"/><Relationship Id="rId571" Type="http://schemas.openxmlformats.org/officeDocument/2006/relationships/hyperlink" Target="https://clinicaltrials.gov/study/NCT04389632" TargetMode="External"/><Relationship Id="rId669" Type="http://schemas.openxmlformats.org/officeDocument/2006/relationships/hyperlink" Target="https://clinicaltrials.gov/study/NCT00363051" TargetMode="External"/><Relationship Id="rId876" Type="http://schemas.openxmlformats.org/officeDocument/2006/relationships/hyperlink" Target="https://clinicaltrials.gov/study/NCT06710132" TargetMode="External"/><Relationship Id="rId1299" Type="http://schemas.openxmlformats.org/officeDocument/2006/relationships/hyperlink" Target="https://clinicaltrials.gov/study/NCT00634725" TargetMode="External"/><Relationship Id="rId2252" Type="http://schemas.openxmlformats.org/officeDocument/2006/relationships/hyperlink" Target="https://clinicaltrials.gov/study/NCT03485209" TargetMode="External"/><Relationship Id="rId224" Type="http://schemas.openxmlformats.org/officeDocument/2006/relationships/hyperlink" Target="https://clinicaltrials.gov/study/NCT02818829" TargetMode="External"/><Relationship Id="rId431" Type="http://schemas.openxmlformats.org/officeDocument/2006/relationships/hyperlink" Target="https://clinicaltrials.gov/study/NCT00004884" TargetMode="External"/><Relationship Id="rId529" Type="http://schemas.openxmlformats.org/officeDocument/2006/relationships/hyperlink" Target="https://clinicaltrials.gov/study/NCT05475366" TargetMode="External"/><Relationship Id="rId736" Type="http://schemas.openxmlformats.org/officeDocument/2006/relationships/hyperlink" Target="https://clinicaltrials.gov/study/NCT00064207" TargetMode="External"/><Relationship Id="rId1061" Type="http://schemas.openxmlformats.org/officeDocument/2006/relationships/hyperlink" Target="https://clinicaltrials.gov/study/NCT02818829" TargetMode="External"/><Relationship Id="rId1159" Type="http://schemas.openxmlformats.org/officeDocument/2006/relationships/hyperlink" Target="https://clinicaltrials.gov/study/NCT07097064" TargetMode="External"/><Relationship Id="rId1366" Type="http://schemas.openxmlformats.org/officeDocument/2006/relationships/hyperlink" Target="https://clinicaltrials.gov/study/NCT01526135" TargetMode="External"/><Relationship Id="rId2112" Type="http://schemas.openxmlformats.org/officeDocument/2006/relationships/hyperlink" Target="https://clinicaltrials.gov/study/NCT00789633" TargetMode="External"/><Relationship Id="rId2417" Type="http://schemas.openxmlformats.org/officeDocument/2006/relationships/hyperlink" Target="https://clinicaltrials.gov/study/NCT02539537" TargetMode="External"/><Relationship Id="rId943" Type="http://schemas.openxmlformats.org/officeDocument/2006/relationships/hyperlink" Target="https://clinicaltrials.gov/study/NCT05776342" TargetMode="External"/><Relationship Id="rId1019" Type="http://schemas.openxmlformats.org/officeDocument/2006/relationships/hyperlink" Target="https://clinicaltrials.gov/study/NCT06999512" TargetMode="External"/><Relationship Id="rId1573" Type="http://schemas.openxmlformats.org/officeDocument/2006/relationships/hyperlink" Target="https://clinicaltrials.gov/study/NCT01479803" TargetMode="External"/><Relationship Id="rId1780" Type="http://schemas.openxmlformats.org/officeDocument/2006/relationships/hyperlink" Target="https://clinicaltrials.gov/study/NCT03797326" TargetMode="External"/><Relationship Id="rId1878" Type="http://schemas.openxmlformats.org/officeDocument/2006/relationships/hyperlink" Target="https://clinicaltrials.gov/study/NCT02301143" TargetMode="External"/><Relationship Id="rId72" Type="http://schemas.openxmlformats.org/officeDocument/2006/relationships/hyperlink" Target="https://clinicaltrials.gov/study/NCT06666803" TargetMode="External"/><Relationship Id="rId803" Type="http://schemas.openxmlformats.org/officeDocument/2006/relationships/hyperlink" Target="https://clinicaltrials.gov/study/NCT00112658" TargetMode="External"/><Relationship Id="rId1226" Type="http://schemas.openxmlformats.org/officeDocument/2006/relationships/hyperlink" Target="https://clinicaltrials.gov/study/NCT00010062" TargetMode="External"/><Relationship Id="rId1433" Type="http://schemas.openxmlformats.org/officeDocument/2006/relationships/hyperlink" Target="https://clinicaltrials.gov/study/NCT00634725" TargetMode="External"/><Relationship Id="rId1640" Type="http://schemas.openxmlformats.org/officeDocument/2006/relationships/hyperlink" Target="https://clinicaltrials.gov/study/NCT02807844" TargetMode="External"/><Relationship Id="rId1738" Type="http://schemas.openxmlformats.org/officeDocument/2006/relationships/hyperlink" Target="https://clinicaltrials.gov/study/NCT05065801" TargetMode="External"/><Relationship Id="rId1500" Type="http://schemas.openxmlformats.org/officeDocument/2006/relationships/hyperlink" Target="https://clinicaltrials.gov/study/NCT01989624" TargetMode="External"/><Relationship Id="rId1945" Type="http://schemas.openxmlformats.org/officeDocument/2006/relationships/hyperlink" Target="https://clinicaltrials.gov/study/NCT01373164" TargetMode="External"/><Relationship Id="rId1805" Type="http://schemas.openxmlformats.org/officeDocument/2006/relationships/hyperlink" Target="https://clinicaltrials.gov/study/NCT01368094" TargetMode="External"/><Relationship Id="rId179" Type="http://schemas.openxmlformats.org/officeDocument/2006/relationships/hyperlink" Target="https://clinicaltrials.gov/study/NCT06735560" TargetMode="External"/><Relationship Id="rId386" Type="http://schemas.openxmlformats.org/officeDocument/2006/relationships/hyperlink" Target="https://clinicaltrials.gov/study/NCT07547033" TargetMode="External"/><Relationship Id="rId593" Type="http://schemas.openxmlformats.org/officeDocument/2006/relationships/hyperlink" Target="https://clinicaltrials.gov/study/NCT04704154" TargetMode="External"/><Relationship Id="rId2067" Type="http://schemas.openxmlformats.org/officeDocument/2006/relationships/hyperlink" Target="https://clinicaltrials.gov/study/NCT03787056" TargetMode="External"/><Relationship Id="rId2274" Type="http://schemas.openxmlformats.org/officeDocument/2006/relationships/hyperlink" Target="https://clinicaltrials.gov/study/NCT02676349" TargetMode="External"/><Relationship Id="rId2481" Type="http://schemas.openxmlformats.org/officeDocument/2006/relationships/hyperlink" Target="https://clinicaltrials.gov/study/NCT01444456" TargetMode="External"/><Relationship Id="rId246" Type="http://schemas.openxmlformats.org/officeDocument/2006/relationships/hyperlink" Target="https://clinicaltrials.gov/study/NCT06608927" TargetMode="External"/><Relationship Id="rId453" Type="http://schemas.openxmlformats.org/officeDocument/2006/relationships/hyperlink" Target="https://clinicaltrials.gov/study/NCT00363051" TargetMode="External"/><Relationship Id="rId660" Type="http://schemas.openxmlformats.org/officeDocument/2006/relationships/hyperlink" Target="https://clinicaltrials.gov/study/NCT00428597" TargetMode="External"/><Relationship Id="rId898" Type="http://schemas.openxmlformats.org/officeDocument/2006/relationships/hyperlink" Target="https://clinicaltrials.gov/study/NCT02436668" TargetMode="External"/><Relationship Id="rId1083" Type="http://schemas.openxmlformats.org/officeDocument/2006/relationships/hyperlink" Target="https://clinicaltrials.gov/study/NCT00064207" TargetMode="External"/><Relationship Id="rId1290" Type="http://schemas.openxmlformats.org/officeDocument/2006/relationships/hyperlink" Target="https://clinicaltrials.gov/study/NCT00064207" TargetMode="External"/><Relationship Id="rId2134" Type="http://schemas.openxmlformats.org/officeDocument/2006/relationships/hyperlink" Target="https://clinicaltrials.gov/study/NCT06172478" TargetMode="External"/><Relationship Id="rId2341" Type="http://schemas.openxmlformats.org/officeDocument/2006/relationships/hyperlink" Target="https://clinicaltrials.gov/study/NCT01444456" TargetMode="External"/><Relationship Id="rId106" Type="http://schemas.openxmlformats.org/officeDocument/2006/relationships/hyperlink" Target="https://clinicaltrials.gov/study/NCT00010088" TargetMode="External"/><Relationship Id="rId313" Type="http://schemas.openxmlformats.org/officeDocument/2006/relationships/hyperlink" Target="https://clinicaltrials.gov/study/NCT07178587" TargetMode="External"/><Relationship Id="rId758" Type="http://schemas.openxmlformats.org/officeDocument/2006/relationships/hyperlink" Target="https://clinicaltrials.gov/study/NCT00428220" TargetMode="External"/><Relationship Id="rId965" Type="http://schemas.openxmlformats.org/officeDocument/2006/relationships/hyperlink" Target="https://clinicaltrials.gov/study/NCT00358566" TargetMode="External"/><Relationship Id="rId1150" Type="http://schemas.openxmlformats.org/officeDocument/2006/relationships/hyperlink" Target="https://clinicaltrials.gov/study/NCT00918853" TargetMode="External"/><Relationship Id="rId1388" Type="http://schemas.openxmlformats.org/officeDocument/2006/relationships/hyperlink" Target="https://clinicaltrials.gov/study/NCT00064207" TargetMode="External"/><Relationship Id="rId1595" Type="http://schemas.openxmlformats.org/officeDocument/2006/relationships/hyperlink" Target="https://clinicaltrials.gov/study/NCT04137822" TargetMode="External"/><Relationship Id="rId2439" Type="http://schemas.openxmlformats.org/officeDocument/2006/relationships/hyperlink" Target="https://clinicaltrials.gov/study/NCT02352337" TargetMode="External"/><Relationship Id="rId94" Type="http://schemas.openxmlformats.org/officeDocument/2006/relationships/hyperlink" Target="https://clinicaltrials.gov/study/NCT04632199" TargetMode="External"/><Relationship Id="rId520" Type="http://schemas.openxmlformats.org/officeDocument/2006/relationships/hyperlink" Target="https://clinicaltrials.gov/study/NCT04570943" TargetMode="External"/><Relationship Id="rId618" Type="http://schemas.openxmlformats.org/officeDocument/2006/relationships/hyperlink" Target="https://clinicaltrials.gov/study/NCT06608927" TargetMode="External"/><Relationship Id="rId825" Type="http://schemas.openxmlformats.org/officeDocument/2006/relationships/hyperlink" Target="https://clinicaltrials.gov/study/NCT05706129" TargetMode="External"/><Relationship Id="rId1248" Type="http://schemas.openxmlformats.org/officeDocument/2006/relationships/hyperlink" Target="https://clinicaltrials.gov/study/NCT01526135" TargetMode="External"/><Relationship Id="rId1455" Type="http://schemas.openxmlformats.org/officeDocument/2006/relationships/hyperlink" Target="https://clinicaltrials.gov/study/NCT00064207" TargetMode="External"/><Relationship Id="rId1662" Type="http://schemas.openxmlformats.org/officeDocument/2006/relationships/hyperlink" Target="https://clinicaltrials.gov/study/NCT06989437" TargetMode="External"/><Relationship Id="rId2201" Type="http://schemas.openxmlformats.org/officeDocument/2006/relationships/hyperlink" Target="https://clinicaltrials.gov/study/NCT02827201" TargetMode="External"/><Relationship Id="rId2506" Type="http://schemas.openxmlformats.org/officeDocument/2006/relationships/hyperlink" Target="https://clinicaltrials.gov/study/NCT01689584" TargetMode="External"/><Relationship Id="rId1010" Type="http://schemas.openxmlformats.org/officeDocument/2006/relationships/hyperlink" Target="https://clinicaltrials.gov/study/NCT02715804" TargetMode="External"/><Relationship Id="rId1108" Type="http://schemas.openxmlformats.org/officeDocument/2006/relationships/hyperlink" Target="https://clinicaltrials.gov/study/NCT00010088" TargetMode="External"/><Relationship Id="rId1315" Type="http://schemas.openxmlformats.org/officeDocument/2006/relationships/hyperlink" Target="https://clinicaltrials.gov/study/NCT00303758" TargetMode="External"/><Relationship Id="rId1967" Type="http://schemas.openxmlformats.org/officeDocument/2006/relationships/hyperlink" Target="https://clinicaltrials.gov/study/NCT03941093" TargetMode="External"/><Relationship Id="rId1522" Type="http://schemas.openxmlformats.org/officeDocument/2006/relationships/hyperlink" Target="https://clinicaltrials.gov/study/NCT00634725" TargetMode="External"/><Relationship Id="rId21" Type="http://schemas.openxmlformats.org/officeDocument/2006/relationships/hyperlink" Target="https://clinicaltrials.gov/study/NCT03665441" TargetMode="External"/><Relationship Id="rId2089" Type="http://schemas.openxmlformats.org/officeDocument/2006/relationships/hyperlink" Target="https://clinicaltrials.gov/study/NCT02246127" TargetMode="External"/><Relationship Id="rId2296" Type="http://schemas.openxmlformats.org/officeDocument/2006/relationships/hyperlink" Target="https://clinicaltrials.gov/study/NCT02827201" TargetMode="External"/><Relationship Id="rId268" Type="http://schemas.openxmlformats.org/officeDocument/2006/relationships/hyperlink" Target="https://clinicaltrials.gov/study/NCT00634725" TargetMode="External"/><Relationship Id="rId475" Type="http://schemas.openxmlformats.org/officeDocument/2006/relationships/hyperlink" Target="https://clinicaltrials.gov/study/NCT05732831" TargetMode="External"/><Relationship Id="rId682" Type="http://schemas.openxmlformats.org/officeDocument/2006/relationships/hyperlink" Target="https://clinicaltrials.gov/study/NCT05275478" TargetMode="External"/><Relationship Id="rId2156" Type="http://schemas.openxmlformats.org/officeDocument/2006/relationships/hyperlink" Target="https://clinicaltrials.gov/study/NCT02853474" TargetMode="External"/><Relationship Id="rId2363" Type="http://schemas.openxmlformats.org/officeDocument/2006/relationships/hyperlink" Target="https://clinicaltrials.gov/study/NCT00789633" TargetMode="External"/><Relationship Id="rId128" Type="http://schemas.openxmlformats.org/officeDocument/2006/relationships/hyperlink" Target="https://clinicaltrials.gov/study/NCT00885066" TargetMode="External"/><Relationship Id="rId335" Type="http://schemas.openxmlformats.org/officeDocument/2006/relationships/hyperlink" Target="https://clinicaltrials.gov/study/NCT04083599" TargetMode="External"/><Relationship Id="rId542" Type="http://schemas.openxmlformats.org/officeDocument/2006/relationships/hyperlink" Target="https://clinicaltrials.gov/study/NCT00902291" TargetMode="External"/><Relationship Id="rId1172" Type="http://schemas.openxmlformats.org/officeDocument/2006/relationships/hyperlink" Target="https://clinicaltrials.gov/study/NCT02820857" TargetMode="External"/><Relationship Id="rId2016" Type="http://schemas.openxmlformats.org/officeDocument/2006/relationships/hyperlink" Target="https://clinicaltrials.gov/study/NCT03941093" TargetMode="External"/><Relationship Id="rId2223" Type="http://schemas.openxmlformats.org/officeDocument/2006/relationships/hyperlink" Target="https://clinicaltrials.gov/study/NCT02827201" TargetMode="External"/><Relationship Id="rId2430" Type="http://schemas.openxmlformats.org/officeDocument/2006/relationships/hyperlink" Target="https://clinicaltrials.gov/study/NCT00789633" TargetMode="External"/><Relationship Id="rId402" Type="http://schemas.openxmlformats.org/officeDocument/2006/relationships/hyperlink" Target="https://clinicaltrials.gov/study/NCT00075452" TargetMode="External"/><Relationship Id="rId1032" Type="http://schemas.openxmlformats.org/officeDocument/2006/relationships/hyperlink" Target="https://clinicaltrials.gov/study/NCT02195180" TargetMode="External"/><Relationship Id="rId1989" Type="http://schemas.openxmlformats.org/officeDocument/2006/relationships/hyperlink" Target="https://clinicaltrials.gov/study/NCT06177327" TargetMode="External"/><Relationship Id="rId1849" Type="http://schemas.openxmlformats.org/officeDocument/2006/relationships/hyperlink" Target="https://clinicaltrials.gov/study/NCT04919226" TargetMode="External"/><Relationship Id="rId192" Type="http://schemas.openxmlformats.org/officeDocument/2006/relationships/hyperlink" Target="https://clinicaltrials.gov/study/NCT03906331" TargetMode="External"/><Relationship Id="rId1709" Type="http://schemas.openxmlformats.org/officeDocument/2006/relationships/hyperlink" Target="https://clinicaltrials.gov/study/NCT06147414" TargetMode="External"/><Relationship Id="rId1916" Type="http://schemas.openxmlformats.org/officeDocument/2006/relationships/hyperlink" Target="https://clinicaltrials.gov/study/NCT02184663" TargetMode="External"/><Relationship Id="rId2080" Type="http://schemas.openxmlformats.org/officeDocument/2006/relationships/hyperlink" Target="https://clinicaltrials.gov/study/NCT02288377" TargetMode="External"/><Relationship Id="rId869" Type="http://schemas.openxmlformats.org/officeDocument/2006/relationships/hyperlink" Target="https://clinicaltrials.gov/study/NCT00275119" TargetMode="External"/><Relationship Id="rId1499" Type="http://schemas.openxmlformats.org/officeDocument/2006/relationships/hyperlink" Target="https://clinicaltrials.gov/study/NCT00112658" TargetMode="External"/><Relationship Id="rId729" Type="http://schemas.openxmlformats.org/officeDocument/2006/relationships/hyperlink" Target="https://clinicaltrials.gov/study/NCT00112697" TargetMode="External"/><Relationship Id="rId1359" Type="http://schemas.openxmlformats.org/officeDocument/2006/relationships/hyperlink" Target="https://clinicaltrials.gov/study/NCT00634725" TargetMode="External"/><Relationship Id="rId936" Type="http://schemas.openxmlformats.org/officeDocument/2006/relationships/hyperlink" Target="https://clinicaltrials.gov/study/NCT03102320" TargetMode="External"/><Relationship Id="rId1219" Type="http://schemas.openxmlformats.org/officeDocument/2006/relationships/hyperlink" Target="https://clinicaltrials.gov/study/NCT05470738" TargetMode="External"/><Relationship Id="rId1566" Type="http://schemas.openxmlformats.org/officeDocument/2006/relationships/hyperlink" Target="https://clinicaltrials.gov/study/NCT07591493" TargetMode="External"/><Relationship Id="rId1773" Type="http://schemas.openxmlformats.org/officeDocument/2006/relationships/hyperlink" Target="https://clinicaltrials.gov/study/NCT04924075" TargetMode="External"/><Relationship Id="rId1980" Type="http://schemas.openxmlformats.org/officeDocument/2006/relationships/hyperlink" Target="https://clinicaltrials.gov/study/NCT01444456" TargetMode="External"/><Relationship Id="rId65" Type="http://schemas.openxmlformats.org/officeDocument/2006/relationships/hyperlink" Target="https://clinicaltrials.gov/study/NCT06625320" TargetMode="External"/><Relationship Id="rId1426" Type="http://schemas.openxmlformats.org/officeDocument/2006/relationships/hyperlink" Target="https://clinicaltrials.gov/study/NCT00075452" TargetMode="External"/><Relationship Id="rId1633" Type="http://schemas.openxmlformats.org/officeDocument/2006/relationships/hyperlink" Target="https://clinicaltrials.gov/study/NCT00779688" TargetMode="External"/><Relationship Id="rId1840" Type="http://schemas.openxmlformats.org/officeDocument/2006/relationships/hyperlink" Target="https://clinicaltrials.gov/study/NCT07492680" TargetMode="External"/><Relationship Id="rId1700" Type="http://schemas.openxmlformats.org/officeDocument/2006/relationships/hyperlink" Target="https://clinicaltrials.gov/study/NCT03525067" TargetMode="External"/><Relationship Id="rId379" Type="http://schemas.openxmlformats.org/officeDocument/2006/relationships/hyperlink" Target="https://clinicaltrials.gov/study/NCT05968326" TargetMode="External"/><Relationship Id="rId586" Type="http://schemas.openxmlformats.org/officeDocument/2006/relationships/hyperlink" Target="https://clinicaltrials.gov/study/NCT05275478" TargetMode="External"/><Relationship Id="rId793" Type="http://schemas.openxmlformats.org/officeDocument/2006/relationships/hyperlink" Target="https://clinicaltrials.gov/study/NCT03126435" TargetMode="External"/><Relationship Id="rId2267" Type="http://schemas.openxmlformats.org/officeDocument/2006/relationships/hyperlink" Target="https://clinicaltrials.gov/study/NCT02264665" TargetMode="External"/><Relationship Id="rId2474" Type="http://schemas.openxmlformats.org/officeDocument/2006/relationships/hyperlink" Target="https://clinicaltrials.gov/study/NCT03693677" TargetMode="External"/><Relationship Id="rId239" Type="http://schemas.openxmlformats.org/officeDocument/2006/relationships/hyperlink" Target="https://clinicaltrials.gov/study/NCT06528093" TargetMode="External"/><Relationship Id="rId446" Type="http://schemas.openxmlformats.org/officeDocument/2006/relationships/hyperlink" Target="https://clinicaltrials.gov/study/NCT04137289" TargetMode="External"/><Relationship Id="rId653" Type="http://schemas.openxmlformats.org/officeDocument/2006/relationships/hyperlink" Target="https://clinicaltrials.gov/study/NCT00275119" TargetMode="External"/><Relationship Id="rId1076" Type="http://schemas.openxmlformats.org/officeDocument/2006/relationships/hyperlink" Target="https://clinicaltrials.gov/study/NCT00634725" TargetMode="External"/><Relationship Id="rId1283" Type="http://schemas.openxmlformats.org/officeDocument/2006/relationships/hyperlink" Target="https://clinicaltrials.gov/study/NCT07547033" TargetMode="External"/><Relationship Id="rId1490" Type="http://schemas.openxmlformats.org/officeDocument/2006/relationships/hyperlink" Target="https://clinicaltrials.gov/study/NCT00112658" TargetMode="External"/><Relationship Id="rId2127" Type="http://schemas.openxmlformats.org/officeDocument/2006/relationships/hyperlink" Target="https://clinicaltrials.gov/study/NCT02853474" TargetMode="External"/><Relationship Id="rId2334" Type="http://schemas.openxmlformats.org/officeDocument/2006/relationships/hyperlink" Target="https://clinicaltrials.gov/study/NCT03022188" TargetMode="External"/><Relationship Id="rId306" Type="http://schemas.openxmlformats.org/officeDocument/2006/relationships/hyperlink" Target="https://clinicaltrials.gov/study/NCT06128551" TargetMode="External"/><Relationship Id="rId860" Type="http://schemas.openxmlformats.org/officeDocument/2006/relationships/hyperlink" Target="https://clinicaltrials.gov/study/NCT00010088" TargetMode="External"/><Relationship Id="rId1143" Type="http://schemas.openxmlformats.org/officeDocument/2006/relationships/hyperlink" Target="https://clinicaltrials.gov/study/NCT00064207" TargetMode="External"/><Relationship Id="rId513" Type="http://schemas.openxmlformats.org/officeDocument/2006/relationships/hyperlink" Target="https://clinicaltrials.gov/study/NCT04935359" TargetMode="External"/><Relationship Id="rId720" Type="http://schemas.openxmlformats.org/officeDocument/2006/relationships/hyperlink" Target="https://clinicaltrials.gov/study/NCT05475366" TargetMode="External"/><Relationship Id="rId1350" Type="http://schemas.openxmlformats.org/officeDocument/2006/relationships/hyperlink" Target="https://clinicaltrials.gov/study/NCT00112658" TargetMode="External"/><Relationship Id="rId2401" Type="http://schemas.openxmlformats.org/officeDocument/2006/relationships/hyperlink" Target="https://clinicaltrials.gov/study/NCT02539537" TargetMode="External"/><Relationship Id="rId1003" Type="http://schemas.openxmlformats.org/officeDocument/2006/relationships/hyperlink" Target="https://clinicaltrials.gov/study/NCT00075452" TargetMode="External"/><Relationship Id="rId1210" Type="http://schemas.openxmlformats.org/officeDocument/2006/relationships/hyperlink" Target="https://clinicaltrials.gov/study/NCT01964430" TargetMode="External"/><Relationship Id="rId2191" Type="http://schemas.openxmlformats.org/officeDocument/2006/relationships/hyperlink" Target="https://clinicaltrials.gov/study/NCT06177327" TargetMode="External"/><Relationship Id="rId163" Type="http://schemas.openxmlformats.org/officeDocument/2006/relationships/hyperlink" Target="https://clinicaltrials.gov/study/NCT05462717" TargetMode="External"/><Relationship Id="rId370" Type="http://schemas.openxmlformats.org/officeDocument/2006/relationships/hyperlink" Target="https://clinicaltrials.gov/study/NCT05776342" TargetMode="External"/><Relationship Id="rId2051" Type="http://schemas.openxmlformats.org/officeDocument/2006/relationships/hyperlink" Target="https://clinicaltrials.gov/study/NCT02539537" TargetMode="External"/><Relationship Id="rId230" Type="http://schemas.openxmlformats.org/officeDocument/2006/relationships/hyperlink" Target="https://clinicaltrials.gov/study/NCT07076121" TargetMode="External"/><Relationship Id="rId1677" Type="http://schemas.openxmlformats.org/officeDocument/2006/relationships/hyperlink" Target="https://clinicaltrials.gov/study/NCT03328065" TargetMode="External"/><Relationship Id="rId1884" Type="http://schemas.openxmlformats.org/officeDocument/2006/relationships/hyperlink" Target="https://clinicaltrials.gov/study/NCT06755359" TargetMode="External"/><Relationship Id="rId907" Type="http://schemas.openxmlformats.org/officeDocument/2006/relationships/hyperlink" Target="https://clinicaltrials.gov/study/NCT05470738" TargetMode="External"/><Relationship Id="rId1537" Type="http://schemas.openxmlformats.org/officeDocument/2006/relationships/hyperlink" Target="https://clinicaltrials.gov/study/NCT01692873" TargetMode="External"/><Relationship Id="rId1744" Type="http://schemas.openxmlformats.org/officeDocument/2006/relationships/hyperlink" Target="https://clinicaltrials.gov/study/NCT01485679" TargetMode="External"/><Relationship Id="rId1951" Type="http://schemas.openxmlformats.org/officeDocument/2006/relationships/hyperlink" Target="https://clinicaltrials.gov/study/NCT00652366" TargetMode="External"/><Relationship Id="rId36" Type="http://schemas.openxmlformats.org/officeDocument/2006/relationships/hyperlink" Target="https://clinicaltrials.gov/study/NCT05968326" TargetMode="External"/><Relationship Id="rId1604" Type="http://schemas.openxmlformats.org/officeDocument/2006/relationships/hyperlink" Target="https://clinicaltrials.gov/study/NCT02021500" TargetMode="External"/><Relationship Id="rId1811" Type="http://schemas.openxmlformats.org/officeDocument/2006/relationships/hyperlink" Target="https://clinicaltrials.gov/study/NCT01373164" TargetMode="External"/><Relationship Id="rId697" Type="http://schemas.openxmlformats.org/officeDocument/2006/relationships/hyperlink" Target="https://clinicaltrials.gov/study/NCT01526135" TargetMode="External"/><Relationship Id="rId2378" Type="http://schemas.openxmlformats.org/officeDocument/2006/relationships/hyperlink" Target="https://clinicaltrials.gov/study/NCT01444456" TargetMode="External"/><Relationship Id="rId1187" Type="http://schemas.openxmlformats.org/officeDocument/2006/relationships/hyperlink" Target="https://clinicaltrials.gov/study/NCT00064207" TargetMode="External"/><Relationship Id="rId557" Type="http://schemas.openxmlformats.org/officeDocument/2006/relationships/hyperlink" Target="https://clinicaltrials.gov/study/NCT06586515" TargetMode="External"/><Relationship Id="rId764" Type="http://schemas.openxmlformats.org/officeDocument/2006/relationships/hyperlink" Target="https://clinicaltrials.gov/study/NCT06330064" TargetMode="External"/><Relationship Id="rId971" Type="http://schemas.openxmlformats.org/officeDocument/2006/relationships/hyperlink" Target="https://clinicaltrials.gov/study/NCT00303758" TargetMode="External"/><Relationship Id="rId1394" Type="http://schemas.openxmlformats.org/officeDocument/2006/relationships/hyperlink" Target="https://clinicaltrials.gov/study/NCT00112658" TargetMode="External"/><Relationship Id="rId2238" Type="http://schemas.openxmlformats.org/officeDocument/2006/relationships/hyperlink" Target="https://clinicaltrials.gov/study/NCT00789633" TargetMode="External"/><Relationship Id="rId2445" Type="http://schemas.openxmlformats.org/officeDocument/2006/relationships/hyperlink" Target="https://clinicaltrials.gov/study/NCT01689584" TargetMode="External"/><Relationship Id="rId417" Type="http://schemas.openxmlformats.org/officeDocument/2006/relationships/hyperlink" Target="https://clinicaltrials.gov/study/NCT06119217" TargetMode="External"/><Relationship Id="rId624" Type="http://schemas.openxmlformats.org/officeDocument/2006/relationships/hyperlink" Target="https://clinicaltrials.gov/study/NCT02979483" TargetMode="External"/><Relationship Id="rId831" Type="http://schemas.openxmlformats.org/officeDocument/2006/relationships/hyperlink" Target="https://clinicaltrials.gov/study/NCT00918853" TargetMode="External"/><Relationship Id="rId1047" Type="http://schemas.openxmlformats.org/officeDocument/2006/relationships/hyperlink" Target="https://clinicaltrials.gov/study/NCT02715804" TargetMode="External"/><Relationship Id="rId1254" Type="http://schemas.openxmlformats.org/officeDocument/2006/relationships/hyperlink" Target="https://clinicaltrials.gov/study/NCT00634725" TargetMode="External"/><Relationship Id="rId1461" Type="http://schemas.openxmlformats.org/officeDocument/2006/relationships/hyperlink" Target="https://clinicaltrials.gov/study/NCT00064207" TargetMode="External"/><Relationship Id="rId2305" Type="http://schemas.openxmlformats.org/officeDocument/2006/relationships/hyperlink" Target="https://clinicaltrials.gov/study/NCT02676349" TargetMode="External"/><Relationship Id="rId2512" Type="http://schemas.openxmlformats.org/officeDocument/2006/relationships/hyperlink" Target="https://clinicaltrials.gov/study/NCT02352337" TargetMode="External"/><Relationship Id="rId1114" Type="http://schemas.openxmlformats.org/officeDocument/2006/relationships/hyperlink" Target="https://clinicaltrials.gov/study/NCT00064207" TargetMode="External"/><Relationship Id="rId1321" Type="http://schemas.openxmlformats.org/officeDocument/2006/relationships/hyperlink" Target="https://clinicaltrials.gov/study/NCT01526135" TargetMode="External"/><Relationship Id="rId2095" Type="http://schemas.openxmlformats.org/officeDocument/2006/relationships/hyperlink" Target="https://clinicaltrials.gov/study/NCT02853474" TargetMode="External"/><Relationship Id="rId274" Type="http://schemas.openxmlformats.org/officeDocument/2006/relationships/hyperlink" Target="https://clinicaltrials.gov/study/NCT06757244" TargetMode="External"/><Relationship Id="rId481" Type="http://schemas.openxmlformats.org/officeDocument/2006/relationships/hyperlink" Target="https://clinicaltrials.gov/study/NCT06188702" TargetMode="External"/><Relationship Id="rId2162" Type="http://schemas.openxmlformats.org/officeDocument/2006/relationships/hyperlink" Target="https://clinicaltrials.gov/study/NCT03915678" TargetMode="External"/><Relationship Id="rId134" Type="http://schemas.openxmlformats.org/officeDocument/2006/relationships/hyperlink" Target="https://clinicaltrials.gov/study/NCT00004884" TargetMode="External"/><Relationship Id="rId341" Type="http://schemas.openxmlformats.org/officeDocument/2006/relationships/hyperlink" Target="https://clinicaltrials.gov/study/NCT06026410" TargetMode="External"/><Relationship Id="rId2022" Type="http://schemas.openxmlformats.org/officeDocument/2006/relationships/hyperlink" Target="https://clinicaltrials.gov/study/NCT00312013" TargetMode="External"/><Relationship Id="rId201" Type="http://schemas.openxmlformats.org/officeDocument/2006/relationships/hyperlink" Target="https://clinicaltrials.gov/study/NCT06024174" TargetMode="External"/><Relationship Id="rId1788" Type="http://schemas.openxmlformats.org/officeDocument/2006/relationships/hyperlink" Target="https://clinicaltrials.gov/study/NCT06172478" TargetMode="External"/><Relationship Id="rId1995" Type="http://schemas.openxmlformats.org/officeDocument/2006/relationships/hyperlink" Target="https://clinicaltrials.gov/study/NCT00035035" TargetMode="External"/><Relationship Id="rId1648" Type="http://schemas.openxmlformats.org/officeDocument/2006/relationships/hyperlink" Target="https://clinicaltrials.gov/study/NCT06332274" TargetMode="External"/><Relationship Id="rId1508" Type="http://schemas.openxmlformats.org/officeDocument/2006/relationships/hyperlink" Target="https://clinicaltrials.gov/study/NCT00112658" TargetMode="External"/><Relationship Id="rId1855" Type="http://schemas.openxmlformats.org/officeDocument/2006/relationships/hyperlink" Target="https://clinicaltrials.gov/study/NCT06973161" TargetMode="External"/><Relationship Id="rId1715" Type="http://schemas.openxmlformats.org/officeDocument/2006/relationships/hyperlink" Target="https://clinicaltrials.gov/study/NCT00842348" TargetMode="External"/><Relationship Id="rId1922" Type="http://schemas.openxmlformats.org/officeDocument/2006/relationships/hyperlink" Target="https://clinicaltrials.gov/study/NCT00312013" TargetMode="External"/><Relationship Id="rId2489" Type="http://schemas.openxmlformats.org/officeDocument/2006/relationships/hyperlink" Target="https://clinicaltrials.gov/study/NCT02539537" TargetMode="External"/><Relationship Id="rId668" Type="http://schemas.openxmlformats.org/officeDocument/2006/relationships/hyperlink" Target="https://clinicaltrials.gov/study/NCT05462717" TargetMode="External"/><Relationship Id="rId875" Type="http://schemas.openxmlformats.org/officeDocument/2006/relationships/hyperlink" Target="https://clinicaltrials.gov/study/NCT07522073" TargetMode="External"/><Relationship Id="rId1298" Type="http://schemas.openxmlformats.org/officeDocument/2006/relationships/hyperlink" Target="https://clinicaltrials.gov/study/NCT00075452" TargetMode="External"/><Relationship Id="rId2349" Type="http://schemas.openxmlformats.org/officeDocument/2006/relationships/hyperlink" Target="https://clinicaltrials.gov/study/NCT03693677" TargetMode="External"/><Relationship Id="rId528" Type="http://schemas.openxmlformats.org/officeDocument/2006/relationships/hyperlink" Target="https://clinicaltrials.gov/study/NCT00634725" TargetMode="External"/><Relationship Id="rId735" Type="http://schemas.openxmlformats.org/officeDocument/2006/relationships/hyperlink" Target="https://clinicaltrials.gov/study/NCT00275119" TargetMode="External"/><Relationship Id="rId942" Type="http://schemas.openxmlformats.org/officeDocument/2006/relationships/hyperlink" Target="https://clinicaltrials.gov/study/NCT01989624" TargetMode="External"/><Relationship Id="rId1158" Type="http://schemas.openxmlformats.org/officeDocument/2006/relationships/hyperlink" Target="https://clinicaltrials.gov/study/NCT03816163" TargetMode="External"/><Relationship Id="rId1365" Type="http://schemas.openxmlformats.org/officeDocument/2006/relationships/hyperlink" Target="https://clinicaltrials.gov/study/NCT01989624" TargetMode="External"/><Relationship Id="rId1572" Type="http://schemas.openxmlformats.org/officeDocument/2006/relationships/hyperlink" Target="https://clinicaltrials.gov/study/NCT04134832" TargetMode="External"/><Relationship Id="rId2209" Type="http://schemas.openxmlformats.org/officeDocument/2006/relationships/hyperlink" Target="https://clinicaltrials.gov/study/NCT02184663" TargetMode="External"/><Relationship Id="rId2416" Type="http://schemas.openxmlformats.org/officeDocument/2006/relationships/hyperlink" Target="https://clinicaltrials.gov/study/NCT02827201" TargetMode="External"/><Relationship Id="rId1018" Type="http://schemas.openxmlformats.org/officeDocument/2006/relationships/hyperlink" Target="https://clinicaltrials.gov/study/NCT07522073" TargetMode="External"/><Relationship Id="rId1225" Type="http://schemas.openxmlformats.org/officeDocument/2006/relationships/hyperlink" Target="https://clinicaltrials.gov/study/NCT00064207" TargetMode="External"/><Relationship Id="rId1432" Type="http://schemas.openxmlformats.org/officeDocument/2006/relationships/hyperlink" Target="https://clinicaltrials.gov/study/NCT01989624" TargetMode="External"/><Relationship Id="rId71" Type="http://schemas.openxmlformats.org/officeDocument/2006/relationships/hyperlink" Target="https://clinicaltrials.gov/study/NCT03032913" TargetMode="External"/><Relationship Id="rId802" Type="http://schemas.openxmlformats.org/officeDocument/2006/relationships/hyperlink" Target="https://clinicaltrials.gov/study/NCT00268411" TargetMode="External"/><Relationship Id="rId178" Type="http://schemas.openxmlformats.org/officeDocument/2006/relationships/hyperlink" Target="https://clinicaltrials.gov/study/NCT07087054" TargetMode="External"/><Relationship Id="rId385" Type="http://schemas.openxmlformats.org/officeDocument/2006/relationships/hyperlink" Target="https://clinicaltrials.gov/study/NCT04348045" TargetMode="External"/><Relationship Id="rId592" Type="http://schemas.openxmlformats.org/officeDocument/2006/relationships/hyperlink" Target="https://clinicaltrials.gov/study/NCT05094336" TargetMode="External"/><Relationship Id="rId2066" Type="http://schemas.openxmlformats.org/officeDocument/2006/relationships/hyperlink" Target="https://clinicaltrials.gov/study/NCT06172478" TargetMode="External"/><Relationship Id="rId2273" Type="http://schemas.openxmlformats.org/officeDocument/2006/relationships/hyperlink" Target="https://clinicaltrials.gov/study/NCT01689584" TargetMode="External"/><Relationship Id="rId2480" Type="http://schemas.openxmlformats.org/officeDocument/2006/relationships/hyperlink" Target="https://clinicaltrials.gov/study/NCT02539537" TargetMode="External"/><Relationship Id="rId245" Type="http://schemas.openxmlformats.org/officeDocument/2006/relationships/hyperlink" Target="https://clinicaltrials.gov/study/NCT07547033" TargetMode="External"/><Relationship Id="rId452" Type="http://schemas.openxmlformats.org/officeDocument/2006/relationships/hyperlink" Target="https://clinicaltrials.gov/study/NCT05462717" TargetMode="External"/><Relationship Id="rId1082" Type="http://schemas.openxmlformats.org/officeDocument/2006/relationships/hyperlink" Target="https://clinicaltrials.gov/study/NCT00303758" TargetMode="External"/><Relationship Id="rId2133" Type="http://schemas.openxmlformats.org/officeDocument/2006/relationships/hyperlink" Target="https://clinicaltrials.gov/study/NCT03915678" TargetMode="External"/><Relationship Id="rId2340" Type="http://schemas.openxmlformats.org/officeDocument/2006/relationships/hyperlink" Target="https://clinicaltrials.gov/study/NCT02264665" TargetMode="External"/><Relationship Id="rId105" Type="http://schemas.openxmlformats.org/officeDocument/2006/relationships/hyperlink" Target="https://clinicaltrials.gov/study/NCT03504423" TargetMode="External"/><Relationship Id="rId312" Type="http://schemas.openxmlformats.org/officeDocument/2006/relationships/hyperlink" Target="https://clinicaltrials.gov/study/NCT06131840" TargetMode="External"/><Relationship Id="rId2200" Type="http://schemas.openxmlformats.org/officeDocument/2006/relationships/hyperlink" Target="https://clinicaltrials.gov/study/NCT02352337" TargetMode="External"/><Relationship Id="rId1899" Type="http://schemas.openxmlformats.org/officeDocument/2006/relationships/hyperlink" Target="https://clinicaltrials.gov/study/NCT02827201" TargetMode="External"/><Relationship Id="rId1759" Type="http://schemas.openxmlformats.org/officeDocument/2006/relationships/hyperlink" Target="https://clinicaltrials.gov/study/NCT04956640" TargetMode="External"/><Relationship Id="rId1966" Type="http://schemas.openxmlformats.org/officeDocument/2006/relationships/hyperlink" Target="https://clinicaltrials.gov/study/NCT03305146" TargetMode="External"/><Relationship Id="rId1619" Type="http://schemas.openxmlformats.org/officeDocument/2006/relationships/hyperlink" Target="https://clinicaltrials.gov/study/NCT02921646" TargetMode="External"/><Relationship Id="rId1826" Type="http://schemas.openxmlformats.org/officeDocument/2006/relationships/hyperlink" Target="https://clinicaltrials.gov/study/NCT02827201" TargetMode="External"/><Relationship Id="rId779" Type="http://schemas.openxmlformats.org/officeDocument/2006/relationships/hyperlink" Target="https://clinicaltrials.gov/study/NCT02195180" TargetMode="External"/><Relationship Id="rId986" Type="http://schemas.openxmlformats.org/officeDocument/2006/relationships/hyperlink" Target="https://clinicaltrials.gov/study/NCT00918853" TargetMode="External"/><Relationship Id="rId639" Type="http://schemas.openxmlformats.org/officeDocument/2006/relationships/hyperlink" Target="https://clinicaltrials.gov/study/NCT03504423" TargetMode="External"/><Relationship Id="rId1269" Type="http://schemas.openxmlformats.org/officeDocument/2006/relationships/hyperlink" Target="https://clinicaltrials.gov/study/NCT00075452" TargetMode="External"/><Relationship Id="rId1476" Type="http://schemas.openxmlformats.org/officeDocument/2006/relationships/hyperlink" Target="https://clinicaltrials.gov/study/NCT00010088" TargetMode="External"/><Relationship Id="rId846" Type="http://schemas.openxmlformats.org/officeDocument/2006/relationships/hyperlink" Target="https://clinicaltrials.gov/study/NCT04935359" TargetMode="External"/><Relationship Id="rId1129" Type="http://schemas.openxmlformats.org/officeDocument/2006/relationships/hyperlink" Target="https://clinicaltrials.gov/study/NCT04348045" TargetMode="External"/><Relationship Id="rId1683" Type="http://schemas.openxmlformats.org/officeDocument/2006/relationships/hyperlink" Target="https://clinicaltrials.gov/study/NCT05143970" TargetMode="External"/><Relationship Id="rId1890" Type="http://schemas.openxmlformats.org/officeDocument/2006/relationships/hyperlink" Target="https://clinicaltrials.gov/study/NCT02923921" TargetMode="External"/><Relationship Id="rId2527" Type="http://schemas.openxmlformats.org/officeDocument/2006/relationships/hyperlink" Target="https://clinicaltrials.gov/study/NCT01689584" TargetMode="External"/><Relationship Id="rId706" Type="http://schemas.openxmlformats.org/officeDocument/2006/relationships/hyperlink" Target="https://clinicaltrials.gov/study/NCT03816163" TargetMode="External"/><Relationship Id="rId913" Type="http://schemas.openxmlformats.org/officeDocument/2006/relationships/hyperlink" Target="https://clinicaltrials.gov/study/NCT02993731" TargetMode="External"/><Relationship Id="rId1336" Type="http://schemas.openxmlformats.org/officeDocument/2006/relationships/hyperlink" Target="https://clinicaltrials.gov/study/NCT00075452" TargetMode="External"/><Relationship Id="rId1543" Type="http://schemas.openxmlformats.org/officeDocument/2006/relationships/hyperlink" Target="https://clinicaltrials.gov/study/NCT03961646" TargetMode="External"/><Relationship Id="rId1750" Type="http://schemas.openxmlformats.org/officeDocument/2006/relationships/hyperlink" Target="https://clinicaltrials.gov/study/NCT00353496" TargetMode="External"/><Relationship Id="rId42" Type="http://schemas.openxmlformats.org/officeDocument/2006/relationships/hyperlink" Target="https://clinicaltrials.gov/study/NCT06528093" TargetMode="External"/><Relationship Id="rId1403" Type="http://schemas.openxmlformats.org/officeDocument/2006/relationships/hyperlink" Target="https://clinicaltrials.gov/study/NCT00064207" TargetMode="External"/><Relationship Id="rId1610" Type="http://schemas.openxmlformats.org/officeDocument/2006/relationships/hyperlink" Target="https://clinicaltrials.gov/study/NCT03721744" TargetMode="External"/><Relationship Id="rId289" Type="http://schemas.openxmlformats.org/officeDocument/2006/relationships/hyperlink" Target="https://clinicaltrials.gov/study/NCT06005493" TargetMode="External"/><Relationship Id="rId496" Type="http://schemas.openxmlformats.org/officeDocument/2006/relationships/hyperlink" Target="https://clinicaltrials.gov/study/NCT01526135" TargetMode="External"/><Relationship Id="rId2177" Type="http://schemas.openxmlformats.org/officeDocument/2006/relationships/hyperlink" Target="https://clinicaltrials.gov/study/NCT02539537" TargetMode="External"/><Relationship Id="rId2384" Type="http://schemas.openxmlformats.org/officeDocument/2006/relationships/hyperlink" Target="https://clinicaltrials.gov/study/NCT02539537" TargetMode="External"/><Relationship Id="rId149" Type="http://schemas.openxmlformats.org/officeDocument/2006/relationships/hyperlink" Target="https://clinicaltrials.gov/study/NCT06999512" TargetMode="External"/><Relationship Id="rId356" Type="http://schemas.openxmlformats.org/officeDocument/2006/relationships/hyperlink" Target="https://clinicaltrials.gov/study/NCT06188702" TargetMode="External"/><Relationship Id="rId563" Type="http://schemas.openxmlformats.org/officeDocument/2006/relationships/hyperlink" Target="https://clinicaltrials.gov/study/NCT04137289" TargetMode="External"/><Relationship Id="rId770" Type="http://schemas.openxmlformats.org/officeDocument/2006/relationships/hyperlink" Target="https://clinicaltrials.gov/study/NCT01989624" TargetMode="External"/><Relationship Id="rId1193" Type="http://schemas.openxmlformats.org/officeDocument/2006/relationships/hyperlink" Target="https://clinicaltrials.gov/study/NCT00918853" TargetMode="External"/><Relationship Id="rId2037" Type="http://schemas.openxmlformats.org/officeDocument/2006/relationships/hyperlink" Target="https://clinicaltrials.gov/study/NCT00035035" TargetMode="External"/><Relationship Id="rId2244" Type="http://schemas.openxmlformats.org/officeDocument/2006/relationships/hyperlink" Target="https://clinicaltrials.gov/study/NCT02539537" TargetMode="External"/><Relationship Id="rId2451" Type="http://schemas.openxmlformats.org/officeDocument/2006/relationships/hyperlink" Target="https://clinicaltrials.gov/study/NCT02264665" TargetMode="External"/><Relationship Id="rId216" Type="http://schemas.openxmlformats.org/officeDocument/2006/relationships/hyperlink" Target="https://clinicaltrials.gov/study/NCT05094336" TargetMode="External"/><Relationship Id="rId423" Type="http://schemas.openxmlformats.org/officeDocument/2006/relationships/hyperlink" Target="https://clinicaltrials.gov/study/NCT00112697" TargetMode="External"/><Relationship Id="rId1053" Type="http://schemas.openxmlformats.org/officeDocument/2006/relationships/hyperlink" Target="https://clinicaltrials.gov/study/NCT06333314" TargetMode="External"/><Relationship Id="rId1260" Type="http://schemas.openxmlformats.org/officeDocument/2006/relationships/hyperlink" Target="https://clinicaltrials.gov/study/NCT03806309" TargetMode="External"/><Relationship Id="rId2104" Type="http://schemas.openxmlformats.org/officeDocument/2006/relationships/hyperlink" Target="https://clinicaltrials.gov/study/NCT03485209" TargetMode="External"/><Relationship Id="rId630" Type="http://schemas.openxmlformats.org/officeDocument/2006/relationships/hyperlink" Target="https://clinicaltrials.gov/study/NCT00075452" TargetMode="External"/><Relationship Id="rId2311" Type="http://schemas.openxmlformats.org/officeDocument/2006/relationships/hyperlink" Target="https://clinicaltrials.gov/study/NCT02827201" TargetMode="External"/><Relationship Id="rId1120" Type="http://schemas.openxmlformats.org/officeDocument/2006/relationships/hyperlink" Target="https://clinicaltrials.gov/study/NCT02820857" TargetMode="External"/><Relationship Id="rId1937" Type="http://schemas.openxmlformats.org/officeDocument/2006/relationships/hyperlink" Target="https://clinicaltrials.gov/study/NCT03394365" TargetMode="External"/><Relationship Id="rId280" Type="http://schemas.openxmlformats.org/officeDocument/2006/relationships/hyperlink" Target="https://clinicaltrials.gov/study/NCT00550004" TargetMode="External"/><Relationship Id="rId140" Type="http://schemas.openxmlformats.org/officeDocument/2006/relationships/hyperlink" Target="https://clinicaltrials.gov/study/NCT00268840" TargetMode="External"/><Relationship Id="rId6" Type="http://schemas.openxmlformats.org/officeDocument/2006/relationships/hyperlink" Target="https://clinicaltrials.gov/study/NCT00918853" TargetMode="External"/><Relationship Id="rId957" Type="http://schemas.openxmlformats.org/officeDocument/2006/relationships/hyperlink" Target="https://clinicaltrials.gov/study/NCT02184195" TargetMode="External"/><Relationship Id="rId1587" Type="http://schemas.openxmlformats.org/officeDocument/2006/relationships/hyperlink" Target="https://clinicaltrials.gov/study/NCT01373164" TargetMode="External"/><Relationship Id="rId1794" Type="http://schemas.openxmlformats.org/officeDocument/2006/relationships/hyperlink" Target="https://clinicaltrials.gov/study/NCT06238479" TargetMode="External"/><Relationship Id="rId86" Type="http://schemas.openxmlformats.org/officeDocument/2006/relationships/hyperlink" Target="https://clinicaltrials.gov/study/NCT07274657" TargetMode="External"/><Relationship Id="rId817" Type="http://schemas.openxmlformats.org/officeDocument/2006/relationships/hyperlink" Target="https://clinicaltrials.gov/study/NCT06710132" TargetMode="External"/><Relationship Id="rId1447" Type="http://schemas.openxmlformats.org/officeDocument/2006/relationships/hyperlink" Target="https://clinicaltrials.gov/study/NCT00112658" TargetMode="External"/><Relationship Id="rId1654" Type="http://schemas.openxmlformats.org/officeDocument/2006/relationships/hyperlink" Target="https://clinicaltrials.gov/study/NCT02184663" TargetMode="External"/><Relationship Id="rId1861" Type="http://schemas.openxmlformats.org/officeDocument/2006/relationships/hyperlink" Target="https://clinicaltrials.gov/study/NCT01444456" TargetMode="External"/><Relationship Id="rId1307" Type="http://schemas.openxmlformats.org/officeDocument/2006/relationships/hyperlink" Target="https://clinicaltrials.gov/study/NCT01989624" TargetMode="External"/><Relationship Id="rId1514" Type="http://schemas.openxmlformats.org/officeDocument/2006/relationships/hyperlink" Target="https://clinicaltrials.gov/study/NCT00634725" TargetMode="External"/><Relationship Id="rId1721" Type="http://schemas.openxmlformats.org/officeDocument/2006/relationships/hyperlink" Target="https://clinicaltrials.gov/study/NCT01628913" TargetMode="External"/><Relationship Id="rId13" Type="http://schemas.openxmlformats.org/officeDocument/2006/relationships/hyperlink" Target="https://clinicaltrials.gov/study/NCT01274455" TargetMode="External"/><Relationship Id="rId2288" Type="http://schemas.openxmlformats.org/officeDocument/2006/relationships/hyperlink" Target="https://clinicaltrials.gov/study/NCT06177327" TargetMode="External"/><Relationship Id="rId2495" Type="http://schemas.openxmlformats.org/officeDocument/2006/relationships/hyperlink" Target="https://clinicaltrials.gov/study/NCT01689584" TargetMode="External"/><Relationship Id="rId467" Type="http://schemas.openxmlformats.org/officeDocument/2006/relationships/hyperlink" Target="https://clinicaltrials.gov/study/NCT03210298" TargetMode="External"/><Relationship Id="rId1097" Type="http://schemas.openxmlformats.org/officeDocument/2006/relationships/hyperlink" Target="https://clinicaltrials.gov/study/NCT03943667" TargetMode="External"/><Relationship Id="rId2148" Type="http://schemas.openxmlformats.org/officeDocument/2006/relationships/hyperlink" Target="https://clinicaltrials.gov/study/NCT02827201" TargetMode="External"/><Relationship Id="rId674" Type="http://schemas.openxmlformats.org/officeDocument/2006/relationships/hyperlink" Target="https://clinicaltrials.gov/study/NCT04657068" TargetMode="External"/><Relationship Id="rId881" Type="http://schemas.openxmlformats.org/officeDocument/2006/relationships/hyperlink" Target="https://clinicaltrials.gov/study/NCT00428220" TargetMode="External"/><Relationship Id="rId2355" Type="http://schemas.openxmlformats.org/officeDocument/2006/relationships/hyperlink" Target="https://clinicaltrials.gov/study/NCT02352337" TargetMode="External"/><Relationship Id="rId327" Type="http://schemas.openxmlformats.org/officeDocument/2006/relationships/hyperlink" Target="https://clinicaltrials.gov/study/NCT04325425" TargetMode="External"/><Relationship Id="rId534" Type="http://schemas.openxmlformats.org/officeDocument/2006/relationships/hyperlink" Target="https://clinicaltrials.gov/study/NCT00010088" TargetMode="External"/><Relationship Id="rId741" Type="http://schemas.openxmlformats.org/officeDocument/2006/relationships/hyperlink" Target="https://clinicaltrials.gov/study/NCT00471146" TargetMode="External"/><Relationship Id="rId1164" Type="http://schemas.openxmlformats.org/officeDocument/2006/relationships/hyperlink" Target="https://clinicaltrials.gov/study/NCT00112658" TargetMode="External"/><Relationship Id="rId1371" Type="http://schemas.openxmlformats.org/officeDocument/2006/relationships/hyperlink" Target="https://clinicaltrials.gov/study/NCT00303758" TargetMode="External"/><Relationship Id="rId2008" Type="http://schemas.openxmlformats.org/officeDocument/2006/relationships/hyperlink" Target="https://clinicaltrials.gov/study/NCT02539537" TargetMode="External"/><Relationship Id="rId2215" Type="http://schemas.openxmlformats.org/officeDocument/2006/relationships/hyperlink" Target="https://clinicaltrials.gov/study/NCT01689584" TargetMode="External"/><Relationship Id="rId2422" Type="http://schemas.openxmlformats.org/officeDocument/2006/relationships/hyperlink" Target="https://clinicaltrials.gov/study/NCT00789633" TargetMode="External"/><Relationship Id="rId601" Type="http://schemas.openxmlformats.org/officeDocument/2006/relationships/hyperlink" Target="https://clinicaltrials.gov/study/NCT01989624" TargetMode="External"/><Relationship Id="rId1024" Type="http://schemas.openxmlformats.org/officeDocument/2006/relationships/hyperlink" Target="https://clinicaltrials.gov/study/NCT06330064" TargetMode="External"/><Relationship Id="rId1231" Type="http://schemas.openxmlformats.org/officeDocument/2006/relationships/hyperlink" Target="https://clinicaltrials.gov/study/NCT01989624" TargetMode="External"/><Relationship Id="rId184" Type="http://schemas.openxmlformats.org/officeDocument/2006/relationships/hyperlink" Target="https://clinicaltrials.gov/study/NCT07261631" TargetMode="External"/><Relationship Id="rId391" Type="http://schemas.openxmlformats.org/officeDocument/2006/relationships/hyperlink" Target="https://clinicaltrials.gov/study/NCT04935359" TargetMode="External"/><Relationship Id="rId1908" Type="http://schemas.openxmlformats.org/officeDocument/2006/relationships/hyperlink" Target="https://clinicaltrials.gov/study/NCT00510068" TargetMode="External"/><Relationship Id="rId2072" Type="http://schemas.openxmlformats.org/officeDocument/2006/relationships/hyperlink" Target="https://clinicaltrials.gov/study/NCT02676349" TargetMode="External"/><Relationship Id="rId251" Type="http://schemas.openxmlformats.org/officeDocument/2006/relationships/hyperlink" Target="https://clinicaltrials.gov/study/NCT05365581" TargetMode="External"/><Relationship Id="rId111" Type="http://schemas.openxmlformats.org/officeDocument/2006/relationships/hyperlink" Target="https://clinicaltrials.gov/study/NCT04712721" TargetMode="External"/><Relationship Id="rId1698" Type="http://schemas.openxmlformats.org/officeDocument/2006/relationships/hyperlink" Target="https://clinicaltrials.gov/study/NCT04925284" TargetMode="External"/><Relationship Id="rId928" Type="http://schemas.openxmlformats.org/officeDocument/2006/relationships/hyperlink" Target="https://clinicaltrials.gov/study/NCT06333314" TargetMode="External"/><Relationship Id="rId1558" Type="http://schemas.openxmlformats.org/officeDocument/2006/relationships/hyperlink" Target="https://clinicaltrials.gov/study/NCT02858141" TargetMode="External"/><Relationship Id="rId1765" Type="http://schemas.openxmlformats.org/officeDocument/2006/relationships/hyperlink" Target="https://clinicaltrials.gov/study/NCT05571839" TargetMode="External"/><Relationship Id="rId57" Type="http://schemas.openxmlformats.org/officeDocument/2006/relationships/hyperlink" Target="https://clinicaltrials.gov/study/NCT04851106" TargetMode="External"/><Relationship Id="rId1418" Type="http://schemas.openxmlformats.org/officeDocument/2006/relationships/hyperlink" Target="https://clinicaltrials.gov/study/NCT01989624" TargetMode="External"/><Relationship Id="rId1972" Type="http://schemas.openxmlformats.org/officeDocument/2006/relationships/hyperlink" Target="https://clinicaltrials.gov/study/NCT02912949" TargetMode="External"/><Relationship Id="rId1625" Type="http://schemas.openxmlformats.org/officeDocument/2006/relationships/hyperlink" Target="https://clinicaltrials.gov/study/NCT05824403" TargetMode="External"/><Relationship Id="rId1832" Type="http://schemas.openxmlformats.org/officeDocument/2006/relationships/hyperlink" Target="https://clinicaltrials.gov/study/NCT02246127" TargetMode="External"/><Relationship Id="rId2399" Type="http://schemas.openxmlformats.org/officeDocument/2006/relationships/hyperlink" Target="https://clinicaltrials.gov/study/NCT02352337" TargetMode="External"/><Relationship Id="rId578" Type="http://schemas.openxmlformats.org/officeDocument/2006/relationships/hyperlink" Target="https://clinicaltrials.gov/study/NCT02820857" TargetMode="External"/><Relationship Id="rId785" Type="http://schemas.openxmlformats.org/officeDocument/2006/relationships/hyperlink" Target="https://clinicaltrials.gov/study/NCT07097064" TargetMode="External"/><Relationship Id="rId992" Type="http://schemas.openxmlformats.org/officeDocument/2006/relationships/hyperlink" Target="https://clinicaltrials.gov/study/NCT03943667" TargetMode="External"/><Relationship Id="rId2259" Type="http://schemas.openxmlformats.org/officeDocument/2006/relationships/hyperlink" Target="https://clinicaltrials.gov/study/NCT02288377" TargetMode="External"/><Relationship Id="rId2466" Type="http://schemas.openxmlformats.org/officeDocument/2006/relationships/hyperlink" Target="https://clinicaltrials.gov/study/NCT03693677" TargetMode="External"/><Relationship Id="rId438" Type="http://schemas.openxmlformats.org/officeDocument/2006/relationships/hyperlink" Target="https://clinicaltrials.gov/study/NCT00428597" TargetMode="External"/><Relationship Id="rId645" Type="http://schemas.openxmlformats.org/officeDocument/2006/relationships/hyperlink" Target="https://clinicaltrials.gov/study/NCT00268411" TargetMode="External"/><Relationship Id="rId852" Type="http://schemas.openxmlformats.org/officeDocument/2006/relationships/hyperlink" Target="https://clinicaltrials.gov/study/NCT05470738" TargetMode="External"/><Relationship Id="rId1068" Type="http://schemas.openxmlformats.org/officeDocument/2006/relationships/hyperlink" Target="https://clinicaltrials.gov/study/NCT04348045" TargetMode="External"/><Relationship Id="rId1275" Type="http://schemas.openxmlformats.org/officeDocument/2006/relationships/hyperlink" Target="https://clinicaltrials.gov/study/NCT00010062" TargetMode="External"/><Relationship Id="rId1482" Type="http://schemas.openxmlformats.org/officeDocument/2006/relationships/hyperlink" Target="https://clinicaltrials.gov/study/NCT00112658" TargetMode="External"/><Relationship Id="rId2119" Type="http://schemas.openxmlformats.org/officeDocument/2006/relationships/hyperlink" Target="https://clinicaltrials.gov/study/NCT01485679" TargetMode="External"/><Relationship Id="rId2326" Type="http://schemas.openxmlformats.org/officeDocument/2006/relationships/hyperlink" Target="https://clinicaltrials.gov/study/NCT03693677" TargetMode="External"/><Relationship Id="rId2533" Type="http://schemas.openxmlformats.org/officeDocument/2006/relationships/hyperlink" Target="https://clinicaltrials.gov/study/NCT01689584" TargetMode="External"/><Relationship Id="rId505" Type="http://schemas.openxmlformats.org/officeDocument/2006/relationships/hyperlink" Target="https://clinicaltrials.gov/study/NCT02195180" TargetMode="External"/><Relationship Id="rId712" Type="http://schemas.openxmlformats.org/officeDocument/2006/relationships/hyperlink" Target="https://clinicaltrials.gov/study/NCT07028424" TargetMode="External"/><Relationship Id="rId1135" Type="http://schemas.openxmlformats.org/officeDocument/2006/relationships/hyperlink" Target="https://clinicaltrials.gov/study/NCT00075452" TargetMode="External"/><Relationship Id="rId1342" Type="http://schemas.openxmlformats.org/officeDocument/2006/relationships/hyperlink" Target="https://clinicaltrials.gov/study/NCT00010062" TargetMode="External"/><Relationship Id="rId1202" Type="http://schemas.openxmlformats.org/officeDocument/2006/relationships/hyperlink" Target="https://clinicaltrials.gov/study/NCT00634725" TargetMode="External"/><Relationship Id="rId295" Type="http://schemas.openxmlformats.org/officeDocument/2006/relationships/hyperlink" Target="https://clinicaltrials.gov/study/NCT00010062" TargetMode="External"/><Relationship Id="rId2183" Type="http://schemas.openxmlformats.org/officeDocument/2006/relationships/hyperlink" Target="https://clinicaltrials.gov/study/NCT02264665" TargetMode="External"/><Relationship Id="rId2390" Type="http://schemas.openxmlformats.org/officeDocument/2006/relationships/hyperlink" Target="https://clinicaltrials.gov/study/NCT00789633" TargetMode="External"/><Relationship Id="rId155" Type="http://schemas.openxmlformats.org/officeDocument/2006/relationships/hyperlink" Target="https://clinicaltrials.gov/study/NCT07094204" TargetMode="External"/><Relationship Id="rId362" Type="http://schemas.openxmlformats.org/officeDocument/2006/relationships/hyperlink" Target="https://clinicaltrials.gov/study/NCT06330064" TargetMode="External"/><Relationship Id="rId2043" Type="http://schemas.openxmlformats.org/officeDocument/2006/relationships/hyperlink" Target="https://clinicaltrials.gov/study/NCT03351296" TargetMode="External"/><Relationship Id="rId2250" Type="http://schemas.openxmlformats.org/officeDocument/2006/relationships/hyperlink" Target="https://clinicaltrials.gov/study/NCT01444456" TargetMode="External"/><Relationship Id="rId222" Type="http://schemas.openxmlformats.org/officeDocument/2006/relationships/hyperlink" Target="https://clinicaltrials.gov/study/NCT00918853" TargetMode="External"/><Relationship Id="rId2110" Type="http://schemas.openxmlformats.org/officeDocument/2006/relationships/hyperlink" Target="https://clinicaltrials.gov/study/NCT06755359" TargetMode="External"/><Relationship Id="rId1669" Type="http://schemas.openxmlformats.org/officeDocument/2006/relationships/hyperlink" Target="https://clinicaltrials.gov/study/NCT00312013" TargetMode="External"/><Relationship Id="rId1876" Type="http://schemas.openxmlformats.org/officeDocument/2006/relationships/hyperlink" Target="https://clinicaltrials.gov/study/NCT02676349" TargetMode="External"/><Relationship Id="rId1529" Type="http://schemas.openxmlformats.org/officeDocument/2006/relationships/hyperlink" Target="https://clinicaltrials.gov/study/NCT00634725" TargetMode="External"/><Relationship Id="rId1736" Type="http://schemas.openxmlformats.org/officeDocument/2006/relationships/hyperlink" Target="https://clinicaltrials.gov/study/NCT03022188" TargetMode="External"/><Relationship Id="rId1943" Type="http://schemas.openxmlformats.org/officeDocument/2006/relationships/hyperlink" Target="https://clinicaltrials.gov/study/NCT01628913" TargetMode="External"/><Relationship Id="rId28" Type="http://schemas.openxmlformats.org/officeDocument/2006/relationships/hyperlink" Target="https://clinicaltrials.gov/study/NCT05546853" TargetMode="External"/><Relationship Id="rId1803" Type="http://schemas.openxmlformats.org/officeDocument/2006/relationships/hyperlink" Target="https://clinicaltrials.gov/study/NCT00842348" TargetMode="External"/><Relationship Id="rId689" Type="http://schemas.openxmlformats.org/officeDocument/2006/relationships/hyperlink" Target="https://clinicaltrials.gov/study/NCT03377491" TargetMode="External"/><Relationship Id="rId896" Type="http://schemas.openxmlformats.org/officeDocument/2006/relationships/hyperlink" Target="https://clinicaltrials.gov/study/NCT05546853" TargetMode="External"/><Relationship Id="rId549" Type="http://schemas.openxmlformats.org/officeDocument/2006/relationships/hyperlink" Target="https://clinicaltrials.gov/study/NCT00064207" TargetMode="External"/><Relationship Id="rId756" Type="http://schemas.openxmlformats.org/officeDocument/2006/relationships/hyperlink" Target="https://clinicaltrials.gov/study/NCT05477576" TargetMode="External"/><Relationship Id="rId1179" Type="http://schemas.openxmlformats.org/officeDocument/2006/relationships/hyperlink" Target="https://clinicaltrials.gov/study/NCT03816163" TargetMode="External"/><Relationship Id="rId1386" Type="http://schemas.openxmlformats.org/officeDocument/2006/relationships/hyperlink" Target="https://clinicaltrials.gov/study/NCT00112658" TargetMode="External"/><Relationship Id="rId1593" Type="http://schemas.openxmlformats.org/officeDocument/2006/relationships/hyperlink" Target="https://clinicaltrials.gov/study/NCT01314027" TargetMode="External"/><Relationship Id="rId2437" Type="http://schemas.openxmlformats.org/officeDocument/2006/relationships/hyperlink" Target="https://clinicaltrials.gov/study/NCT01689584" TargetMode="External"/><Relationship Id="rId409" Type="http://schemas.openxmlformats.org/officeDocument/2006/relationships/hyperlink" Target="https://clinicaltrials.gov/study/NCT05475366" TargetMode="External"/><Relationship Id="rId963" Type="http://schemas.openxmlformats.org/officeDocument/2006/relationships/hyperlink" Target="https://clinicaltrials.gov/study/NCT03504423" TargetMode="External"/><Relationship Id="rId1039" Type="http://schemas.openxmlformats.org/officeDocument/2006/relationships/hyperlink" Target="https://clinicaltrials.gov/study/NCT05470738" TargetMode="External"/><Relationship Id="rId1246" Type="http://schemas.openxmlformats.org/officeDocument/2006/relationships/hyperlink" Target="https://clinicaltrials.gov/study/NCT02820857" TargetMode="External"/><Relationship Id="rId92" Type="http://schemas.openxmlformats.org/officeDocument/2006/relationships/hyperlink" Target="https://clinicaltrials.gov/study/NCT06275737" TargetMode="External"/><Relationship Id="rId616" Type="http://schemas.openxmlformats.org/officeDocument/2006/relationships/hyperlink" Target="https://clinicaltrials.gov/study/NCT04348045" TargetMode="External"/><Relationship Id="rId823" Type="http://schemas.openxmlformats.org/officeDocument/2006/relationships/hyperlink" Target="https://clinicaltrials.gov/study/NCT02820857" TargetMode="External"/><Relationship Id="rId1453" Type="http://schemas.openxmlformats.org/officeDocument/2006/relationships/hyperlink" Target="https://clinicaltrials.gov/study/NCT00112658" TargetMode="External"/><Relationship Id="rId1660" Type="http://schemas.openxmlformats.org/officeDocument/2006/relationships/hyperlink" Target="https://clinicaltrials.gov/study/NCT06071507" TargetMode="External"/><Relationship Id="rId2504" Type="http://schemas.openxmlformats.org/officeDocument/2006/relationships/hyperlink" Target="https://clinicaltrials.gov/study/NCT02352337" TargetMode="External"/><Relationship Id="rId1106" Type="http://schemas.openxmlformats.org/officeDocument/2006/relationships/hyperlink" Target="https://clinicaltrials.gov/study/NCT03126435" TargetMode="External"/><Relationship Id="rId1313" Type="http://schemas.openxmlformats.org/officeDocument/2006/relationships/hyperlink" Target="https://clinicaltrials.gov/study/NCT00010088" TargetMode="External"/><Relationship Id="rId1520" Type="http://schemas.openxmlformats.org/officeDocument/2006/relationships/hyperlink" Target="https://clinicaltrials.gov/study/NCT00634725" TargetMode="External"/><Relationship Id="rId199" Type="http://schemas.openxmlformats.org/officeDocument/2006/relationships/hyperlink" Target="https://clinicaltrials.gov/study/NCT06179160" TargetMode="External"/><Relationship Id="rId2087" Type="http://schemas.openxmlformats.org/officeDocument/2006/relationships/hyperlink" Target="https://clinicaltrials.gov/study/NCT02539537" TargetMode="External"/><Relationship Id="rId2294" Type="http://schemas.openxmlformats.org/officeDocument/2006/relationships/hyperlink" Target="https://clinicaltrials.gov/study/NCT03022188" TargetMode="External"/><Relationship Id="rId266" Type="http://schemas.openxmlformats.org/officeDocument/2006/relationships/hyperlink" Target="https://clinicaltrials.gov/study/NCT03126435" TargetMode="External"/><Relationship Id="rId473" Type="http://schemas.openxmlformats.org/officeDocument/2006/relationships/hyperlink" Target="https://clinicaltrials.gov/study/NCT06179160" TargetMode="External"/><Relationship Id="rId680" Type="http://schemas.openxmlformats.org/officeDocument/2006/relationships/hyperlink" Target="https://clinicaltrials.gov/study/NCT00428220" TargetMode="External"/><Relationship Id="rId2154" Type="http://schemas.openxmlformats.org/officeDocument/2006/relationships/hyperlink" Target="https://clinicaltrials.gov/study/NCT03305146" TargetMode="External"/><Relationship Id="rId2361" Type="http://schemas.openxmlformats.org/officeDocument/2006/relationships/hyperlink" Target="https://clinicaltrials.gov/study/NCT01689584" TargetMode="External"/><Relationship Id="rId126" Type="http://schemas.openxmlformats.org/officeDocument/2006/relationships/hyperlink" Target="https://clinicaltrials.gov/study/NCT06005493" TargetMode="External"/><Relationship Id="rId333" Type="http://schemas.openxmlformats.org/officeDocument/2006/relationships/hyperlink" Target="https://clinicaltrials.gov/study/NCT03525392" TargetMode="External"/><Relationship Id="rId540" Type="http://schemas.openxmlformats.org/officeDocument/2006/relationships/hyperlink" Target="https://clinicaltrials.gov/study/NCT00112658" TargetMode="External"/><Relationship Id="rId1170" Type="http://schemas.openxmlformats.org/officeDocument/2006/relationships/hyperlink" Target="https://clinicaltrials.gov/study/NCT07522073" TargetMode="External"/><Relationship Id="rId2014" Type="http://schemas.openxmlformats.org/officeDocument/2006/relationships/hyperlink" Target="https://clinicaltrials.gov/study/NCT00510068" TargetMode="External"/><Relationship Id="rId2221" Type="http://schemas.openxmlformats.org/officeDocument/2006/relationships/hyperlink" Target="https://clinicaltrials.gov/study/NCT03022188" TargetMode="External"/><Relationship Id="rId1030" Type="http://schemas.openxmlformats.org/officeDocument/2006/relationships/hyperlink" Target="https://clinicaltrials.gov/study/NCT07076121" TargetMode="External"/><Relationship Id="rId400" Type="http://schemas.openxmlformats.org/officeDocument/2006/relationships/hyperlink" Target="https://clinicaltrials.gov/study/NCT07144917" TargetMode="External"/><Relationship Id="rId1987" Type="http://schemas.openxmlformats.org/officeDocument/2006/relationships/hyperlink" Target="https://clinicaltrials.gov/study/NCT0623847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doctolib.fr/gastro-enterologue/saint-nazaire/matthieu-demy" TargetMode="External"/><Relationship Id="rId2" Type="http://schemas.openxmlformats.org/officeDocument/2006/relationships/hyperlink" Target="https://www.doctolib.fr/gastro-enterologue/saint-nazaire/afchine-alamdari" TargetMode="External"/><Relationship Id="rId1" Type="http://schemas.openxmlformats.org/officeDocument/2006/relationships/hyperlink" Target="https://hopitaluniversitaire-henrimondor.aphp.fr/pr-laurent-alexis" TargetMode="External"/><Relationship Id="rId6" Type="http://schemas.microsoft.com/office/2019/04/relationships/namedSheetView" Target="../namedSheetViews/namedSheetView2.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hyperlink" Target="https://www.sante.fr/essais-cliniques/2025-522093-36-00/c3651021-etude-de-phase-2b-3-randomisee-en-double-aveugle-visant-a-evaluer-l-efficacite-la-securite-et-la-tolerabilite-du-ponsegromab-pf-06946860-par-rapport-a-un-placebo-les-deux-associes-a-une-chimiotherapie-de-premiere-ligne-chez-des-participants-adultes-atteints-de-cachexie-et-d-adenocarcinome-ductal-pancreatique-metastatique" TargetMode="External"/><Relationship Id="rId3" Type="http://schemas.openxmlformats.org/officeDocument/2006/relationships/hyperlink" Target="https://www.institutpaolicalmettes.fr/annuaire_soignants/dr-catherine-nogues/" TargetMode="External"/><Relationship Id="rId7" Type="http://schemas.openxmlformats.org/officeDocument/2006/relationships/hyperlink" Target="https://www.sante.fr/essais-cliniques/2022-501854-12-01/a-phase-1b-study-to-evaluate-the-safety-tolerability-and-preliminary-efficacy-of-a-heterologous-prime-boost-vaccination-atp150-atp152-atp162-vsv-gp154-and-ezabenlimab-bi-754091-in-patients-with-pancreatic-ductal-adenocarcinoma" TargetMode="External"/><Relationship Id="rId2" Type="http://schemas.openxmlformats.org/officeDocument/2006/relationships/hyperlink" Target="https://www.espoir-pancreas.fr/nos-conferences/" TargetMode="External"/><Relationship Id="rId1" Type="http://schemas.openxmlformats.org/officeDocument/2006/relationships/hyperlink" Target="https://www.espoir-pancreas.fr/nos-conferences/" TargetMode="External"/><Relationship Id="rId6" Type="http://schemas.openxmlformats.org/officeDocument/2006/relationships/hyperlink" Target="https://www.ffcd.fr/index.php/recherche/essais-therapeutiques" TargetMode="External"/><Relationship Id="rId11" Type="http://schemas.openxmlformats.org/officeDocument/2006/relationships/hyperlink" Target="https://www.ch-perigueux.fr/poles-et-services/rechercher-un-service-226/chirurgie-viscerale-et-bariatrique-8.html?cHash=331c1b251aef2189880e1045313352a3" TargetMode="External"/><Relationship Id="rId5" Type="http://schemas.openxmlformats.org/officeDocument/2006/relationships/hyperlink" Target="https://www.chu-toulouse.fr/pr-carrere-nicolas" TargetMode="External"/><Relationship Id="rId10" Type="http://schemas.openxmlformats.org/officeDocument/2006/relationships/hyperlink" Target="https://www.ffcd.fr/index.php/recherche/essais-therapeutiques" TargetMode="External"/><Relationship Id="rId4" Type="http://schemas.openxmlformats.org/officeDocument/2006/relationships/hyperlink" Target="https://clinicaltrials.gov/study/NCT06128343" TargetMode="External"/><Relationship Id="rId9" Type="http://schemas.openxmlformats.org/officeDocument/2006/relationships/hyperlink" Target="https://quenet-torrent.com/en/our-team/fabrizio-panaro/"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fcd.fr/index.php?option=com_content&amp;view=article&amp;id=83&amp;etude=00163&amp;Itemid=144"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hyperlink" Target="https://odin-dataviz-drees.sante.gouv.fr/digdash_dashboard_dataviz_drees/?defaultPage=Morbidit%C3%A9_Hospitali%C3%A8re_Tableau_3__D%C3%A9partements&amp;user=dataviz_sante&amp;pass=dataviz_san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EA891-972D-4D47-9B8C-712E09356C8D}">
  <sheetPr filterMode="1">
    <tabColor rgb="FF13D377"/>
  </sheetPr>
  <dimension ref="A1:AG1121"/>
  <sheetViews>
    <sheetView tabSelected="1" zoomScaleNormal="100" workbookViewId="0">
      <pane ySplit="3" topLeftCell="A55" activePane="bottomLeft" state="frozen"/>
      <selection activeCell="F1" sqref="F1"/>
      <selection pane="bottomLeft" activeCell="L95" sqref="L95"/>
    </sheetView>
  </sheetViews>
  <sheetFormatPr defaultRowHeight="14.4"/>
  <cols>
    <col min="2" max="2" width="0" hidden="1" customWidth="1"/>
    <col min="3" max="3" width="16.44140625" customWidth="1"/>
    <col min="5" max="9" width="13.44140625" customWidth="1"/>
    <col min="10" max="10" width="26.6640625" style="72" customWidth="1"/>
    <col min="11" max="11" width="13.44140625" customWidth="1"/>
    <col min="12" max="12" width="52.109375" customWidth="1"/>
    <col min="13" max="13" width="41.88671875" customWidth="1"/>
    <col min="15" max="15" width="29.88671875" customWidth="1"/>
    <col min="18" max="18" width="0" hidden="1" customWidth="1"/>
    <col min="19" max="19" width="9.6640625" bestFit="1" customWidth="1"/>
    <col min="20" max="20" width="9.6640625" hidden="1" customWidth="1"/>
    <col min="24" max="28" width="9.109375" style="107"/>
    <col min="30" max="30" width="11.88671875" customWidth="1"/>
    <col min="31" max="31" width="11.109375" customWidth="1"/>
    <col min="32" max="32" width="20.88671875" customWidth="1"/>
    <col min="33" max="33" width="12.88671875" customWidth="1"/>
  </cols>
  <sheetData>
    <row r="1" spans="1:33" ht="42.6" customHeight="1">
      <c r="A1" s="121" t="s">
        <v>4362</v>
      </c>
      <c r="B1" s="1"/>
      <c r="C1" s="121" t="s">
        <v>0</v>
      </c>
      <c r="D1" s="121"/>
      <c r="E1" s="121"/>
      <c r="F1" s="59"/>
      <c r="G1" s="59"/>
      <c r="H1" s="59"/>
      <c r="I1" s="121" t="s">
        <v>1</v>
      </c>
      <c r="J1" s="121"/>
      <c r="K1" s="121"/>
      <c r="L1" s="121"/>
      <c r="M1" s="121"/>
      <c r="N1" s="121"/>
      <c r="O1" s="121"/>
      <c r="P1" s="121"/>
      <c r="Q1" s="121"/>
      <c r="R1" s="103"/>
      <c r="S1" s="122" t="s">
        <v>2</v>
      </c>
      <c r="T1" s="122"/>
      <c r="U1" s="122"/>
      <c r="V1" s="105"/>
      <c r="W1" s="118" t="s">
        <v>1168</v>
      </c>
      <c r="X1" s="118"/>
      <c r="Y1" s="118"/>
      <c r="Z1" s="118"/>
      <c r="AA1" s="118"/>
      <c r="AB1" s="118"/>
      <c r="AC1" s="121" t="s">
        <v>2971</v>
      </c>
      <c r="AD1" s="121"/>
      <c r="AE1" s="121"/>
      <c r="AF1" s="121"/>
      <c r="AG1" s="121"/>
    </row>
    <row r="2" spans="1:33" ht="96" customHeight="1">
      <c r="A2" s="121"/>
      <c r="B2" s="1"/>
      <c r="C2" s="58" t="s">
        <v>3</v>
      </c>
      <c r="D2" s="58" t="s">
        <v>4</v>
      </c>
      <c r="E2" s="58" t="s">
        <v>4363</v>
      </c>
      <c r="F2" s="60" t="s">
        <v>4364</v>
      </c>
      <c r="G2" s="60" t="s">
        <v>4365</v>
      </c>
      <c r="H2" s="60" t="s">
        <v>4366</v>
      </c>
      <c r="I2" s="61" t="s">
        <v>8644</v>
      </c>
      <c r="J2" s="61" t="s">
        <v>4367</v>
      </c>
      <c r="K2" s="62" t="s">
        <v>4368</v>
      </c>
      <c r="L2" s="62" t="s">
        <v>5</v>
      </c>
      <c r="M2" s="62" t="s">
        <v>6</v>
      </c>
      <c r="N2" s="62" t="s">
        <v>7</v>
      </c>
      <c r="O2" s="62" t="s">
        <v>8</v>
      </c>
      <c r="P2" s="62" t="s">
        <v>409</v>
      </c>
      <c r="Q2" s="62" t="s">
        <v>9</v>
      </c>
      <c r="R2" s="104"/>
      <c r="S2" s="3" t="s">
        <v>10</v>
      </c>
      <c r="T2" s="3" t="s">
        <v>10145</v>
      </c>
      <c r="U2" s="3" t="s">
        <v>5027</v>
      </c>
      <c r="V2" s="3" t="s">
        <v>10149</v>
      </c>
      <c r="W2" s="62" t="s">
        <v>4369</v>
      </c>
      <c r="X2" s="62" t="s">
        <v>4370</v>
      </c>
      <c r="Y2" s="62" t="s">
        <v>1175</v>
      </c>
      <c r="Z2" s="62" t="s">
        <v>4371</v>
      </c>
      <c r="AA2" s="62" t="s">
        <v>4372</v>
      </c>
      <c r="AB2" s="62" t="s">
        <v>1177</v>
      </c>
      <c r="AC2" s="58" t="s">
        <v>416</v>
      </c>
      <c r="AD2" s="58" t="s">
        <v>2969</v>
      </c>
      <c r="AE2" s="58" t="s">
        <v>3925</v>
      </c>
      <c r="AF2" s="58" t="s">
        <v>2937</v>
      </c>
      <c r="AG2" s="58" t="s">
        <v>2938</v>
      </c>
    </row>
    <row r="3" spans="1:33">
      <c r="A3" s="58" t="s">
        <v>11</v>
      </c>
      <c r="B3" s="1"/>
      <c r="C3" s="58" t="s">
        <v>11</v>
      </c>
      <c r="D3" s="58" t="s">
        <v>11</v>
      </c>
      <c r="E3" s="58" t="s">
        <v>11</v>
      </c>
      <c r="F3" s="60"/>
      <c r="G3" s="60"/>
      <c r="H3" s="60"/>
      <c r="I3" s="61"/>
      <c r="J3" s="61" t="s">
        <v>11</v>
      </c>
      <c r="K3" s="62" t="s">
        <v>11</v>
      </c>
      <c r="L3" s="62" t="s">
        <v>11</v>
      </c>
      <c r="M3" s="62" t="s">
        <v>11</v>
      </c>
      <c r="N3" s="62" t="s">
        <v>11</v>
      </c>
      <c r="O3" s="62" t="s">
        <v>11</v>
      </c>
      <c r="P3" s="62" t="s">
        <v>11</v>
      </c>
      <c r="Q3" s="62" t="s">
        <v>11</v>
      </c>
      <c r="R3" s="104" t="s">
        <v>8643</v>
      </c>
      <c r="S3" s="3" t="s">
        <v>11</v>
      </c>
      <c r="T3" s="3"/>
      <c r="U3" s="3" t="s">
        <v>11</v>
      </c>
      <c r="V3" s="3"/>
      <c r="W3" s="62" t="s">
        <v>11</v>
      </c>
      <c r="X3" s="62" t="s">
        <v>11</v>
      </c>
      <c r="Y3" s="62" t="s">
        <v>11</v>
      </c>
      <c r="Z3" s="62" t="s">
        <v>11</v>
      </c>
      <c r="AA3" s="62" t="s">
        <v>11</v>
      </c>
      <c r="AB3" s="62" t="s">
        <v>11</v>
      </c>
      <c r="AC3" s="58" t="s">
        <v>11</v>
      </c>
      <c r="AD3" s="58" t="s">
        <v>11</v>
      </c>
      <c r="AE3" s="58" t="s">
        <v>11</v>
      </c>
      <c r="AF3" s="58" t="s">
        <v>11</v>
      </c>
      <c r="AG3" s="58" t="s">
        <v>11</v>
      </c>
    </row>
    <row r="4" spans="1:33" hidden="1">
      <c r="B4">
        <v>49</v>
      </c>
      <c r="C4" t="s">
        <v>7925</v>
      </c>
      <c r="D4" t="s">
        <v>1329</v>
      </c>
      <c r="F4">
        <f>COUNTIF(HCPs!W:W,HCO_Data!K4)</f>
        <v>25</v>
      </c>
      <c r="G4" t="str">
        <f>IF(COUNTIF('Testing Referrals'!B:B,HCO_Data!K4)&gt;0,"Yes","")</f>
        <v>Yes</v>
      </c>
      <c r="H4">
        <f>COUNTIF('HCO referrals'!B:B,HCO_Data!K4)+COUNTIF('HCO referrals'!C:C,HCO_Data!K4)</f>
        <v>0</v>
      </c>
      <c r="I4">
        <v>130001647</v>
      </c>
      <c r="K4" t="s">
        <v>4448</v>
      </c>
      <c r="L4" s="97" t="s">
        <v>1309</v>
      </c>
      <c r="M4" s="12" t="s">
        <v>2947</v>
      </c>
      <c r="N4">
        <v>13009</v>
      </c>
      <c r="O4" t="s">
        <v>2964</v>
      </c>
      <c r="P4" s="12" t="s">
        <v>1296</v>
      </c>
      <c r="Q4" t="s">
        <v>4283</v>
      </c>
      <c r="R4">
        <v>2</v>
      </c>
      <c r="S4">
        <v>539</v>
      </c>
      <c r="T4">
        <v>539</v>
      </c>
      <c r="V4" t="s">
        <v>414</v>
      </c>
      <c r="W4">
        <f>COUNTIFS('Clinical Trials HCO'!$A:$A, K4, 'Clinical Trials HCO'!$D:$D, "&lt;&gt;")</f>
        <v>60</v>
      </c>
      <c r="AE4" t="s">
        <v>3927</v>
      </c>
    </row>
    <row r="5" spans="1:33" hidden="1">
      <c r="B5">
        <v>273</v>
      </c>
      <c r="C5" t="s">
        <v>7879</v>
      </c>
      <c r="F5">
        <f>COUNTIF(HCPs!W:W,HCO_Data!K5)</f>
        <v>18</v>
      </c>
      <c r="G5" t="str">
        <f>IF(COUNTIF('Testing Referrals'!B:B,HCO_Data!K5)&gt;0,"Yes","")</f>
        <v>Yes</v>
      </c>
      <c r="H5">
        <f>COUNTIF('HCO referrals'!B:B,HCO_Data!K5)+COUNTIF('HCO referrals'!C:C,HCO_Data!K5)</f>
        <v>1</v>
      </c>
      <c r="I5">
        <v>920100039</v>
      </c>
      <c r="K5" t="s">
        <v>3139</v>
      </c>
      <c r="L5" s="74" t="s">
        <v>4285</v>
      </c>
      <c r="M5" t="s">
        <v>2291</v>
      </c>
      <c r="N5">
        <v>92118</v>
      </c>
      <c r="O5" t="s">
        <v>829</v>
      </c>
      <c r="Q5" t="s">
        <v>4283</v>
      </c>
      <c r="R5">
        <v>1</v>
      </c>
      <c r="S5">
        <v>537</v>
      </c>
      <c r="T5">
        <v>537</v>
      </c>
      <c r="V5" t="s">
        <v>414</v>
      </c>
      <c r="W5">
        <f>COUNTIFS('Clinical Trials HCO'!$A:$A, K5, 'Clinical Trials HCO'!$D:$D, "&lt;&gt;")</f>
        <v>50</v>
      </c>
      <c r="AE5" t="s">
        <v>3927</v>
      </c>
    </row>
    <row r="6" spans="1:33" hidden="1">
      <c r="B6">
        <v>661</v>
      </c>
      <c r="F6">
        <f>COUNTIF(HCPs!W:W,HCO_Data!K6)</f>
        <v>4</v>
      </c>
      <c r="G6" t="str">
        <f>IF(COUNTIF('Testing Referrals'!B:B,HCO_Data!K6)&gt;0,"Yes","")</f>
        <v>Yes</v>
      </c>
      <c r="H6">
        <f>COUNTIF('HCO referrals'!B:B,HCO_Data!K6)+COUNTIF('HCO referrals'!C:C,HCO_Data!K6)</f>
        <v>0</v>
      </c>
      <c r="I6">
        <v>330783648</v>
      </c>
      <c r="K6" t="s">
        <v>3754</v>
      </c>
      <c r="L6" s="74" t="s">
        <v>296</v>
      </c>
      <c r="M6" t="s">
        <v>2173</v>
      </c>
      <c r="N6">
        <v>33604</v>
      </c>
      <c r="O6" t="s">
        <v>2174</v>
      </c>
      <c r="Q6" t="s">
        <v>4283</v>
      </c>
      <c r="R6">
        <v>3</v>
      </c>
      <c r="S6">
        <v>493</v>
      </c>
      <c r="T6">
        <v>493</v>
      </c>
      <c r="V6" t="s">
        <v>414</v>
      </c>
      <c r="W6">
        <f>COUNTIFS('Clinical Trials HCO'!$A:$A, K6, 'Clinical Trials HCO'!$D:$D, "&lt;&gt;")</f>
        <v>23</v>
      </c>
      <c r="AC6" t="s">
        <v>414</v>
      </c>
      <c r="AG6" t="s">
        <v>414</v>
      </c>
    </row>
    <row r="7" spans="1:33" hidden="1">
      <c r="B7">
        <v>572</v>
      </c>
      <c r="C7" t="s">
        <v>5148</v>
      </c>
      <c r="F7">
        <f>COUNTIF(HCPs!W:W,HCO_Data!K7)</f>
        <v>13</v>
      </c>
      <c r="G7" t="str">
        <f>IF(COUNTIF('Testing Referrals'!B:B,HCO_Data!K7)&gt;0,"Yes","")</f>
        <v/>
      </c>
      <c r="H7">
        <f>COUNTIF('HCO referrals'!B:B,HCO_Data!K7)+COUNTIF('HCO referrals'!C:C,HCO_Data!K7)</f>
        <v>0</v>
      </c>
      <c r="I7">
        <v>690023411</v>
      </c>
      <c r="K7" t="s">
        <v>3742</v>
      </c>
      <c r="L7" s="74" t="s">
        <v>4294</v>
      </c>
      <c r="M7" t="s">
        <v>2229</v>
      </c>
      <c r="N7">
        <v>69008</v>
      </c>
      <c r="O7" t="s">
        <v>903</v>
      </c>
      <c r="Q7" t="s">
        <v>4283</v>
      </c>
      <c r="R7">
        <v>6</v>
      </c>
      <c r="S7">
        <v>384</v>
      </c>
      <c r="T7">
        <v>384</v>
      </c>
      <c r="V7" t="s">
        <v>414</v>
      </c>
      <c r="W7">
        <f>COUNTIFS('Clinical Trials HCO'!$A:$A, K7, 'Clinical Trials HCO'!$D:$D, "&lt;&gt;")</f>
        <v>25</v>
      </c>
      <c r="AC7" t="s">
        <v>414</v>
      </c>
      <c r="AG7" t="s">
        <v>414</v>
      </c>
    </row>
    <row r="8" spans="1:33" hidden="1">
      <c r="B8">
        <v>46</v>
      </c>
      <c r="C8" t="s">
        <v>7896</v>
      </c>
      <c r="D8" t="s">
        <v>1329</v>
      </c>
      <c r="F8">
        <f>COUNTIF(HCPs!W:W,HCO_Data!K8)</f>
        <v>13</v>
      </c>
      <c r="G8" t="str">
        <f>IF(COUNTIF('Testing Referrals'!B:B,HCO_Data!K8)&gt;0,"Yes","")</f>
        <v>Yes</v>
      </c>
      <c r="H8">
        <f>COUNTIF('HCO referrals'!B:B,HCO_Data!K8)+COUNTIF('HCO referrals'!C:C,HCO_Data!K8)</f>
        <v>3</v>
      </c>
      <c r="I8">
        <v>940000664</v>
      </c>
      <c r="K8" t="s">
        <v>3739</v>
      </c>
      <c r="L8" s="97" t="s">
        <v>33</v>
      </c>
      <c r="M8" s="12" t="s">
        <v>2944</v>
      </c>
      <c r="N8">
        <v>94805</v>
      </c>
      <c r="O8" t="s">
        <v>2963</v>
      </c>
      <c r="P8" s="12" t="s">
        <v>1300</v>
      </c>
      <c r="Q8" t="s">
        <v>4283</v>
      </c>
      <c r="R8">
        <v>0</v>
      </c>
      <c r="S8">
        <v>364</v>
      </c>
      <c r="T8">
        <v>364</v>
      </c>
      <c r="V8" t="s">
        <v>414</v>
      </c>
      <c r="W8">
        <f>COUNTIFS('Clinical Trials HCO'!$A:$A, K8, 'Clinical Trials HCO'!$D:$D, "&lt;&gt;")</f>
        <v>92</v>
      </c>
      <c r="AF8" t="s">
        <v>414</v>
      </c>
      <c r="AG8" t="s">
        <v>414</v>
      </c>
    </row>
    <row r="9" spans="1:33" hidden="1">
      <c r="B9">
        <v>282</v>
      </c>
      <c r="C9" t="s">
        <v>4684</v>
      </c>
      <c r="D9" t="s">
        <v>1329</v>
      </c>
      <c r="F9">
        <f>COUNTIF(HCPs!W:W,HCO_Data!K9)</f>
        <v>12</v>
      </c>
      <c r="G9" t="str">
        <f>IF(COUNTIF('Testing Referrals'!B:B,HCO_Data!K9)&gt;0,"Yes","")</f>
        <v>Yes</v>
      </c>
      <c r="H9">
        <f>COUNTIF('HCO referrals'!B:B,HCO_Data!K9)+COUNTIF('HCO referrals'!C:C,HCO_Data!K9)</f>
        <v>2</v>
      </c>
      <c r="I9">
        <v>340000207</v>
      </c>
      <c r="K9" t="s">
        <v>3750</v>
      </c>
      <c r="L9" s="74" t="s">
        <v>504</v>
      </c>
      <c r="M9" t="s">
        <v>2306</v>
      </c>
      <c r="N9">
        <v>34298</v>
      </c>
      <c r="O9" t="s">
        <v>858</v>
      </c>
      <c r="Q9" t="s">
        <v>4283</v>
      </c>
      <c r="R9">
        <v>5</v>
      </c>
      <c r="S9">
        <v>309</v>
      </c>
      <c r="T9">
        <v>309</v>
      </c>
      <c r="V9" t="s">
        <v>414</v>
      </c>
      <c r="W9">
        <f>COUNTIFS('Clinical Trials HCO'!$A:$A, K9, 'Clinical Trials HCO'!$D:$D, "&lt;&gt;")</f>
        <v>42</v>
      </c>
      <c r="AC9" t="s">
        <v>414</v>
      </c>
    </row>
    <row r="10" spans="1:33" hidden="1">
      <c r="B10">
        <v>243</v>
      </c>
      <c r="F10">
        <f>COUNTIF(HCPs!W:W,HCO_Data!K10)</f>
        <v>14</v>
      </c>
      <c r="G10" t="str">
        <f>IF(COUNTIF('Testing Referrals'!B:B,HCO_Data!K10)&gt;0,"Yes","")</f>
        <v/>
      </c>
      <c r="H10">
        <f>COUNTIF('HCO referrals'!B:B,HCO_Data!K10)+COUNTIF('HCO referrals'!C:C,HCO_Data!K10)</f>
        <v>2</v>
      </c>
      <c r="I10">
        <v>310783055</v>
      </c>
      <c r="K10" t="s">
        <v>3745</v>
      </c>
      <c r="L10" s="74" t="s">
        <v>4292</v>
      </c>
      <c r="M10" t="s">
        <v>2156</v>
      </c>
      <c r="N10">
        <v>31059</v>
      </c>
      <c r="O10" t="s">
        <v>833</v>
      </c>
      <c r="Q10" t="s">
        <v>4283</v>
      </c>
      <c r="R10">
        <v>17</v>
      </c>
      <c r="S10">
        <v>299</v>
      </c>
      <c r="T10">
        <v>299</v>
      </c>
      <c r="V10" t="s">
        <v>414</v>
      </c>
      <c r="W10">
        <f>COUNTIFS('Clinical Trials HCO'!$A:$A, K10, 'Clinical Trials HCO'!$D:$D, "&lt;&gt;")</f>
        <v>18</v>
      </c>
      <c r="AC10" t="s">
        <v>414</v>
      </c>
    </row>
    <row r="11" spans="1:33" hidden="1">
      <c r="B11">
        <v>519</v>
      </c>
      <c r="C11" t="s">
        <v>5168</v>
      </c>
      <c r="F11">
        <f>COUNTIF(HCPs!W:W,HCO_Data!K11)</f>
        <v>4</v>
      </c>
      <c r="G11" t="str">
        <f>IF(COUNTIF('Testing Referrals'!B:B,HCO_Data!K11)&gt;0,"Yes","")</f>
        <v>Yes</v>
      </c>
      <c r="H11">
        <f>COUNTIF('HCO referrals'!B:B,HCO_Data!K11)+COUNTIF('HCO referrals'!C:C,HCO_Data!K11)</f>
        <v>4</v>
      </c>
      <c r="I11">
        <v>250006954</v>
      </c>
      <c r="K11" t="s">
        <v>4554</v>
      </c>
      <c r="L11" s="13" t="s">
        <v>4280</v>
      </c>
      <c r="M11" t="s">
        <v>2009</v>
      </c>
      <c r="N11">
        <v>25030</v>
      </c>
      <c r="O11" t="s">
        <v>874</v>
      </c>
      <c r="Q11" t="s">
        <v>4283</v>
      </c>
      <c r="R11">
        <v>13</v>
      </c>
      <c r="S11">
        <v>286</v>
      </c>
      <c r="T11">
        <v>286</v>
      </c>
      <c r="V11" t="s">
        <v>414</v>
      </c>
      <c r="W11">
        <f>COUNTIFS('Clinical Trials HCO'!$A:$A, K11, 'Clinical Trials HCO'!$D:$D, "&lt;&gt;")</f>
        <v>23</v>
      </c>
      <c r="AG11" t="s">
        <v>414</v>
      </c>
    </row>
    <row r="12" spans="1:33" hidden="1">
      <c r="B12">
        <v>509</v>
      </c>
      <c r="C12" t="s">
        <v>8079</v>
      </c>
      <c r="F12">
        <f>COUNTIF(HCPs!W:W,HCO_Data!K12)</f>
        <v>7</v>
      </c>
      <c r="G12" t="str">
        <f>IF(COUNTIF('Testing Referrals'!B:B,HCO_Data!K12)&gt;0,"Yes","")</f>
        <v/>
      </c>
      <c r="H12">
        <f>COUNTIF('HCO referrals'!B:B,HCO_Data!K12)+COUNTIF('HCO referrals'!C:C,HCO_Data!K12)</f>
        <v>2</v>
      </c>
      <c r="I12">
        <v>590811279</v>
      </c>
      <c r="K12" t="s">
        <v>4450</v>
      </c>
      <c r="L12" s="74" t="s">
        <v>3356</v>
      </c>
      <c r="M12" t="s">
        <v>2143</v>
      </c>
      <c r="N12">
        <v>59037</v>
      </c>
      <c r="O12" s="113"/>
      <c r="Q12" t="s">
        <v>4283</v>
      </c>
      <c r="R12">
        <v>28</v>
      </c>
      <c r="S12">
        <v>278</v>
      </c>
      <c r="T12">
        <v>278</v>
      </c>
      <c r="V12" t="s">
        <v>414</v>
      </c>
      <c r="W12">
        <f>COUNTIFS('Clinical Trials HCO'!$A:$A, K12, 'Clinical Trials HCO'!$D:$D, "&lt;&gt;")</f>
        <v>20</v>
      </c>
      <c r="AC12" t="s">
        <v>414</v>
      </c>
      <c r="AF12" t="s">
        <v>414</v>
      </c>
    </row>
    <row r="13" spans="1:33" hidden="1">
      <c r="B13">
        <v>269</v>
      </c>
      <c r="C13" t="s">
        <v>8052</v>
      </c>
      <c r="F13">
        <f>COUNTIF(HCPs!W:W,HCO_Data!K13)</f>
        <v>4</v>
      </c>
      <c r="G13" t="str">
        <f>IF(COUNTIF('Testing Referrals'!B:B,HCO_Data!K13)&gt;0,"Yes","")</f>
        <v>Yes</v>
      </c>
      <c r="H13">
        <f>COUNTIF('HCO referrals'!B:B,HCO_Data!K13)+COUNTIF('HCO referrals'!C:C,HCO_Data!K13)</f>
        <v>2</v>
      </c>
      <c r="I13">
        <v>750100091</v>
      </c>
      <c r="K13" t="s">
        <v>4561</v>
      </c>
      <c r="L13" s="74" t="s">
        <v>4297</v>
      </c>
      <c r="M13" t="s">
        <v>2284</v>
      </c>
      <c r="N13">
        <v>75571</v>
      </c>
      <c r="O13" t="s">
        <v>700</v>
      </c>
      <c r="Q13" t="s">
        <v>4283</v>
      </c>
      <c r="R13">
        <v>22</v>
      </c>
      <c r="S13">
        <v>253</v>
      </c>
      <c r="T13">
        <v>253</v>
      </c>
      <c r="V13" t="s">
        <v>414</v>
      </c>
      <c r="W13">
        <f>COUNTIFS('Clinical Trials HCO'!$A:$A, K13, 'Clinical Trials HCO'!$D:$D, "&lt;&gt;")</f>
        <v>0</v>
      </c>
      <c r="AF13" t="s">
        <v>414</v>
      </c>
      <c r="AG13" t="s">
        <v>414</v>
      </c>
    </row>
    <row r="14" spans="1:33" hidden="1">
      <c r="B14">
        <v>279</v>
      </c>
      <c r="C14" t="s">
        <v>7897</v>
      </c>
      <c r="F14">
        <f>COUNTIF(HCPs!W:W,HCO_Data!K14)</f>
        <v>7</v>
      </c>
      <c r="G14" t="str">
        <f>IF(COUNTIF('Testing Referrals'!B:B,HCO_Data!K14)&gt;0,"Yes","")</f>
        <v/>
      </c>
      <c r="H14">
        <f>COUNTIF('HCO referrals'!B:B,HCO_Data!K14)+COUNTIF('HCO referrals'!C:C,HCO_Data!K14)</f>
        <v>1</v>
      </c>
      <c r="I14">
        <v>940100068</v>
      </c>
      <c r="K14" t="s">
        <v>3740</v>
      </c>
      <c r="L14" s="74" t="s">
        <v>3444</v>
      </c>
      <c r="M14" t="s">
        <v>2300</v>
      </c>
      <c r="N14">
        <v>94804</v>
      </c>
      <c r="O14" t="s">
        <v>813</v>
      </c>
      <c r="Q14" t="s">
        <v>4283</v>
      </c>
      <c r="R14">
        <v>15</v>
      </c>
      <c r="S14">
        <v>251</v>
      </c>
      <c r="T14">
        <v>251</v>
      </c>
      <c r="V14" t="s">
        <v>414</v>
      </c>
      <c r="W14">
        <f>COUNTIFS('Clinical Trials HCO'!$A:$A, K14, 'Clinical Trials HCO'!$D:$D, "&lt;&gt;")</f>
        <v>18</v>
      </c>
      <c r="AF14" t="s">
        <v>414</v>
      </c>
      <c r="AG14" t="s">
        <v>414</v>
      </c>
    </row>
    <row r="15" spans="1:33" hidden="1">
      <c r="B15">
        <v>701</v>
      </c>
      <c r="C15" t="s">
        <v>8474</v>
      </c>
      <c r="F15">
        <f>COUNTIF(HCPs!W:W,HCO_Data!K15)</f>
        <v>7</v>
      </c>
      <c r="G15" t="str">
        <f>IF(COUNTIF('Testing Referrals'!B:B,HCO_Data!K15)&gt;0,"Yes","")</f>
        <v>Yes</v>
      </c>
      <c r="H15">
        <f>COUNTIF('HCO referrals'!B:B,HCO_Data!K15)+COUNTIF('HCO referrals'!C:C,HCO_Data!K15)</f>
        <v>2</v>
      </c>
      <c r="I15">
        <v>510002447</v>
      </c>
      <c r="K15" t="s">
        <v>3741</v>
      </c>
      <c r="L15" s="74" t="s">
        <v>4295</v>
      </c>
      <c r="M15" t="s">
        <v>2256</v>
      </c>
      <c r="N15">
        <v>51092</v>
      </c>
      <c r="O15" t="s">
        <v>880</v>
      </c>
      <c r="Q15" t="s">
        <v>4283</v>
      </c>
      <c r="R15">
        <v>9</v>
      </c>
      <c r="S15">
        <v>247</v>
      </c>
      <c r="T15">
        <v>247</v>
      </c>
      <c r="V15" t="s">
        <v>414</v>
      </c>
      <c r="W15">
        <f>COUNTIFS('Clinical Trials HCO'!$A:$A, K15, 'Clinical Trials HCO'!$D:$D, "&lt;&gt;")</f>
        <v>32</v>
      </c>
      <c r="AG15" t="s">
        <v>414</v>
      </c>
    </row>
    <row r="16" spans="1:33" hidden="1">
      <c r="B16">
        <v>715</v>
      </c>
      <c r="F16">
        <f>COUNTIF(HCPs!W:W,HCO_Data!K16)</f>
        <v>5</v>
      </c>
      <c r="G16" t="str">
        <f>IF(COUNTIF('Testing Referrals'!B:B,HCO_Data!K16)&gt;0,"Yes","")</f>
        <v/>
      </c>
      <c r="H16">
        <f>COUNTIF('HCO referrals'!B:B,HCO_Data!K16)+COUNTIF('HCO referrals'!C:C,HCO_Data!K16)</f>
        <v>0</v>
      </c>
      <c r="I16">
        <v>540002698</v>
      </c>
      <c r="K16" t="s">
        <v>4567</v>
      </c>
      <c r="L16" s="74" t="s">
        <v>4299</v>
      </c>
      <c r="M16" t="s">
        <v>1993</v>
      </c>
      <c r="N16">
        <v>54511</v>
      </c>
      <c r="O16" t="s">
        <v>850</v>
      </c>
      <c r="Q16" t="s">
        <v>4283</v>
      </c>
      <c r="R16">
        <v>104</v>
      </c>
      <c r="S16">
        <v>240</v>
      </c>
      <c r="T16">
        <v>240</v>
      </c>
      <c r="V16" t="s">
        <v>414</v>
      </c>
      <c r="W16">
        <f>COUNTIFS('Clinical Trials HCO'!$A:$A, K16, 'Clinical Trials HCO'!$D:$D, "&lt;&gt;")</f>
        <v>0</v>
      </c>
      <c r="AF16" t="s">
        <v>414</v>
      </c>
      <c r="AG16" t="s">
        <v>414</v>
      </c>
    </row>
    <row r="17" spans="2:33" hidden="1">
      <c r="B17">
        <v>533</v>
      </c>
      <c r="F17">
        <f>COUNTIF(HCPs!W:W,HCO_Data!K17)</f>
        <v>1</v>
      </c>
      <c r="G17" t="str">
        <f>IF(COUNTIF('Testing Referrals'!B:B,HCO_Data!K17)&gt;0,"Yes","")</f>
        <v/>
      </c>
      <c r="H17">
        <f>COUNTIF('HCO referrals'!B:B,HCO_Data!K17)+COUNTIF('HCO referrals'!C:C,HCO_Data!K17)</f>
        <v>0</v>
      </c>
      <c r="I17">
        <v>750300360</v>
      </c>
      <c r="J17" s="72" t="s">
        <v>11094</v>
      </c>
      <c r="K17" t="s">
        <v>3829</v>
      </c>
      <c r="L17" s="74" t="s">
        <v>1607</v>
      </c>
      <c r="M17" t="s">
        <v>2218</v>
      </c>
      <c r="N17">
        <v>75013</v>
      </c>
      <c r="O17" t="s">
        <v>700</v>
      </c>
      <c r="Q17" t="s">
        <v>4283</v>
      </c>
      <c r="R17">
        <v>168</v>
      </c>
      <c r="S17">
        <v>235</v>
      </c>
      <c r="T17">
        <v>235</v>
      </c>
      <c r="V17" t="s">
        <v>414</v>
      </c>
      <c r="W17">
        <f>COUNTIFS('Clinical Trials HCO'!$A:$A, K17, 'Clinical Trials HCO'!$D:$D, "&lt;&gt;")</f>
        <v>0</v>
      </c>
      <c r="AF17" t="s">
        <v>414</v>
      </c>
      <c r="AG17" t="s">
        <v>414</v>
      </c>
    </row>
    <row r="18" spans="2:33" hidden="1">
      <c r="B18">
        <v>44</v>
      </c>
      <c r="D18" t="s">
        <v>1329</v>
      </c>
      <c r="F18">
        <f>COUNTIF(HCPs!W:W,HCO_Data!K18)</f>
        <v>11</v>
      </c>
      <c r="G18" t="str">
        <f>IF(COUNTIF('Testing Referrals'!B:B,HCO_Data!K18)&gt;0,"Yes","")</f>
        <v>Yes</v>
      </c>
      <c r="H18">
        <f>COUNTIF('HCO referrals'!B:B,HCO_Data!K18)+COUNTIF('HCO referrals'!C:C,HCO_Data!K18)</f>
        <v>3</v>
      </c>
      <c r="I18">
        <v>690000880</v>
      </c>
      <c r="K18" t="s">
        <v>4525</v>
      </c>
      <c r="L18" s="74" t="s">
        <v>4524</v>
      </c>
      <c r="M18" s="125" t="s">
        <v>2942</v>
      </c>
      <c r="N18">
        <v>69008</v>
      </c>
      <c r="O18" t="s">
        <v>2961</v>
      </c>
      <c r="P18" s="12" t="s">
        <v>825</v>
      </c>
      <c r="Q18" t="s">
        <v>4283</v>
      </c>
      <c r="R18">
        <v>7</v>
      </c>
      <c r="S18">
        <v>232</v>
      </c>
      <c r="T18">
        <v>232</v>
      </c>
      <c r="V18" t="s">
        <v>414</v>
      </c>
      <c r="W18">
        <f>COUNTIFS('Clinical Trials HCO'!$A:$A, K18, 'Clinical Trials HCO'!$D:$D, "&lt;&gt;")</f>
        <v>69</v>
      </c>
      <c r="AC18" t="s">
        <v>414</v>
      </c>
      <c r="AF18" t="s">
        <v>414</v>
      </c>
    </row>
    <row r="19" spans="2:33" hidden="1">
      <c r="B19">
        <v>385</v>
      </c>
      <c r="C19" t="s">
        <v>8514</v>
      </c>
      <c r="F19">
        <f>COUNTIF(HCPs!W:W,HCO_Data!K19)</f>
        <v>3</v>
      </c>
      <c r="G19" t="str">
        <f>IF(COUNTIF('Testing Referrals'!B:B,HCO_Data!K19)&gt;0,"Yes","")</f>
        <v>Yes</v>
      </c>
      <c r="H19">
        <f>COUNTIF('HCO referrals'!B:B,HCO_Data!K19)+COUNTIF('HCO referrals'!C:C,HCO_Data!K19)</f>
        <v>4</v>
      </c>
      <c r="I19">
        <v>760000158</v>
      </c>
      <c r="K19" t="s">
        <v>3744</v>
      </c>
      <c r="L19" t="s">
        <v>1243</v>
      </c>
      <c r="M19" t="s">
        <v>2150</v>
      </c>
      <c r="N19">
        <v>76031</v>
      </c>
      <c r="O19" t="s">
        <v>885</v>
      </c>
      <c r="Q19" t="s">
        <v>4283</v>
      </c>
      <c r="R19">
        <v>30</v>
      </c>
      <c r="S19">
        <v>230</v>
      </c>
      <c r="T19">
        <v>230</v>
      </c>
      <c r="V19" t="s">
        <v>414</v>
      </c>
      <c r="W19">
        <f>COUNTIFS('Clinical Trials HCO'!$A:$A, K19, 'Clinical Trials HCO'!$D:$D, "&lt;&gt;")</f>
        <v>12</v>
      </c>
    </row>
    <row r="20" spans="2:33" hidden="1">
      <c r="B20">
        <v>270</v>
      </c>
      <c r="F20">
        <f>COUNTIF(HCPs!W:W,HCO_Data!K20)</f>
        <v>2</v>
      </c>
      <c r="G20" t="str">
        <f>IF(COUNTIF('Testing Referrals'!B:B,HCO_Data!K20)&gt;0,"Yes","")</f>
        <v>Yes</v>
      </c>
      <c r="H20">
        <f>COUNTIF('HCO referrals'!B:B,HCO_Data!K20)+COUNTIF('HCO referrals'!C:C,HCO_Data!K20)</f>
        <v>1</v>
      </c>
      <c r="I20">
        <v>940100027</v>
      </c>
      <c r="K20" t="s">
        <v>4560</v>
      </c>
      <c r="L20" t="s">
        <v>4293</v>
      </c>
      <c r="M20" t="s">
        <v>2287</v>
      </c>
      <c r="N20">
        <v>94010</v>
      </c>
      <c r="O20" t="s">
        <v>1015</v>
      </c>
      <c r="Q20" t="s">
        <v>4283</v>
      </c>
      <c r="R20">
        <v>164</v>
      </c>
      <c r="S20">
        <v>230</v>
      </c>
      <c r="T20">
        <v>230</v>
      </c>
      <c r="V20" t="s">
        <v>414</v>
      </c>
      <c r="W20">
        <f>COUNTIFS('Clinical Trials HCO'!$A:$A, K20, 'Clinical Trials HCO'!$D:$D, "&lt;&gt;")</f>
        <v>0</v>
      </c>
      <c r="AF20" t="s">
        <v>414</v>
      </c>
      <c r="AG20" t="s">
        <v>414</v>
      </c>
    </row>
    <row r="21" spans="2:33" hidden="1">
      <c r="B21">
        <v>218</v>
      </c>
      <c r="F21">
        <f>COUNTIF(HCPs!W:W,HCO_Data!K21)</f>
        <v>2</v>
      </c>
      <c r="G21" t="str">
        <f>IF(COUNTIF('Testing Referrals'!B:B,HCO_Data!K21)&gt;0,"Yes","")</f>
        <v>Yes</v>
      </c>
      <c r="H21">
        <f>COUNTIF('HCO referrals'!B:B,HCO_Data!K21)+COUNTIF('HCO referrals'!C:C,HCO_Data!K21)</f>
        <v>0</v>
      </c>
      <c r="I21">
        <v>860000223</v>
      </c>
      <c r="K21" t="s">
        <v>3743</v>
      </c>
      <c r="L21" t="s">
        <v>4290</v>
      </c>
      <c r="M21" t="s">
        <v>2010</v>
      </c>
      <c r="N21">
        <v>86021</v>
      </c>
      <c r="O21" t="s">
        <v>888</v>
      </c>
      <c r="Q21" t="s">
        <v>4283</v>
      </c>
      <c r="R21">
        <v>18</v>
      </c>
      <c r="S21">
        <v>229</v>
      </c>
      <c r="T21">
        <v>229</v>
      </c>
      <c r="V21" t="s">
        <v>414</v>
      </c>
      <c r="W21">
        <f>COUNTIFS('Clinical Trials HCO'!$A:$A, K21, 'Clinical Trials HCO'!$D:$D, "&lt;&gt;")</f>
        <v>5</v>
      </c>
      <c r="AE21" t="s">
        <v>3927</v>
      </c>
    </row>
    <row r="22" spans="2:33" hidden="1">
      <c r="B22">
        <v>280</v>
      </c>
      <c r="C22" t="s">
        <v>4985</v>
      </c>
      <c r="F22">
        <f>COUNTIF(HCPs!W:W,HCO_Data!K22)</f>
        <v>7</v>
      </c>
      <c r="G22" t="str">
        <f>IF(COUNTIF('Testing Referrals'!B:B,HCO_Data!K22)&gt;0,"Yes","")</f>
        <v>Yes</v>
      </c>
      <c r="H22">
        <f>COUNTIF('HCO referrals'!B:B,HCO_Data!K22)+COUNTIF('HCO referrals'!C:C,HCO_Data!K22)</f>
        <v>11</v>
      </c>
      <c r="I22">
        <v>750100125</v>
      </c>
      <c r="K22" t="s">
        <v>3738</v>
      </c>
      <c r="L22" s="74" t="s">
        <v>4300</v>
      </c>
      <c r="M22" t="s">
        <v>2301</v>
      </c>
      <c r="N22">
        <v>75651</v>
      </c>
      <c r="O22" t="s">
        <v>700</v>
      </c>
      <c r="Q22" t="s">
        <v>4283</v>
      </c>
      <c r="R22">
        <v>12</v>
      </c>
      <c r="S22">
        <v>227</v>
      </c>
      <c r="T22">
        <v>227</v>
      </c>
      <c r="V22" t="s">
        <v>414</v>
      </c>
      <c r="W22">
        <f>COUNTIFS('Clinical Trials HCO'!$A:$A, K22, 'Clinical Trials HCO'!$D:$D, "&lt;&gt;")</f>
        <v>47</v>
      </c>
      <c r="AF22" t="s">
        <v>414</v>
      </c>
      <c r="AG22" t="s">
        <v>414</v>
      </c>
    </row>
    <row r="23" spans="2:33" hidden="1">
      <c r="B23">
        <v>656</v>
      </c>
      <c r="C23" t="s">
        <v>4977</v>
      </c>
      <c r="F23">
        <f>COUNTIF(HCPs!W:W,HCO_Data!K23)</f>
        <v>8</v>
      </c>
      <c r="G23" t="str">
        <f>IF(COUNTIF('Testing Referrals'!B:B,HCO_Data!K23)&gt;0,"Yes","")</f>
        <v>Yes</v>
      </c>
      <c r="H23">
        <f>COUNTIF('HCO referrals'!B:B,HCO_Data!K23)+COUNTIF('HCO referrals'!C:C,HCO_Data!K23)</f>
        <v>4</v>
      </c>
      <c r="I23">
        <v>340782036</v>
      </c>
      <c r="K23" t="s">
        <v>3737</v>
      </c>
      <c r="L23" s="74" t="s">
        <v>4421</v>
      </c>
      <c r="M23" t="s">
        <v>2267</v>
      </c>
      <c r="N23">
        <v>34295</v>
      </c>
      <c r="O23" t="s">
        <v>858</v>
      </c>
      <c r="Q23" t="s">
        <v>4283</v>
      </c>
      <c r="R23">
        <v>40</v>
      </c>
      <c r="S23">
        <v>225</v>
      </c>
      <c r="T23">
        <v>225</v>
      </c>
      <c r="V23" t="s">
        <v>414</v>
      </c>
      <c r="W23">
        <f>COUNTIFS('Clinical Trials HCO'!$A:$A, K23, 'Clinical Trials HCO'!$D:$D, "&lt;&gt;")</f>
        <v>9</v>
      </c>
      <c r="AC23" t="s">
        <v>414</v>
      </c>
      <c r="AG23" t="s">
        <v>414</v>
      </c>
    </row>
    <row r="24" spans="2:33" hidden="1">
      <c r="B24">
        <v>219</v>
      </c>
      <c r="C24" t="s">
        <v>8505</v>
      </c>
      <c r="F24">
        <f>COUNTIF(HCPs!W:W,HCO_Data!K24)</f>
        <v>2</v>
      </c>
      <c r="G24" t="str">
        <f>IF(COUNTIF('Testing Referrals'!B:B,HCO_Data!K24)&gt;0,"Yes","")</f>
        <v>Yes</v>
      </c>
      <c r="H24">
        <f>COUNTIF('HCO referrals'!B:B,HCO_Data!K24)+COUNTIF('HCO referrals'!C:C,HCO_Data!K24)</f>
        <v>2</v>
      </c>
      <c r="I24">
        <v>300782117</v>
      </c>
      <c r="K24" t="s">
        <v>3784</v>
      </c>
      <c r="L24" t="s">
        <v>4281</v>
      </c>
      <c r="M24" t="s">
        <v>2011</v>
      </c>
      <c r="N24">
        <v>30029</v>
      </c>
      <c r="O24" t="s">
        <v>951</v>
      </c>
      <c r="Q24" t="s">
        <v>4283</v>
      </c>
      <c r="R24">
        <v>23</v>
      </c>
      <c r="S24">
        <v>224</v>
      </c>
      <c r="T24">
        <v>224</v>
      </c>
      <c r="V24" t="s">
        <v>414</v>
      </c>
      <c r="W24">
        <f>COUNTIFS('Clinical Trials HCO'!$A:$A, K24, 'Clinical Trials HCO'!$D:$D, "&lt;&gt;")</f>
        <v>3</v>
      </c>
      <c r="AF24" t="s">
        <v>414</v>
      </c>
      <c r="AG24" t="s">
        <v>414</v>
      </c>
    </row>
    <row r="25" spans="2:33" hidden="1">
      <c r="B25">
        <v>272</v>
      </c>
      <c r="C25" t="s">
        <v>7899</v>
      </c>
      <c r="F25">
        <f>COUNTIF(HCPs!W:W,HCO_Data!K25)</f>
        <v>11</v>
      </c>
      <c r="G25" t="str">
        <f>IF(COUNTIF('Testing Referrals'!B:B,HCO_Data!K25)&gt;0,"Yes","")</f>
        <v>Yes</v>
      </c>
      <c r="H25">
        <f>COUNTIF('HCO referrals'!B:B,HCO_Data!K25)+COUNTIF('HCO referrals'!C:C,HCO_Data!K25)</f>
        <v>0</v>
      </c>
      <c r="I25">
        <v>750100166</v>
      </c>
      <c r="K25" t="s">
        <v>4443</v>
      </c>
      <c r="L25" s="74" t="s">
        <v>4287</v>
      </c>
      <c r="M25" t="s">
        <v>2290</v>
      </c>
      <c r="N25">
        <v>75679</v>
      </c>
      <c r="O25" t="s">
        <v>700</v>
      </c>
      <c r="Q25" t="s">
        <v>4283</v>
      </c>
      <c r="R25">
        <v>19</v>
      </c>
      <c r="S25">
        <v>221</v>
      </c>
      <c r="T25">
        <v>221</v>
      </c>
      <c r="V25" t="s">
        <v>414</v>
      </c>
      <c r="W25">
        <f>COUNTIFS('Clinical Trials HCO'!$A:$A, K25, 'Clinical Trials HCO'!$D:$D, "&lt;&gt;")</f>
        <v>25</v>
      </c>
      <c r="AF25" t="s">
        <v>414</v>
      </c>
      <c r="AG25" t="s">
        <v>414</v>
      </c>
    </row>
    <row r="26" spans="2:33" hidden="1">
      <c r="B26">
        <v>342</v>
      </c>
      <c r="F26">
        <f>COUNTIF(HCPs!W:W,HCO_Data!K26)</f>
        <v>6</v>
      </c>
      <c r="G26" t="str">
        <f>IF(COUNTIF('Testing Referrals'!B:B,HCO_Data!K26)&gt;0,"Yes","")</f>
        <v>Yes</v>
      </c>
      <c r="H26">
        <f>COUNTIF('HCO referrals'!B:B,HCO_Data!K26)+COUNTIF('HCO referrals'!C:C,HCO_Data!K26)</f>
        <v>5</v>
      </c>
      <c r="I26">
        <v>630781268</v>
      </c>
      <c r="K26" t="s">
        <v>3768</v>
      </c>
      <c r="L26" s="74" t="s">
        <v>4282</v>
      </c>
      <c r="M26" t="s">
        <v>2164</v>
      </c>
      <c r="N26">
        <v>63003</v>
      </c>
      <c r="O26" t="s">
        <v>896</v>
      </c>
      <c r="Q26" t="s">
        <v>4283</v>
      </c>
      <c r="R26">
        <v>26</v>
      </c>
      <c r="S26">
        <v>219</v>
      </c>
      <c r="T26">
        <v>219</v>
      </c>
      <c r="V26" t="s">
        <v>414</v>
      </c>
      <c r="W26">
        <f>COUNTIFS('Clinical Trials HCO'!$A:$A, K26, 'Clinical Trials HCO'!$D:$D, "&lt;&gt;")</f>
        <v>12</v>
      </c>
      <c r="AF26" t="s">
        <v>414</v>
      </c>
      <c r="AG26" t="s">
        <v>414</v>
      </c>
    </row>
    <row r="27" spans="2:33" hidden="1">
      <c r="B27">
        <v>295</v>
      </c>
      <c r="F27">
        <f>COUNTIF(HCPs!W:W,HCO_Data!K27)</f>
        <v>3</v>
      </c>
      <c r="G27" t="str">
        <f>IF(COUNTIF('Testing Referrals'!B:B,HCO_Data!K27)&gt;0,"Yes","")</f>
        <v>Yes</v>
      </c>
      <c r="H27">
        <f>COUNTIF('HCO referrals'!B:B,HCO_Data!K27)+COUNTIF('HCO referrals'!C:C,HCO_Data!K27)</f>
        <v>0</v>
      </c>
      <c r="I27">
        <v>420785354</v>
      </c>
      <c r="J27" s="72" t="s">
        <v>10138</v>
      </c>
      <c r="K27" t="s">
        <v>3763</v>
      </c>
      <c r="L27" s="12" t="s">
        <v>3207</v>
      </c>
      <c r="M27" t="s">
        <v>2192</v>
      </c>
      <c r="N27">
        <v>42277</v>
      </c>
      <c r="O27" t="s">
        <v>877</v>
      </c>
      <c r="Q27" t="s">
        <v>4283</v>
      </c>
      <c r="R27">
        <v>24</v>
      </c>
      <c r="S27">
        <v>214</v>
      </c>
      <c r="T27">
        <v>214</v>
      </c>
      <c r="V27" t="s">
        <v>414</v>
      </c>
      <c r="W27">
        <f>COUNTIFS('Clinical Trials HCO'!$A:$A, K27, 'Clinical Trials HCO'!$D:$D, "&lt;&gt;")</f>
        <v>0</v>
      </c>
      <c r="AG27" t="s">
        <v>414</v>
      </c>
    </row>
    <row r="28" spans="2:33" hidden="1">
      <c r="B28">
        <v>227</v>
      </c>
      <c r="C28" t="s">
        <v>8314</v>
      </c>
      <c r="F28">
        <f>COUNTIF(HCPs!W:W,HCO_Data!K28)</f>
        <v>1</v>
      </c>
      <c r="G28" t="str">
        <f>IF(COUNTIF('Testing Referrals'!B:B,HCO_Data!K28)&gt;0,"Yes","")</f>
        <v/>
      </c>
      <c r="H28">
        <f>COUNTIF('HCO referrals'!B:B,HCO_Data!K28)+COUNTIF('HCO referrals'!C:C,HCO_Data!K28)</f>
        <v>2</v>
      </c>
      <c r="I28">
        <v>310780259</v>
      </c>
      <c r="J28" s="72" t="s">
        <v>8312</v>
      </c>
      <c r="K28" t="s">
        <v>3819</v>
      </c>
      <c r="L28" s="13" t="s">
        <v>8313</v>
      </c>
      <c r="M28" t="s">
        <v>2027</v>
      </c>
      <c r="N28">
        <v>31076</v>
      </c>
      <c r="O28" t="s">
        <v>833</v>
      </c>
      <c r="Q28" t="s">
        <v>4283</v>
      </c>
      <c r="R28">
        <v>44</v>
      </c>
      <c r="S28">
        <v>209</v>
      </c>
      <c r="T28">
        <v>209</v>
      </c>
      <c r="V28" t="s">
        <v>414</v>
      </c>
      <c r="W28">
        <f>COUNTIFS('Clinical Trials HCO'!$A:$A, K28, 'Clinical Trials HCO'!$D:$D, "&lt;&gt;")</f>
        <v>5</v>
      </c>
      <c r="AF28" t="s">
        <v>414</v>
      </c>
      <c r="AG28" t="s">
        <v>414</v>
      </c>
    </row>
    <row r="29" spans="2:33" hidden="1">
      <c r="C29" t="s">
        <v>7909</v>
      </c>
      <c r="F29">
        <f>COUNTIF(HCPs!W:W,HCO_Data!K29)</f>
        <v>4</v>
      </c>
      <c r="G29" t="str">
        <f>IF(COUNTIF('Testing Referrals'!B:B,HCO_Data!K29)&gt;0,"Yes","")</f>
        <v>Yes</v>
      </c>
      <c r="H29">
        <f>COUNTIF('HCO referrals'!B:B,HCO_Data!K29)+COUNTIF('HCO referrals'!C:C,HCO_Data!K29)</f>
        <v>2</v>
      </c>
      <c r="I29">
        <v>750803447</v>
      </c>
      <c r="J29" s="72" t="s">
        <v>11115</v>
      </c>
      <c r="K29" t="s">
        <v>4446</v>
      </c>
      <c r="L29" s="74" t="s">
        <v>4445</v>
      </c>
      <c r="O29" t="s">
        <v>700</v>
      </c>
      <c r="Q29" t="s">
        <v>4283</v>
      </c>
      <c r="R29">
        <v>8</v>
      </c>
      <c r="S29">
        <v>208</v>
      </c>
      <c r="T29">
        <v>208</v>
      </c>
      <c r="V29" t="s">
        <v>414</v>
      </c>
      <c r="W29">
        <f>COUNTIFS('Clinical Trials HCO'!$A:$A, K29, 'Clinical Trials HCO'!$D:$D, "&lt;&gt;")</f>
        <v>24</v>
      </c>
      <c r="AF29" t="s">
        <v>414</v>
      </c>
    </row>
    <row r="30" spans="2:33" hidden="1">
      <c r="B30">
        <v>294</v>
      </c>
      <c r="F30">
        <f>COUNTIF(HCPs!W:W,HCO_Data!K30)</f>
        <v>3</v>
      </c>
      <c r="G30" t="str">
        <f>IF(COUNTIF('Testing Referrals'!B:B,HCO_Data!K30)&gt;0,"Yes","")</f>
        <v>Yes</v>
      </c>
      <c r="H30">
        <f>COUNTIF('HCO referrals'!B:B,HCO_Data!K30)+COUNTIF('HCO referrals'!C:C,HCO_Data!K30)</f>
        <v>2</v>
      </c>
      <c r="I30">
        <v>380000067</v>
      </c>
      <c r="K30" t="s">
        <v>3758</v>
      </c>
      <c r="L30" t="s">
        <v>4571</v>
      </c>
      <c r="M30" t="s">
        <v>2190</v>
      </c>
      <c r="N30">
        <v>38700</v>
      </c>
      <c r="O30" t="s">
        <v>2191</v>
      </c>
      <c r="Q30" t="s">
        <v>4283</v>
      </c>
      <c r="R30">
        <v>16</v>
      </c>
      <c r="S30">
        <v>205</v>
      </c>
      <c r="T30">
        <v>205</v>
      </c>
      <c r="V30" t="s">
        <v>414</v>
      </c>
      <c r="W30">
        <f>COUNTIFS('Clinical Trials HCO'!$A:$A, K30, 'Clinical Trials HCO'!$D:$D, "&lt;&gt;")</f>
        <v>0</v>
      </c>
      <c r="AF30" t="s">
        <v>414</v>
      </c>
    </row>
    <row r="31" spans="2:33" hidden="1">
      <c r="B31">
        <v>456</v>
      </c>
      <c r="C31" t="s">
        <v>8270</v>
      </c>
      <c r="D31" t="s">
        <v>1329</v>
      </c>
      <c r="F31">
        <f>COUNTIF(HCPs!W:W,HCO_Data!K31)</f>
        <v>5</v>
      </c>
      <c r="G31" t="str">
        <f>IF(COUNTIF('Testing Referrals'!B:B,HCO_Data!K31)&gt;0,"Yes","")</f>
        <v/>
      </c>
      <c r="H31">
        <f>COUNTIF('HCO referrals'!B:B,HCO_Data!K31)+COUNTIF('HCO referrals'!C:C,HCO_Data!K31)</f>
        <v>5</v>
      </c>
      <c r="I31">
        <v>670020098</v>
      </c>
      <c r="K31" t="s">
        <v>3789</v>
      </c>
      <c r="L31" s="74" t="s">
        <v>4932</v>
      </c>
      <c r="M31" t="s">
        <v>2113</v>
      </c>
      <c r="N31">
        <v>67200</v>
      </c>
      <c r="O31" t="s">
        <v>2056</v>
      </c>
      <c r="Q31" t="s">
        <v>4283</v>
      </c>
      <c r="R31">
        <v>11</v>
      </c>
      <c r="S31">
        <v>205</v>
      </c>
      <c r="T31">
        <v>205</v>
      </c>
      <c r="V31" t="s">
        <v>414</v>
      </c>
      <c r="W31">
        <f>COUNTIFS('Clinical Trials HCO'!$A:$A, K31, 'Clinical Trials HCO'!$D:$D, "&lt;&gt;")</f>
        <v>14</v>
      </c>
      <c r="AD31" s="12" t="s">
        <v>414</v>
      </c>
      <c r="AE31" t="s">
        <v>3927</v>
      </c>
      <c r="AF31" t="s">
        <v>414</v>
      </c>
      <c r="AG31" t="s">
        <v>414</v>
      </c>
    </row>
    <row r="32" spans="2:33" hidden="1">
      <c r="B32">
        <v>114</v>
      </c>
      <c r="C32" t="s">
        <v>5167</v>
      </c>
      <c r="F32">
        <f>COUNTIF(HCPs!W:W,HCO_Data!K32)</f>
        <v>6</v>
      </c>
      <c r="G32" t="str">
        <f>IF(COUNTIF('Testing Referrals'!B:B,HCO_Data!K32)&gt;0,"Yes","")</f>
        <v>Yes</v>
      </c>
      <c r="H32">
        <f>COUNTIF('HCO referrals'!B:B,HCO_Data!K32)+COUNTIF('HCO referrals'!C:C,HCO_Data!K32)</f>
        <v>1</v>
      </c>
      <c r="I32">
        <v>210987558</v>
      </c>
      <c r="K32" t="s">
        <v>3772</v>
      </c>
      <c r="L32" s="74" t="s">
        <v>4828</v>
      </c>
      <c r="M32" t="s">
        <v>2180</v>
      </c>
      <c r="N32">
        <v>21079</v>
      </c>
      <c r="O32" t="s">
        <v>844</v>
      </c>
      <c r="Q32" t="s">
        <v>4283</v>
      </c>
      <c r="R32">
        <v>39</v>
      </c>
      <c r="S32">
        <v>198</v>
      </c>
      <c r="T32">
        <v>198</v>
      </c>
      <c r="V32" t="s">
        <v>414</v>
      </c>
      <c r="W32">
        <f>COUNTIFS('Clinical Trials HCO'!$A:$A, K32, 'Clinical Trials HCO'!$D:$D, "&lt;&gt;")</f>
        <v>0</v>
      </c>
      <c r="AF32" t="s">
        <v>414</v>
      </c>
      <c r="AG32" t="s">
        <v>414</v>
      </c>
    </row>
    <row r="33" spans="2:33" hidden="1">
      <c r="B33">
        <v>115</v>
      </c>
      <c r="F33">
        <f>COUNTIF(HCPs!W:W,HCO_Data!K33)</f>
        <v>4</v>
      </c>
      <c r="G33" t="str">
        <f>IF(COUNTIF('Testing Referrals'!B:B,HCO_Data!K33)&gt;0,"Yes","")</f>
        <v>Yes</v>
      </c>
      <c r="H33">
        <f>COUNTIF('HCO referrals'!B:B,HCO_Data!K33)+COUNTIF('HCO referrals'!C:C,HCO_Data!K33)</f>
        <v>0</v>
      </c>
      <c r="I33">
        <v>870000064</v>
      </c>
      <c r="K33" t="s">
        <v>4553</v>
      </c>
      <c r="L33" s="13" t="s">
        <v>4580</v>
      </c>
      <c r="M33" t="s">
        <v>1698</v>
      </c>
      <c r="N33">
        <v>87042</v>
      </c>
      <c r="O33" t="s">
        <v>855</v>
      </c>
      <c r="Q33" t="s">
        <v>4283</v>
      </c>
      <c r="R33">
        <v>46</v>
      </c>
      <c r="S33">
        <v>197</v>
      </c>
      <c r="T33">
        <v>197</v>
      </c>
      <c r="V33" t="s">
        <v>414</v>
      </c>
      <c r="W33">
        <f>COUNTIFS('Clinical Trials HCO'!$A:$A, K33, 'Clinical Trials HCO'!$D:$D, "&lt;&gt;")</f>
        <v>0</v>
      </c>
      <c r="AF33" t="s">
        <v>414</v>
      </c>
      <c r="AG33" t="s">
        <v>414</v>
      </c>
    </row>
    <row r="34" spans="2:33" hidden="1">
      <c r="B34">
        <v>10</v>
      </c>
      <c r="D34" t="s">
        <v>1329</v>
      </c>
      <c r="F34">
        <f>COUNTIF(HCPs!W:W,HCO_Data!K34)</f>
        <v>5</v>
      </c>
      <c r="G34" t="str">
        <f>IF(COUNTIF('Testing Referrals'!B:B,HCO_Data!K34)&gt;0,"Yes","")</f>
        <v>Yes</v>
      </c>
      <c r="H34">
        <f>COUNTIF('HCO referrals'!B:B,HCO_Data!K34)+COUNTIF('HCO referrals'!C:C,HCO_Data!K34)</f>
        <v>0</v>
      </c>
      <c r="I34">
        <v>210987731</v>
      </c>
      <c r="K34" t="s">
        <v>3773</v>
      </c>
      <c r="L34" s="74" t="s">
        <v>1289</v>
      </c>
      <c r="O34" t="s">
        <v>844</v>
      </c>
      <c r="Q34" t="s">
        <v>4283</v>
      </c>
      <c r="R34">
        <v>10</v>
      </c>
      <c r="S34">
        <v>195</v>
      </c>
      <c r="T34">
        <v>195</v>
      </c>
      <c r="V34" t="s">
        <v>414</v>
      </c>
      <c r="W34">
        <f>COUNTIFS('Clinical Trials HCO'!$A:$A, K34, 'Clinical Trials HCO'!$D:$D, "&lt;&gt;")</f>
        <v>44</v>
      </c>
      <c r="AF34" t="s">
        <v>414</v>
      </c>
      <c r="AG34" t="s">
        <v>414</v>
      </c>
    </row>
    <row r="35" spans="2:33" hidden="1">
      <c r="B35">
        <v>18</v>
      </c>
      <c r="F35">
        <f>COUNTIF(HCPs!W:W,HCO_Data!K35)</f>
        <v>5</v>
      </c>
      <c r="G35" t="str">
        <f>IF(COUNTIF('Testing Referrals'!B:B,HCO_Data!K35)&gt;0,"Yes","")</f>
        <v>Yes</v>
      </c>
      <c r="H35">
        <f>COUNTIF('HCO referrals'!B:B,HCO_Data!K35)+COUNTIF('HCO referrals'!C:C,HCO_Data!K35)</f>
        <v>0</v>
      </c>
      <c r="I35">
        <v>690783154</v>
      </c>
      <c r="K35" t="s">
        <v>4453</v>
      </c>
      <c r="L35" s="74" t="s">
        <v>3175</v>
      </c>
      <c r="O35" t="s">
        <v>903</v>
      </c>
      <c r="Q35" t="s">
        <v>4283</v>
      </c>
      <c r="R35">
        <v>49</v>
      </c>
      <c r="S35">
        <v>192</v>
      </c>
      <c r="T35">
        <v>192</v>
      </c>
      <c r="V35" t="s">
        <v>414</v>
      </c>
      <c r="W35">
        <f>COUNTIFS('Clinical Trials HCO'!$A:$A, K35, 'Clinical Trials HCO'!$D:$D, "&lt;&gt;")</f>
        <v>36</v>
      </c>
      <c r="AG35" t="s">
        <v>414</v>
      </c>
    </row>
    <row r="36" spans="2:33" hidden="1">
      <c r="B36">
        <v>216</v>
      </c>
      <c r="C36" t="s">
        <v>8407</v>
      </c>
      <c r="F36">
        <f>COUNTIF(HCPs!W:W,HCO_Data!K36)</f>
        <v>5</v>
      </c>
      <c r="G36" t="str">
        <f>IF(COUNTIF('Testing Referrals'!B:B,HCO_Data!K36)&gt;0,"Yes","")</f>
        <v/>
      </c>
      <c r="H36">
        <f>COUNTIF('HCO referrals'!B:B,HCO_Data!K36)+COUNTIF('HCO referrals'!C:C,HCO_Data!K36)</f>
        <v>1</v>
      </c>
      <c r="I36">
        <v>140000209</v>
      </c>
      <c r="K36" t="s">
        <v>7948</v>
      </c>
      <c r="L36" s="74" t="s">
        <v>7947</v>
      </c>
      <c r="M36" t="s">
        <v>2000</v>
      </c>
      <c r="N36">
        <v>14033</v>
      </c>
      <c r="O36" t="s">
        <v>808</v>
      </c>
      <c r="Q36" t="s">
        <v>4283</v>
      </c>
      <c r="R36">
        <v>36</v>
      </c>
      <c r="S36">
        <v>191</v>
      </c>
      <c r="T36">
        <v>191</v>
      </c>
      <c r="V36" t="s">
        <v>414</v>
      </c>
      <c r="W36">
        <f>COUNTIFS('Clinical Trials HCO'!$A:$A, K36, 'Clinical Trials HCO'!$D:$D, "&lt;&gt;")</f>
        <v>6</v>
      </c>
      <c r="AF36" t="s">
        <v>414</v>
      </c>
      <c r="AG36" t="s">
        <v>414</v>
      </c>
    </row>
    <row r="37" spans="2:33" hidden="1">
      <c r="F37">
        <f>COUNTIF(HCPs!W:W,HCO_Data!K37)</f>
        <v>2</v>
      </c>
      <c r="G37" t="str">
        <f>IF(COUNTIF('Testing Referrals'!B:B,HCO_Data!K37)&gt;0,"Yes","")</f>
        <v>Yes</v>
      </c>
      <c r="H37">
        <f>COUNTIF('HCO referrals'!B:B,HCO_Data!K37)+COUNTIF('HCO referrals'!C:C,HCO_Data!K37)</f>
        <v>0</v>
      </c>
      <c r="I37">
        <v>800006124</v>
      </c>
      <c r="K37" t="s">
        <v>3757</v>
      </c>
      <c r="L37" t="s">
        <v>168</v>
      </c>
      <c r="M37" t="s">
        <v>4846</v>
      </c>
      <c r="O37" t="s">
        <v>4845</v>
      </c>
      <c r="Q37" t="s">
        <v>4283</v>
      </c>
      <c r="R37">
        <v>29</v>
      </c>
      <c r="S37">
        <v>190</v>
      </c>
      <c r="T37">
        <v>190</v>
      </c>
      <c r="V37" t="s">
        <v>414</v>
      </c>
      <c r="W37">
        <f>COUNTIFS('Clinical Trials HCO'!$A:$A, K37, 'Clinical Trials HCO'!$D:$D, "&lt;&gt;")</f>
        <v>0</v>
      </c>
    </row>
    <row r="38" spans="2:33" hidden="1">
      <c r="B38">
        <v>211</v>
      </c>
      <c r="F38">
        <f>COUNTIF(HCPs!W:W,HCO_Data!K38)</f>
        <v>3</v>
      </c>
      <c r="G38" t="str">
        <f>IF(COUNTIF('Testing Referrals'!B:B,HCO_Data!K38)&gt;0,"Yes","")</f>
        <v>Yes</v>
      </c>
      <c r="H38">
        <f>COUNTIF('HCO referrals'!B:B,HCO_Data!K38)+COUNTIF('HCO referrals'!C:C,HCO_Data!K38)</f>
        <v>2</v>
      </c>
      <c r="I38">
        <v>490000049</v>
      </c>
      <c r="K38" t="s">
        <v>3787</v>
      </c>
      <c r="L38" s="13" t="s">
        <v>7848</v>
      </c>
      <c r="M38" t="s">
        <v>1988</v>
      </c>
      <c r="N38">
        <v>49933</v>
      </c>
      <c r="O38" t="s">
        <v>958</v>
      </c>
      <c r="Q38" t="s">
        <v>4283</v>
      </c>
      <c r="R38">
        <v>57</v>
      </c>
      <c r="S38">
        <v>182</v>
      </c>
      <c r="T38">
        <v>182</v>
      </c>
      <c r="V38" t="s">
        <v>414</v>
      </c>
      <c r="W38">
        <f>COUNTIFS('Clinical Trials HCO'!$A:$A, K38, 'Clinical Trials HCO'!$D:$D, "&lt;&gt;")</f>
        <v>2</v>
      </c>
      <c r="AF38" t="s">
        <v>414</v>
      </c>
      <c r="AG38" t="s">
        <v>414</v>
      </c>
    </row>
    <row r="39" spans="2:33" hidden="1">
      <c r="B39">
        <v>541</v>
      </c>
      <c r="F39">
        <f>COUNTIF(HCPs!W:W,HCO_Data!K39)</f>
        <v>2</v>
      </c>
      <c r="G39" t="str">
        <f>IF(COUNTIF('Testing Referrals'!B:B,HCO_Data!K39)&gt;0,"Yes","")</f>
        <v/>
      </c>
      <c r="H39">
        <f>COUNTIF('HCO referrals'!B:B,HCO_Data!K39)+COUNTIF('HCO referrals'!C:C,HCO_Data!K39)</f>
        <v>0</v>
      </c>
      <c r="I39">
        <v>440041580</v>
      </c>
      <c r="J39" s="72" t="s">
        <v>11098</v>
      </c>
      <c r="K39" t="s">
        <v>10150</v>
      </c>
      <c r="L39" s="74" t="s">
        <v>1608</v>
      </c>
      <c r="M39" t="s">
        <v>2219</v>
      </c>
      <c r="N39">
        <v>44277</v>
      </c>
      <c r="O39" t="s">
        <v>2003</v>
      </c>
      <c r="Q39" t="s">
        <v>4283</v>
      </c>
      <c r="R39">
        <v>37</v>
      </c>
      <c r="S39">
        <v>180</v>
      </c>
      <c r="T39">
        <v>180</v>
      </c>
      <c r="V39" t="s">
        <v>414</v>
      </c>
      <c r="W39">
        <f>COUNTIFS('Clinical Trials HCO'!$A:$A, K39, 'Clinical Trials HCO'!$D:$D, "&lt;&gt;")</f>
        <v>0</v>
      </c>
      <c r="AF39" t="s">
        <v>414</v>
      </c>
      <c r="AG39" t="s">
        <v>414</v>
      </c>
    </row>
    <row r="40" spans="2:33" hidden="1">
      <c r="B40">
        <v>483</v>
      </c>
      <c r="C40" t="s">
        <v>8204</v>
      </c>
      <c r="F40">
        <f>COUNTIF(HCPs!W:W,HCO_Data!K40)</f>
        <v>7</v>
      </c>
      <c r="G40" t="str">
        <f>IF(COUNTIF('Testing Referrals'!B:B,HCO_Data!K40)&gt;0,"Yes","")</f>
        <v/>
      </c>
      <c r="H40">
        <f>COUNTIF('HCO referrals'!B:B,HCO_Data!K40)+COUNTIF('HCO referrals'!C:C,HCO_Data!K40)</f>
        <v>0</v>
      </c>
      <c r="I40">
        <v>130043664</v>
      </c>
      <c r="K40" t="s">
        <v>8203</v>
      </c>
      <c r="L40" s="74" t="s">
        <v>8234</v>
      </c>
      <c r="M40" t="s">
        <v>2837</v>
      </c>
      <c r="N40">
        <v>13003</v>
      </c>
      <c r="O40" t="s">
        <v>822</v>
      </c>
      <c r="Q40" t="s">
        <v>4283</v>
      </c>
      <c r="R40">
        <v>34</v>
      </c>
      <c r="S40">
        <v>176</v>
      </c>
      <c r="T40">
        <v>176</v>
      </c>
      <c r="V40" t="s">
        <v>414</v>
      </c>
      <c r="W40">
        <f>COUNTIFS('Clinical Trials HCO'!$A:$A, K40, 'Clinical Trials HCO'!$D:$D, "&lt;&gt;")</f>
        <v>11</v>
      </c>
    </row>
    <row r="41" spans="2:33" hidden="1">
      <c r="B41">
        <v>132</v>
      </c>
      <c r="F41">
        <f>COUNTIF(HCPs!W:W,HCO_Data!K41)</f>
        <v>2</v>
      </c>
      <c r="G41" t="str">
        <f>IF(COUNTIF('Testing Referrals'!B:B,HCO_Data!K41)&gt;0,"Yes","")</f>
        <v/>
      </c>
      <c r="H41">
        <f>COUNTIF('HCO referrals'!B:B,HCO_Data!K41)+COUNTIF('HCO referrals'!C:C,HCO_Data!K41)</f>
        <v>0</v>
      </c>
      <c r="I41">
        <v>640000162</v>
      </c>
      <c r="K41" t="s">
        <v>4549</v>
      </c>
      <c r="L41" t="s">
        <v>4548</v>
      </c>
      <c r="M41" t="s">
        <v>1811</v>
      </c>
      <c r="N41">
        <v>64109</v>
      </c>
      <c r="O41" t="s">
        <v>804</v>
      </c>
      <c r="Q41" t="s">
        <v>4283</v>
      </c>
      <c r="R41">
        <v>35</v>
      </c>
      <c r="S41">
        <v>174</v>
      </c>
      <c r="T41">
        <v>174</v>
      </c>
      <c r="V41" t="s">
        <v>414</v>
      </c>
      <c r="W41">
        <f>COUNTIFS('Clinical Trials HCO'!$A:$A, K41, 'Clinical Trials HCO'!$D:$D, "&lt;&gt;")</f>
        <v>10</v>
      </c>
      <c r="AC41" t="s">
        <v>414</v>
      </c>
      <c r="AF41" t="s">
        <v>414</v>
      </c>
      <c r="AG41" t="s">
        <v>414</v>
      </c>
    </row>
    <row r="42" spans="2:33" hidden="1">
      <c r="B42">
        <v>127</v>
      </c>
      <c r="F42">
        <f>COUNTIF(HCPs!W:W,HCO_Data!K42)</f>
        <v>3</v>
      </c>
      <c r="G42" t="str">
        <f>IF(COUNTIF('Testing Referrals'!B:B,HCO_Data!K42)&gt;0,"Yes","")</f>
        <v/>
      </c>
      <c r="H42">
        <f>COUNTIF('HCO referrals'!B:B,HCO_Data!K42)+COUNTIF('HCO referrals'!C:C,HCO_Data!K42)</f>
        <v>2</v>
      </c>
      <c r="I42">
        <v>740000237</v>
      </c>
      <c r="J42" s="72" t="s">
        <v>11107</v>
      </c>
      <c r="K42" t="s">
        <v>3830</v>
      </c>
      <c r="L42" s="74" t="s">
        <v>1371</v>
      </c>
      <c r="M42" t="s">
        <v>1776</v>
      </c>
      <c r="N42">
        <v>74370</v>
      </c>
      <c r="O42" t="s">
        <v>1777</v>
      </c>
      <c r="Q42" t="s">
        <v>4283</v>
      </c>
      <c r="R42">
        <v>45</v>
      </c>
      <c r="S42">
        <v>170</v>
      </c>
      <c r="T42">
        <v>170</v>
      </c>
      <c r="V42" t="s">
        <v>414</v>
      </c>
      <c r="W42">
        <f>COUNTIFS('Clinical Trials HCO'!$A:$A, K42, 'Clinical Trials HCO'!$D:$D, "&lt;&gt;")</f>
        <v>0</v>
      </c>
      <c r="AF42" t="s">
        <v>414</v>
      </c>
      <c r="AG42" t="s">
        <v>414</v>
      </c>
    </row>
    <row r="43" spans="2:33" hidden="1">
      <c r="B43">
        <v>41</v>
      </c>
      <c r="C43" t="s">
        <v>8386</v>
      </c>
      <c r="D43" t="s">
        <v>1329</v>
      </c>
      <c r="F43">
        <f>COUNTIF(HCPs!W:W,HCO_Data!K43)</f>
        <v>3</v>
      </c>
      <c r="G43" t="str">
        <f>IF(COUNTIF('Testing Referrals'!B:B,HCO_Data!K43)&gt;0,"Yes","")</f>
        <v>Yes</v>
      </c>
      <c r="H43">
        <f>COUNTIF('HCO referrals'!B:B,HCO_Data!K43)+COUNTIF('HCO referrals'!C:C,HCO_Data!K43)</f>
        <v>1</v>
      </c>
      <c r="I43">
        <v>140000555</v>
      </c>
      <c r="K43" t="s">
        <v>3781</v>
      </c>
      <c r="L43" s="12" t="s">
        <v>280</v>
      </c>
      <c r="M43" s="12" t="s">
        <v>2940</v>
      </c>
      <c r="N43">
        <v>14000</v>
      </c>
      <c r="O43" t="s">
        <v>2958</v>
      </c>
      <c r="P43" s="12" t="s">
        <v>1298</v>
      </c>
      <c r="Q43" t="s">
        <v>4283</v>
      </c>
      <c r="R43">
        <v>27</v>
      </c>
      <c r="S43">
        <v>162</v>
      </c>
      <c r="T43">
        <v>162</v>
      </c>
      <c r="V43" t="s">
        <v>414</v>
      </c>
      <c r="W43">
        <f>COUNTIFS('Clinical Trials HCO'!$A:$A, K43, 'Clinical Trials HCO'!$D:$D, "&lt;&gt;")</f>
        <v>10</v>
      </c>
      <c r="AF43" t="s">
        <v>414</v>
      </c>
      <c r="AG43" t="s">
        <v>414</v>
      </c>
    </row>
    <row r="44" spans="2:33" hidden="1">
      <c r="B44">
        <v>213</v>
      </c>
      <c r="F44">
        <f>COUNTIF(HCPs!W:W,HCO_Data!K44)</f>
        <v>2</v>
      </c>
      <c r="G44" t="str">
        <f>IF(COUNTIF('Testing Referrals'!B:B,HCO_Data!K44)&gt;0,"Yes","")</f>
        <v>Yes</v>
      </c>
      <c r="H44">
        <f>COUNTIF('HCO referrals'!B:B,HCO_Data!K44)+COUNTIF('HCO referrals'!C:C,HCO_Data!K44)</f>
        <v>0</v>
      </c>
      <c r="I44">
        <v>450002613</v>
      </c>
      <c r="K44" t="s">
        <v>4558</v>
      </c>
      <c r="L44" s="13" t="s">
        <v>4291</v>
      </c>
      <c r="M44" t="s">
        <v>1994</v>
      </c>
      <c r="N44">
        <v>45067</v>
      </c>
      <c r="O44" t="s">
        <v>1995</v>
      </c>
      <c r="Q44" t="s">
        <v>4283</v>
      </c>
      <c r="R44">
        <v>59</v>
      </c>
      <c r="S44">
        <v>157</v>
      </c>
      <c r="T44">
        <v>157</v>
      </c>
      <c r="V44" t="s">
        <v>414</v>
      </c>
      <c r="W44">
        <f>COUNTIFS('Clinical Trials HCO'!$A:$A, K44, 'Clinical Trials HCO'!$D:$D, "&lt;&gt;")</f>
        <v>0</v>
      </c>
      <c r="AF44" t="s">
        <v>414</v>
      </c>
      <c r="AG44" t="s">
        <v>414</v>
      </c>
    </row>
    <row r="45" spans="2:33" hidden="1">
      <c r="B45">
        <v>700</v>
      </c>
      <c r="F45">
        <f>COUNTIF(HCPs!W:W,HCO_Data!K45)</f>
        <v>1</v>
      </c>
      <c r="G45" t="str">
        <f>IF(COUNTIF('Testing Referrals'!B:B,HCO_Data!K45)&gt;0,"Yes","")</f>
        <v/>
      </c>
      <c r="H45">
        <f>COUNTIF('HCO referrals'!B:B,HCO_Data!K45)+COUNTIF('HCO referrals'!C:C,HCO_Data!K45)</f>
        <v>0</v>
      </c>
      <c r="I45">
        <v>170000087</v>
      </c>
      <c r="J45" s="72" t="s">
        <v>11119</v>
      </c>
      <c r="K45" t="s">
        <v>3831</v>
      </c>
      <c r="L45" s="74" t="s">
        <v>1634</v>
      </c>
      <c r="M45" t="s">
        <v>2263</v>
      </c>
      <c r="N45">
        <v>17019</v>
      </c>
      <c r="O45" t="s">
        <v>2264</v>
      </c>
      <c r="Q45" t="s">
        <v>4283</v>
      </c>
      <c r="R45">
        <v>51</v>
      </c>
      <c r="S45">
        <v>157</v>
      </c>
      <c r="T45">
        <v>157</v>
      </c>
      <c r="V45" t="s">
        <v>414</v>
      </c>
      <c r="W45">
        <f>COUNTIFS('Clinical Trials HCO'!$A:$A, K45, 'Clinical Trials HCO'!$D:$D, "&lt;&gt;")</f>
        <v>0</v>
      </c>
      <c r="AF45" t="s">
        <v>414</v>
      </c>
      <c r="AG45" t="s">
        <v>414</v>
      </c>
    </row>
    <row r="46" spans="2:33" hidden="1">
      <c r="B46">
        <v>190</v>
      </c>
      <c r="F46">
        <f>COUNTIF(HCPs!W:W,HCO_Data!K46)</f>
        <v>4</v>
      </c>
      <c r="G46" t="str">
        <f>IF(COUNTIF('Testing Referrals'!B:B,HCO_Data!K46)&gt;0,"Yes","")</f>
        <v/>
      </c>
      <c r="H46">
        <f>COUNTIF('HCO referrals'!B:B,HCO_Data!K46)+COUNTIF('HCO referrals'!C:C,HCO_Data!K46)</f>
        <v>0</v>
      </c>
      <c r="I46">
        <v>590000618</v>
      </c>
      <c r="J46" s="72" t="s">
        <v>11163</v>
      </c>
      <c r="K46" t="s">
        <v>3832</v>
      </c>
      <c r="L46" s="74" t="s">
        <v>660</v>
      </c>
      <c r="M46" t="s">
        <v>1933</v>
      </c>
      <c r="N46">
        <v>59322</v>
      </c>
      <c r="O46" t="s">
        <v>1934</v>
      </c>
      <c r="Q46" t="s">
        <v>4283</v>
      </c>
      <c r="R46">
        <v>87</v>
      </c>
      <c r="S46">
        <v>156</v>
      </c>
      <c r="T46">
        <v>156</v>
      </c>
      <c r="V46" t="s">
        <v>414</v>
      </c>
      <c r="W46">
        <f>COUNTIFS('Clinical Trials HCO'!$A:$A, K46, 'Clinical Trials HCO'!$D:$D, "&lt;&gt;")</f>
        <v>0</v>
      </c>
      <c r="AF46" t="s">
        <v>414</v>
      </c>
      <c r="AG46" t="s">
        <v>414</v>
      </c>
    </row>
    <row r="47" spans="2:33" hidden="1">
      <c r="B47">
        <v>427</v>
      </c>
      <c r="C47" t="s">
        <v>8372</v>
      </c>
      <c r="F47">
        <f>COUNTIF(HCPs!W:W,HCO_Data!K47)</f>
        <v>6</v>
      </c>
      <c r="G47" t="str">
        <f>IF(COUNTIF('Testing Referrals'!B:B,HCO_Data!K47)&gt;0,"Yes","")</f>
        <v>Yes</v>
      </c>
      <c r="H47">
        <f>COUNTIF('HCO referrals'!B:B,HCO_Data!K47)+COUNTIF('HCO referrals'!C:C,HCO_Data!K47)</f>
        <v>3</v>
      </c>
      <c r="I47">
        <v>60789195</v>
      </c>
      <c r="K47" t="s">
        <v>4508</v>
      </c>
      <c r="L47" s="74" t="s">
        <v>4507</v>
      </c>
      <c r="M47" t="s">
        <v>2006</v>
      </c>
      <c r="N47">
        <v>6202</v>
      </c>
      <c r="O47" t="s">
        <v>836</v>
      </c>
      <c r="Q47" t="s">
        <v>4283</v>
      </c>
      <c r="R47">
        <v>73</v>
      </c>
      <c r="S47">
        <v>155</v>
      </c>
      <c r="T47">
        <v>155</v>
      </c>
      <c r="V47" t="s">
        <v>414</v>
      </c>
      <c r="W47">
        <f>COUNTIFS('Clinical Trials HCO'!$A:$A, K47, 'Clinical Trials HCO'!$D:$D, "&lt;&gt;")</f>
        <v>6</v>
      </c>
      <c r="AC47" t="s">
        <v>414</v>
      </c>
      <c r="AF47" t="s">
        <v>414</v>
      </c>
      <c r="AG47" t="s">
        <v>414</v>
      </c>
    </row>
    <row r="48" spans="2:33" hidden="1">
      <c r="B48">
        <v>653</v>
      </c>
      <c r="F48">
        <f>COUNTIF(HCPs!W:W,HCO_Data!K48)</f>
        <v>1</v>
      </c>
      <c r="G48" t="str">
        <f>IF(COUNTIF('Testing Referrals'!B:B,HCO_Data!K48)&gt;0,"Yes","")</f>
        <v/>
      </c>
      <c r="H48">
        <f>COUNTIF('HCO referrals'!B:B,HCO_Data!K48)+COUNTIF('HCO referrals'!C:C,HCO_Data!K48)</f>
        <v>1</v>
      </c>
      <c r="I48">
        <v>510024979</v>
      </c>
      <c r="K48" t="s">
        <v>8492</v>
      </c>
      <c r="L48" t="s">
        <v>8491</v>
      </c>
      <c r="M48" t="s">
        <v>2919</v>
      </c>
      <c r="N48">
        <v>51430</v>
      </c>
      <c r="O48" t="s">
        <v>2920</v>
      </c>
      <c r="Q48" t="s">
        <v>4283</v>
      </c>
      <c r="R48">
        <v>361</v>
      </c>
      <c r="S48">
        <v>153</v>
      </c>
      <c r="T48">
        <v>153</v>
      </c>
      <c r="V48" t="s">
        <v>414</v>
      </c>
      <c r="W48">
        <f>COUNTIFS('Clinical Trials HCO'!$A:$A, K48, 'Clinical Trials HCO'!$D:$D, "&lt;&gt;")</f>
        <v>0</v>
      </c>
      <c r="AF48" t="s">
        <v>414</v>
      </c>
    </row>
    <row r="49" spans="2:33" hidden="1">
      <c r="B49">
        <v>205</v>
      </c>
      <c r="F49">
        <f>COUNTIF(HCPs!W:W,HCO_Data!K49)</f>
        <v>1</v>
      </c>
      <c r="G49" t="str">
        <f>IF(COUNTIF('Testing Referrals'!B:B,HCO_Data!K49)&gt;0,"Yes","")</f>
        <v/>
      </c>
      <c r="H49">
        <f>COUNTIF('HCO referrals'!B:B,HCO_Data!K49)+COUNTIF('HCO referrals'!C:C,HCO_Data!K49)</f>
        <v>0</v>
      </c>
      <c r="I49">
        <v>830000345</v>
      </c>
      <c r="K49" t="s">
        <v>3827</v>
      </c>
      <c r="L49" t="s">
        <v>8568</v>
      </c>
      <c r="M49" t="s">
        <v>1976</v>
      </c>
      <c r="N49">
        <v>83056</v>
      </c>
      <c r="O49" t="s">
        <v>865</v>
      </c>
      <c r="Q49" t="s">
        <v>4283</v>
      </c>
      <c r="R49">
        <v>47</v>
      </c>
      <c r="S49">
        <v>153</v>
      </c>
      <c r="T49">
        <v>153</v>
      </c>
      <c r="V49" t="s">
        <v>414</v>
      </c>
      <c r="W49">
        <f>COUNTIFS('Clinical Trials HCO'!$A:$A, K49, 'Clinical Trials HCO'!$D:$D, "&lt;&gt;")</f>
        <v>0</v>
      </c>
      <c r="AF49" t="s">
        <v>414</v>
      </c>
    </row>
    <row r="50" spans="2:33" hidden="1">
      <c r="B50">
        <v>615</v>
      </c>
      <c r="D50" t="s">
        <v>1329</v>
      </c>
      <c r="F50">
        <f>COUNTIF(HCPs!W:W,HCO_Data!K50)</f>
        <v>2</v>
      </c>
      <c r="G50" t="str">
        <f>IF(COUNTIF('Testing Referrals'!B:B,HCO_Data!K50)&gt;0,"Yes","")</f>
        <v>Yes</v>
      </c>
      <c r="H50">
        <f>COUNTIF('HCO referrals'!B:B,HCO_Data!K50)+COUNTIF('HCO referrals'!C:C,HCO_Data!K50)</f>
        <v>1</v>
      </c>
      <c r="I50">
        <v>540001286</v>
      </c>
      <c r="K50" t="s">
        <v>3761</v>
      </c>
      <c r="L50" t="s">
        <v>4590</v>
      </c>
      <c r="M50" t="s">
        <v>2313</v>
      </c>
      <c r="N50">
        <v>54519</v>
      </c>
      <c r="O50" t="s">
        <v>850</v>
      </c>
      <c r="Q50" t="s">
        <v>4283</v>
      </c>
      <c r="R50">
        <v>20</v>
      </c>
      <c r="S50">
        <v>152</v>
      </c>
      <c r="T50">
        <v>152</v>
      </c>
      <c r="V50" t="s">
        <v>414</v>
      </c>
      <c r="W50">
        <f>COUNTIFS('Clinical Trials HCO'!$A:$A, K50, 'Clinical Trials HCO'!$D:$D, "&lt;&gt;")</f>
        <v>0</v>
      </c>
      <c r="AD50" s="12" t="s">
        <v>414</v>
      </c>
      <c r="AE50" s="12" t="s">
        <v>3928</v>
      </c>
      <c r="AF50" t="s">
        <v>414</v>
      </c>
    </row>
    <row r="51" spans="2:33" hidden="1">
      <c r="B51">
        <v>195</v>
      </c>
      <c r="F51">
        <f>COUNTIF(HCPs!W:W,HCO_Data!K51)</f>
        <v>2</v>
      </c>
      <c r="G51" t="str">
        <f>IF(COUNTIF('Testing Referrals'!B:B,HCO_Data!K51)&gt;0,"Yes","")</f>
        <v/>
      </c>
      <c r="H51">
        <f>COUNTIF('HCO referrals'!B:B,HCO_Data!K51)+COUNTIF('HCO referrals'!C:C,HCO_Data!K51)</f>
        <v>0</v>
      </c>
      <c r="I51">
        <v>840001861</v>
      </c>
      <c r="J51" s="72" t="s">
        <v>11214</v>
      </c>
      <c r="K51" t="s">
        <v>3833</v>
      </c>
      <c r="L51" s="74" t="s">
        <v>1388</v>
      </c>
      <c r="M51" t="s">
        <v>1814</v>
      </c>
      <c r="N51">
        <v>84902</v>
      </c>
      <c r="O51" t="s">
        <v>1815</v>
      </c>
      <c r="Q51" t="s">
        <v>4283</v>
      </c>
      <c r="R51">
        <v>78</v>
      </c>
      <c r="S51">
        <v>152</v>
      </c>
      <c r="T51">
        <v>152</v>
      </c>
      <c r="V51" t="s">
        <v>414</v>
      </c>
      <c r="W51">
        <f>COUNTIFS('Clinical Trials HCO'!$A:$A, K51, 'Clinical Trials HCO'!$D:$D, "&lt;&gt;")</f>
        <v>0</v>
      </c>
      <c r="AF51" t="s">
        <v>414</v>
      </c>
      <c r="AG51" t="s">
        <v>414</v>
      </c>
    </row>
    <row r="52" spans="2:33" hidden="1">
      <c r="B52">
        <v>388</v>
      </c>
      <c r="F52">
        <f>COUNTIF(HCPs!W:W,HCO_Data!K52)</f>
        <v>1</v>
      </c>
      <c r="G52" t="str">
        <f>IF(COUNTIF('Testing Referrals'!B:B,HCO_Data!K52)&gt;0,"Yes","")</f>
        <v/>
      </c>
      <c r="H52">
        <f>COUNTIF('HCO referrals'!B:B,HCO_Data!K52)+COUNTIF('HCO referrals'!C:C,HCO_Data!K52)</f>
        <v>0</v>
      </c>
      <c r="I52">
        <v>560000127</v>
      </c>
      <c r="K52" t="s">
        <v>3810</v>
      </c>
      <c r="L52" t="s">
        <v>7990</v>
      </c>
      <c r="M52" t="s">
        <v>2708</v>
      </c>
      <c r="N52">
        <v>56017</v>
      </c>
      <c r="O52" t="s">
        <v>1945</v>
      </c>
      <c r="Q52" t="s">
        <v>4283</v>
      </c>
      <c r="R52">
        <v>62</v>
      </c>
      <c r="S52">
        <v>150</v>
      </c>
      <c r="T52">
        <v>150</v>
      </c>
      <c r="V52" t="s">
        <v>414</v>
      </c>
      <c r="W52">
        <f>COUNTIFS('Clinical Trials HCO'!$A:$A, K52, 'Clinical Trials HCO'!$D:$D, "&lt;&gt;")</f>
        <v>0</v>
      </c>
      <c r="AF52" t="s">
        <v>414</v>
      </c>
      <c r="AG52" t="s">
        <v>414</v>
      </c>
    </row>
    <row r="53" spans="2:33" hidden="1">
      <c r="B53">
        <v>480</v>
      </c>
      <c r="F53">
        <f>COUNTIF(HCPs!W:W,HCO_Data!K53)</f>
        <v>1</v>
      </c>
      <c r="G53" t="str">
        <f>IF(COUNTIF('Testing Referrals'!B:B,HCO_Data!K53)&gt;0,"Yes","")</f>
        <v/>
      </c>
      <c r="H53">
        <f>COUNTIF('HCO referrals'!B:B,HCO_Data!K53)+COUNTIF('HCO referrals'!C:C,HCO_Data!K53)</f>
        <v>0</v>
      </c>
      <c r="I53">
        <v>680004546</v>
      </c>
      <c r="K53" t="s">
        <v>3834</v>
      </c>
      <c r="L53" t="s">
        <v>1570</v>
      </c>
      <c r="M53" t="s">
        <v>2162</v>
      </c>
      <c r="N53">
        <v>68051</v>
      </c>
      <c r="O53" t="s">
        <v>2163</v>
      </c>
      <c r="Q53" t="s">
        <v>4283</v>
      </c>
      <c r="R53">
        <v>33</v>
      </c>
      <c r="S53">
        <v>149</v>
      </c>
      <c r="T53">
        <v>149</v>
      </c>
      <c r="V53" t="s">
        <v>414</v>
      </c>
      <c r="W53">
        <f>COUNTIFS('Clinical Trials HCO'!$A:$A, K53, 'Clinical Trials HCO'!$D:$D, "&lt;&gt;")</f>
        <v>0</v>
      </c>
      <c r="AF53" t="s">
        <v>414</v>
      </c>
      <c r="AG53" t="s">
        <v>414</v>
      </c>
    </row>
    <row r="54" spans="2:33" hidden="1">
      <c r="B54">
        <v>252</v>
      </c>
      <c r="C54" t="s">
        <v>8046</v>
      </c>
      <c r="E54" t="s">
        <v>414</v>
      </c>
      <c r="F54">
        <f>COUNTIF(HCPs!W:W,HCO_Data!K54)</f>
        <v>7</v>
      </c>
      <c r="G54" t="str">
        <f>IF(COUNTIF('Testing Referrals'!B:B,HCO_Data!K54)&gt;0,"Yes","")</f>
        <v/>
      </c>
      <c r="H54">
        <f>COUNTIF('HCO referrals'!B:B,HCO_Data!K54)+COUNTIF('HCO referrals'!C:C,HCO_Data!K54)</f>
        <v>1</v>
      </c>
      <c r="I54">
        <v>750000523</v>
      </c>
      <c r="K54" t="s">
        <v>3766</v>
      </c>
      <c r="L54" s="74" t="s">
        <v>4736</v>
      </c>
      <c r="M54" t="s">
        <v>2125</v>
      </c>
      <c r="N54">
        <v>75674</v>
      </c>
      <c r="O54" t="s">
        <v>700</v>
      </c>
      <c r="Q54" t="s">
        <v>4283</v>
      </c>
      <c r="R54">
        <v>66</v>
      </c>
      <c r="S54">
        <v>148</v>
      </c>
      <c r="T54">
        <v>148</v>
      </c>
      <c r="V54" t="s">
        <v>414</v>
      </c>
      <c r="W54">
        <f>COUNTIFS('Clinical Trials HCO'!$A:$A, K54, 'Clinical Trials HCO'!$D:$D, "&lt;&gt;")</f>
        <v>0</v>
      </c>
      <c r="AF54" t="s">
        <v>414</v>
      </c>
    </row>
    <row r="55" spans="2:33">
      <c r="F55">
        <f>COUNTIF(HCPs!W:W,HCO_Data!K55)</f>
        <v>0</v>
      </c>
      <c r="G55" t="str">
        <f>IF(COUNTIF('Testing Referrals'!B:B,HCO_Data!K55)&gt;0,"Yes","")</f>
        <v/>
      </c>
      <c r="H55">
        <f>COUNTIF('HCO referrals'!B:B,HCO_Data!K55)+COUNTIF('HCO referrals'!C:C,HCO_Data!K55)</f>
        <v>0</v>
      </c>
      <c r="I55">
        <v>750150187</v>
      </c>
      <c r="K55" t="s">
        <v>3835</v>
      </c>
      <c r="L55" s="90" t="s">
        <v>8698</v>
      </c>
      <c r="M55" t="s">
        <v>8699</v>
      </c>
      <c r="O55" t="s">
        <v>700</v>
      </c>
      <c r="P55" t="s">
        <v>700</v>
      </c>
      <c r="Q55" t="s">
        <v>4283</v>
      </c>
      <c r="R55">
        <v>277</v>
      </c>
      <c r="S55">
        <v>148</v>
      </c>
      <c r="T55">
        <v>148</v>
      </c>
      <c r="V55" t="s">
        <v>414</v>
      </c>
      <c r="W55">
        <f>COUNTIFS('Clinical Trials HCO'!$A:$A, K55, 'Clinical Trials HCO'!$D:$D, "&lt;&gt;")</f>
        <v>0</v>
      </c>
    </row>
    <row r="56" spans="2:33" hidden="1">
      <c r="B56">
        <v>74</v>
      </c>
      <c r="C56" t="s">
        <v>8213</v>
      </c>
      <c r="F56">
        <f>COUNTIF(HCPs!W:W,HCO_Data!K56)</f>
        <v>8</v>
      </c>
      <c r="G56" t="str">
        <f>IF(COUNTIF('Testing Referrals'!B:B,HCO_Data!K56)&gt;0,"Yes","")</f>
        <v>Yes</v>
      </c>
      <c r="H56">
        <f>COUNTIF('HCO referrals'!B:B,HCO_Data!K56)+COUNTIF('HCO referrals'!C:C,HCO_Data!K56)</f>
        <v>0</v>
      </c>
      <c r="I56">
        <v>130783293</v>
      </c>
      <c r="K56" t="s">
        <v>3755</v>
      </c>
      <c r="L56" s="74" t="s">
        <v>4533</v>
      </c>
      <c r="M56" t="s">
        <v>1696</v>
      </c>
      <c r="N56">
        <v>13005</v>
      </c>
      <c r="O56" t="s">
        <v>822</v>
      </c>
      <c r="Q56" t="s">
        <v>4283</v>
      </c>
      <c r="R56">
        <v>50</v>
      </c>
      <c r="S56">
        <v>146</v>
      </c>
      <c r="T56">
        <v>146</v>
      </c>
      <c r="V56" t="s">
        <v>414</v>
      </c>
      <c r="W56">
        <f>COUNTIFS('Clinical Trials HCO'!$A:$A, K56, 'Clinical Trials HCO'!$D:$D, "&lt;&gt;")</f>
        <v>43</v>
      </c>
      <c r="AC56" t="s">
        <v>414</v>
      </c>
      <c r="AG56" t="s">
        <v>414</v>
      </c>
    </row>
    <row r="57" spans="2:33" hidden="1">
      <c r="B57">
        <v>403</v>
      </c>
      <c r="C57" t="s">
        <v>8539</v>
      </c>
      <c r="F57">
        <f>COUNTIF(HCPs!W:W,HCO_Data!K57)</f>
        <v>4</v>
      </c>
      <c r="G57" t="str">
        <f>IF(COUNTIF('Testing Referrals'!B:B,HCO_Data!K57)&gt;0,"Yes","")</f>
        <v>Yes</v>
      </c>
      <c r="H57">
        <f>COUNTIF('HCO referrals'!B:B,HCO_Data!K57)+COUNTIF('HCO referrals'!C:C,HCO_Data!K57)</f>
        <v>2</v>
      </c>
      <c r="I57">
        <v>290004324</v>
      </c>
      <c r="K57" t="s">
        <v>3774</v>
      </c>
      <c r="L57" s="74" t="s">
        <v>4831</v>
      </c>
      <c r="M57" t="s">
        <v>2718</v>
      </c>
      <c r="N57">
        <v>29609</v>
      </c>
      <c r="O57" t="s">
        <v>862</v>
      </c>
      <c r="Q57" t="s">
        <v>4283</v>
      </c>
      <c r="R57">
        <v>32</v>
      </c>
      <c r="S57">
        <v>146</v>
      </c>
      <c r="T57">
        <v>146</v>
      </c>
      <c r="V57" t="s">
        <v>414</v>
      </c>
      <c r="W57">
        <f>COUNTIFS('Clinical Trials HCO'!$A:$A, K57, 'Clinical Trials HCO'!$D:$D, "&lt;&gt;")</f>
        <v>3</v>
      </c>
      <c r="AF57" t="s">
        <v>414</v>
      </c>
      <c r="AG57" t="s">
        <v>414</v>
      </c>
    </row>
    <row r="58" spans="2:33" hidden="1">
      <c r="B58">
        <v>217</v>
      </c>
      <c r="F58">
        <f>COUNTIF(HCPs!W:W,HCO_Data!K58)</f>
        <v>2</v>
      </c>
      <c r="G58" t="str">
        <f>IF(COUNTIF('Testing Referrals'!B:B,HCO_Data!K58)&gt;0,"Yes","")</f>
        <v>Yes</v>
      </c>
      <c r="H58">
        <f>COUNTIF('HCO referrals'!B:B,HCO_Data!K58)+COUNTIF('HCO referrals'!C:C,HCO_Data!K58)</f>
        <v>0</v>
      </c>
      <c r="I58">
        <v>440000271</v>
      </c>
      <c r="K58" t="s">
        <v>4564</v>
      </c>
      <c r="L58" t="s">
        <v>4885</v>
      </c>
      <c r="M58" t="s">
        <v>2002</v>
      </c>
      <c r="N58">
        <v>44093</v>
      </c>
      <c r="O58" t="s">
        <v>2003</v>
      </c>
      <c r="Q58" t="s">
        <v>4283</v>
      </c>
      <c r="R58">
        <v>83</v>
      </c>
      <c r="S58">
        <v>146</v>
      </c>
      <c r="T58">
        <v>146</v>
      </c>
      <c r="V58" t="s">
        <v>414</v>
      </c>
      <c r="W58">
        <f>COUNTIFS('Clinical Trials HCO'!$A:$A, K58, 'Clinical Trials HCO'!$D:$D, "&lt;&gt;")</f>
        <v>0</v>
      </c>
      <c r="AG58" t="s">
        <v>414</v>
      </c>
    </row>
    <row r="59" spans="2:33" hidden="1">
      <c r="F59">
        <f>COUNTIF(HCPs!W:W,HCO_Data!K59)</f>
        <v>3</v>
      </c>
      <c r="G59" t="str">
        <f>IF(COUNTIF('Testing Referrals'!B:B,HCO_Data!K59)&gt;0,"Yes","")</f>
        <v/>
      </c>
      <c r="H59">
        <f>COUNTIF('HCO referrals'!B:B,HCO_Data!K59)+COUNTIF('HCO referrals'!C:C,HCO_Data!K59)</f>
        <v>2</v>
      </c>
      <c r="I59">
        <v>570026682</v>
      </c>
      <c r="J59" s="72" t="s">
        <v>11463</v>
      </c>
      <c r="K59" t="s">
        <v>3809</v>
      </c>
      <c r="L59" t="s">
        <v>7983</v>
      </c>
      <c r="M59" t="s">
        <v>7984</v>
      </c>
      <c r="O59" t="s">
        <v>7985</v>
      </c>
      <c r="Q59" t="s">
        <v>4283</v>
      </c>
      <c r="R59">
        <v>42</v>
      </c>
      <c r="S59">
        <v>146</v>
      </c>
      <c r="T59">
        <v>146</v>
      </c>
      <c r="V59" t="s">
        <v>414</v>
      </c>
      <c r="W59">
        <f>COUNTIFS('Clinical Trials HCO'!$A:$A, K59, 'Clinical Trials HCO'!$D:$D, "&lt;&gt;")</f>
        <v>0</v>
      </c>
    </row>
    <row r="60" spans="2:33" hidden="1">
      <c r="B60">
        <v>198</v>
      </c>
      <c r="F60">
        <f>COUNTIF(HCPs!W:W,HCO_Data!K60)</f>
        <v>1</v>
      </c>
      <c r="G60" t="str">
        <f>IF(COUNTIF('Testing Referrals'!B:B,HCO_Data!K60)&gt;0,"Yes","")</f>
        <v/>
      </c>
      <c r="H60">
        <f>COUNTIF('HCO referrals'!B:B,HCO_Data!K60)+COUNTIF('HCO referrals'!C:C,HCO_Data!K60)</f>
        <v>0</v>
      </c>
      <c r="I60">
        <v>850000142</v>
      </c>
      <c r="K60" t="s">
        <v>3794</v>
      </c>
      <c r="L60" t="s">
        <v>4976</v>
      </c>
      <c r="M60" t="s">
        <v>1948</v>
      </c>
      <c r="N60">
        <v>85925</v>
      </c>
      <c r="O60" t="s">
        <v>1949</v>
      </c>
      <c r="Q60" t="s">
        <v>4283</v>
      </c>
      <c r="R60">
        <v>56</v>
      </c>
      <c r="S60">
        <v>145</v>
      </c>
      <c r="T60">
        <v>145</v>
      </c>
      <c r="V60" t="s">
        <v>414</v>
      </c>
      <c r="W60">
        <f>COUNTIFS('Clinical Trials HCO'!$A:$A, K60, 'Clinical Trials HCO'!$D:$D, "&lt;&gt;")</f>
        <v>0</v>
      </c>
      <c r="AG60" t="s">
        <v>414</v>
      </c>
    </row>
    <row r="61" spans="2:33" hidden="1">
      <c r="B61">
        <v>491</v>
      </c>
      <c r="F61">
        <f>COUNTIF(HCPs!W:W,HCO_Data!K61)</f>
        <v>1</v>
      </c>
      <c r="G61" t="str">
        <f>IF(COUNTIF('Testing Referrals'!B:B,HCO_Data!K61)&gt;0,"Yes","")</f>
        <v/>
      </c>
      <c r="H61">
        <f>COUNTIF('HCO referrals'!B:B,HCO_Data!K61)+COUNTIF('HCO referrals'!C:C,HCO_Data!K61)</f>
        <v>5</v>
      </c>
      <c r="I61">
        <v>590780284</v>
      </c>
      <c r="K61" t="s">
        <v>3836</v>
      </c>
      <c r="L61" s="74" t="s">
        <v>2828</v>
      </c>
      <c r="M61" t="s">
        <v>2829</v>
      </c>
      <c r="N61">
        <v>59160</v>
      </c>
      <c r="O61" t="s">
        <v>871</v>
      </c>
      <c r="Q61" t="s">
        <v>4283</v>
      </c>
      <c r="R61">
        <v>330</v>
      </c>
      <c r="S61">
        <v>145</v>
      </c>
      <c r="T61">
        <v>145</v>
      </c>
      <c r="V61" t="s">
        <v>414</v>
      </c>
      <c r="W61">
        <f>COUNTIFS('Clinical Trials HCO'!$A:$A, K61, 'Clinical Trials HCO'!$D:$D, "&lt;&gt;")</f>
        <v>0</v>
      </c>
      <c r="AG61" t="s">
        <v>414</v>
      </c>
    </row>
    <row r="62" spans="2:33" hidden="1">
      <c r="B62">
        <v>197</v>
      </c>
      <c r="C62" t="s">
        <v>4804</v>
      </c>
      <c r="F62">
        <f>COUNTIF(HCPs!W:W,HCO_Data!K62)</f>
        <v>3</v>
      </c>
      <c r="G62" t="str">
        <f>IF(COUNTIF('Testing Referrals'!B:B,HCO_Data!K62)&gt;0,"Yes","")</f>
        <v>Yes</v>
      </c>
      <c r="H62">
        <f>COUNTIF('HCO referrals'!B:B,HCO_Data!K62)+COUNTIF('HCO referrals'!C:C,HCO_Data!K62)</f>
        <v>7</v>
      </c>
      <c r="I62">
        <v>670783273</v>
      </c>
      <c r="K62" t="s">
        <v>3735</v>
      </c>
      <c r="L62" t="s">
        <v>4288</v>
      </c>
      <c r="M62" t="s">
        <v>2154</v>
      </c>
      <c r="N62">
        <v>67200</v>
      </c>
      <c r="O62" t="s">
        <v>2056</v>
      </c>
      <c r="Q62" t="s">
        <v>4283</v>
      </c>
      <c r="R62">
        <v>349</v>
      </c>
      <c r="S62">
        <v>144</v>
      </c>
      <c r="T62">
        <v>144</v>
      </c>
      <c r="V62" t="s">
        <v>414</v>
      </c>
      <c r="W62">
        <f>COUNTIFS('Clinical Trials HCO'!$A:$A, K62, 'Clinical Trials HCO'!$D:$D, "&lt;&gt;")</f>
        <v>12</v>
      </c>
      <c r="AG62" t="s">
        <v>414</v>
      </c>
    </row>
    <row r="63" spans="2:33" hidden="1">
      <c r="B63">
        <v>208</v>
      </c>
      <c r="C63" t="s">
        <v>8191</v>
      </c>
      <c r="F63">
        <f>COUNTIF(HCPs!W:W,HCO_Data!K63)</f>
        <v>3</v>
      </c>
      <c r="G63" t="str">
        <f>IF(COUNTIF('Testing Referrals'!B:B,HCO_Data!K63)&gt;0,"Yes","")</f>
        <v/>
      </c>
      <c r="H63">
        <f>COUNTIF('HCO referrals'!B:B,HCO_Data!K63)+COUNTIF('HCO referrals'!C:C,HCO_Data!K63)</f>
        <v>0</v>
      </c>
      <c r="I63">
        <v>350000121</v>
      </c>
      <c r="K63" t="s">
        <v>8190</v>
      </c>
      <c r="L63" t="s">
        <v>8189</v>
      </c>
      <c r="M63" t="s">
        <v>1983</v>
      </c>
      <c r="N63">
        <v>35768</v>
      </c>
      <c r="O63" t="s">
        <v>1984</v>
      </c>
      <c r="Q63" t="s">
        <v>4283</v>
      </c>
      <c r="R63">
        <v>82</v>
      </c>
      <c r="S63">
        <v>139</v>
      </c>
      <c r="T63">
        <v>139</v>
      </c>
      <c r="V63" t="s">
        <v>414</v>
      </c>
      <c r="W63">
        <f>COUNTIFS('Clinical Trials HCO'!$A:$A, K63, 'Clinical Trials HCO'!$D:$D, "&lt;&gt;")</f>
        <v>0</v>
      </c>
      <c r="AG63" t="s">
        <v>414</v>
      </c>
    </row>
    <row r="64" spans="2:33" hidden="1">
      <c r="B64">
        <v>497</v>
      </c>
      <c r="C64" t="s">
        <v>8245</v>
      </c>
      <c r="F64">
        <f>COUNTIF(HCPs!W:W,HCO_Data!K64)</f>
        <v>5</v>
      </c>
      <c r="G64" t="str">
        <f>IF(COUNTIF('Testing Referrals'!B:B,HCO_Data!K64)&gt;0,"Yes","")</f>
        <v/>
      </c>
      <c r="H64">
        <f>COUNTIF('HCO referrals'!B:B,HCO_Data!K64)+COUNTIF('HCO referrals'!C:C,HCO_Data!K64)</f>
        <v>0</v>
      </c>
      <c r="I64">
        <v>130785652</v>
      </c>
      <c r="K64" t="s">
        <v>3814</v>
      </c>
      <c r="L64" s="74" t="s">
        <v>1632</v>
      </c>
      <c r="M64" t="s">
        <v>2261</v>
      </c>
      <c r="N64">
        <v>13008</v>
      </c>
      <c r="O64" t="s">
        <v>822</v>
      </c>
      <c r="Q64" t="s">
        <v>4283</v>
      </c>
      <c r="R64">
        <v>43</v>
      </c>
      <c r="S64">
        <v>138</v>
      </c>
      <c r="T64">
        <v>138</v>
      </c>
      <c r="V64" t="s">
        <v>414</v>
      </c>
      <c r="W64">
        <f>COUNTIFS('Clinical Trials HCO'!$A:$A, K64, 'Clinical Trials HCO'!$D:$D, "&lt;&gt;")</f>
        <v>6</v>
      </c>
      <c r="AF64" t="s">
        <v>414</v>
      </c>
      <c r="AG64" t="s">
        <v>414</v>
      </c>
    </row>
    <row r="65" spans="2:33" hidden="1">
      <c r="B65">
        <v>674</v>
      </c>
      <c r="D65" t="s">
        <v>1329</v>
      </c>
      <c r="F65">
        <f>COUNTIF(HCPs!W:W,HCO_Data!K65)</f>
        <v>7</v>
      </c>
      <c r="G65" t="str">
        <f>IF(COUNTIF('Testing Referrals'!B:B,HCO_Data!K65)&gt;0,"Yes","")</f>
        <v/>
      </c>
      <c r="H65">
        <f>COUNTIF('HCO referrals'!B:B,HCO_Data!K65)+COUNTIF('HCO referrals'!C:C,HCO_Data!K65)</f>
        <v>0</v>
      </c>
      <c r="I65">
        <v>440001113</v>
      </c>
      <c r="K65" t="s">
        <v>4566</v>
      </c>
      <c r="L65" s="74" t="s">
        <v>4905</v>
      </c>
      <c r="M65" t="s">
        <v>2004</v>
      </c>
      <c r="N65">
        <v>44805</v>
      </c>
      <c r="O65" t="s">
        <v>2005</v>
      </c>
      <c r="Q65" t="s">
        <v>4283</v>
      </c>
      <c r="R65">
        <v>53</v>
      </c>
      <c r="S65">
        <v>137</v>
      </c>
      <c r="T65">
        <v>137</v>
      </c>
      <c r="V65" t="s">
        <v>414</v>
      </c>
      <c r="W65">
        <f>COUNTIFS('Clinical Trials HCO'!$A:$A, K65, 'Clinical Trials HCO'!$D:$D, "&lt;&gt;")</f>
        <v>0</v>
      </c>
    </row>
    <row r="66" spans="2:33" hidden="1">
      <c r="B66">
        <v>214</v>
      </c>
      <c r="C66" t="s">
        <v>8323</v>
      </c>
      <c r="F66">
        <f>COUNTIF(HCPs!W:W,HCO_Data!K66)</f>
        <v>4</v>
      </c>
      <c r="G66" t="str">
        <f>IF(COUNTIF('Testing Referrals'!B:B,HCO_Data!K66)&gt;0,"Yes","")</f>
        <v>Yes</v>
      </c>
      <c r="H66">
        <f>COUNTIF('HCO referrals'!B:B,HCO_Data!K66)+COUNTIF('HCO referrals'!C:C,HCO_Data!K66)</f>
        <v>4</v>
      </c>
      <c r="I66">
        <v>350000741</v>
      </c>
      <c r="K66" t="s">
        <v>4556</v>
      </c>
      <c r="L66" s="74" t="s">
        <v>1248</v>
      </c>
      <c r="M66" t="s">
        <v>1997</v>
      </c>
      <c r="N66">
        <v>35000</v>
      </c>
      <c r="O66" t="s">
        <v>1702</v>
      </c>
      <c r="Q66" t="s">
        <v>4283</v>
      </c>
      <c r="R66">
        <v>374</v>
      </c>
      <c r="S66">
        <v>135</v>
      </c>
      <c r="T66">
        <v>135</v>
      </c>
      <c r="V66" t="s">
        <v>414</v>
      </c>
      <c r="W66">
        <f>COUNTIFS('Clinical Trials HCO'!$A:$A, K66, 'Clinical Trials HCO'!$D:$D, "&lt;&gt;")</f>
        <v>9</v>
      </c>
      <c r="AG66" t="s">
        <v>414</v>
      </c>
    </row>
    <row r="67" spans="2:33" hidden="1">
      <c r="B67">
        <v>566</v>
      </c>
      <c r="F67">
        <f>COUNTIF(HCPs!W:W,HCO_Data!K67)</f>
        <v>2</v>
      </c>
      <c r="G67" t="str">
        <f>IF(COUNTIF('Testing Referrals'!B:B,HCO_Data!K67)&gt;0,"Yes","")</f>
        <v/>
      </c>
      <c r="H67">
        <f>COUNTIF('HCO referrals'!B:B,HCO_Data!K67)+COUNTIF('HCO referrals'!C:C,HCO_Data!K67)</f>
        <v>2</v>
      </c>
      <c r="I67">
        <v>310026927</v>
      </c>
      <c r="J67" s="72" t="s">
        <v>11247</v>
      </c>
      <c r="K67" t="s">
        <v>3837</v>
      </c>
      <c r="L67" s="74" t="s">
        <v>1490</v>
      </c>
      <c r="M67" t="s">
        <v>2015</v>
      </c>
      <c r="N67">
        <v>31130</v>
      </c>
      <c r="O67" t="s">
        <v>2016</v>
      </c>
      <c r="Q67" t="s">
        <v>4283</v>
      </c>
      <c r="R67">
        <v>98</v>
      </c>
      <c r="S67">
        <v>135</v>
      </c>
      <c r="T67">
        <v>135</v>
      </c>
      <c r="V67" t="s">
        <v>414</v>
      </c>
      <c r="W67">
        <f>COUNTIFS('Clinical Trials HCO'!$A:$A, K67, 'Clinical Trials HCO'!$D:$D, "&lt;&gt;")</f>
        <v>0</v>
      </c>
      <c r="AF67" t="s">
        <v>414</v>
      </c>
      <c r="AG67" t="s">
        <v>414</v>
      </c>
    </row>
    <row r="68" spans="2:33" hidden="1">
      <c r="B68">
        <v>568</v>
      </c>
      <c r="C68" t="s">
        <v>8097</v>
      </c>
      <c r="D68" t="s">
        <v>1329</v>
      </c>
      <c r="F68">
        <f>COUNTIF(HCPs!W:W,HCO_Data!K68)</f>
        <v>6</v>
      </c>
      <c r="G68" t="str">
        <f>IF(COUNTIF('Testing Referrals'!B:B,HCO_Data!K68)&gt;0,"Yes","")</f>
        <v>Yes</v>
      </c>
      <c r="H68">
        <f>COUNTIF('HCO referrals'!B:B,HCO_Data!K68)+COUNTIF('HCO referrals'!C:C,HCO_Data!K68)</f>
        <v>2</v>
      </c>
      <c r="I68">
        <v>330000662</v>
      </c>
      <c r="K68" t="s">
        <v>3783</v>
      </c>
      <c r="L68" s="74" t="s">
        <v>301</v>
      </c>
      <c r="M68" t="s">
        <v>2311</v>
      </c>
      <c r="N68">
        <v>33076</v>
      </c>
      <c r="O68" t="s">
        <v>942</v>
      </c>
      <c r="Q68" t="s">
        <v>4283</v>
      </c>
      <c r="R68">
        <v>25</v>
      </c>
      <c r="S68">
        <v>134</v>
      </c>
      <c r="T68">
        <v>134</v>
      </c>
      <c r="V68" t="s">
        <v>414</v>
      </c>
      <c r="W68">
        <f>COUNTIFS('Clinical Trials HCO'!$A:$A, K68, 'Clinical Trials HCO'!$D:$D, "&lt;&gt;")</f>
        <v>38</v>
      </c>
      <c r="AE68" s="12" t="s">
        <v>3928</v>
      </c>
    </row>
    <row r="69" spans="2:33" hidden="1">
      <c r="B69">
        <v>228</v>
      </c>
      <c r="C69" t="s">
        <v>8572</v>
      </c>
      <c r="F69">
        <f>COUNTIF(HCPs!W:W,HCO_Data!K69)</f>
        <v>3</v>
      </c>
      <c r="G69" t="str">
        <f>IF(COUNTIF('Testing Referrals'!B:B,HCO_Data!K69)&gt;0,"Yes","")</f>
        <v/>
      </c>
      <c r="H69">
        <f>COUNTIF('HCO referrals'!B:B,HCO_Data!K69)+COUNTIF('HCO referrals'!C:C,HCO_Data!K69)</f>
        <v>2</v>
      </c>
      <c r="I69">
        <v>660780784</v>
      </c>
      <c r="J69" s="72" t="s">
        <v>8565</v>
      </c>
      <c r="K69" t="s">
        <v>3826</v>
      </c>
      <c r="L69" t="s">
        <v>8566</v>
      </c>
      <c r="M69" t="s">
        <v>2029</v>
      </c>
      <c r="N69">
        <v>66012</v>
      </c>
      <c r="O69" t="s">
        <v>1907</v>
      </c>
      <c r="Q69" t="s">
        <v>4283</v>
      </c>
      <c r="R69">
        <v>81</v>
      </c>
      <c r="S69">
        <v>134</v>
      </c>
      <c r="T69">
        <v>134</v>
      </c>
      <c r="V69" t="s">
        <v>414</v>
      </c>
      <c r="W69">
        <f>COUNTIFS('Clinical Trials HCO'!$A:$A, K69, 'Clinical Trials HCO'!$D:$D, "&lt;&gt;")</f>
        <v>0</v>
      </c>
      <c r="AG69" t="s">
        <v>414</v>
      </c>
    </row>
    <row r="70" spans="2:33" hidden="1">
      <c r="B70">
        <v>75</v>
      </c>
      <c r="C70" t="s">
        <v>8214</v>
      </c>
      <c r="F70">
        <f>COUNTIF(HCPs!W:W,HCO_Data!K70)</f>
        <v>5</v>
      </c>
      <c r="G70" t="str">
        <f>IF(COUNTIF('Testing Referrals'!B:B,HCO_Data!K70)&gt;0,"Yes","")</f>
        <v>Yes</v>
      </c>
      <c r="H70">
        <f>COUNTIF('HCO referrals'!B:B,HCO_Data!K70)+COUNTIF('HCO referrals'!C:C,HCO_Data!K70)</f>
        <v>0</v>
      </c>
      <c r="I70">
        <v>130780521</v>
      </c>
      <c r="J70" s="72" t="s">
        <v>10139</v>
      </c>
      <c r="K70" t="s">
        <v>4503</v>
      </c>
      <c r="L70" s="97" t="s">
        <v>3207</v>
      </c>
      <c r="M70" t="s">
        <v>1697</v>
      </c>
      <c r="N70">
        <v>13015</v>
      </c>
      <c r="O70" t="s">
        <v>822</v>
      </c>
      <c r="Q70" t="s">
        <v>4283</v>
      </c>
      <c r="R70">
        <v>96</v>
      </c>
      <c r="S70">
        <v>133</v>
      </c>
      <c r="T70">
        <v>133</v>
      </c>
      <c r="V70" t="s">
        <v>414</v>
      </c>
      <c r="W70">
        <f>COUNTIFS('Clinical Trials HCO'!$A:$A, K70, 'Clinical Trials HCO'!$D:$D, "&lt;&gt;")</f>
        <v>8</v>
      </c>
      <c r="AC70" t="s">
        <v>414</v>
      </c>
      <c r="AF70" t="s">
        <v>414</v>
      </c>
      <c r="AG70" t="s">
        <v>414</v>
      </c>
    </row>
    <row r="71" spans="2:33" hidden="1">
      <c r="B71">
        <v>265</v>
      </c>
      <c r="F71">
        <f>COUNTIF(HCPs!W:W,HCO_Data!K71)</f>
        <v>2</v>
      </c>
      <c r="G71" t="str">
        <f>IF(COUNTIF('Testing Referrals'!B:B,HCO_Data!K71)&gt;0,"Yes","")</f>
        <v/>
      </c>
      <c r="H71">
        <f>COUNTIF('HCO referrals'!B:B,HCO_Data!K71)+COUNTIF('HCO referrals'!C:C,HCO_Data!K71)</f>
        <v>0</v>
      </c>
      <c r="I71">
        <v>640000600</v>
      </c>
      <c r="K71" t="s">
        <v>3752</v>
      </c>
      <c r="L71" t="s">
        <v>4520</v>
      </c>
      <c r="M71" t="s">
        <v>1725</v>
      </c>
      <c r="N71">
        <v>64046</v>
      </c>
      <c r="O71" t="s">
        <v>1006</v>
      </c>
      <c r="Q71" t="s">
        <v>4283</v>
      </c>
      <c r="R71">
        <v>61</v>
      </c>
      <c r="S71">
        <v>133</v>
      </c>
      <c r="T71">
        <v>133</v>
      </c>
      <c r="V71" t="s">
        <v>414</v>
      </c>
      <c r="W71">
        <f>COUNTIFS('Clinical Trials HCO'!$A:$A, K71, 'Clinical Trials HCO'!$D:$D, "&lt;&gt;")</f>
        <v>4</v>
      </c>
      <c r="AC71" t="s">
        <v>414</v>
      </c>
      <c r="AF71" t="s">
        <v>414</v>
      </c>
      <c r="AG71" t="s">
        <v>414</v>
      </c>
    </row>
    <row r="72" spans="2:33" hidden="1">
      <c r="B72">
        <v>50</v>
      </c>
      <c r="C72" t="s">
        <v>8339</v>
      </c>
      <c r="D72" t="s">
        <v>1329</v>
      </c>
      <c r="F72">
        <f>COUNTIF(HCPs!W:W,HCO_Data!K72)</f>
        <v>2</v>
      </c>
      <c r="G72" t="str">
        <f>IF(COUNTIF('Testing Referrals'!B:B,HCO_Data!K72)&gt;0,"Yes","")</f>
        <v>Yes</v>
      </c>
      <c r="H72">
        <f>COUNTIF('HCO referrals'!B:B,HCO_Data!K72)+COUNTIF('HCO referrals'!C:C,HCO_Data!K72)</f>
        <v>6</v>
      </c>
      <c r="I72">
        <v>350002812</v>
      </c>
      <c r="K72" t="s">
        <v>3792</v>
      </c>
      <c r="L72" s="12" t="s">
        <v>1288</v>
      </c>
      <c r="M72" s="12" t="s">
        <v>2948</v>
      </c>
      <c r="N72">
        <v>35000</v>
      </c>
      <c r="O72" t="s">
        <v>2965</v>
      </c>
      <c r="P72" s="12" t="s">
        <v>1297</v>
      </c>
      <c r="Q72" t="s">
        <v>4283</v>
      </c>
      <c r="R72">
        <v>38</v>
      </c>
      <c r="S72">
        <v>133</v>
      </c>
      <c r="T72">
        <v>133</v>
      </c>
      <c r="V72" t="s">
        <v>414</v>
      </c>
      <c r="W72">
        <f>COUNTIFS('Clinical Trials HCO'!$A:$A, K72, 'Clinical Trials HCO'!$D:$D, "&lt;&gt;")</f>
        <v>29</v>
      </c>
      <c r="AG72" t="s">
        <v>414</v>
      </c>
    </row>
    <row r="73" spans="2:33" hidden="1">
      <c r="B73">
        <v>543</v>
      </c>
      <c r="F73">
        <f>COUNTIF(HCPs!W:W,HCO_Data!K73)</f>
        <v>1</v>
      </c>
      <c r="G73" t="str">
        <f>IF(COUNTIF('Testing Referrals'!B:B,HCO_Data!K73)&gt;0,"Yes","")</f>
        <v>Yes</v>
      </c>
      <c r="H73">
        <f>COUNTIF('HCO referrals'!B:B,HCO_Data!K73)+COUNTIF('HCO referrals'!C:C,HCO_Data!K73)</f>
        <v>0</v>
      </c>
      <c r="I73">
        <v>790000087</v>
      </c>
      <c r="J73" s="72" t="s">
        <v>11229</v>
      </c>
      <c r="K73" t="s">
        <v>3838</v>
      </c>
      <c r="L73" s="74" t="s">
        <v>1346</v>
      </c>
      <c r="M73" t="s">
        <v>1724</v>
      </c>
      <c r="N73">
        <v>79021</v>
      </c>
      <c r="O73" t="s">
        <v>946</v>
      </c>
      <c r="Q73" t="s">
        <v>4283</v>
      </c>
      <c r="R73">
        <v>41</v>
      </c>
      <c r="S73">
        <v>133</v>
      </c>
      <c r="T73">
        <v>133</v>
      </c>
      <c r="V73" t="s">
        <v>414</v>
      </c>
      <c r="W73">
        <f>COUNTIFS('Clinical Trials HCO'!$A:$A, K73, 'Clinical Trials HCO'!$D:$D, "&lt;&gt;")</f>
        <v>0</v>
      </c>
      <c r="AF73" t="s">
        <v>414</v>
      </c>
    </row>
    <row r="74" spans="2:33" hidden="1">
      <c r="B74">
        <v>638</v>
      </c>
      <c r="F74">
        <f>COUNTIF(HCPs!W:W,HCO_Data!K74)</f>
        <v>1</v>
      </c>
      <c r="G74" t="str">
        <f>IF(COUNTIF('Testing Referrals'!B:B,HCO_Data!K74)&gt;0,"Yes","")</f>
        <v/>
      </c>
      <c r="H74">
        <f>COUNTIF('HCO referrals'!B:B,HCO_Data!K74)+COUNTIF('HCO referrals'!C:C,HCO_Data!K74)</f>
        <v>0</v>
      </c>
      <c r="I74">
        <v>600100754</v>
      </c>
      <c r="J74" s="72" t="s">
        <v>11282</v>
      </c>
      <c r="K74" t="s">
        <v>3839</v>
      </c>
      <c r="L74" s="74" t="s">
        <v>2360</v>
      </c>
      <c r="M74" t="s">
        <v>2361</v>
      </c>
      <c r="N74">
        <v>60204</v>
      </c>
      <c r="O74" t="s">
        <v>1808</v>
      </c>
      <c r="Q74" t="s">
        <v>4283</v>
      </c>
      <c r="R74">
        <v>93</v>
      </c>
      <c r="S74">
        <v>132</v>
      </c>
      <c r="T74">
        <v>132</v>
      </c>
      <c r="V74" t="s">
        <v>414</v>
      </c>
      <c r="W74">
        <f>COUNTIFS('Clinical Trials HCO'!$A:$A, K74, 'Clinical Trials HCO'!$D:$D, "&lt;&gt;")</f>
        <v>0</v>
      </c>
      <c r="AF74" t="s">
        <v>414</v>
      </c>
      <c r="AG74" t="s">
        <v>414</v>
      </c>
    </row>
    <row r="75" spans="2:33" hidden="1">
      <c r="B75">
        <v>289</v>
      </c>
      <c r="F75">
        <f>COUNTIF(HCPs!W:W,HCO_Data!K75)</f>
        <v>4</v>
      </c>
      <c r="G75" t="str">
        <f>IF(COUNTIF('Testing Referrals'!B:B,HCO_Data!K75)&gt;0,"Yes","")</f>
        <v>Yes</v>
      </c>
      <c r="H75">
        <f>COUNTIF('HCO referrals'!B:B,HCO_Data!K75)+COUNTIF('HCO referrals'!C:C,HCO_Data!K75)</f>
        <v>0</v>
      </c>
      <c r="I75">
        <v>690784137</v>
      </c>
      <c r="K75" t="s">
        <v>4498</v>
      </c>
      <c r="L75" s="74" t="s">
        <v>4497</v>
      </c>
      <c r="M75" t="s">
        <v>2187</v>
      </c>
      <c r="N75">
        <v>69310</v>
      </c>
      <c r="O75" t="s">
        <v>2188</v>
      </c>
      <c r="Q75" t="s">
        <v>4283</v>
      </c>
      <c r="R75">
        <v>52</v>
      </c>
      <c r="S75">
        <v>130</v>
      </c>
      <c r="T75">
        <v>130</v>
      </c>
      <c r="V75" t="s">
        <v>414</v>
      </c>
      <c r="W75">
        <f>COUNTIFS('Clinical Trials HCO'!$A:$A, K75, 'Clinical Trials HCO'!$D:$D, "&lt;&gt;")</f>
        <v>21</v>
      </c>
      <c r="AF75" t="s">
        <v>414</v>
      </c>
      <c r="AG75" t="s">
        <v>414</v>
      </c>
    </row>
    <row r="76" spans="2:33" hidden="1">
      <c r="F76">
        <f>COUNTIF(HCPs!W:W,HCO_Data!K76)</f>
        <v>2</v>
      </c>
      <c r="G76" t="str">
        <f>IF(COUNTIF('Testing Referrals'!B:B,HCO_Data!K76)&gt;0,"Yes","")</f>
        <v/>
      </c>
      <c r="H76">
        <f>COUNTIF('HCO referrals'!B:B,HCO_Data!K76)+COUNTIF('HCO referrals'!C:C,HCO_Data!K76)</f>
        <v>0</v>
      </c>
      <c r="I76">
        <v>570026252</v>
      </c>
      <c r="J76" s="72" t="s">
        <v>11294</v>
      </c>
      <c r="K76" t="s">
        <v>3840</v>
      </c>
      <c r="L76" s="74" t="s">
        <v>8653</v>
      </c>
      <c r="M76" t="s">
        <v>8654</v>
      </c>
      <c r="O76" t="s">
        <v>8655</v>
      </c>
      <c r="P76" t="s">
        <v>710</v>
      </c>
      <c r="Q76" t="s">
        <v>4283</v>
      </c>
      <c r="R76">
        <v>60</v>
      </c>
      <c r="S76">
        <v>130</v>
      </c>
      <c r="T76">
        <v>130</v>
      </c>
      <c r="V76" t="s">
        <v>414</v>
      </c>
      <c r="W76">
        <f>COUNTIFS('Clinical Trials HCO'!$A:$A, K76, 'Clinical Trials HCO'!$D:$D, "&lt;&gt;")</f>
        <v>0</v>
      </c>
    </row>
    <row r="77" spans="2:33" hidden="1">
      <c r="B77">
        <v>343</v>
      </c>
      <c r="F77">
        <f>COUNTIF(HCPs!W:W,HCO_Data!K77)</f>
        <v>2</v>
      </c>
      <c r="G77" t="str">
        <f>IF(COUNTIF('Testing Referrals'!B:B,HCO_Data!K77)&gt;0,"Yes","")</f>
        <v/>
      </c>
      <c r="H77">
        <f>COUNTIF('HCO referrals'!B:B,HCO_Data!K77)+COUNTIF('HCO referrals'!C:C,HCO_Data!K77)</f>
        <v>2</v>
      </c>
      <c r="I77">
        <v>60780491</v>
      </c>
      <c r="J77" s="72" t="s">
        <v>11299</v>
      </c>
      <c r="K77" t="s">
        <v>3841</v>
      </c>
      <c r="L77" s="74" t="s">
        <v>2594</v>
      </c>
      <c r="M77" t="s">
        <v>2872</v>
      </c>
      <c r="N77">
        <v>6721</v>
      </c>
      <c r="O77" t="s">
        <v>2873</v>
      </c>
      <c r="Q77" t="s">
        <v>4283</v>
      </c>
      <c r="R77">
        <v>372</v>
      </c>
      <c r="S77">
        <v>129</v>
      </c>
      <c r="T77">
        <v>129</v>
      </c>
      <c r="V77" t="s">
        <v>414</v>
      </c>
      <c r="W77">
        <f>COUNTIFS('Clinical Trials HCO'!$A:$A, K77, 'Clinical Trials HCO'!$D:$D, "&lt;&gt;")</f>
        <v>0</v>
      </c>
      <c r="AE77" s="12" t="s">
        <v>3928</v>
      </c>
    </row>
    <row r="78" spans="2:33" hidden="1">
      <c r="B78">
        <v>287</v>
      </c>
      <c r="C78" t="s">
        <v>11303</v>
      </c>
      <c r="F78">
        <f>COUNTIF(HCPs!W:W,HCO_Data!K78)</f>
        <v>2</v>
      </c>
      <c r="G78" t="str">
        <f>IF(COUNTIF('Testing Referrals'!B:B,HCO_Data!K78)&gt;0,"Yes","")</f>
        <v/>
      </c>
      <c r="H78">
        <f>COUNTIF('HCO referrals'!B:B,HCO_Data!K78)+COUNTIF('HCO referrals'!C:C,HCO_Data!K78)</f>
        <v>0</v>
      </c>
      <c r="I78">
        <v>680000684</v>
      </c>
      <c r="K78" t="s">
        <v>3842</v>
      </c>
      <c r="L78" s="74" t="s">
        <v>1584</v>
      </c>
      <c r="M78" t="s">
        <v>2183</v>
      </c>
      <c r="N78">
        <v>68024</v>
      </c>
      <c r="O78" t="s">
        <v>924</v>
      </c>
      <c r="Q78" t="s">
        <v>4283</v>
      </c>
      <c r="R78">
        <v>76</v>
      </c>
      <c r="S78">
        <v>129</v>
      </c>
      <c r="T78">
        <v>129</v>
      </c>
      <c r="V78" t="s">
        <v>414</v>
      </c>
      <c r="W78">
        <f>COUNTIFS('Clinical Trials HCO'!$A:$A, K78, 'Clinical Trials HCO'!$D:$D, "&lt;&gt;")</f>
        <v>0</v>
      </c>
      <c r="AG78" t="s">
        <v>414</v>
      </c>
    </row>
    <row r="79" spans="2:33" hidden="1">
      <c r="B79">
        <v>246</v>
      </c>
      <c r="F79">
        <f>COUNTIF(HCPs!W:W,HCO_Data!K79)</f>
        <v>2</v>
      </c>
      <c r="G79" t="str">
        <f>IF(COUNTIF('Testing Referrals'!B:B,HCO_Data!K79)&gt;0,"Yes","")</f>
        <v/>
      </c>
      <c r="H79">
        <f>COUNTIF('HCO referrals'!B:B,HCO_Data!K79)+COUNTIF('HCO referrals'!C:C,HCO_Data!K79)</f>
        <v>0</v>
      </c>
      <c r="I79">
        <v>190000018</v>
      </c>
      <c r="J79" s="72" t="s">
        <v>11318</v>
      </c>
      <c r="K79" t="s">
        <v>3843</v>
      </c>
      <c r="L79" s="74" t="s">
        <v>1352</v>
      </c>
      <c r="M79" t="s">
        <v>1734</v>
      </c>
      <c r="N79">
        <v>19312</v>
      </c>
      <c r="O79" t="s">
        <v>1735</v>
      </c>
      <c r="Q79" t="s">
        <v>4283</v>
      </c>
      <c r="R79">
        <v>72</v>
      </c>
      <c r="S79">
        <v>124</v>
      </c>
      <c r="T79">
        <v>124</v>
      </c>
      <c r="V79" t="s">
        <v>414</v>
      </c>
      <c r="W79">
        <f>COUNTIFS('Clinical Trials HCO'!$A:$A, K79, 'Clinical Trials HCO'!$D:$D, "&lt;&gt;")</f>
        <v>0</v>
      </c>
      <c r="AF79" t="s">
        <v>414</v>
      </c>
      <c r="AG79" t="s">
        <v>414</v>
      </c>
    </row>
    <row r="80" spans="2:33" hidden="1">
      <c r="B80">
        <v>505</v>
      </c>
      <c r="F80">
        <f>COUNTIF(HCPs!W:W,HCO_Data!K80)</f>
        <v>1</v>
      </c>
      <c r="G80" t="str">
        <f>IF(COUNTIF('Testing Referrals'!B:B,HCO_Data!K80)&gt;0,"Yes","")</f>
        <v/>
      </c>
      <c r="H80">
        <f>COUNTIF('HCO referrals'!B:B,HCO_Data!K80)+COUNTIF('HCO referrals'!C:C,HCO_Data!K80)</f>
        <v>0</v>
      </c>
      <c r="I80">
        <v>440033819</v>
      </c>
      <c r="K80" t="s">
        <v>7942</v>
      </c>
      <c r="L80" t="s">
        <v>7941</v>
      </c>
      <c r="M80" t="s">
        <v>2928</v>
      </c>
      <c r="N80">
        <v>44800</v>
      </c>
      <c r="O80" t="s">
        <v>2005</v>
      </c>
      <c r="Q80" t="s">
        <v>4283</v>
      </c>
      <c r="R80">
        <v>235</v>
      </c>
      <c r="S80">
        <v>123</v>
      </c>
      <c r="T80">
        <v>123</v>
      </c>
      <c r="V80" t="s">
        <v>414</v>
      </c>
      <c r="W80">
        <f>COUNTIFS('Clinical Trials HCO'!$A:$A, K80, 'Clinical Trials HCO'!$D:$D, "&lt;&gt;")</f>
        <v>0</v>
      </c>
      <c r="AF80" t="s">
        <v>414</v>
      </c>
      <c r="AG80" t="s">
        <v>414</v>
      </c>
    </row>
    <row r="81" spans="2:33">
      <c r="B81">
        <v>716</v>
      </c>
      <c r="F81">
        <f>COUNTIF(HCPs!W:W,HCO_Data!K81)</f>
        <v>0</v>
      </c>
      <c r="G81" t="str">
        <f>IF(COUNTIF('Testing Referrals'!B:B,HCO_Data!K81)&gt;0,"Yes","")</f>
        <v/>
      </c>
      <c r="H81">
        <f>COUNTIF('HCO referrals'!B:B,HCO_Data!K81)+COUNTIF('HCO referrals'!C:C,HCO_Data!K81)</f>
        <v>2</v>
      </c>
      <c r="I81">
        <v>260000013</v>
      </c>
      <c r="K81" t="s">
        <v>3844</v>
      </c>
      <c r="L81" s="80" t="s">
        <v>1401</v>
      </c>
      <c r="M81" t="s">
        <v>1841</v>
      </c>
      <c r="N81">
        <v>26953</v>
      </c>
      <c r="O81" t="s">
        <v>1842</v>
      </c>
      <c r="Q81" t="s">
        <v>4283</v>
      </c>
      <c r="R81">
        <v>89</v>
      </c>
      <c r="S81">
        <v>122</v>
      </c>
      <c r="T81">
        <v>122</v>
      </c>
      <c r="V81" t="s">
        <v>414</v>
      </c>
      <c r="W81">
        <f>COUNTIFS('Clinical Trials HCO'!$A:$A, K81, 'Clinical Trials HCO'!$D:$D, "&lt;&gt;")</f>
        <v>0</v>
      </c>
      <c r="AF81" t="s">
        <v>414</v>
      </c>
    </row>
    <row r="82" spans="2:33" hidden="1">
      <c r="B82">
        <v>718</v>
      </c>
      <c r="F82">
        <f>COUNTIF(HCPs!W:W,HCO_Data!K82)</f>
        <v>1</v>
      </c>
      <c r="G82" t="str">
        <f>IF(COUNTIF('Testing Referrals'!B:B,HCO_Data!K82)&gt;0,"Yes","")</f>
        <v/>
      </c>
      <c r="H82">
        <f>COUNTIF('HCO referrals'!B:B,HCO_Data!K82)+COUNTIF('HCO referrals'!C:C,HCO_Data!K82)</f>
        <v>2</v>
      </c>
      <c r="I82">
        <v>620000653</v>
      </c>
      <c r="J82" s="72" t="s">
        <v>11324</v>
      </c>
      <c r="K82" t="s">
        <v>3845</v>
      </c>
      <c r="L82" s="13" t="s">
        <v>1379</v>
      </c>
      <c r="M82" t="s">
        <v>1795</v>
      </c>
      <c r="N82">
        <v>62321</v>
      </c>
      <c r="O82" t="s">
        <v>932</v>
      </c>
      <c r="Q82" t="s">
        <v>4283</v>
      </c>
      <c r="R82">
        <v>74</v>
      </c>
      <c r="S82">
        <v>122</v>
      </c>
      <c r="T82">
        <v>122</v>
      </c>
      <c r="V82" t="s">
        <v>414</v>
      </c>
      <c r="W82">
        <f>COUNTIFS('Clinical Trials HCO'!$A:$A, K82, 'Clinical Trials HCO'!$D:$D, "&lt;&gt;")</f>
        <v>0</v>
      </c>
      <c r="AF82" t="s">
        <v>414</v>
      </c>
      <c r="AG82" t="s">
        <v>414</v>
      </c>
    </row>
    <row r="83" spans="2:33" hidden="1">
      <c r="B83">
        <v>43</v>
      </c>
      <c r="C83" t="s">
        <v>7824</v>
      </c>
      <c r="D83" t="s">
        <v>1329</v>
      </c>
      <c r="F83">
        <f>COUNTIF(HCPs!W:W,HCO_Data!K83)</f>
        <v>1</v>
      </c>
      <c r="G83" t="str">
        <f>IF(COUNTIF('Testing Referrals'!B:B,HCO_Data!K83)&gt;0,"Yes","")</f>
        <v>Yes</v>
      </c>
      <c r="H83">
        <f>COUNTIF('HCO referrals'!B:B,HCO_Data!K83)+COUNTIF('HCO referrals'!C:C,HCO_Data!K83)</f>
        <v>2</v>
      </c>
      <c r="I83">
        <v>630000479</v>
      </c>
      <c r="K83" t="s">
        <v>3770</v>
      </c>
      <c r="L83" t="s">
        <v>42</v>
      </c>
      <c r="M83" s="12" t="s">
        <v>50</v>
      </c>
      <c r="N83">
        <v>63011</v>
      </c>
      <c r="O83" t="s">
        <v>2960</v>
      </c>
      <c r="P83" s="12" t="s">
        <v>825</v>
      </c>
      <c r="Q83" t="s">
        <v>4283</v>
      </c>
      <c r="R83">
        <v>86</v>
      </c>
      <c r="S83">
        <v>120</v>
      </c>
      <c r="T83">
        <v>120</v>
      </c>
      <c r="V83" t="s">
        <v>414</v>
      </c>
      <c r="W83">
        <f>COUNTIFS('Clinical Trials HCO'!$A:$A, K83, 'Clinical Trials HCO'!$D:$D, "&lt;&gt;")</f>
        <v>11</v>
      </c>
      <c r="AF83" t="s">
        <v>414</v>
      </c>
    </row>
    <row r="84" spans="2:33" hidden="1">
      <c r="B84">
        <v>429</v>
      </c>
      <c r="F84">
        <f>COUNTIF(HCPs!W:W,HCO_Data!K84)</f>
        <v>3</v>
      </c>
      <c r="G84" t="str">
        <f>IF(COUNTIF('Testing Referrals'!B:B,HCO_Data!K84)&gt;0,"Yes","")</f>
        <v>Yes</v>
      </c>
      <c r="H84">
        <f>COUNTIF('HCO referrals'!B:B,HCO_Data!K84)+COUNTIF('HCO referrals'!C:C,HCO_Data!K84)</f>
        <v>2</v>
      </c>
      <c r="I84">
        <v>920000460</v>
      </c>
      <c r="K84" t="s">
        <v>3765</v>
      </c>
      <c r="L84" t="s">
        <v>4302</v>
      </c>
      <c r="M84" t="s">
        <v>2035</v>
      </c>
      <c r="N84">
        <v>92210</v>
      </c>
      <c r="O84" t="s">
        <v>2036</v>
      </c>
      <c r="Q84" t="s">
        <v>4283</v>
      </c>
      <c r="R84">
        <v>31</v>
      </c>
      <c r="S84">
        <v>119</v>
      </c>
      <c r="T84">
        <v>119</v>
      </c>
      <c r="V84" t="s">
        <v>414</v>
      </c>
      <c r="W84">
        <f>COUNTIFS('Clinical Trials HCO'!$A:$A, K84, 'Clinical Trials HCO'!$D:$D, "&lt;&gt;")</f>
        <v>12</v>
      </c>
      <c r="AG84" t="s">
        <v>414</v>
      </c>
    </row>
    <row r="85" spans="2:33" hidden="1">
      <c r="B85">
        <v>302</v>
      </c>
      <c r="C85" t="s">
        <v>11373</v>
      </c>
      <c r="F85">
        <f>COUNTIF(HCPs!W:W,HCO_Data!K85)</f>
        <v>2</v>
      </c>
      <c r="G85" t="str">
        <f>IF(COUNTIF('Testing Referrals'!B:B,HCO_Data!K85)&gt;0,"Yes","")</f>
        <v/>
      </c>
      <c r="H85">
        <f>COUNTIF('HCO referrals'!B:B,HCO_Data!K85)+COUNTIF('HCO referrals'!C:C,HCO_Data!K85)</f>
        <v>0</v>
      </c>
      <c r="I85">
        <v>370007569</v>
      </c>
      <c r="K85" t="s">
        <v>3846</v>
      </c>
      <c r="L85" s="13" t="s">
        <v>646</v>
      </c>
      <c r="M85" t="s">
        <v>2367</v>
      </c>
      <c r="N85">
        <v>37175</v>
      </c>
      <c r="O85" t="s">
        <v>1999</v>
      </c>
      <c r="Q85" t="s">
        <v>4283</v>
      </c>
      <c r="R85">
        <v>79</v>
      </c>
      <c r="S85">
        <v>119</v>
      </c>
      <c r="T85">
        <v>119</v>
      </c>
      <c r="V85" t="s">
        <v>414</v>
      </c>
      <c r="W85">
        <f>COUNTIFS('Clinical Trials HCO'!$A:$A, K85, 'Clinical Trials HCO'!$D:$D, "&lt;&gt;")</f>
        <v>0</v>
      </c>
      <c r="AF85" t="s">
        <v>414</v>
      </c>
    </row>
    <row r="86" spans="2:33" hidden="1">
      <c r="B86">
        <v>516</v>
      </c>
      <c r="C86" t="s">
        <v>11372</v>
      </c>
      <c r="F86">
        <f>COUNTIF(HCPs!W:W,HCO_Data!K86)</f>
        <v>3</v>
      </c>
      <c r="G86" t="str">
        <f>IF(COUNTIF('Testing Referrals'!B:B,HCO_Data!K86)&gt;0,"Yes","")</f>
        <v/>
      </c>
      <c r="H86">
        <f>COUNTIF('HCO referrals'!B:B,HCO_Data!K86)+COUNTIF('HCO referrals'!C:C,HCO_Data!K86)</f>
        <v>0</v>
      </c>
      <c r="I86">
        <v>940300270</v>
      </c>
      <c r="K86" t="s">
        <v>3847</v>
      </c>
      <c r="L86" s="13" t="s">
        <v>1594</v>
      </c>
      <c r="M86" t="s">
        <v>2196</v>
      </c>
      <c r="N86">
        <v>94130</v>
      </c>
      <c r="O86" t="s">
        <v>2197</v>
      </c>
      <c r="Q86" t="s">
        <v>4283</v>
      </c>
      <c r="R86">
        <v>180</v>
      </c>
      <c r="S86">
        <v>119</v>
      </c>
      <c r="T86">
        <v>119</v>
      </c>
      <c r="V86" t="s">
        <v>414</v>
      </c>
      <c r="W86">
        <f>COUNTIFS('Clinical Trials HCO'!$A:$A, K86, 'Clinical Trials HCO'!$D:$D, "&lt;&gt;")</f>
        <v>0</v>
      </c>
      <c r="AF86" t="s">
        <v>414</v>
      </c>
      <c r="AG86" t="s">
        <v>414</v>
      </c>
    </row>
    <row r="87" spans="2:33" hidden="1">
      <c r="B87">
        <v>549</v>
      </c>
      <c r="F87">
        <f>COUNTIF(HCPs!W:W,HCO_Data!K87)</f>
        <v>1</v>
      </c>
      <c r="G87" t="str">
        <f>IF(COUNTIF('Testing Referrals'!B:B,HCO_Data!K87)&gt;0,"Yes","")</f>
        <v/>
      </c>
      <c r="H87">
        <f>COUNTIF('HCO referrals'!B:B,HCO_Data!K87)+COUNTIF('HCO referrals'!C:C,HCO_Data!K87)</f>
        <v>0</v>
      </c>
      <c r="I87">
        <v>560000135</v>
      </c>
      <c r="K87" t="s">
        <v>3848</v>
      </c>
      <c r="L87" t="s">
        <v>2126</v>
      </c>
      <c r="M87" t="s">
        <v>2127</v>
      </c>
      <c r="N87">
        <v>56322</v>
      </c>
      <c r="O87" t="s">
        <v>2128</v>
      </c>
      <c r="Q87" t="s">
        <v>4283</v>
      </c>
      <c r="R87">
        <v>70</v>
      </c>
      <c r="S87">
        <v>116</v>
      </c>
      <c r="T87">
        <v>116</v>
      </c>
      <c r="V87" t="s">
        <v>414</v>
      </c>
      <c r="W87">
        <f>COUNTIFS('Clinical Trials HCO'!$A:$A, K87, 'Clinical Trials HCO'!$D:$D, "&lt;&gt;")</f>
        <v>0</v>
      </c>
      <c r="AF87" t="s">
        <v>414</v>
      </c>
      <c r="AG87" t="s">
        <v>414</v>
      </c>
    </row>
    <row r="88" spans="2:33" hidden="1">
      <c r="B88">
        <v>34</v>
      </c>
      <c r="C88" t="s">
        <v>8036</v>
      </c>
      <c r="F88">
        <f>COUNTIF(HCPs!W:W,HCO_Data!K88)</f>
        <v>2</v>
      </c>
      <c r="G88" t="str">
        <f>IF(COUNTIF('Testing Referrals'!B:B,HCO_Data!K88)&gt;0,"Yes","")</f>
        <v/>
      </c>
      <c r="H88">
        <f>COUNTIF('HCO referrals'!B:B,HCO_Data!K88)+COUNTIF('HCO referrals'!C:C,HCO_Data!K88)</f>
        <v>0</v>
      </c>
      <c r="I88">
        <v>750300881</v>
      </c>
      <c r="K88" t="s">
        <v>3751</v>
      </c>
      <c r="L88" t="s">
        <v>8031</v>
      </c>
      <c r="M88" t="s">
        <v>8037</v>
      </c>
      <c r="O88" t="s">
        <v>700</v>
      </c>
      <c r="Q88" t="s">
        <v>4283</v>
      </c>
      <c r="R88">
        <v>414</v>
      </c>
      <c r="S88">
        <v>114</v>
      </c>
      <c r="T88">
        <v>114</v>
      </c>
      <c r="V88" t="s">
        <v>414</v>
      </c>
      <c r="W88">
        <f>COUNTIFS('Clinical Trials HCO'!$A:$A, K88, 'Clinical Trials HCO'!$D:$D, "&lt;&gt;")</f>
        <v>2</v>
      </c>
      <c r="AC88" t="s">
        <v>414</v>
      </c>
    </row>
    <row r="89" spans="2:33">
      <c r="B89">
        <v>321</v>
      </c>
      <c r="C89" t="s">
        <v>8521</v>
      </c>
      <c r="F89">
        <f>COUNTIF(HCPs!W:W,HCO_Data!K89)</f>
        <v>0</v>
      </c>
      <c r="G89" t="str">
        <f>IF(COUNTIF('Testing Referrals'!B:B,HCO_Data!K89)&gt;0,"Yes","")</f>
        <v/>
      </c>
      <c r="H89">
        <f>COUNTIF('HCO referrals'!B:B,HCO_Data!K89)+COUNTIF('HCO referrals'!C:C,HCO_Data!K89)</f>
        <v>0</v>
      </c>
      <c r="I89">
        <v>760780619</v>
      </c>
      <c r="K89" t="s">
        <v>3849</v>
      </c>
      <c r="L89" s="126" t="s">
        <v>1530</v>
      </c>
      <c r="M89" t="s">
        <v>2100</v>
      </c>
      <c r="N89">
        <v>76044</v>
      </c>
      <c r="O89" t="s">
        <v>885</v>
      </c>
      <c r="Q89" t="s">
        <v>4283</v>
      </c>
      <c r="R89">
        <v>256</v>
      </c>
      <c r="S89">
        <v>114</v>
      </c>
      <c r="T89">
        <v>114</v>
      </c>
      <c r="V89" t="s">
        <v>414</v>
      </c>
      <c r="W89">
        <f>COUNTIFS('Clinical Trials HCO'!$A:$A, K89, 'Clinical Trials HCO'!$D:$D, "&lt;&gt;")</f>
        <v>0</v>
      </c>
      <c r="AF89" t="s">
        <v>414</v>
      </c>
      <c r="AG89" t="s">
        <v>414</v>
      </c>
    </row>
    <row r="90" spans="2:33" hidden="1">
      <c r="B90">
        <v>317</v>
      </c>
      <c r="F90">
        <f>COUNTIF(HCPs!W:W,HCO_Data!K90)</f>
        <v>1</v>
      </c>
      <c r="G90" t="str">
        <f>IF(COUNTIF('Testing Referrals'!B:B,HCO_Data!K90)&gt;0,"Yes","")</f>
        <v/>
      </c>
      <c r="H90">
        <f>COUNTIF('HCO referrals'!B:B,HCO_Data!K90)+COUNTIF('HCO referrals'!C:C,HCO_Data!K90)</f>
        <v>0</v>
      </c>
      <c r="I90">
        <v>780300414</v>
      </c>
      <c r="K90" t="s">
        <v>3850</v>
      </c>
      <c r="L90" s="13" t="s">
        <v>1433</v>
      </c>
      <c r="M90" t="s">
        <v>1912</v>
      </c>
      <c r="N90">
        <v>78560</v>
      </c>
      <c r="O90" t="s">
        <v>1913</v>
      </c>
      <c r="Q90" t="s">
        <v>4283</v>
      </c>
      <c r="R90">
        <v>129</v>
      </c>
      <c r="S90">
        <v>114</v>
      </c>
      <c r="T90">
        <v>114</v>
      </c>
      <c r="V90" t="s">
        <v>414</v>
      </c>
      <c r="W90">
        <f>COUNTIFS('Clinical Trials HCO'!$A:$A, K90, 'Clinical Trials HCO'!$D:$D, "&lt;&gt;")</f>
        <v>0</v>
      </c>
      <c r="AF90" t="s">
        <v>414</v>
      </c>
      <c r="AG90" t="s">
        <v>414</v>
      </c>
    </row>
    <row r="91" spans="2:33" hidden="1">
      <c r="B91">
        <v>513</v>
      </c>
      <c r="C91" t="s">
        <v>5005</v>
      </c>
      <c r="F91">
        <f>COUNTIF(HCPs!W:W,HCO_Data!K91)</f>
        <v>3</v>
      </c>
      <c r="G91" t="str">
        <f>IF(COUNTIF('Testing Referrals'!B:B,HCO_Data!K91)&gt;0,"Yes","")</f>
        <v>Yes</v>
      </c>
      <c r="H91">
        <f>COUNTIF('HCO referrals'!B:B,HCO_Data!K91)+COUNTIF('HCO referrals'!C:C,HCO_Data!K91)</f>
        <v>5</v>
      </c>
      <c r="I91">
        <v>670000025</v>
      </c>
      <c r="K91" t="s">
        <v>4431</v>
      </c>
      <c r="L91" t="s">
        <v>4430</v>
      </c>
      <c r="M91" t="s">
        <v>2151</v>
      </c>
      <c r="N91">
        <v>67091</v>
      </c>
      <c r="O91" t="s">
        <v>2056</v>
      </c>
      <c r="Q91" t="s">
        <v>4283</v>
      </c>
      <c r="R91">
        <v>363</v>
      </c>
      <c r="S91">
        <v>112</v>
      </c>
      <c r="T91">
        <v>112</v>
      </c>
      <c r="V91" t="s">
        <v>414</v>
      </c>
      <c r="W91">
        <f>COUNTIFS('Clinical Trials HCO'!$A:$A, K91, 'Clinical Trials HCO'!$D:$D, "&lt;&gt;")</f>
        <v>2</v>
      </c>
      <c r="AF91" t="s">
        <v>414</v>
      </c>
      <c r="AG91" t="s">
        <v>414</v>
      </c>
    </row>
    <row r="92" spans="2:33" hidden="1">
      <c r="B92">
        <v>530</v>
      </c>
      <c r="F92">
        <f>COUNTIF(HCPs!W:W,HCO_Data!K92)</f>
        <v>1</v>
      </c>
      <c r="G92" t="str">
        <f>IF(COUNTIF('Testing Referrals'!B:B,HCO_Data!K92)&gt;0,"Yes","")</f>
        <v/>
      </c>
      <c r="H92">
        <f>COUNTIF('HCO referrals'!B:B,HCO_Data!K92)+COUNTIF('HCO referrals'!C:C,HCO_Data!K92)</f>
        <v>0</v>
      </c>
      <c r="I92">
        <v>420011413</v>
      </c>
      <c r="K92" t="s">
        <v>3818</v>
      </c>
      <c r="L92" t="s">
        <v>8294</v>
      </c>
      <c r="M92" t="s">
        <v>2210</v>
      </c>
      <c r="N92">
        <v>42100</v>
      </c>
      <c r="O92" t="s">
        <v>2211</v>
      </c>
      <c r="Q92" t="s">
        <v>4283</v>
      </c>
      <c r="R92">
        <v>84</v>
      </c>
      <c r="S92">
        <v>112</v>
      </c>
      <c r="T92">
        <v>112</v>
      </c>
      <c r="V92" t="s">
        <v>414</v>
      </c>
      <c r="W92">
        <f>COUNTIFS('Clinical Trials HCO'!$A:$A, K92, 'Clinical Trials HCO'!$D:$D, "&lt;&gt;")</f>
        <v>0</v>
      </c>
      <c r="AF92" t="s">
        <v>414</v>
      </c>
      <c r="AG92" t="s">
        <v>414</v>
      </c>
    </row>
    <row r="93" spans="2:33">
      <c r="B93">
        <v>658</v>
      </c>
      <c r="F93">
        <f>COUNTIF(HCPs!W:W,HCO_Data!K93)</f>
        <v>0</v>
      </c>
      <c r="G93" t="str">
        <f>IF(COUNTIF('Testing Referrals'!B:B,HCO_Data!K93)&gt;0,"Yes","")</f>
        <v/>
      </c>
      <c r="H93">
        <f>COUNTIF('HCO referrals'!B:B,HCO_Data!K93)+COUNTIF('HCO referrals'!C:C,HCO_Data!K93)</f>
        <v>0</v>
      </c>
      <c r="I93">
        <v>60780517</v>
      </c>
      <c r="K93" t="s">
        <v>3851</v>
      </c>
      <c r="L93" s="126" t="s">
        <v>679</v>
      </c>
      <c r="M93" t="s">
        <v>2362</v>
      </c>
      <c r="N93">
        <v>6800</v>
      </c>
      <c r="O93" t="s">
        <v>2363</v>
      </c>
      <c r="Q93" t="s">
        <v>4283</v>
      </c>
      <c r="R93">
        <v>67</v>
      </c>
      <c r="S93">
        <v>112</v>
      </c>
      <c r="T93">
        <v>112</v>
      </c>
      <c r="V93" t="s">
        <v>414</v>
      </c>
      <c r="W93">
        <f>COUNTIFS('Clinical Trials HCO'!$A:$A, K93, 'Clinical Trials HCO'!$D:$D, "&lt;&gt;")</f>
        <v>0</v>
      </c>
      <c r="AF93" t="s">
        <v>414</v>
      </c>
      <c r="AG93" t="s">
        <v>414</v>
      </c>
    </row>
    <row r="94" spans="2:33">
      <c r="F94">
        <f>COUNTIF(HCPs!W:W,HCO_Data!K94)</f>
        <v>0</v>
      </c>
      <c r="G94" t="str">
        <f>IF(COUNTIF('Testing Referrals'!B:B,HCO_Data!K94)&gt;0,"Yes","")</f>
        <v/>
      </c>
      <c r="H94">
        <f>COUNTIF('HCO referrals'!B:B,HCO_Data!K94)+COUNTIF('HCO referrals'!C:C,HCO_Data!K94)</f>
        <v>0</v>
      </c>
      <c r="I94">
        <v>720000249</v>
      </c>
      <c r="K94" t="s">
        <v>3821</v>
      </c>
      <c r="L94" s="126" t="s">
        <v>8419</v>
      </c>
      <c r="O94" t="s">
        <v>1883</v>
      </c>
      <c r="Q94" t="s">
        <v>4283</v>
      </c>
      <c r="R94">
        <v>64</v>
      </c>
      <c r="S94">
        <v>111</v>
      </c>
      <c r="T94">
        <v>111</v>
      </c>
      <c r="V94" t="s">
        <v>414</v>
      </c>
      <c r="W94">
        <f>COUNTIFS('Clinical Trials HCO'!$A:$A, K94, 'Clinical Trials HCO'!$D:$D, "&lt;&gt;")</f>
        <v>4</v>
      </c>
    </row>
    <row r="95" spans="2:33">
      <c r="B95">
        <v>574</v>
      </c>
      <c r="C95" t="s">
        <v>11456</v>
      </c>
      <c r="F95">
        <f>COUNTIF(HCPs!W:W,HCO_Data!K95)</f>
        <v>0</v>
      </c>
      <c r="G95" t="str">
        <f>IF(COUNTIF('Testing Referrals'!B:B,HCO_Data!K95)&gt;0,"Yes","")</f>
        <v/>
      </c>
      <c r="H95">
        <f>COUNTIF('HCO referrals'!B:B,HCO_Data!K95)+COUNTIF('HCO referrals'!C:C,HCO_Data!K95)</f>
        <v>0</v>
      </c>
      <c r="I95">
        <v>450021449</v>
      </c>
      <c r="K95" t="s">
        <v>3852</v>
      </c>
      <c r="L95" s="13" t="s">
        <v>2640</v>
      </c>
      <c r="M95" t="s">
        <v>2930</v>
      </c>
      <c r="N95">
        <v>45500</v>
      </c>
      <c r="O95" t="s">
        <v>2931</v>
      </c>
      <c r="Q95" t="s">
        <v>4283</v>
      </c>
      <c r="R95">
        <v>194</v>
      </c>
      <c r="S95">
        <v>111</v>
      </c>
      <c r="T95">
        <v>111</v>
      </c>
      <c r="V95" t="s">
        <v>414</v>
      </c>
      <c r="W95">
        <f>COUNTIFS('Clinical Trials HCO'!$A:$A, K95, 'Clinical Trials HCO'!$D:$D, "&lt;&gt;")</f>
        <v>0</v>
      </c>
      <c r="AF95" t="s">
        <v>414</v>
      </c>
    </row>
    <row r="96" spans="2:33" hidden="1">
      <c r="B96">
        <v>283</v>
      </c>
      <c r="F96">
        <f>COUNTIF(HCPs!W:W,HCO_Data!K96)</f>
        <v>5</v>
      </c>
      <c r="G96" t="str">
        <f>IF(COUNTIF('Testing Referrals'!B:B,HCO_Data!K96)&gt;0,"Yes","")</f>
        <v>Yes</v>
      </c>
      <c r="H96">
        <f>COUNTIF('HCO referrals'!B:B,HCO_Data!K96)+COUNTIF('HCO referrals'!C:C,HCO_Data!K96)</f>
        <v>0</v>
      </c>
      <c r="I96">
        <v>490000155</v>
      </c>
      <c r="K96" t="s">
        <v>3786</v>
      </c>
      <c r="L96" s="74" t="s">
        <v>4301</v>
      </c>
      <c r="M96" t="s">
        <v>2307</v>
      </c>
      <c r="N96">
        <v>49055</v>
      </c>
      <c r="O96" t="s">
        <v>958</v>
      </c>
      <c r="Q96" t="s">
        <v>4283</v>
      </c>
      <c r="R96">
        <v>55</v>
      </c>
      <c r="S96">
        <v>110</v>
      </c>
      <c r="T96">
        <v>110</v>
      </c>
      <c r="V96" t="s">
        <v>414</v>
      </c>
      <c r="W96">
        <f>COUNTIFS('Clinical Trials HCO'!$A:$A, K96, 'Clinical Trials HCO'!$D:$D, "&lt;&gt;")</f>
        <v>13</v>
      </c>
      <c r="AF96" t="s">
        <v>414</v>
      </c>
    </row>
    <row r="97" spans="2:33" hidden="1">
      <c r="B97">
        <v>38</v>
      </c>
      <c r="C97" t="s">
        <v>8488</v>
      </c>
      <c r="D97" t="s">
        <v>1329</v>
      </c>
      <c r="F97">
        <f>COUNTIF(HCPs!W:W,HCO_Data!K97)</f>
        <v>2</v>
      </c>
      <c r="G97" t="str">
        <f>IF(COUNTIF('Testing Referrals'!B:B,HCO_Data!K97)&gt;0,"Yes","")</f>
        <v>Yes</v>
      </c>
      <c r="H97">
        <f>COUNTIF('HCO referrals'!B:B,HCO_Data!K97)+COUNTIF('HCO referrals'!C:C,HCO_Data!K97)</f>
        <v>0</v>
      </c>
      <c r="I97">
        <v>510000516</v>
      </c>
      <c r="K97" t="s">
        <v>3775</v>
      </c>
      <c r="L97" t="s">
        <v>3302</v>
      </c>
      <c r="M97" s="12" t="s">
        <v>2952</v>
      </c>
      <c r="N97">
        <v>51726</v>
      </c>
      <c r="O97" t="s">
        <v>2955</v>
      </c>
      <c r="P97" s="12" t="s">
        <v>849</v>
      </c>
      <c r="Q97" t="s">
        <v>4283</v>
      </c>
      <c r="R97">
        <v>21</v>
      </c>
      <c r="S97">
        <v>109</v>
      </c>
      <c r="T97">
        <v>109</v>
      </c>
      <c r="V97" t="s">
        <v>414</v>
      </c>
      <c r="W97">
        <f>COUNTIFS('Clinical Trials HCO'!$A:$A, K97, 'Clinical Trials HCO'!$D:$D, "&lt;&gt;")</f>
        <v>8</v>
      </c>
      <c r="AD97" s="12" t="s">
        <v>414</v>
      </c>
      <c r="AE97" t="s">
        <v>3927</v>
      </c>
      <c r="AF97" t="s">
        <v>414</v>
      </c>
    </row>
    <row r="98" spans="2:33" hidden="1">
      <c r="B98">
        <v>307</v>
      </c>
      <c r="F98">
        <f>COUNTIF(HCPs!W:W,HCO_Data!K98)</f>
        <v>1</v>
      </c>
      <c r="G98" t="str">
        <f>IF(COUNTIF('Testing Referrals'!B:B,HCO_Data!K98)&gt;0,"Yes","")</f>
        <v/>
      </c>
      <c r="H98">
        <f>COUNTIF('HCO referrals'!B:B,HCO_Data!K98)+COUNTIF('HCO referrals'!C:C,HCO_Data!K98)</f>
        <v>0</v>
      </c>
      <c r="I98">
        <v>130786361</v>
      </c>
      <c r="J98" s="72" t="s">
        <v>8601</v>
      </c>
      <c r="K98" t="s">
        <v>3828</v>
      </c>
      <c r="L98" t="s">
        <v>8600</v>
      </c>
      <c r="M98" t="s">
        <v>2335</v>
      </c>
      <c r="N98">
        <v>13595</v>
      </c>
      <c r="O98" t="s">
        <v>1970</v>
      </c>
      <c r="Q98" t="s">
        <v>4283</v>
      </c>
      <c r="R98">
        <v>95</v>
      </c>
      <c r="S98">
        <v>109</v>
      </c>
      <c r="T98">
        <v>109</v>
      </c>
      <c r="V98" t="s">
        <v>414</v>
      </c>
      <c r="W98">
        <f>COUNTIFS('Clinical Trials HCO'!$A:$A, K98, 'Clinical Trials HCO'!$D:$D, "&lt;&gt;")</f>
        <v>0</v>
      </c>
      <c r="AG98" t="s">
        <v>414</v>
      </c>
    </row>
    <row r="99" spans="2:33" hidden="1">
      <c r="B99">
        <v>215</v>
      </c>
      <c r="F99">
        <f>COUNTIF(HCPs!W:W,HCO_Data!K99)</f>
        <v>1</v>
      </c>
      <c r="G99" t="str">
        <f>IF(COUNTIF('Testing Referrals'!B:B,HCO_Data!K99)&gt;0,"Yes","")</f>
        <v>Yes</v>
      </c>
      <c r="H99">
        <f>COUNTIF('HCO referrals'!B:B,HCO_Data!K99)+COUNTIF('HCO referrals'!C:C,HCO_Data!K99)</f>
        <v>0</v>
      </c>
      <c r="I99">
        <v>370004467</v>
      </c>
      <c r="K99" t="s">
        <v>4557</v>
      </c>
      <c r="L99" t="s">
        <v>1249</v>
      </c>
      <c r="M99" t="s">
        <v>1998</v>
      </c>
      <c r="N99">
        <v>37170</v>
      </c>
      <c r="O99" t="s">
        <v>1999</v>
      </c>
      <c r="Q99" t="s">
        <v>4283</v>
      </c>
      <c r="R99">
        <v>383</v>
      </c>
      <c r="S99">
        <v>108</v>
      </c>
      <c r="T99">
        <v>108</v>
      </c>
      <c r="V99" t="s">
        <v>414</v>
      </c>
      <c r="W99">
        <f>COUNTIFS('Clinical Trials HCO'!$A:$A, K99, 'Clinical Trials HCO'!$D:$D, "&lt;&gt;")</f>
        <v>0</v>
      </c>
      <c r="AF99" t="s">
        <v>414</v>
      </c>
      <c r="AG99" t="s">
        <v>414</v>
      </c>
    </row>
    <row r="100" spans="2:33" hidden="1">
      <c r="B100">
        <v>163</v>
      </c>
      <c r="F100">
        <f>COUNTIF(HCPs!W:W,HCO_Data!K100)</f>
        <v>1</v>
      </c>
      <c r="G100" t="str">
        <f>IF(COUNTIF('Testing Referrals'!B:B,HCO_Data!K100)&gt;0,"Yes","")</f>
        <v/>
      </c>
      <c r="H100">
        <f>COUNTIF('HCO referrals'!B:B,HCO_Data!K100)+COUNTIF('HCO referrals'!C:C,HCO_Data!K100)</f>
        <v>0</v>
      </c>
      <c r="I100">
        <v>30000087</v>
      </c>
      <c r="K100" t="s">
        <v>3802</v>
      </c>
      <c r="L100" t="s">
        <v>7820</v>
      </c>
      <c r="M100" t="s">
        <v>1872</v>
      </c>
      <c r="N100">
        <v>3201</v>
      </c>
      <c r="O100" t="s">
        <v>1873</v>
      </c>
      <c r="Q100" t="s">
        <v>4283</v>
      </c>
      <c r="R100">
        <v>153</v>
      </c>
      <c r="S100">
        <v>108</v>
      </c>
      <c r="T100">
        <v>108</v>
      </c>
      <c r="V100" t="s">
        <v>414</v>
      </c>
      <c r="W100">
        <f>COUNTIFS('Clinical Trials HCO'!$A:$A, K100, 'Clinical Trials HCO'!$D:$D, "&lt;&gt;")</f>
        <v>0</v>
      </c>
      <c r="AF100" t="s">
        <v>414</v>
      </c>
      <c r="AG100" t="s">
        <v>414</v>
      </c>
    </row>
    <row r="101" spans="2:33" hidden="1">
      <c r="B101">
        <v>405</v>
      </c>
      <c r="C101" t="s">
        <v>5149</v>
      </c>
      <c r="F101">
        <f>COUNTIF(HCPs!W:W,HCO_Data!K101)</f>
        <v>4</v>
      </c>
      <c r="G101" t="str">
        <f>IF(COUNTIF('Testing Referrals'!B:B,HCO_Data!K101)&gt;0,"Yes","")</f>
        <v>Yes</v>
      </c>
      <c r="H101">
        <f>COUNTIF('HCO referrals'!B:B,HCO_Data!K101)+COUNTIF('HCO referrals'!C:C,HCO_Data!K101)</f>
        <v>0</v>
      </c>
      <c r="I101">
        <v>690784152</v>
      </c>
      <c r="K101" t="s">
        <v>3771</v>
      </c>
      <c r="L101" s="74" t="s">
        <v>4289</v>
      </c>
      <c r="M101" t="s">
        <v>2152</v>
      </c>
      <c r="N101">
        <v>69317</v>
      </c>
      <c r="O101" t="s">
        <v>903</v>
      </c>
      <c r="Q101" t="s">
        <v>4283</v>
      </c>
      <c r="R101">
        <v>109</v>
      </c>
      <c r="S101">
        <v>107</v>
      </c>
      <c r="T101">
        <v>107</v>
      </c>
      <c r="V101" t="s">
        <v>414</v>
      </c>
      <c r="W101">
        <f>COUNTIFS('Clinical Trials HCO'!$A:$A, K101, 'Clinical Trials HCO'!$D:$D, "&lt;&gt;")</f>
        <v>0</v>
      </c>
      <c r="AF101" t="s">
        <v>414</v>
      </c>
      <c r="AG101" t="s">
        <v>414</v>
      </c>
    </row>
    <row r="102" spans="2:33" hidden="1">
      <c r="B102">
        <v>300</v>
      </c>
      <c r="C102" t="s">
        <v>11457</v>
      </c>
      <c r="F102">
        <f>COUNTIF(HCPs!W:W,HCO_Data!K102)</f>
        <v>1</v>
      </c>
      <c r="G102" t="str">
        <f>IF(COUNTIF('Testing Referrals'!B:B,HCO_Data!K102)&gt;0,"Yes","")</f>
        <v/>
      </c>
      <c r="H102">
        <f>COUNTIF('HCO referrals'!B:B,HCO_Data!K102)+COUNTIF('HCO referrals'!C:C,HCO_Data!K102)</f>
        <v>0</v>
      </c>
      <c r="I102">
        <v>240000489</v>
      </c>
      <c r="K102" t="s">
        <v>3924</v>
      </c>
      <c r="L102" s="13" t="s">
        <v>1348</v>
      </c>
      <c r="M102" t="s">
        <v>1726</v>
      </c>
      <c r="N102">
        <v>24019</v>
      </c>
      <c r="O102" t="s">
        <v>1727</v>
      </c>
      <c r="Q102" t="s">
        <v>4283</v>
      </c>
      <c r="R102">
        <v>103</v>
      </c>
      <c r="S102">
        <v>107</v>
      </c>
      <c r="T102">
        <v>107</v>
      </c>
      <c r="V102" t="s">
        <v>414</v>
      </c>
      <c r="W102">
        <f>COUNTIFS('Clinical Trials HCO'!$A:$A, K102, 'Clinical Trials HCO'!$D:$D, "&lt;&gt;")</f>
        <v>0</v>
      </c>
    </row>
    <row r="103" spans="2:33" hidden="1">
      <c r="B103">
        <v>404</v>
      </c>
      <c r="C103" t="s">
        <v>11465</v>
      </c>
      <c r="F103">
        <f>COUNTIF(HCPs!W:W,HCO_Data!K103)</f>
        <v>1</v>
      </c>
      <c r="G103" t="str">
        <f>IF(COUNTIF('Testing Referrals'!B:B,HCO_Data!K103)&gt;0,"Yes","")</f>
        <v/>
      </c>
      <c r="H103">
        <f>COUNTIF('HCO referrals'!B:B,HCO_Data!K103)+COUNTIF('HCO referrals'!C:C,HCO_Data!K103)</f>
        <v>0</v>
      </c>
      <c r="I103">
        <v>370000861</v>
      </c>
      <c r="K103" t="s">
        <v>10151</v>
      </c>
      <c r="L103" s="13" t="s">
        <v>1471</v>
      </c>
      <c r="M103" t="s">
        <v>1989</v>
      </c>
      <c r="N103">
        <v>37044</v>
      </c>
      <c r="O103" t="s">
        <v>818</v>
      </c>
      <c r="Q103" t="s">
        <v>4283</v>
      </c>
      <c r="R103">
        <v>48</v>
      </c>
      <c r="S103">
        <v>107</v>
      </c>
      <c r="T103">
        <v>107</v>
      </c>
      <c r="V103" t="s">
        <v>414</v>
      </c>
      <c r="W103">
        <f>COUNTIFS('Clinical Trials HCO'!$A:$A, K103, 'Clinical Trials HCO'!$D:$D, "&lt;&gt;")</f>
        <v>0</v>
      </c>
      <c r="AG103" t="s">
        <v>414</v>
      </c>
    </row>
    <row r="104" spans="2:33" hidden="1">
      <c r="C104" t="s">
        <v>11505</v>
      </c>
      <c r="F104">
        <f>COUNTIF(HCPs!W:W,HCO_Data!K104)</f>
        <v>3</v>
      </c>
      <c r="G104" t="str">
        <f>IF(COUNTIF('Testing Referrals'!B:B,HCO_Data!K104)&gt;0,"Yes","")</f>
        <v/>
      </c>
      <c r="H104">
        <f>COUNTIF('HCO referrals'!B:B,HCO_Data!K104)+COUNTIF('HCO referrals'!C:C,HCO_Data!K104)</f>
        <v>0</v>
      </c>
      <c r="I104">
        <v>440050433</v>
      </c>
      <c r="K104" t="s">
        <v>10152</v>
      </c>
      <c r="L104" s="13" t="s">
        <v>8656</v>
      </c>
      <c r="M104" t="s">
        <v>8657</v>
      </c>
      <c r="O104" t="s">
        <v>8658</v>
      </c>
      <c r="P104" t="s">
        <v>711</v>
      </c>
      <c r="Q104" t="s">
        <v>4283</v>
      </c>
      <c r="R104">
        <v>94</v>
      </c>
      <c r="S104">
        <v>107</v>
      </c>
      <c r="T104">
        <v>107</v>
      </c>
      <c r="V104" t="s">
        <v>414</v>
      </c>
      <c r="W104">
        <f>COUNTIFS('Clinical Trials HCO'!$A:$A, K104, 'Clinical Trials HCO'!$D:$D, "&lt;&gt;")</f>
        <v>0</v>
      </c>
    </row>
    <row r="105" spans="2:33" hidden="1">
      <c r="B105">
        <v>37</v>
      </c>
      <c r="C105" t="s">
        <v>8376</v>
      </c>
      <c r="D105" t="s">
        <v>1329</v>
      </c>
      <c r="F105">
        <f>COUNTIF(HCPs!W:W,HCO_Data!K105)</f>
        <v>4</v>
      </c>
      <c r="G105" t="str">
        <f>IF(COUNTIF('Testing Referrals'!B:B,HCO_Data!K105)&gt;0,"Yes","")</f>
        <v>Yes</v>
      </c>
      <c r="H105">
        <f>COUNTIF('HCO referrals'!B:B,HCO_Data!K105)+COUNTIF('HCO referrals'!C:C,HCO_Data!K105)</f>
        <v>6</v>
      </c>
      <c r="I105">
        <v>60000528</v>
      </c>
      <c r="K105" t="s">
        <v>4565</v>
      </c>
      <c r="L105" s="97" t="s">
        <v>395</v>
      </c>
      <c r="M105" s="12" t="s">
        <v>2939</v>
      </c>
      <c r="N105">
        <v>6100</v>
      </c>
      <c r="O105" t="s">
        <v>2956</v>
      </c>
      <c r="P105" s="12" t="s">
        <v>1296</v>
      </c>
      <c r="Q105" t="s">
        <v>4283</v>
      </c>
      <c r="R105">
        <v>54</v>
      </c>
      <c r="S105">
        <v>106</v>
      </c>
      <c r="T105">
        <v>106</v>
      </c>
      <c r="V105" t="s">
        <v>414</v>
      </c>
      <c r="W105">
        <f>COUNTIFS('Clinical Trials HCO'!$A:$A, K105, 'Clinical Trials HCO'!$D:$D, "&lt;&gt;")</f>
        <v>24</v>
      </c>
      <c r="AF105" t="s">
        <v>414</v>
      </c>
      <c r="AG105" t="s">
        <v>414</v>
      </c>
    </row>
    <row r="106" spans="2:33">
      <c r="B106">
        <v>39</v>
      </c>
      <c r="F106">
        <f>COUNTIF(HCPs!W:W,HCO_Data!K106)</f>
        <v>0</v>
      </c>
      <c r="G106" t="str">
        <f>IF(COUNTIF('Testing Referrals'!B:B,HCO_Data!K106)&gt;0,"Yes","")</f>
        <v/>
      </c>
      <c r="H106">
        <f>COUNTIF('HCO referrals'!B:B,HCO_Data!K106)+COUNTIF('HCO referrals'!C:C,HCO_Data!K106)</f>
        <v>0</v>
      </c>
      <c r="I106">
        <v>840000350</v>
      </c>
      <c r="K106" t="s">
        <v>10153</v>
      </c>
      <c r="L106" s="80" t="s">
        <v>1325</v>
      </c>
      <c r="M106" t="s">
        <v>2317</v>
      </c>
      <c r="N106">
        <v>84918</v>
      </c>
      <c r="O106" t="s">
        <v>1815</v>
      </c>
      <c r="Q106" t="s">
        <v>4283</v>
      </c>
      <c r="R106">
        <v>65</v>
      </c>
      <c r="S106">
        <v>105</v>
      </c>
      <c r="T106">
        <v>105</v>
      </c>
      <c r="V106" t="s">
        <v>414</v>
      </c>
      <c r="W106">
        <f>COUNTIFS('Clinical Trials HCO'!$A:$A, K106, 'Clinical Trials HCO'!$D:$D, "&lt;&gt;")</f>
        <v>0</v>
      </c>
      <c r="AG106" t="s">
        <v>414</v>
      </c>
    </row>
    <row r="107" spans="2:33">
      <c r="B107">
        <v>332</v>
      </c>
      <c r="F107">
        <f>COUNTIF(HCPs!W:W,HCO_Data!K107)</f>
        <v>0</v>
      </c>
      <c r="G107" t="str">
        <f>IF(COUNTIF('Testing Referrals'!B:B,HCO_Data!K107)&gt;0,"Yes","")</f>
        <v/>
      </c>
      <c r="H107">
        <f>COUNTIF('HCO referrals'!B:B,HCO_Data!K107)+COUNTIF('HCO referrals'!C:C,HCO_Data!K107)</f>
        <v>0</v>
      </c>
      <c r="I107">
        <v>220000012</v>
      </c>
      <c r="K107" t="s">
        <v>10154</v>
      </c>
      <c r="L107" t="s">
        <v>1356</v>
      </c>
      <c r="M107" t="s">
        <v>1742</v>
      </c>
      <c r="N107">
        <v>22023</v>
      </c>
      <c r="O107" t="s">
        <v>1743</v>
      </c>
      <c r="Q107" t="s">
        <v>4283</v>
      </c>
      <c r="R107">
        <v>124</v>
      </c>
      <c r="S107">
        <v>104</v>
      </c>
      <c r="T107">
        <v>104</v>
      </c>
      <c r="V107" t="s">
        <v>414</v>
      </c>
      <c r="W107">
        <f>COUNTIFS('Clinical Trials HCO'!$A:$A, K107, 'Clinical Trials HCO'!$D:$D, "&lt;&gt;")</f>
        <v>0</v>
      </c>
    </row>
    <row r="108" spans="2:33">
      <c r="F108">
        <f>COUNTIF(HCPs!W:W,HCO_Data!K108)</f>
        <v>0</v>
      </c>
      <c r="G108" t="str">
        <f>IF(COUNTIF('Testing Referrals'!B:B,HCO_Data!K108)&gt;0,"Yes","")</f>
        <v/>
      </c>
      <c r="H108">
        <f>COUNTIF('HCO referrals'!B:B,HCO_Data!K108)+COUNTIF('HCO referrals'!C:C,HCO_Data!K108)</f>
        <v>0</v>
      </c>
      <c r="I108">
        <v>750300139</v>
      </c>
      <c r="K108" t="s">
        <v>10155</v>
      </c>
      <c r="L108" t="s">
        <v>8787</v>
      </c>
      <c r="M108" t="s">
        <v>8788</v>
      </c>
      <c r="O108" t="s">
        <v>700</v>
      </c>
      <c r="P108" t="s">
        <v>700</v>
      </c>
      <c r="Q108" t="s">
        <v>4283</v>
      </c>
      <c r="R108">
        <v>429</v>
      </c>
      <c r="S108">
        <v>104</v>
      </c>
      <c r="T108">
        <v>104</v>
      </c>
      <c r="V108" t="s">
        <v>414</v>
      </c>
      <c r="W108">
        <f>COUNTIFS('Clinical Trials HCO'!$A:$A, K108, 'Clinical Trials HCO'!$D:$D, "&lt;&gt;")</f>
        <v>0</v>
      </c>
    </row>
    <row r="109" spans="2:33">
      <c r="B109">
        <v>417</v>
      </c>
      <c r="F109">
        <f>COUNTIF(HCPs!W:W,HCO_Data!K109)</f>
        <v>0</v>
      </c>
      <c r="G109" t="str">
        <f>IF(COUNTIF('Testing Referrals'!B:B,HCO_Data!K109)&gt;0,"Yes","")</f>
        <v/>
      </c>
      <c r="H109">
        <f>COUNTIF('HCO referrals'!B:B,HCO_Data!K109)+COUNTIF('HCO referrals'!C:C,HCO_Data!K109)</f>
        <v>0</v>
      </c>
      <c r="I109">
        <v>750150237</v>
      </c>
      <c r="K109" t="s">
        <v>10156</v>
      </c>
      <c r="L109" t="s">
        <v>1565</v>
      </c>
      <c r="M109" t="s">
        <v>2155</v>
      </c>
      <c r="N109">
        <v>75020</v>
      </c>
      <c r="O109" t="s">
        <v>700</v>
      </c>
      <c r="Q109" t="s">
        <v>4283</v>
      </c>
      <c r="R109">
        <v>112</v>
      </c>
      <c r="S109">
        <v>103</v>
      </c>
      <c r="T109">
        <v>103</v>
      </c>
      <c r="V109" t="s">
        <v>414</v>
      </c>
      <c r="W109">
        <f>COUNTIFS('Clinical Trials HCO'!$A:$A, K109, 'Clinical Trials HCO'!$D:$D, "&lt;&gt;")</f>
        <v>0</v>
      </c>
      <c r="AF109" t="s">
        <v>414</v>
      </c>
      <c r="AG109" t="s">
        <v>414</v>
      </c>
    </row>
    <row r="110" spans="2:33" hidden="1">
      <c r="B110">
        <v>420</v>
      </c>
      <c r="F110">
        <f>COUNTIF(HCPs!W:W,HCO_Data!K110)</f>
        <v>1</v>
      </c>
      <c r="G110" t="str">
        <f>IF(COUNTIF('Testing Referrals'!B:B,HCO_Data!K110)&gt;0,"Yes","")</f>
        <v/>
      </c>
      <c r="H110">
        <f>COUNTIF('HCO referrals'!B:B,HCO_Data!K110)+COUNTIF('HCO referrals'!C:C,HCO_Data!K110)</f>
        <v>0</v>
      </c>
      <c r="I110">
        <v>340015502</v>
      </c>
      <c r="K110" t="s">
        <v>7959</v>
      </c>
      <c r="L110" t="s">
        <v>7958</v>
      </c>
      <c r="M110" t="s">
        <v>2722</v>
      </c>
      <c r="N110">
        <v>34960</v>
      </c>
      <c r="O110" t="s">
        <v>858</v>
      </c>
      <c r="Q110" t="s">
        <v>4283</v>
      </c>
      <c r="R110">
        <v>360</v>
      </c>
      <c r="S110">
        <v>102</v>
      </c>
      <c r="T110">
        <v>102</v>
      </c>
      <c r="V110" t="s">
        <v>414</v>
      </c>
      <c r="W110">
        <f>COUNTIFS('Clinical Trials HCO'!$A:$A, K110, 'Clinical Trials HCO'!$D:$D, "&lt;&gt;")</f>
        <v>0</v>
      </c>
      <c r="AG110" t="s">
        <v>414</v>
      </c>
    </row>
    <row r="111" spans="2:33" hidden="1">
      <c r="B111">
        <v>487</v>
      </c>
      <c r="F111">
        <f>COUNTIF(HCPs!W:W,HCO_Data!K111)</f>
        <v>2</v>
      </c>
      <c r="G111" t="str">
        <f>IF(COUNTIF('Testing Referrals'!B:B,HCO_Data!K111)&gt;0,"Yes","")</f>
        <v/>
      </c>
      <c r="H111">
        <f>COUNTIF('HCO referrals'!B:B,HCO_Data!K111)+COUNTIF('HCO referrals'!C:C,HCO_Data!K111)</f>
        <v>0</v>
      </c>
      <c r="I111">
        <v>830000311</v>
      </c>
      <c r="K111" t="s">
        <v>10157</v>
      </c>
      <c r="L111" s="13" t="s">
        <v>2409</v>
      </c>
      <c r="M111" t="s">
        <v>1951</v>
      </c>
      <c r="N111">
        <v>83608</v>
      </c>
      <c r="O111" t="s">
        <v>1952</v>
      </c>
      <c r="Q111" t="s">
        <v>4283</v>
      </c>
      <c r="R111">
        <v>110</v>
      </c>
      <c r="S111">
        <v>102</v>
      </c>
      <c r="T111">
        <v>102</v>
      </c>
      <c r="V111" t="s">
        <v>414</v>
      </c>
      <c r="W111">
        <f>COUNTIFS('Clinical Trials HCO'!$A:$A, K111, 'Clinical Trials HCO'!$D:$D, "&lt;&gt;")</f>
        <v>0</v>
      </c>
      <c r="AF111" t="s">
        <v>414</v>
      </c>
    </row>
    <row r="112" spans="2:33" hidden="1">
      <c r="B112">
        <v>9</v>
      </c>
      <c r="F112">
        <f>COUNTIF(HCPs!W:W,HCO_Data!K112)</f>
        <v>3</v>
      </c>
      <c r="G112" t="str">
        <f>IF(COUNTIF('Testing Referrals'!B:B,HCO_Data!K112)&gt;0,"Yes","")</f>
        <v/>
      </c>
      <c r="H112">
        <f>COUNTIF('HCO referrals'!B:B,HCO_Data!K112)+COUNTIF('HCO referrals'!C:C,HCO_Data!K112)</f>
        <v>0</v>
      </c>
      <c r="I112">
        <v>620000224</v>
      </c>
      <c r="K112" t="s">
        <v>3756</v>
      </c>
      <c r="L112" t="s">
        <v>4279</v>
      </c>
      <c r="O112" t="s">
        <v>2039</v>
      </c>
      <c r="Q112" t="s">
        <v>4283</v>
      </c>
      <c r="R112">
        <v>91</v>
      </c>
      <c r="S112">
        <v>101</v>
      </c>
      <c r="T112">
        <v>101</v>
      </c>
      <c r="V112" t="s">
        <v>414</v>
      </c>
      <c r="W112">
        <f>COUNTIFS('Clinical Trials HCO'!$A:$A, K112, 'Clinical Trials HCO'!$D:$D, "&lt;&gt;")</f>
        <v>2</v>
      </c>
      <c r="AC112" t="s">
        <v>414</v>
      </c>
      <c r="AG112" t="s">
        <v>414</v>
      </c>
    </row>
    <row r="113" spans="2:33" hidden="1">
      <c r="B113">
        <v>135</v>
      </c>
      <c r="F113">
        <f>COUNTIF(HCPs!W:W,HCO_Data!K113)</f>
        <v>1</v>
      </c>
      <c r="G113" t="str">
        <f>IF(COUNTIF('Testing Referrals'!B:B,HCO_Data!K113)&gt;0,"Yes","")</f>
        <v/>
      </c>
      <c r="H113">
        <f>COUNTIF('HCO referrals'!B:B,HCO_Data!K113)+COUNTIF('HCO referrals'!C:C,HCO_Data!K113)</f>
        <v>0</v>
      </c>
      <c r="I113">
        <v>410000020</v>
      </c>
      <c r="K113" t="s">
        <v>8150</v>
      </c>
      <c r="L113" t="s">
        <v>8149</v>
      </c>
      <c r="M113" t="s">
        <v>1793</v>
      </c>
      <c r="N113">
        <v>41016</v>
      </c>
      <c r="O113" t="s">
        <v>1794</v>
      </c>
      <c r="Q113" t="s">
        <v>4283</v>
      </c>
      <c r="R113">
        <v>123</v>
      </c>
      <c r="S113">
        <v>101</v>
      </c>
      <c r="T113">
        <v>101</v>
      </c>
      <c r="V113" t="s">
        <v>414</v>
      </c>
      <c r="W113">
        <f>COUNTIFS('Clinical Trials HCO'!$A:$A, K113, 'Clinical Trials HCO'!$D:$D, "&lt;&gt;")</f>
        <v>0</v>
      </c>
      <c r="AF113" t="s">
        <v>414</v>
      </c>
      <c r="AG113" t="s">
        <v>414</v>
      </c>
    </row>
    <row r="114" spans="2:33">
      <c r="B114">
        <v>207</v>
      </c>
      <c r="F114">
        <f>COUNTIF(HCPs!W:W,HCO_Data!K114)</f>
        <v>0</v>
      </c>
      <c r="G114" t="str">
        <f>IF(COUNTIF('Testing Referrals'!B:B,HCO_Data!K114)&gt;0,"Yes","")</f>
        <v/>
      </c>
      <c r="H114">
        <f>COUNTIF('HCO referrals'!B:B,HCO_Data!K114)+COUNTIF('HCO referrals'!C:C,HCO_Data!K114)</f>
        <v>0</v>
      </c>
      <c r="I114">
        <v>730000031</v>
      </c>
      <c r="K114" t="s">
        <v>10158</v>
      </c>
      <c r="L114" t="s">
        <v>1466</v>
      </c>
      <c r="M114" t="s">
        <v>1981</v>
      </c>
      <c r="N114">
        <v>73011</v>
      </c>
      <c r="O114" t="s">
        <v>1982</v>
      </c>
      <c r="Q114" t="s">
        <v>4283</v>
      </c>
      <c r="R114">
        <v>114</v>
      </c>
      <c r="S114">
        <v>100</v>
      </c>
      <c r="T114">
        <v>100</v>
      </c>
      <c r="V114" t="s">
        <v>414</v>
      </c>
      <c r="W114">
        <f>COUNTIFS('Clinical Trials HCO'!$A:$A, K114, 'Clinical Trials HCO'!$D:$D, "&lt;&gt;")</f>
        <v>0</v>
      </c>
      <c r="AF114" t="s">
        <v>414</v>
      </c>
      <c r="AG114" t="s">
        <v>414</v>
      </c>
    </row>
    <row r="115" spans="2:33">
      <c r="B115">
        <v>133</v>
      </c>
      <c r="F115">
        <f>COUNTIF(HCPs!W:W,HCO_Data!K115)</f>
        <v>0</v>
      </c>
      <c r="G115" t="str">
        <f>IF(COUNTIF('Testing Referrals'!B:B,HCO_Data!K115)&gt;0,"Yes","")</f>
        <v/>
      </c>
      <c r="H115">
        <f>COUNTIF('HCO referrals'!B:B,HCO_Data!K115)+COUNTIF('HCO referrals'!C:C,HCO_Data!K115)</f>
        <v>0</v>
      </c>
      <c r="I115">
        <v>600000194</v>
      </c>
      <c r="K115" t="s">
        <v>10159</v>
      </c>
      <c r="L115" t="s">
        <v>1376</v>
      </c>
      <c r="M115" t="s">
        <v>1787</v>
      </c>
      <c r="N115">
        <v>60021</v>
      </c>
      <c r="O115" t="s">
        <v>1788</v>
      </c>
      <c r="Q115" t="s">
        <v>4283</v>
      </c>
      <c r="R115">
        <v>99</v>
      </c>
      <c r="S115">
        <v>99</v>
      </c>
      <c r="T115">
        <v>99</v>
      </c>
      <c r="V115" t="s">
        <v>414</v>
      </c>
      <c r="W115">
        <f>COUNTIFS('Clinical Trials HCO'!$A:$A, K115, 'Clinical Trials HCO'!$D:$D, "&lt;&gt;")</f>
        <v>0</v>
      </c>
      <c r="AF115" t="s">
        <v>414</v>
      </c>
      <c r="AG115" t="s">
        <v>414</v>
      </c>
    </row>
    <row r="116" spans="2:33">
      <c r="B116">
        <v>220</v>
      </c>
      <c r="F116">
        <f>COUNTIF(HCPs!W:W,HCO_Data!K116)</f>
        <v>0</v>
      </c>
      <c r="G116" t="str">
        <f>IF(COUNTIF('Testing Referrals'!B:B,HCO_Data!K116)&gt;0,"Yes","")</f>
        <v/>
      </c>
      <c r="H116">
        <f>COUNTIF('HCO referrals'!B:B,HCO_Data!K116)+COUNTIF('HCO referrals'!C:C,HCO_Data!K116)</f>
        <v>0</v>
      </c>
      <c r="I116">
        <v>970400057</v>
      </c>
      <c r="K116" t="s">
        <v>10160</v>
      </c>
      <c r="L116" t="s">
        <v>1489</v>
      </c>
      <c r="M116" t="s">
        <v>2013</v>
      </c>
      <c r="N116">
        <v>97448</v>
      </c>
      <c r="O116" t="s">
        <v>2014</v>
      </c>
      <c r="Q116" t="s">
        <v>4283</v>
      </c>
      <c r="R116">
        <v>97</v>
      </c>
      <c r="S116">
        <v>99</v>
      </c>
      <c r="T116">
        <v>99</v>
      </c>
      <c r="V116" t="s">
        <v>414</v>
      </c>
      <c r="W116">
        <f>COUNTIFS('Clinical Trials HCO'!$A:$A, K116, 'Clinical Trials HCO'!$D:$D, "&lt;&gt;")</f>
        <v>0</v>
      </c>
      <c r="AF116" t="s">
        <v>414</v>
      </c>
      <c r="AG116" t="s">
        <v>414</v>
      </c>
    </row>
    <row r="117" spans="2:33">
      <c r="B117">
        <v>266</v>
      </c>
      <c r="F117">
        <f>COUNTIF(HCPs!W:W,HCO_Data!K117)</f>
        <v>0</v>
      </c>
      <c r="G117" t="str">
        <f>IF(COUNTIF('Testing Referrals'!B:B,HCO_Data!K117)&gt;0,"Yes","")</f>
        <v/>
      </c>
      <c r="H117">
        <f>COUNTIF('HCO referrals'!B:B,HCO_Data!K117)+COUNTIF('HCO referrals'!C:C,HCO_Data!K117)</f>
        <v>0</v>
      </c>
      <c r="I117">
        <v>60800166</v>
      </c>
      <c r="K117" t="s">
        <v>10161</v>
      </c>
      <c r="L117" t="s">
        <v>629</v>
      </c>
      <c r="M117" t="s">
        <v>2280</v>
      </c>
      <c r="N117">
        <v>6254</v>
      </c>
      <c r="O117" t="s">
        <v>2281</v>
      </c>
      <c r="Q117" t="s">
        <v>4283</v>
      </c>
      <c r="R117">
        <v>80</v>
      </c>
      <c r="S117">
        <v>97</v>
      </c>
      <c r="T117">
        <v>97</v>
      </c>
      <c r="V117" t="s">
        <v>414</v>
      </c>
      <c r="W117">
        <f>COUNTIFS('Clinical Trials HCO'!$A:$A, K117, 'Clinical Trials HCO'!$D:$D, "&lt;&gt;")</f>
        <v>0</v>
      </c>
      <c r="AF117" t="s">
        <v>414</v>
      </c>
      <c r="AG117" t="s">
        <v>414</v>
      </c>
    </row>
    <row r="118" spans="2:33" hidden="1">
      <c r="B118">
        <v>222</v>
      </c>
      <c r="F118">
        <f>COUNTIF(HCPs!W:W,HCO_Data!K118)</f>
        <v>1</v>
      </c>
      <c r="G118" t="str">
        <f>IF(COUNTIF('Testing Referrals'!B:B,HCO_Data!K118)&gt;0,"Yes","")</f>
        <v/>
      </c>
      <c r="H118">
        <f>COUNTIF('HCO referrals'!B:B,HCO_Data!K118)+COUNTIF('HCO referrals'!C:C,HCO_Data!K118)</f>
        <v>0</v>
      </c>
      <c r="I118">
        <v>810000224</v>
      </c>
      <c r="K118" t="s">
        <v>10162</v>
      </c>
      <c r="L118" s="13" t="s">
        <v>1491</v>
      </c>
      <c r="M118" t="s">
        <v>2017</v>
      </c>
      <c r="N118">
        <v>81000</v>
      </c>
      <c r="O118" t="s">
        <v>1771</v>
      </c>
      <c r="Q118" t="s">
        <v>4283</v>
      </c>
      <c r="R118">
        <v>134</v>
      </c>
      <c r="S118">
        <v>97</v>
      </c>
      <c r="T118">
        <v>97</v>
      </c>
      <c r="V118" t="s">
        <v>414</v>
      </c>
      <c r="W118">
        <f>COUNTIFS('Clinical Trials HCO'!$A:$A, K118, 'Clinical Trials HCO'!$D:$D, "&lt;&gt;")</f>
        <v>0</v>
      </c>
      <c r="AF118" t="s">
        <v>414</v>
      </c>
      <c r="AG118" t="s">
        <v>414</v>
      </c>
    </row>
    <row r="119" spans="2:33">
      <c r="B119">
        <v>179</v>
      </c>
      <c r="C119" t="s">
        <v>8560</v>
      </c>
      <c r="F119">
        <f>COUNTIF(HCPs!W:W,HCO_Data!K119)</f>
        <v>0</v>
      </c>
      <c r="G119" t="str">
        <f>IF(COUNTIF('Testing Referrals'!B:B,HCO_Data!K119)&gt;0,"Yes","")</f>
        <v/>
      </c>
      <c r="H119">
        <f>COUNTIF('HCO referrals'!B:B,HCO_Data!K119)+COUNTIF('HCO referrals'!C:C,HCO_Data!K119)</f>
        <v>0</v>
      </c>
      <c r="I119">
        <v>660000084</v>
      </c>
      <c r="K119" t="s">
        <v>3804</v>
      </c>
      <c r="L119" t="s">
        <v>7842</v>
      </c>
      <c r="M119" t="s">
        <v>1906</v>
      </c>
      <c r="N119">
        <v>66046</v>
      </c>
      <c r="O119" t="s">
        <v>1907</v>
      </c>
      <c r="Q119" t="s">
        <v>4283</v>
      </c>
      <c r="R119">
        <v>158</v>
      </c>
      <c r="S119">
        <v>96</v>
      </c>
      <c r="T119">
        <v>96</v>
      </c>
      <c r="V119" t="s">
        <v>414</v>
      </c>
      <c r="W119">
        <f>COUNTIFS('Clinical Trials HCO'!$A:$A, K119, 'Clinical Trials HCO'!$D:$D, "&lt;&gt;")</f>
        <v>0</v>
      </c>
      <c r="AF119" t="s">
        <v>414</v>
      </c>
      <c r="AG119" t="s">
        <v>414</v>
      </c>
    </row>
    <row r="120" spans="2:33">
      <c r="F120">
        <f>COUNTIF(HCPs!W:W,HCO_Data!K120)</f>
        <v>0</v>
      </c>
      <c r="G120" t="str">
        <f>IF(COUNTIF('Testing Referrals'!B:B,HCO_Data!K120)&gt;0,"Yes","")</f>
        <v/>
      </c>
      <c r="H120">
        <f>COUNTIF('HCO referrals'!B:B,HCO_Data!K120)+COUNTIF('HCO referrals'!C:C,HCO_Data!K120)</f>
        <v>0</v>
      </c>
      <c r="I120">
        <v>340780642</v>
      </c>
      <c r="K120" t="s">
        <v>10163</v>
      </c>
      <c r="L120" t="s">
        <v>8670</v>
      </c>
      <c r="M120" t="s">
        <v>8671</v>
      </c>
      <c r="N120">
        <v>34070</v>
      </c>
      <c r="O120" t="s">
        <v>858</v>
      </c>
      <c r="P120" t="s">
        <v>733</v>
      </c>
      <c r="Q120" t="s">
        <v>4283</v>
      </c>
      <c r="R120">
        <v>144</v>
      </c>
      <c r="S120">
        <v>96</v>
      </c>
      <c r="T120">
        <v>96</v>
      </c>
      <c r="V120" t="s">
        <v>414</v>
      </c>
      <c r="W120">
        <f>COUNTIFS('Clinical Trials HCO'!$A:$A, K120, 'Clinical Trials HCO'!$D:$D, "&lt;&gt;")</f>
        <v>0</v>
      </c>
      <c r="AF120" t="s">
        <v>414</v>
      </c>
      <c r="AG120" t="s">
        <v>414</v>
      </c>
    </row>
    <row r="121" spans="2:33" hidden="1">
      <c r="B121">
        <v>204</v>
      </c>
      <c r="F121">
        <f>COUNTIF(HCPs!W:W,HCO_Data!K121)</f>
        <v>1</v>
      </c>
      <c r="G121" t="str">
        <f>IF(COUNTIF('Testing Referrals'!B:B,HCO_Data!K121)&gt;0,"Yes","")</f>
        <v/>
      </c>
      <c r="H121">
        <f>COUNTIF('HCO referrals'!B:B,HCO_Data!K121)+COUNTIF('HCO referrals'!C:C,HCO_Data!K121)</f>
        <v>0</v>
      </c>
      <c r="I121">
        <v>290000025</v>
      </c>
      <c r="K121" t="s">
        <v>3805</v>
      </c>
      <c r="L121" t="s">
        <v>7944</v>
      </c>
      <c r="M121" t="s">
        <v>1973</v>
      </c>
      <c r="N121">
        <v>29107</v>
      </c>
      <c r="O121" t="s">
        <v>918</v>
      </c>
      <c r="Q121" t="s">
        <v>4283</v>
      </c>
      <c r="R121">
        <v>105</v>
      </c>
      <c r="S121">
        <v>95</v>
      </c>
      <c r="T121">
        <v>95</v>
      </c>
      <c r="V121" t="s">
        <v>414</v>
      </c>
      <c r="W121">
        <f>COUNTIFS('Clinical Trials HCO'!$A:$A, K121, 'Clinical Trials HCO'!$D:$D, "&lt;&gt;")</f>
        <v>0</v>
      </c>
      <c r="AF121" t="s">
        <v>414</v>
      </c>
      <c r="AG121" t="s">
        <v>414</v>
      </c>
    </row>
    <row r="122" spans="2:33" hidden="1">
      <c r="B122">
        <v>281</v>
      </c>
      <c r="C122" t="s">
        <v>8042</v>
      </c>
      <c r="F122">
        <f>COUNTIF(HCPs!W:W,HCO_Data!K122)</f>
        <v>4</v>
      </c>
      <c r="G122" t="str">
        <f>IF(COUNTIF('Testing Referrals'!B:B,HCO_Data!K122)&gt;0,"Yes","")</f>
        <v>Yes</v>
      </c>
      <c r="H122">
        <f>COUNTIF('HCO referrals'!B:B,HCO_Data!K122)+COUNTIF('HCO referrals'!C:C,HCO_Data!K122)</f>
        <v>0</v>
      </c>
      <c r="I122">
        <v>750100075</v>
      </c>
      <c r="K122" t="s">
        <v>3747</v>
      </c>
      <c r="L122" s="74" t="s">
        <v>4298</v>
      </c>
      <c r="M122" t="s">
        <v>2303</v>
      </c>
      <c r="N122">
        <v>75475</v>
      </c>
      <c r="O122" t="s">
        <v>700</v>
      </c>
      <c r="Q122" t="s">
        <v>4283</v>
      </c>
      <c r="R122">
        <v>77</v>
      </c>
      <c r="S122">
        <v>94</v>
      </c>
      <c r="T122">
        <v>94</v>
      </c>
      <c r="V122" t="s">
        <v>414</v>
      </c>
      <c r="W122">
        <f>COUNTIFS('Clinical Trials HCO'!$A:$A, K122, 'Clinical Trials HCO'!$D:$D, "&lt;&gt;")</f>
        <v>10</v>
      </c>
      <c r="AC122" t="s">
        <v>414</v>
      </c>
      <c r="AG122" t="s">
        <v>414</v>
      </c>
    </row>
    <row r="123" spans="2:33">
      <c r="B123">
        <v>256</v>
      </c>
      <c r="F123">
        <f>COUNTIF(HCPs!W:W,HCO_Data!K123)</f>
        <v>0</v>
      </c>
      <c r="G123" t="str">
        <f>IF(COUNTIF('Testing Referrals'!B:B,HCO_Data!K123)&gt;0,"Yes","")</f>
        <v/>
      </c>
      <c r="H123">
        <f>COUNTIF('HCO referrals'!B:B,HCO_Data!K123)+COUNTIF('HCO referrals'!C:C,HCO_Data!K123)</f>
        <v>0</v>
      </c>
      <c r="I123">
        <v>350000147</v>
      </c>
      <c r="K123" t="s">
        <v>10164</v>
      </c>
      <c r="L123" t="s">
        <v>1549</v>
      </c>
      <c r="M123" t="s">
        <v>2135</v>
      </c>
      <c r="N123">
        <v>35403</v>
      </c>
      <c r="O123" t="s">
        <v>1003</v>
      </c>
      <c r="Q123" t="s">
        <v>4283</v>
      </c>
      <c r="R123">
        <v>136</v>
      </c>
      <c r="S123">
        <v>94</v>
      </c>
      <c r="T123">
        <v>94</v>
      </c>
      <c r="V123" t="s">
        <v>414</v>
      </c>
      <c r="W123">
        <f>COUNTIFS('Clinical Trials HCO'!$A:$A, K123, 'Clinical Trials HCO'!$D:$D, "&lt;&gt;")</f>
        <v>0</v>
      </c>
      <c r="AF123" t="s">
        <v>414</v>
      </c>
    </row>
    <row r="124" spans="2:33" hidden="1">
      <c r="B124">
        <v>278</v>
      </c>
      <c r="F124">
        <f>COUNTIF(HCPs!W:W,HCO_Data!K124)</f>
        <v>4</v>
      </c>
      <c r="G124" t="str">
        <f>IF(COUNTIF('Testing Referrals'!B:B,HCO_Data!K124)&gt;0,"Yes","")</f>
        <v/>
      </c>
      <c r="H124">
        <f>COUNTIF('HCO referrals'!B:B,HCO_Data!K124)+COUNTIF('HCO referrals'!C:C,HCO_Data!K124)</f>
        <v>0</v>
      </c>
      <c r="I124">
        <v>940100043</v>
      </c>
      <c r="K124" t="s">
        <v>3793</v>
      </c>
      <c r="L124" s="74" t="s">
        <v>4286</v>
      </c>
      <c r="M124" t="s">
        <v>2298</v>
      </c>
      <c r="N124">
        <v>94275</v>
      </c>
      <c r="O124" t="s">
        <v>2299</v>
      </c>
      <c r="Q124" t="s">
        <v>4283</v>
      </c>
      <c r="R124">
        <v>117</v>
      </c>
      <c r="S124">
        <v>93</v>
      </c>
      <c r="T124">
        <v>93</v>
      </c>
      <c r="V124" t="s">
        <v>414</v>
      </c>
      <c r="W124">
        <f>COUNTIFS('Clinical Trials HCO'!$A:$A, K124, 'Clinical Trials HCO'!$D:$D, "&lt;&gt;")</f>
        <v>0</v>
      </c>
      <c r="AF124" t="s">
        <v>414</v>
      </c>
      <c r="AG124" t="s">
        <v>414</v>
      </c>
    </row>
    <row r="125" spans="2:33" hidden="1">
      <c r="B125">
        <v>523</v>
      </c>
      <c r="F125">
        <f>COUNTIF(HCPs!W:W,HCO_Data!K125)</f>
        <v>2</v>
      </c>
      <c r="G125" t="str">
        <f>IF(COUNTIF('Testing Referrals'!B:B,HCO_Data!K125)&gt;0,"Yes","")</f>
        <v/>
      </c>
      <c r="H125">
        <f>COUNTIF('HCO referrals'!B:B,HCO_Data!K125)+COUNTIF('HCO referrals'!C:C,HCO_Data!K125)</f>
        <v>0</v>
      </c>
      <c r="I125">
        <v>920000650</v>
      </c>
      <c r="K125" t="s">
        <v>3795</v>
      </c>
      <c r="L125" t="s">
        <v>3481</v>
      </c>
      <c r="M125" t="s">
        <v>2170</v>
      </c>
      <c r="N125">
        <v>92151</v>
      </c>
      <c r="O125" t="s">
        <v>2171</v>
      </c>
      <c r="Q125" t="s">
        <v>4283</v>
      </c>
      <c r="R125">
        <v>106</v>
      </c>
      <c r="S125">
        <v>92</v>
      </c>
      <c r="T125">
        <v>92</v>
      </c>
      <c r="V125" t="s">
        <v>414</v>
      </c>
      <c r="W125">
        <f>COUNTIFS('Clinical Trials HCO'!$A:$A, K125, 'Clinical Trials HCO'!$D:$D, "&lt;&gt;")</f>
        <v>0</v>
      </c>
      <c r="AF125" t="s">
        <v>414</v>
      </c>
    </row>
    <row r="126" spans="2:33">
      <c r="B126">
        <v>428</v>
      </c>
      <c r="F126">
        <f>COUNTIF(HCPs!W:W,HCO_Data!K126)</f>
        <v>0</v>
      </c>
      <c r="G126" t="str">
        <f>IF(COUNTIF('Testing Referrals'!B:B,HCO_Data!K126)&gt;0,"Yes","")</f>
        <v/>
      </c>
      <c r="H126">
        <f>COUNTIF('HCO referrals'!B:B,HCO_Data!K126)+COUNTIF('HCO referrals'!C:C,HCO_Data!K126)</f>
        <v>0</v>
      </c>
      <c r="I126">
        <v>940000656</v>
      </c>
      <c r="K126" t="s">
        <v>10165</v>
      </c>
      <c r="L126" t="s">
        <v>1500</v>
      </c>
      <c r="M126" t="s">
        <v>2032</v>
      </c>
      <c r="N126">
        <v>94669</v>
      </c>
      <c r="O126" t="s">
        <v>2033</v>
      </c>
      <c r="Q126" t="s">
        <v>4283</v>
      </c>
      <c r="R126">
        <v>457</v>
      </c>
      <c r="S126">
        <v>92</v>
      </c>
      <c r="T126">
        <v>92</v>
      </c>
      <c r="V126" t="s">
        <v>414</v>
      </c>
      <c r="W126">
        <f>COUNTIFS('Clinical Trials HCO'!$A:$A, K126, 'Clinical Trials HCO'!$D:$D, "&lt;&gt;")</f>
        <v>0</v>
      </c>
      <c r="AF126" t="s">
        <v>414</v>
      </c>
      <c r="AG126" t="s">
        <v>414</v>
      </c>
    </row>
    <row r="127" spans="2:33">
      <c r="B127">
        <v>511</v>
      </c>
      <c r="F127">
        <f>COUNTIF(HCPs!W:W,HCO_Data!K127)</f>
        <v>0</v>
      </c>
      <c r="G127" t="str">
        <f>IF(COUNTIF('Testing Referrals'!B:B,HCO_Data!K127)&gt;0,"Yes","")</f>
        <v/>
      </c>
      <c r="H127">
        <f>COUNTIF('HCO referrals'!B:B,HCO_Data!K127)+COUNTIF('HCO referrals'!C:C,HCO_Data!K127)</f>
        <v>0</v>
      </c>
      <c r="I127">
        <v>760805770</v>
      </c>
      <c r="K127" t="s">
        <v>10166</v>
      </c>
      <c r="L127" t="s">
        <v>1579</v>
      </c>
      <c r="M127" t="s">
        <v>2175</v>
      </c>
      <c r="N127">
        <v>76290</v>
      </c>
      <c r="O127" t="s">
        <v>2176</v>
      </c>
      <c r="Q127" t="s">
        <v>4283</v>
      </c>
      <c r="R127">
        <v>107</v>
      </c>
      <c r="S127">
        <v>91</v>
      </c>
      <c r="T127">
        <v>91</v>
      </c>
      <c r="V127" t="s">
        <v>414</v>
      </c>
      <c r="W127">
        <f>COUNTIFS('Clinical Trials HCO'!$A:$A, K127, 'Clinical Trials HCO'!$D:$D, "&lt;&gt;")</f>
        <v>0</v>
      </c>
      <c r="AF127" t="s">
        <v>414</v>
      </c>
      <c r="AG127" t="s">
        <v>414</v>
      </c>
    </row>
    <row r="128" spans="2:33">
      <c r="B128">
        <v>260</v>
      </c>
      <c r="F128">
        <f>COUNTIF(HCPs!W:W,HCO_Data!K128)</f>
        <v>0</v>
      </c>
      <c r="G128" t="str">
        <f>IF(COUNTIF('Testing Referrals'!B:B,HCO_Data!K128)&gt;0,"Yes","")</f>
        <v/>
      </c>
      <c r="H128">
        <f>COUNTIF('HCO referrals'!B:B,HCO_Data!K128)+COUNTIF('HCO referrals'!C:C,HCO_Data!K128)</f>
        <v>0</v>
      </c>
      <c r="I128">
        <v>900003039</v>
      </c>
      <c r="K128" t="s">
        <v>10167</v>
      </c>
      <c r="L128" t="s">
        <v>1554</v>
      </c>
      <c r="M128" t="s">
        <v>2141</v>
      </c>
      <c r="N128">
        <v>90400</v>
      </c>
      <c r="O128" t="s">
        <v>2142</v>
      </c>
      <c r="Q128" t="s">
        <v>4283</v>
      </c>
      <c r="R128">
        <v>411</v>
      </c>
      <c r="S128">
        <v>91</v>
      </c>
      <c r="T128">
        <v>91</v>
      </c>
      <c r="V128" t="s">
        <v>414</v>
      </c>
      <c r="W128">
        <f>COUNTIFS('Clinical Trials HCO'!$A:$A, K128, 'Clinical Trials HCO'!$D:$D, "&lt;&gt;")</f>
        <v>0</v>
      </c>
      <c r="AF128" t="s">
        <v>414</v>
      </c>
      <c r="AG128" t="s">
        <v>414</v>
      </c>
    </row>
    <row r="129" spans="2:33">
      <c r="B129">
        <v>244</v>
      </c>
      <c r="F129">
        <f>COUNTIF(HCPs!W:W,HCO_Data!K129)</f>
        <v>0</v>
      </c>
      <c r="G129" t="str">
        <f>IF(COUNTIF('Testing Referrals'!B:B,HCO_Data!K129)&gt;0,"Yes","")</f>
        <v/>
      </c>
      <c r="H129">
        <f>COUNTIF('HCO referrals'!B:B,HCO_Data!K129)+COUNTIF('HCO referrals'!C:C,HCO_Data!K129)</f>
        <v>0</v>
      </c>
      <c r="I129">
        <v>330000605</v>
      </c>
      <c r="K129" t="s">
        <v>10168</v>
      </c>
      <c r="L129" t="s">
        <v>1542</v>
      </c>
      <c r="M129" t="s">
        <v>2116</v>
      </c>
      <c r="N129">
        <v>33505</v>
      </c>
      <c r="O129" t="s">
        <v>2117</v>
      </c>
      <c r="Q129" t="s">
        <v>4283</v>
      </c>
      <c r="R129">
        <v>69</v>
      </c>
      <c r="S129">
        <v>90</v>
      </c>
      <c r="T129">
        <v>90</v>
      </c>
      <c r="V129" t="s">
        <v>414</v>
      </c>
      <c r="W129">
        <f>COUNTIFS('Clinical Trials HCO'!$A:$A, K129, 'Clinical Trials HCO'!$D:$D, "&lt;&gt;")</f>
        <v>0</v>
      </c>
      <c r="AF129" t="s">
        <v>414</v>
      </c>
      <c r="AG129" t="s">
        <v>414</v>
      </c>
    </row>
    <row r="130" spans="2:33">
      <c r="F130">
        <f>COUNTIF(HCPs!W:W,HCO_Data!K130)</f>
        <v>0</v>
      </c>
      <c r="G130" t="str">
        <f>IF(COUNTIF('Testing Referrals'!B:B,HCO_Data!K130)&gt;0,"Yes","")</f>
        <v/>
      </c>
      <c r="H130">
        <f>COUNTIF('HCO referrals'!B:B,HCO_Data!K130)+COUNTIF('HCO referrals'!C:C,HCO_Data!K130)</f>
        <v>0</v>
      </c>
      <c r="I130">
        <v>800013179</v>
      </c>
      <c r="K130" t="s">
        <v>10169</v>
      </c>
      <c r="L130" t="s">
        <v>8662</v>
      </c>
      <c r="M130" t="s">
        <v>8663</v>
      </c>
      <c r="N130">
        <v>80000</v>
      </c>
      <c r="O130" t="s">
        <v>840</v>
      </c>
      <c r="P130" t="s">
        <v>729</v>
      </c>
      <c r="Q130" t="s">
        <v>4283</v>
      </c>
      <c r="R130">
        <v>121</v>
      </c>
      <c r="S130">
        <v>89</v>
      </c>
      <c r="T130">
        <v>89</v>
      </c>
      <c r="V130" t="s">
        <v>414</v>
      </c>
      <c r="W130">
        <f>COUNTIFS('Clinical Trials HCO'!$A:$A, K130, 'Clinical Trials HCO'!$D:$D, "&lt;&gt;")</f>
        <v>0</v>
      </c>
      <c r="AF130" t="s">
        <v>414</v>
      </c>
    </row>
    <row r="131" spans="2:33">
      <c r="B131">
        <v>248</v>
      </c>
      <c r="F131">
        <f>COUNTIF(HCPs!W:W,HCO_Data!K131)</f>
        <v>0</v>
      </c>
      <c r="G131" t="str">
        <f>IF(COUNTIF('Testing Referrals'!B:B,HCO_Data!K131)&gt;0,"Yes","")</f>
        <v/>
      </c>
      <c r="H131">
        <f>COUNTIF('HCO referrals'!B:B,HCO_Data!K131)+COUNTIF('HCO referrals'!C:C,HCO_Data!K131)</f>
        <v>0</v>
      </c>
      <c r="I131">
        <v>930300082</v>
      </c>
      <c r="K131" t="s">
        <v>10170</v>
      </c>
      <c r="L131" t="s">
        <v>1360</v>
      </c>
      <c r="M131" t="s">
        <v>1749</v>
      </c>
      <c r="N131">
        <v>93170</v>
      </c>
      <c r="O131" t="s">
        <v>1750</v>
      </c>
      <c r="Q131" t="s">
        <v>4283</v>
      </c>
      <c r="R131">
        <v>251</v>
      </c>
      <c r="S131">
        <v>89</v>
      </c>
      <c r="T131">
        <v>89</v>
      </c>
      <c r="V131" t="s">
        <v>414</v>
      </c>
      <c r="W131">
        <f>COUNTIFS('Clinical Trials HCO'!$A:$A, K131, 'Clinical Trials HCO'!$D:$D, "&lt;&gt;")</f>
        <v>0</v>
      </c>
      <c r="AF131" t="s">
        <v>414</v>
      </c>
      <c r="AG131" t="s">
        <v>414</v>
      </c>
    </row>
    <row r="132" spans="2:33" hidden="1">
      <c r="B132">
        <v>271</v>
      </c>
      <c r="C132" t="s">
        <v>4709</v>
      </c>
      <c r="F132">
        <f>COUNTIF(HCPs!W:W,HCO_Data!K132)</f>
        <v>2</v>
      </c>
      <c r="G132" t="str">
        <f>IF(COUNTIF('Testing Referrals'!B:B,HCO_Data!K132)&gt;0,"Yes","")</f>
        <v>Yes</v>
      </c>
      <c r="H132">
        <f>COUNTIF('HCO referrals'!B:B,HCO_Data!K132)+COUNTIF('HCO referrals'!C:C,HCO_Data!K132)</f>
        <v>2</v>
      </c>
      <c r="I132">
        <v>920100013</v>
      </c>
      <c r="K132" t="s">
        <v>3760</v>
      </c>
      <c r="L132" t="s">
        <v>4284</v>
      </c>
      <c r="M132" t="s">
        <v>2289</v>
      </c>
      <c r="N132">
        <v>92104</v>
      </c>
      <c r="O132" t="s">
        <v>2115</v>
      </c>
      <c r="Q132" t="s">
        <v>4283</v>
      </c>
      <c r="R132">
        <v>401</v>
      </c>
      <c r="S132">
        <v>88</v>
      </c>
      <c r="T132">
        <v>88</v>
      </c>
      <c r="V132" t="s">
        <v>414</v>
      </c>
      <c r="W132">
        <f>COUNTIFS('Clinical Trials HCO'!$A:$A, K132, 'Clinical Trials HCO'!$D:$D, "&lt;&gt;")</f>
        <v>0</v>
      </c>
      <c r="AD132" s="12" t="s">
        <v>414</v>
      </c>
      <c r="AE132" s="12"/>
      <c r="AF132" s="12"/>
      <c r="AG132" s="12"/>
    </row>
    <row r="133" spans="2:33">
      <c r="B133">
        <v>663</v>
      </c>
      <c r="F133">
        <f>COUNTIF(HCPs!W:W,HCO_Data!K133)</f>
        <v>0</v>
      </c>
      <c r="G133" t="str">
        <f>IF(COUNTIF('Testing Referrals'!B:B,HCO_Data!K133)&gt;0,"Yes","")</f>
        <v/>
      </c>
      <c r="H133">
        <f>COUNTIF('HCO referrals'!B:B,HCO_Data!K133)+COUNTIF('HCO referrals'!C:C,HCO_Data!K133)</f>
        <v>0</v>
      </c>
      <c r="I133">
        <v>730004298</v>
      </c>
      <c r="K133" t="s">
        <v>10171</v>
      </c>
      <c r="L133" t="s">
        <v>1619</v>
      </c>
      <c r="M133" t="s">
        <v>2237</v>
      </c>
      <c r="N133">
        <v>73190</v>
      </c>
      <c r="O133" t="s">
        <v>2238</v>
      </c>
      <c r="Q133" t="s">
        <v>4283</v>
      </c>
      <c r="R133">
        <v>166</v>
      </c>
      <c r="S133">
        <v>88</v>
      </c>
      <c r="T133">
        <v>88</v>
      </c>
      <c r="V133" t="s">
        <v>414</v>
      </c>
      <c r="W133">
        <f>COUNTIFS('Clinical Trials HCO'!$A:$A, K133, 'Clinical Trials HCO'!$D:$D, "&lt;&gt;")</f>
        <v>0</v>
      </c>
      <c r="AF133" t="s">
        <v>414</v>
      </c>
      <c r="AG133" t="s">
        <v>414</v>
      </c>
    </row>
    <row r="134" spans="2:33" hidden="1">
      <c r="B134">
        <v>451</v>
      </c>
      <c r="F134">
        <f>COUNTIF(HCPs!W:W,HCO_Data!K134)</f>
        <v>2</v>
      </c>
      <c r="G134" t="str">
        <f>IF(COUNTIF('Testing Referrals'!B:B,HCO_Data!K134)&gt;0,"Yes","")</f>
        <v/>
      </c>
      <c r="H134">
        <f>COUNTIF('HCO referrals'!B:B,HCO_Data!K134)+COUNTIF('HCO referrals'!C:C,HCO_Data!K134)</f>
        <v>0</v>
      </c>
      <c r="I134">
        <v>870000288</v>
      </c>
      <c r="K134" t="s">
        <v>10172</v>
      </c>
      <c r="L134" s="13" t="s">
        <v>1517</v>
      </c>
      <c r="M134" t="s">
        <v>2072</v>
      </c>
      <c r="N134">
        <v>87039</v>
      </c>
      <c r="O134" t="s">
        <v>855</v>
      </c>
      <c r="Q134" t="s">
        <v>4283</v>
      </c>
      <c r="R134">
        <v>102</v>
      </c>
      <c r="S134">
        <v>87</v>
      </c>
      <c r="T134">
        <v>87</v>
      </c>
      <c r="V134" t="s">
        <v>414</v>
      </c>
      <c r="W134">
        <f>COUNTIFS('Clinical Trials HCO'!$A:$A, K134, 'Clinical Trials HCO'!$D:$D, "&lt;&gt;")</f>
        <v>0</v>
      </c>
      <c r="AG134" t="s">
        <v>414</v>
      </c>
    </row>
    <row r="135" spans="2:33" hidden="1">
      <c r="B135">
        <v>697</v>
      </c>
      <c r="C135" t="s">
        <v>8290</v>
      </c>
      <c r="F135">
        <f>COUNTIF(HCPs!W:W,HCO_Data!K135)</f>
        <v>3</v>
      </c>
      <c r="G135" t="str">
        <f>IF(COUNTIF('Testing Referrals'!B:B,HCO_Data!K135)&gt;0,"Yes","")</f>
        <v/>
      </c>
      <c r="H135">
        <f>COUNTIF('HCO referrals'!B:B,HCO_Data!K135)+COUNTIF('HCO referrals'!C:C,HCO_Data!K135)</f>
        <v>0</v>
      </c>
      <c r="I135">
        <v>670780212</v>
      </c>
      <c r="J135" s="72" t="s">
        <v>8285</v>
      </c>
      <c r="K135" t="s">
        <v>3817</v>
      </c>
      <c r="L135" t="s">
        <v>8286</v>
      </c>
      <c r="M135" t="s">
        <v>2101</v>
      </c>
      <c r="N135">
        <v>67085</v>
      </c>
      <c r="O135" t="s">
        <v>2056</v>
      </c>
      <c r="Q135" t="s">
        <v>4283</v>
      </c>
      <c r="R135">
        <v>122</v>
      </c>
      <c r="S135">
        <v>86</v>
      </c>
      <c r="T135">
        <v>86</v>
      </c>
      <c r="V135" t="s">
        <v>414</v>
      </c>
      <c r="W135">
        <f>COUNTIFS('Clinical Trials HCO'!$A:$A, K135, 'Clinical Trials HCO'!$D:$D, "&lt;&gt;")</f>
        <v>4</v>
      </c>
      <c r="AG135" t="s">
        <v>414</v>
      </c>
    </row>
    <row r="136" spans="2:33">
      <c r="B136">
        <v>588</v>
      </c>
      <c r="F136">
        <f>COUNTIF(HCPs!W:W,HCO_Data!K136)</f>
        <v>0</v>
      </c>
      <c r="G136" t="str">
        <f>IF(COUNTIF('Testing Referrals'!B:B,HCO_Data!K136)&gt;0,"Yes","")</f>
        <v/>
      </c>
      <c r="H136">
        <f>COUNTIF('HCO referrals'!B:B,HCO_Data!K136)+COUNTIF('HCO referrals'!C:C,HCO_Data!K136)</f>
        <v>0</v>
      </c>
      <c r="I136">
        <v>250004009</v>
      </c>
      <c r="K136" t="s">
        <v>10173</v>
      </c>
      <c r="L136" t="s">
        <v>1670</v>
      </c>
      <c r="M136" t="s">
        <v>2319</v>
      </c>
      <c r="N136">
        <v>25209</v>
      </c>
      <c r="O136" t="s">
        <v>2320</v>
      </c>
      <c r="Q136" t="s">
        <v>4283</v>
      </c>
      <c r="R136">
        <v>63</v>
      </c>
      <c r="S136">
        <v>85</v>
      </c>
      <c r="T136">
        <v>85</v>
      </c>
      <c r="V136" t="s">
        <v>414</v>
      </c>
      <c r="W136">
        <f>COUNTIFS('Clinical Trials HCO'!$A:$A, K136, 'Clinical Trials HCO'!$D:$D, "&lt;&gt;")</f>
        <v>0</v>
      </c>
    </row>
    <row r="137" spans="2:33">
      <c r="B137">
        <v>225</v>
      </c>
      <c r="F137">
        <f>COUNTIF(HCPs!W:W,HCO_Data!K137)</f>
        <v>0</v>
      </c>
      <c r="G137" t="str">
        <f>IF(COUNTIF('Testing Referrals'!B:B,HCO_Data!K137)&gt;0,"Yes","")</f>
        <v/>
      </c>
      <c r="H137">
        <f>COUNTIF('HCO referrals'!B:B,HCO_Data!K137)+COUNTIF('HCO referrals'!C:C,HCO_Data!K137)</f>
        <v>0</v>
      </c>
      <c r="I137">
        <v>310781505</v>
      </c>
      <c r="K137" t="s">
        <v>10174</v>
      </c>
      <c r="L137" t="s">
        <v>1493</v>
      </c>
      <c r="M137" t="s">
        <v>2019</v>
      </c>
      <c r="N137">
        <v>31603</v>
      </c>
      <c r="O137" t="s">
        <v>2020</v>
      </c>
      <c r="Q137" t="s">
        <v>4283</v>
      </c>
      <c r="R137">
        <v>159</v>
      </c>
      <c r="S137">
        <v>85</v>
      </c>
      <c r="T137">
        <v>85</v>
      </c>
      <c r="V137" t="s">
        <v>414</v>
      </c>
      <c r="W137">
        <f>COUNTIFS('Clinical Trials HCO'!$A:$A, K137, 'Clinical Trials HCO'!$D:$D, "&lt;&gt;")</f>
        <v>0</v>
      </c>
      <c r="AG137" t="s">
        <v>414</v>
      </c>
    </row>
    <row r="138" spans="2:33">
      <c r="B138">
        <v>245</v>
      </c>
      <c r="F138">
        <f>COUNTIF(HCPs!W:W,HCO_Data!K138)</f>
        <v>0</v>
      </c>
      <c r="G138" t="str">
        <f>IF(COUNTIF('Testing Referrals'!B:B,HCO_Data!K138)&gt;0,"Yes","")</f>
        <v/>
      </c>
      <c r="H138">
        <f>COUNTIF('HCO referrals'!B:B,HCO_Data!K138)+COUNTIF('HCO referrals'!C:C,HCO_Data!K138)</f>
        <v>0</v>
      </c>
      <c r="I138">
        <v>400000105</v>
      </c>
      <c r="K138" t="s">
        <v>10175</v>
      </c>
      <c r="L138" t="s">
        <v>1341</v>
      </c>
      <c r="M138" t="s">
        <v>1714</v>
      </c>
      <c r="N138">
        <v>40107</v>
      </c>
      <c r="O138" t="s">
        <v>1715</v>
      </c>
      <c r="Q138" t="s">
        <v>4283</v>
      </c>
      <c r="R138">
        <v>58</v>
      </c>
      <c r="S138">
        <v>85</v>
      </c>
      <c r="T138">
        <v>85</v>
      </c>
      <c r="V138" t="s">
        <v>414</v>
      </c>
      <c r="W138">
        <f>COUNTIFS('Clinical Trials HCO'!$A:$A, K138, 'Clinical Trials HCO'!$D:$D, "&lt;&gt;")</f>
        <v>0</v>
      </c>
      <c r="AF138" t="s">
        <v>414</v>
      </c>
      <c r="AG138" t="s">
        <v>414</v>
      </c>
    </row>
    <row r="139" spans="2:33">
      <c r="B139">
        <v>305</v>
      </c>
      <c r="F139">
        <f>COUNTIF(HCPs!W:W,HCO_Data!K139)</f>
        <v>0</v>
      </c>
      <c r="G139" t="str">
        <f>IF(COUNTIF('Testing Referrals'!B:B,HCO_Data!K139)&gt;0,"Yes","")</f>
        <v/>
      </c>
      <c r="H139">
        <f>COUNTIF('HCO referrals'!B:B,HCO_Data!K139)+COUNTIF('HCO referrals'!C:C,HCO_Data!K139)</f>
        <v>0</v>
      </c>
      <c r="I139">
        <v>340015965</v>
      </c>
      <c r="K139" t="s">
        <v>10176</v>
      </c>
      <c r="L139" t="s">
        <v>1679</v>
      </c>
      <c r="M139" t="s">
        <v>2332</v>
      </c>
      <c r="N139">
        <v>34760</v>
      </c>
      <c r="O139" t="s">
        <v>2333</v>
      </c>
      <c r="Q139" t="s">
        <v>4283</v>
      </c>
      <c r="R139">
        <v>132</v>
      </c>
      <c r="S139">
        <v>84</v>
      </c>
      <c r="T139">
        <v>84</v>
      </c>
      <c r="V139" t="s">
        <v>414</v>
      </c>
      <c r="W139">
        <f>COUNTIFS('Clinical Trials HCO'!$A:$A, K139, 'Clinical Trials HCO'!$D:$D, "&lt;&gt;")</f>
        <v>0</v>
      </c>
      <c r="AF139" t="s">
        <v>414</v>
      </c>
      <c r="AG139" t="s">
        <v>414</v>
      </c>
    </row>
    <row r="140" spans="2:33" hidden="1">
      <c r="B140">
        <v>188</v>
      </c>
      <c r="F140">
        <f>COUNTIF(HCPs!W:W,HCO_Data!K140)</f>
        <v>1</v>
      </c>
      <c r="G140" t="str">
        <f>IF(COUNTIF('Testing Referrals'!B:B,HCO_Data!K140)&gt;0,"Yes","")</f>
        <v/>
      </c>
      <c r="H140">
        <f>COUNTIF('HCO referrals'!B:B,HCO_Data!K140)+COUNTIF('HCO referrals'!C:C,HCO_Data!K140)</f>
        <v>0</v>
      </c>
      <c r="I140">
        <v>650000417</v>
      </c>
      <c r="K140" t="s">
        <v>10177</v>
      </c>
      <c r="L140" s="13" t="s">
        <v>1440</v>
      </c>
      <c r="M140" t="s">
        <v>1929</v>
      </c>
      <c r="N140">
        <v>65013</v>
      </c>
      <c r="O140" t="s">
        <v>1930</v>
      </c>
      <c r="Q140" t="s">
        <v>4283</v>
      </c>
      <c r="R140">
        <v>148</v>
      </c>
      <c r="S140">
        <v>84</v>
      </c>
      <c r="T140">
        <v>84</v>
      </c>
      <c r="V140" t="s">
        <v>414</v>
      </c>
      <c r="W140">
        <f>COUNTIFS('Clinical Trials HCO'!$A:$A, K140, 'Clinical Trials HCO'!$D:$D, "&lt;&gt;")</f>
        <v>0</v>
      </c>
      <c r="AF140" t="s">
        <v>414</v>
      </c>
    </row>
    <row r="141" spans="2:33" hidden="1">
      <c r="B141">
        <v>231</v>
      </c>
      <c r="C141" t="s">
        <v>8080</v>
      </c>
      <c r="D141" t="s">
        <v>1329</v>
      </c>
      <c r="F141">
        <f>COUNTIF(HCPs!W:W,HCO_Data!K141)</f>
        <v>10</v>
      </c>
      <c r="G141" t="str">
        <f>IF(COUNTIF('Testing Referrals'!B:B,HCO_Data!K141)&gt;0,"Yes","")</f>
        <v>Yes</v>
      </c>
      <c r="H141">
        <f>COUNTIF('HCO referrals'!B:B,HCO_Data!K141)+COUNTIF('HCO referrals'!C:C,HCO_Data!K141)</f>
        <v>5</v>
      </c>
      <c r="I141">
        <v>590000188</v>
      </c>
      <c r="K141" t="s">
        <v>3767</v>
      </c>
      <c r="L141" s="74" t="s">
        <v>1291</v>
      </c>
      <c r="M141" t="s">
        <v>2034</v>
      </c>
      <c r="N141">
        <v>59020</v>
      </c>
      <c r="O141" t="s">
        <v>871</v>
      </c>
      <c r="P141" s="12" t="s">
        <v>839</v>
      </c>
      <c r="Q141" t="s">
        <v>4283</v>
      </c>
      <c r="R141">
        <v>85</v>
      </c>
      <c r="S141">
        <v>83</v>
      </c>
      <c r="T141">
        <v>83</v>
      </c>
      <c r="V141" t="s">
        <v>414</v>
      </c>
      <c r="W141">
        <f>COUNTIFS('Clinical Trials HCO'!$A:$A, K141, 'Clinical Trials HCO'!$D:$D, "&lt;&gt;")</f>
        <v>27</v>
      </c>
      <c r="AG141" t="s">
        <v>414</v>
      </c>
    </row>
    <row r="142" spans="2:33">
      <c r="B142">
        <v>181</v>
      </c>
      <c r="F142">
        <f>COUNTIF(HCPs!W:W,HCO_Data!K142)</f>
        <v>0</v>
      </c>
      <c r="G142" t="str">
        <f>IF(COUNTIF('Testing Referrals'!B:B,HCO_Data!K142)&gt;0,"Yes","")</f>
        <v/>
      </c>
      <c r="H142">
        <f>COUNTIF('HCO referrals'!B:B,HCO_Data!K142)+COUNTIF('HCO referrals'!C:C,HCO_Data!K142)</f>
        <v>0</v>
      </c>
      <c r="I142">
        <v>260000138</v>
      </c>
      <c r="K142" t="s">
        <v>10178</v>
      </c>
      <c r="L142" t="s">
        <v>1432</v>
      </c>
      <c r="M142" t="s">
        <v>1910</v>
      </c>
      <c r="N142">
        <v>26216</v>
      </c>
      <c r="O142" t="s">
        <v>1911</v>
      </c>
      <c r="Q142" t="s">
        <v>4283</v>
      </c>
      <c r="R142">
        <v>133</v>
      </c>
      <c r="S142">
        <v>83</v>
      </c>
      <c r="T142">
        <v>83</v>
      </c>
      <c r="V142" t="s">
        <v>414</v>
      </c>
      <c r="W142">
        <f>COUNTIFS('Clinical Trials HCO'!$A:$A, K142, 'Clinical Trials HCO'!$D:$D, "&lt;&gt;")</f>
        <v>0</v>
      </c>
      <c r="AF142" t="s">
        <v>414</v>
      </c>
      <c r="AG142" t="s">
        <v>414</v>
      </c>
    </row>
    <row r="143" spans="2:33" hidden="1">
      <c r="B143">
        <v>685</v>
      </c>
      <c r="F143">
        <f>COUNTIF(HCPs!W:W,HCO_Data!K143)</f>
        <v>1</v>
      </c>
      <c r="G143" t="str">
        <f>IF(COUNTIF('Testing Referrals'!B:B,HCO_Data!K143)&gt;0,"Yes","")</f>
        <v/>
      </c>
      <c r="H143">
        <f>COUNTIF('HCO referrals'!B:B,HCO_Data!K143)+COUNTIF('HCO referrals'!C:C,HCO_Data!K143)</f>
        <v>0</v>
      </c>
      <c r="I143">
        <v>310781000</v>
      </c>
      <c r="K143" t="s">
        <v>3824</v>
      </c>
      <c r="L143" t="s">
        <v>8503</v>
      </c>
      <c r="M143" t="s">
        <v>2023</v>
      </c>
      <c r="N143">
        <v>31700</v>
      </c>
      <c r="O143" t="s">
        <v>2024</v>
      </c>
      <c r="Q143" t="s">
        <v>4283</v>
      </c>
      <c r="R143">
        <v>152</v>
      </c>
      <c r="S143">
        <v>82</v>
      </c>
      <c r="T143">
        <v>82</v>
      </c>
      <c r="V143" t="s">
        <v>414</v>
      </c>
      <c r="W143">
        <f>COUNTIFS('Clinical Trials HCO'!$A:$A, K143, 'Clinical Trials HCO'!$D:$D, "&lt;&gt;")</f>
        <v>0</v>
      </c>
      <c r="AG143" t="s">
        <v>414</v>
      </c>
    </row>
    <row r="144" spans="2:33" hidden="1">
      <c r="C144" t="s">
        <v>8059</v>
      </c>
      <c r="F144">
        <f>COUNTIF(HCPs!W:W,HCO_Data!K144)</f>
        <v>6</v>
      </c>
      <c r="G144" t="str">
        <f>IF(COUNTIF('Testing Referrals'!B:B,HCO_Data!K144)&gt;0,"Yes","")</f>
        <v/>
      </c>
      <c r="H144">
        <f>COUNTIF('HCO referrals'!B:B,HCO_Data!K144)+COUNTIF('HCO referrals'!C:C,HCO_Data!K144)</f>
        <v>1</v>
      </c>
      <c r="I144">
        <v>750150104</v>
      </c>
      <c r="K144" t="s">
        <v>3790</v>
      </c>
      <c r="L144" s="74" t="s">
        <v>4303</v>
      </c>
      <c r="O144" t="s">
        <v>700</v>
      </c>
      <c r="R144">
        <v>75</v>
      </c>
      <c r="S144">
        <v>81</v>
      </c>
      <c r="T144">
        <v>81</v>
      </c>
      <c r="V144" t="s">
        <v>414</v>
      </c>
      <c r="W144">
        <f>COUNTIFS('Clinical Trials HCO'!$A:$A, K144, 'Clinical Trials HCO'!$D:$D, "&lt;&gt;")</f>
        <v>15</v>
      </c>
    </row>
    <row r="145" spans="2:33">
      <c r="B145">
        <v>577</v>
      </c>
      <c r="F145">
        <f>COUNTIF(HCPs!W:W,HCO_Data!K145)</f>
        <v>0</v>
      </c>
      <c r="G145" t="str">
        <f>IF(COUNTIF('Testing Referrals'!B:B,HCO_Data!K145)&gt;0,"Yes","")</f>
        <v/>
      </c>
      <c r="H145">
        <f>COUNTIF('HCO referrals'!B:B,HCO_Data!K145)+COUNTIF('HCO referrals'!C:C,HCO_Data!K145)</f>
        <v>0</v>
      </c>
      <c r="I145">
        <v>440029379</v>
      </c>
      <c r="K145" t="s">
        <v>10179</v>
      </c>
      <c r="L145" t="s">
        <v>2482</v>
      </c>
      <c r="M145" t="s">
        <v>2795</v>
      </c>
      <c r="N145">
        <v>44314</v>
      </c>
      <c r="O145" t="s">
        <v>2003</v>
      </c>
      <c r="Q145" t="s">
        <v>4283</v>
      </c>
      <c r="R145">
        <v>448</v>
      </c>
      <c r="S145">
        <v>81</v>
      </c>
      <c r="T145">
        <v>81</v>
      </c>
      <c r="V145" t="s">
        <v>414</v>
      </c>
      <c r="W145">
        <f>COUNTIFS('Clinical Trials HCO'!$A:$A, K145, 'Clinical Trials HCO'!$D:$D, "&lt;&gt;")</f>
        <v>0</v>
      </c>
      <c r="AG145" t="s">
        <v>414</v>
      </c>
    </row>
    <row r="146" spans="2:33">
      <c r="B146">
        <v>140</v>
      </c>
      <c r="F146">
        <f>COUNTIF(HCPs!W:W,HCO_Data!K146)</f>
        <v>0</v>
      </c>
      <c r="G146" t="str">
        <f>IF(COUNTIF('Testing Referrals'!B:B,HCO_Data!K146)&gt;0,"Yes","")</f>
        <v/>
      </c>
      <c r="H146">
        <f>COUNTIF('HCO referrals'!B:B,HCO_Data!K146)+COUNTIF('HCO referrals'!C:C,HCO_Data!K146)</f>
        <v>0</v>
      </c>
      <c r="I146">
        <v>280504267</v>
      </c>
      <c r="K146" t="s">
        <v>10180</v>
      </c>
      <c r="L146" t="s">
        <v>1382</v>
      </c>
      <c r="M146" t="s">
        <v>1800</v>
      </c>
      <c r="N146">
        <v>28630</v>
      </c>
      <c r="O146" t="s">
        <v>1801</v>
      </c>
      <c r="Q146" t="s">
        <v>4283</v>
      </c>
      <c r="R146">
        <v>100</v>
      </c>
      <c r="S146">
        <v>80</v>
      </c>
      <c r="T146">
        <v>80</v>
      </c>
      <c r="V146" t="s">
        <v>414</v>
      </c>
      <c r="W146">
        <f>COUNTIFS('Clinical Trials HCO'!$A:$A, K146, 'Clinical Trials HCO'!$D:$D, "&lt;&gt;")</f>
        <v>0</v>
      </c>
      <c r="AF146" t="s">
        <v>414</v>
      </c>
      <c r="AG146" t="s">
        <v>414</v>
      </c>
    </row>
    <row r="147" spans="2:33">
      <c r="F147">
        <f>COUNTIF(HCPs!W:W,HCO_Data!K147)</f>
        <v>0</v>
      </c>
      <c r="G147" t="str">
        <f>IF(COUNTIF('Testing Referrals'!B:B,HCO_Data!K147)&gt;0,"Yes","")</f>
        <v/>
      </c>
      <c r="H147">
        <f>COUNTIF('HCO referrals'!B:B,HCO_Data!K147)+COUNTIF('HCO referrals'!C:C,HCO_Data!K147)</f>
        <v>0</v>
      </c>
      <c r="I147">
        <v>910020254</v>
      </c>
      <c r="K147" t="s">
        <v>10181</v>
      </c>
      <c r="L147" t="s">
        <v>8659</v>
      </c>
      <c r="M147" t="s">
        <v>8660</v>
      </c>
      <c r="O147" t="s">
        <v>8661</v>
      </c>
      <c r="P147" t="s">
        <v>745</v>
      </c>
      <c r="Q147" t="s">
        <v>4283</v>
      </c>
      <c r="R147">
        <v>119</v>
      </c>
      <c r="S147">
        <v>80</v>
      </c>
      <c r="T147">
        <v>80</v>
      </c>
      <c r="V147" t="s">
        <v>414</v>
      </c>
      <c r="W147">
        <f>COUNTIFS('Clinical Trials HCO'!$A:$A, K147, 'Clinical Trials HCO'!$D:$D, "&lt;&gt;")</f>
        <v>0</v>
      </c>
    </row>
    <row r="148" spans="2:33" hidden="1">
      <c r="B148">
        <v>399</v>
      </c>
      <c r="F148">
        <f>COUNTIF(HCPs!W:W,HCO_Data!K148)</f>
        <v>1</v>
      </c>
      <c r="G148" t="str">
        <f>IF(COUNTIF('Testing Referrals'!B:B,HCO_Data!K148)&gt;0,"Yes","")</f>
        <v/>
      </c>
      <c r="H148">
        <f>COUNTIF('HCO referrals'!B:B,HCO_Data!K148)+COUNTIF('HCO referrals'!C:C,HCO_Data!K148)</f>
        <v>0</v>
      </c>
      <c r="I148">
        <v>920300043</v>
      </c>
      <c r="K148" t="s">
        <v>10182</v>
      </c>
      <c r="L148" s="13" t="s">
        <v>1598</v>
      </c>
      <c r="M148" t="s">
        <v>2202</v>
      </c>
      <c r="N148">
        <v>92160</v>
      </c>
      <c r="O148" t="s">
        <v>967</v>
      </c>
      <c r="Q148" t="s">
        <v>4283</v>
      </c>
      <c r="R148">
        <v>116</v>
      </c>
      <c r="S148">
        <v>80</v>
      </c>
      <c r="T148">
        <v>80</v>
      </c>
      <c r="V148" t="s">
        <v>414</v>
      </c>
      <c r="W148">
        <f>COUNTIFS('Clinical Trials HCO'!$A:$A, K148, 'Clinical Trials HCO'!$D:$D, "&lt;&gt;")</f>
        <v>0</v>
      </c>
      <c r="AF148" t="s">
        <v>414</v>
      </c>
      <c r="AG148" t="s">
        <v>414</v>
      </c>
    </row>
    <row r="149" spans="2:33">
      <c r="B149">
        <v>224</v>
      </c>
      <c r="F149">
        <f>COUNTIF(HCPs!W:W,HCO_Data!K149)</f>
        <v>0</v>
      </c>
      <c r="G149" t="str">
        <f>IF(COUNTIF('Testing Referrals'!B:B,HCO_Data!K149)&gt;0,"Yes","")</f>
        <v/>
      </c>
      <c r="H149">
        <f>COUNTIF('HCO referrals'!B:B,HCO_Data!K149)+COUNTIF('HCO referrals'!C:C,HCO_Data!K149)</f>
        <v>0</v>
      </c>
      <c r="I149">
        <v>310780283</v>
      </c>
      <c r="K149" t="s">
        <v>10183</v>
      </c>
      <c r="L149" t="s">
        <v>1494</v>
      </c>
      <c r="M149" t="s">
        <v>2021</v>
      </c>
      <c r="N149">
        <v>31240</v>
      </c>
      <c r="O149" t="s">
        <v>2022</v>
      </c>
      <c r="Q149" t="s">
        <v>4283</v>
      </c>
      <c r="R149">
        <v>177</v>
      </c>
      <c r="S149">
        <v>79</v>
      </c>
      <c r="T149">
        <v>79</v>
      </c>
      <c r="V149" t="s">
        <v>414</v>
      </c>
      <c r="W149">
        <f>COUNTIFS('Clinical Trials HCO'!$A:$A, K149, 'Clinical Trials HCO'!$D:$D, "&lt;&gt;")</f>
        <v>0</v>
      </c>
      <c r="AG149" t="s">
        <v>414</v>
      </c>
    </row>
    <row r="150" spans="2:33">
      <c r="B150">
        <v>698</v>
      </c>
      <c r="F150">
        <f>COUNTIF(HCPs!W:W,HCO_Data!K150)</f>
        <v>0</v>
      </c>
      <c r="G150" t="str">
        <f>IF(COUNTIF('Testing Referrals'!B:B,HCO_Data!K150)&gt;0,"Yes","")</f>
        <v/>
      </c>
      <c r="H150">
        <f>COUNTIF('HCO referrals'!B:B,HCO_Data!K150)+COUNTIF('HCO referrals'!C:C,HCO_Data!K150)</f>
        <v>0</v>
      </c>
      <c r="I150">
        <v>670780188</v>
      </c>
      <c r="K150" t="s">
        <v>10184</v>
      </c>
      <c r="L150" t="s">
        <v>2499</v>
      </c>
      <c r="M150" t="s">
        <v>2815</v>
      </c>
      <c r="N150">
        <v>67083</v>
      </c>
      <c r="O150" t="s">
        <v>2056</v>
      </c>
      <c r="Q150" t="s">
        <v>4283</v>
      </c>
      <c r="R150">
        <v>438</v>
      </c>
      <c r="S150">
        <v>79</v>
      </c>
      <c r="T150">
        <v>79</v>
      </c>
      <c r="V150" t="s">
        <v>414</v>
      </c>
      <c r="W150">
        <f>COUNTIFS('Clinical Trials HCO'!$A:$A, K150, 'Clinical Trials HCO'!$D:$D, "&lt;&gt;")</f>
        <v>0</v>
      </c>
      <c r="AF150" t="s">
        <v>414</v>
      </c>
      <c r="AG150" t="s">
        <v>414</v>
      </c>
    </row>
    <row r="151" spans="2:33">
      <c r="B151">
        <v>196</v>
      </c>
      <c r="F151">
        <f>COUNTIF(HCPs!W:W,HCO_Data!K151)</f>
        <v>0</v>
      </c>
      <c r="G151" t="str">
        <f>IF(COUNTIF('Testing Referrals'!B:B,HCO_Data!K151)&gt;0,"Yes","")</f>
        <v/>
      </c>
      <c r="H151">
        <f>COUNTIF('HCO referrals'!B:B,HCO_Data!K151)+COUNTIF('HCO referrals'!C:C,HCO_Data!K151)</f>
        <v>0</v>
      </c>
      <c r="I151">
        <v>780800256</v>
      </c>
      <c r="K151" t="s">
        <v>10185</v>
      </c>
      <c r="L151" t="s">
        <v>1402</v>
      </c>
      <c r="M151" t="s">
        <v>1843</v>
      </c>
      <c r="N151">
        <v>78157</v>
      </c>
      <c r="O151" t="s">
        <v>1844</v>
      </c>
      <c r="Q151" t="s">
        <v>4283</v>
      </c>
      <c r="R151">
        <v>143</v>
      </c>
      <c r="S151">
        <v>79</v>
      </c>
      <c r="T151">
        <v>79</v>
      </c>
      <c r="V151" t="s">
        <v>414</v>
      </c>
      <c r="W151">
        <f>COUNTIFS('Clinical Trials HCO'!$A:$A, K151, 'Clinical Trials HCO'!$D:$D, "&lt;&gt;")</f>
        <v>0</v>
      </c>
      <c r="AF151" t="s">
        <v>414</v>
      </c>
    </row>
    <row r="152" spans="2:33">
      <c r="B152">
        <v>592</v>
      </c>
      <c r="F152">
        <f>COUNTIF(HCPs!W:W,HCO_Data!K152)</f>
        <v>0</v>
      </c>
      <c r="G152" t="str">
        <f>IF(COUNTIF('Testing Referrals'!B:B,HCO_Data!K152)&gt;0,"Yes","")</f>
        <v/>
      </c>
      <c r="H152">
        <f>COUNTIF('HCO referrals'!B:B,HCO_Data!K152)+COUNTIF('HCO referrals'!C:C,HCO_Data!K152)</f>
        <v>0</v>
      </c>
      <c r="I152">
        <v>270000326</v>
      </c>
      <c r="K152" t="s">
        <v>10186</v>
      </c>
      <c r="L152" t="s">
        <v>1622</v>
      </c>
      <c r="M152" t="s">
        <v>2242</v>
      </c>
      <c r="N152">
        <v>27025</v>
      </c>
      <c r="O152" t="s">
        <v>1860</v>
      </c>
      <c r="Q152" t="s">
        <v>4283</v>
      </c>
      <c r="R152">
        <v>212</v>
      </c>
      <c r="S152">
        <v>78</v>
      </c>
      <c r="T152">
        <v>78</v>
      </c>
      <c r="V152" t="s">
        <v>414</v>
      </c>
      <c r="W152">
        <f>COUNTIFS('Clinical Trials HCO'!$A:$A, K152, 'Clinical Trials HCO'!$D:$D, "&lt;&gt;")</f>
        <v>0</v>
      </c>
      <c r="AF152" t="s">
        <v>414</v>
      </c>
    </row>
    <row r="153" spans="2:33" hidden="1">
      <c r="B153">
        <v>257</v>
      </c>
      <c r="F153">
        <f>COUNTIF(HCPs!W:W,HCO_Data!K153)</f>
        <v>1</v>
      </c>
      <c r="G153" t="str">
        <f>IF(COUNTIF('Testing Referrals'!B:B,HCO_Data!K153)&gt;0,"Yes","")</f>
        <v/>
      </c>
      <c r="H153">
        <f>COUNTIF('HCO referrals'!B:B,HCO_Data!K153)+COUNTIF('HCO referrals'!C:C,HCO_Data!K153)</f>
        <v>0</v>
      </c>
      <c r="I153">
        <v>380012658</v>
      </c>
      <c r="K153" t="s">
        <v>10187</v>
      </c>
      <c r="L153" t="s">
        <v>1550</v>
      </c>
      <c r="M153" t="s">
        <v>2136</v>
      </c>
      <c r="N153">
        <v>38028</v>
      </c>
      <c r="O153" t="s">
        <v>868</v>
      </c>
      <c r="Q153" t="s">
        <v>4283</v>
      </c>
      <c r="R153">
        <v>88</v>
      </c>
      <c r="S153">
        <v>78</v>
      </c>
      <c r="T153">
        <v>78</v>
      </c>
      <c r="V153" t="s">
        <v>414</v>
      </c>
      <c r="W153">
        <f>COUNTIFS('Clinical Trials HCO'!$A:$A, K153, 'Clinical Trials HCO'!$D:$D, "&lt;&gt;")</f>
        <v>0</v>
      </c>
      <c r="AF153" t="s">
        <v>414</v>
      </c>
      <c r="AG153" t="s">
        <v>414</v>
      </c>
    </row>
    <row r="154" spans="2:33" hidden="1">
      <c r="B154">
        <v>670</v>
      </c>
      <c r="F154">
        <f>COUNTIF(HCPs!W:W,HCO_Data!K154)</f>
        <v>1</v>
      </c>
      <c r="G154" t="str">
        <f>IF(COUNTIF('Testing Referrals'!B:B,HCO_Data!K154)&gt;0,"Yes","")</f>
        <v/>
      </c>
      <c r="H154">
        <f>COUNTIF('HCO referrals'!B:B,HCO_Data!K154)+COUNTIF('HCO referrals'!C:C,HCO_Data!K154)</f>
        <v>0</v>
      </c>
      <c r="I154">
        <v>400000139</v>
      </c>
      <c r="K154" t="s">
        <v>10188</v>
      </c>
      <c r="L154" s="13" t="s">
        <v>1456</v>
      </c>
      <c r="M154" t="s">
        <v>1963</v>
      </c>
      <c r="N154">
        <v>40024</v>
      </c>
      <c r="O154" t="s">
        <v>1964</v>
      </c>
      <c r="Q154" t="s">
        <v>4283</v>
      </c>
      <c r="R154">
        <v>115</v>
      </c>
      <c r="S154">
        <v>78</v>
      </c>
      <c r="T154">
        <v>78</v>
      </c>
      <c r="V154" t="s">
        <v>414</v>
      </c>
      <c r="W154">
        <f>COUNTIFS('Clinical Trials HCO'!$A:$A, K154, 'Clinical Trials HCO'!$D:$D, "&lt;&gt;")</f>
        <v>0</v>
      </c>
      <c r="AF154" t="s">
        <v>414</v>
      </c>
    </row>
    <row r="155" spans="2:33" hidden="1">
      <c r="B155">
        <v>306</v>
      </c>
      <c r="C155" t="s">
        <v>8105</v>
      </c>
      <c r="F155">
        <f>COUNTIF(HCPs!W:W,HCO_Data!K155)</f>
        <v>2</v>
      </c>
      <c r="G155" t="str">
        <f>IF(COUNTIF('Testing Referrals'!B:B,HCO_Data!K155)&gt;0,"Yes","")</f>
        <v/>
      </c>
      <c r="H155">
        <f>COUNTIF('HCO referrals'!B:B,HCO_Data!K155)+COUNTIF('HCO referrals'!C:C,HCO_Data!K155)</f>
        <v>1</v>
      </c>
      <c r="I155">
        <v>330780479</v>
      </c>
      <c r="J155" s="72" t="s">
        <v>8099</v>
      </c>
      <c r="K155" t="s">
        <v>3813</v>
      </c>
      <c r="L155" t="s">
        <v>8098</v>
      </c>
      <c r="M155" t="s">
        <v>2334</v>
      </c>
      <c r="N155">
        <v>33077</v>
      </c>
      <c r="O155" t="s">
        <v>942</v>
      </c>
      <c r="Q155" t="s">
        <v>4283</v>
      </c>
      <c r="R155">
        <v>224</v>
      </c>
      <c r="S155">
        <v>77</v>
      </c>
      <c r="T155">
        <v>77</v>
      </c>
      <c r="V155" t="s">
        <v>414</v>
      </c>
      <c r="W155">
        <f>COUNTIFS('Clinical Trials HCO'!$A:$A, K155, 'Clinical Trials HCO'!$D:$D, "&lt;&gt;")</f>
        <v>8</v>
      </c>
      <c r="AG155" t="s">
        <v>414</v>
      </c>
    </row>
    <row r="156" spans="2:33">
      <c r="B156">
        <v>322</v>
      </c>
      <c r="F156">
        <f>COUNTIF(HCPs!W:W,HCO_Data!K156)</f>
        <v>0</v>
      </c>
      <c r="G156" t="str">
        <f>IF(COUNTIF('Testing Referrals'!B:B,HCO_Data!K156)&gt;0,"Yes","")</f>
        <v/>
      </c>
      <c r="H156">
        <f>COUNTIF('HCO referrals'!B:B,HCO_Data!K156)+COUNTIF('HCO referrals'!C:C,HCO_Data!K156)</f>
        <v>0</v>
      </c>
      <c r="I156">
        <v>170000103</v>
      </c>
      <c r="K156" t="s">
        <v>10189</v>
      </c>
      <c r="L156" t="s">
        <v>1400</v>
      </c>
      <c r="M156" t="s">
        <v>1839</v>
      </c>
      <c r="N156">
        <v>17108</v>
      </c>
      <c r="O156" t="s">
        <v>1840</v>
      </c>
      <c r="Q156" t="s">
        <v>4283</v>
      </c>
      <c r="R156">
        <v>71</v>
      </c>
      <c r="S156">
        <v>77</v>
      </c>
      <c r="T156">
        <v>77</v>
      </c>
      <c r="V156" t="s">
        <v>414</v>
      </c>
      <c r="W156">
        <f>COUNTIFS('Clinical Trials HCO'!$A:$A, K156, 'Clinical Trials HCO'!$D:$D, "&lt;&gt;")</f>
        <v>0</v>
      </c>
      <c r="AG156" t="s">
        <v>414</v>
      </c>
    </row>
    <row r="157" spans="2:33">
      <c r="F157">
        <f>COUNTIF(HCPs!W:W,HCO_Data!K157)</f>
        <v>0</v>
      </c>
      <c r="G157" t="str">
        <f>IF(COUNTIF('Testing Referrals'!B:B,HCO_Data!K157)&gt;0,"Yes","")</f>
        <v/>
      </c>
      <c r="H157">
        <f>COUNTIF('HCO referrals'!B:B,HCO_Data!K157)+COUNTIF('HCO referrals'!C:C,HCO_Data!K157)</f>
        <v>0</v>
      </c>
      <c r="I157">
        <v>370000093</v>
      </c>
      <c r="K157" t="s">
        <v>10190</v>
      </c>
      <c r="L157" t="s">
        <v>8705</v>
      </c>
      <c r="M157" t="s">
        <v>8706</v>
      </c>
      <c r="O157" t="s">
        <v>8707</v>
      </c>
      <c r="P157" t="s">
        <v>726</v>
      </c>
      <c r="Q157" t="s">
        <v>4283</v>
      </c>
      <c r="R157">
        <v>292</v>
      </c>
      <c r="S157">
        <v>77</v>
      </c>
      <c r="T157">
        <v>77</v>
      </c>
      <c r="V157" t="s">
        <v>414</v>
      </c>
      <c r="W157">
        <f>COUNTIFS('Clinical Trials HCO'!$A:$A, K157, 'Clinical Trials HCO'!$D:$D, "&lt;&gt;")</f>
        <v>0</v>
      </c>
    </row>
    <row r="158" spans="2:33">
      <c r="B158">
        <v>168</v>
      </c>
      <c r="F158">
        <f>COUNTIF(HCPs!W:W,HCO_Data!K158)</f>
        <v>0</v>
      </c>
      <c r="G158" t="str">
        <f>IF(COUNTIF('Testing Referrals'!B:B,HCO_Data!K158)&gt;0,"Yes","")</f>
        <v/>
      </c>
      <c r="H158">
        <f>COUNTIF('HCO referrals'!B:B,HCO_Data!K158)+COUNTIF('HCO referrals'!C:C,HCO_Data!K158)</f>
        <v>0</v>
      </c>
      <c r="I158">
        <v>710978289</v>
      </c>
      <c r="K158" t="s">
        <v>10191</v>
      </c>
      <c r="L158" t="s">
        <v>672</v>
      </c>
      <c r="M158" t="s">
        <v>1885</v>
      </c>
      <c r="N158">
        <v>71000</v>
      </c>
      <c r="O158" t="s">
        <v>1886</v>
      </c>
      <c r="Q158" t="s">
        <v>4283</v>
      </c>
      <c r="R158">
        <v>130</v>
      </c>
      <c r="S158">
        <v>77</v>
      </c>
      <c r="T158">
        <v>77</v>
      </c>
      <c r="V158" t="s">
        <v>414</v>
      </c>
      <c r="W158">
        <f>COUNTIFS('Clinical Trials HCO'!$A:$A, K158, 'Clinical Trials HCO'!$D:$D, "&lt;&gt;")</f>
        <v>0</v>
      </c>
      <c r="AF158" t="s">
        <v>414</v>
      </c>
      <c r="AG158" t="s">
        <v>414</v>
      </c>
    </row>
    <row r="159" spans="2:33">
      <c r="B159">
        <v>418</v>
      </c>
      <c r="F159">
        <f>COUNTIF(HCPs!W:W,HCO_Data!K159)</f>
        <v>0</v>
      </c>
      <c r="G159" t="str">
        <f>IF(COUNTIF('Testing Referrals'!B:B,HCO_Data!K159)&gt;0,"Yes","")</f>
        <v/>
      </c>
      <c r="H159">
        <f>COUNTIF('HCO referrals'!B:B,HCO_Data!K159)+COUNTIF('HCO referrals'!C:C,HCO_Data!K159)</f>
        <v>0</v>
      </c>
      <c r="I159" t="s">
        <v>10136</v>
      </c>
      <c r="K159" t="s">
        <v>10192</v>
      </c>
      <c r="L159" t="s">
        <v>2626</v>
      </c>
      <c r="M159" t="s">
        <v>2355</v>
      </c>
      <c r="N159">
        <v>20200</v>
      </c>
      <c r="O159" t="s">
        <v>2356</v>
      </c>
      <c r="Q159" t="s">
        <v>4283</v>
      </c>
      <c r="R159">
        <v>127</v>
      </c>
      <c r="S159">
        <v>77</v>
      </c>
      <c r="T159">
        <v>77</v>
      </c>
      <c r="V159" t="s">
        <v>414</v>
      </c>
      <c r="W159">
        <f>COUNTIFS('Clinical Trials HCO'!$A:$A, K159, 'Clinical Trials HCO'!$D:$D, "&lt;&gt;")</f>
        <v>0</v>
      </c>
      <c r="AG159" t="s">
        <v>414</v>
      </c>
    </row>
    <row r="160" spans="2:33" hidden="1">
      <c r="B160">
        <v>457</v>
      </c>
      <c r="C160" t="s">
        <v>8378</v>
      </c>
      <c r="F160">
        <f>COUNTIF(HCPs!W:W,HCO_Data!K160)</f>
        <v>1</v>
      </c>
      <c r="G160" t="str">
        <f>IF(COUNTIF('Testing Referrals'!B:B,HCO_Data!K160)&gt;0,"Yes","")</f>
        <v/>
      </c>
      <c r="H160">
        <f>COUNTIF('HCO referrals'!B:B,HCO_Data!K160)+COUNTIF('HCO referrals'!C:C,HCO_Data!K160)</f>
        <v>0</v>
      </c>
      <c r="I160">
        <v>60780715</v>
      </c>
      <c r="J160" s="72" t="s">
        <v>8379</v>
      </c>
      <c r="K160" t="s">
        <v>8381</v>
      </c>
      <c r="L160" t="s">
        <v>8380</v>
      </c>
      <c r="M160" t="s">
        <v>2094</v>
      </c>
      <c r="N160">
        <v>6105</v>
      </c>
      <c r="O160" t="s">
        <v>836</v>
      </c>
      <c r="Q160" t="s">
        <v>4283</v>
      </c>
      <c r="R160">
        <v>189</v>
      </c>
      <c r="S160">
        <v>76</v>
      </c>
      <c r="T160">
        <v>76</v>
      </c>
      <c r="V160" t="s">
        <v>414</v>
      </c>
      <c r="W160">
        <f>COUNTIFS('Clinical Trials HCO'!$A:$A, K160, 'Clinical Trials HCO'!$D:$D, "&lt;&gt;")</f>
        <v>0</v>
      </c>
      <c r="AG160" t="s">
        <v>414</v>
      </c>
    </row>
    <row r="161" spans="2:33">
      <c r="B161">
        <v>292</v>
      </c>
      <c r="F161">
        <f>COUNTIF(HCPs!W:W,HCO_Data!K161)</f>
        <v>0</v>
      </c>
      <c r="G161" t="str">
        <f>IF(COUNTIF('Testing Referrals'!B:B,HCO_Data!K161)&gt;0,"Yes","")</f>
        <v/>
      </c>
      <c r="H161">
        <f>COUNTIF('HCO referrals'!B:B,HCO_Data!K161)+COUNTIF('HCO referrals'!C:C,HCO_Data!K161)</f>
        <v>0</v>
      </c>
      <c r="I161">
        <v>330000340</v>
      </c>
      <c r="K161" t="s">
        <v>10193</v>
      </c>
      <c r="L161" t="s">
        <v>641</v>
      </c>
      <c r="M161" t="s">
        <v>2322</v>
      </c>
      <c r="N161">
        <v>33401</v>
      </c>
      <c r="O161" t="s">
        <v>948</v>
      </c>
      <c r="Q161" t="s">
        <v>4283</v>
      </c>
      <c r="R161">
        <v>142</v>
      </c>
      <c r="S161">
        <v>76</v>
      </c>
      <c r="T161">
        <v>76</v>
      </c>
      <c r="V161" t="s">
        <v>414</v>
      </c>
      <c r="W161">
        <f>COUNTIFS('Clinical Trials HCO'!$A:$A, K161, 'Clinical Trials HCO'!$D:$D, "&lt;&gt;")</f>
        <v>0</v>
      </c>
    </row>
    <row r="162" spans="2:33">
      <c r="B162">
        <v>669</v>
      </c>
      <c r="F162">
        <f>COUNTIF(HCPs!W:W,HCO_Data!K162)</f>
        <v>0</v>
      </c>
      <c r="G162" t="str">
        <f>IF(COUNTIF('Testing Referrals'!B:B,HCO_Data!K162)&gt;0,"Yes","")</f>
        <v/>
      </c>
      <c r="H162">
        <f>COUNTIF('HCO referrals'!B:B,HCO_Data!K162)+COUNTIF('HCO referrals'!C:C,HCO_Data!K162)</f>
        <v>0</v>
      </c>
      <c r="I162">
        <v>970211249</v>
      </c>
      <c r="K162" t="s">
        <v>10194</v>
      </c>
      <c r="L162" t="s">
        <v>1480</v>
      </c>
      <c r="M162" t="s">
        <v>1847</v>
      </c>
      <c r="N162">
        <v>97261</v>
      </c>
      <c r="O162" t="s">
        <v>2001</v>
      </c>
      <c r="Q162" t="s">
        <v>4283</v>
      </c>
      <c r="R162">
        <v>90</v>
      </c>
      <c r="S162">
        <v>76</v>
      </c>
      <c r="T162">
        <v>76</v>
      </c>
      <c r="V162" t="s">
        <v>414</v>
      </c>
      <c r="W162">
        <f>COUNTIFS('Clinical Trials HCO'!$A:$A, K162, 'Clinical Trials HCO'!$D:$D, "&lt;&gt;")</f>
        <v>0</v>
      </c>
      <c r="AG162" t="s">
        <v>414</v>
      </c>
    </row>
    <row r="163" spans="2:33" hidden="1">
      <c r="B163">
        <v>112</v>
      </c>
      <c r="F163">
        <f>COUNTIF(HCPs!W:W,HCO_Data!K163)</f>
        <v>1</v>
      </c>
      <c r="G163" t="str">
        <f>IF(COUNTIF('Testing Referrals'!B:B,HCO_Data!K163)&gt;0,"Yes","")</f>
        <v/>
      </c>
      <c r="H163">
        <f>COUNTIF('HCO referrals'!B:B,HCO_Data!K163)+COUNTIF('HCO referrals'!C:C,HCO_Data!K163)</f>
        <v>0</v>
      </c>
      <c r="I163">
        <v>640018206</v>
      </c>
      <c r="K163" t="s">
        <v>3748</v>
      </c>
      <c r="L163" t="s">
        <v>4489</v>
      </c>
      <c r="M163" t="s">
        <v>2042</v>
      </c>
      <c r="N163">
        <v>64100</v>
      </c>
      <c r="O163" t="s">
        <v>804</v>
      </c>
      <c r="Q163" t="s">
        <v>4283</v>
      </c>
      <c r="R163">
        <v>154</v>
      </c>
      <c r="S163">
        <v>75</v>
      </c>
      <c r="T163">
        <v>75</v>
      </c>
      <c r="V163" t="s">
        <v>414</v>
      </c>
      <c r="W163">
        <f>COUNTIFS('Clinical Trials HCO'!$A:$A, K163, 'Clinical Trials HCO'!$D:$D, "&lt;&gt;")</f>
        <v>0</v>
      </c>
    </row>
    <row r="164" spans="2:33">
      <c r="B164">
        <v>145</v>
      </c>
      <c r="F164">
        <f>COUNTIF(HCPs!W:W,HCO_Data!K164)</f>
        <v>0</v>
      </c>
      <c r="G164" t="str">
        <f>IF(COUNTIF('Testing Referrals'!B:B,HCO_Data!K164)&gt;0,"Yes","")</f>
        <v/>
      </c>
      <c r="H164">
        <f>COUNTIF('HCO referrals'!B:B,HCO_Data!K164)+COUNTIF('HCO referrals'!C:C,HCO_Data!K164)</f>
        <v>0</v>
      </c>
      <c r="I164">
        <v>10000024</v>
      </c>
      <c r="K164" t="s">
        <v>10195</v>
      </c>
      <c r="L164" t="s">
        <v>1392</v>
      </c>
      <c r="M164" t="s">
        <v>1821</v>
      </c>
      <c r="N164">
        <v>1440</v>
      </c>
      <c r="O164" t="s">
        <v>1822</v>
      </c>
      <c r="Q164" t="s">
        <v>4283</v>
      </c>
      <c r="R164">
        <v>126</v>
      </c>
      <c r="S164">
        <v>75</v>
      </c>
      <c r="T164">
        <v>75</v>
      </c>
      <c r="V164" t="s">
        <v>414</v>
      </c>
      <c r="W164">
        <f>COUNTIFS('Clinical Trials HCO'!$A:$A, K164, 'Clinical Trials HCO'!$D:$D, "&lt;&gt;")</f>
        <v>0</v>
      </c>
      <c r="AF164" t="s">
        <v>414</v>
      </c>
      <c r="AG164" t="s">
        <v>414</v>
      </c>
    </row>
    <row r="165" spans="2:33">
      <c r="B165">
        <v>210</v>
      </c>
      <c r="F165">
        <f>COUNTIF(HCPs!W:W,HCO_Data!K165)</f>
        <v>0</v>
      </c>
      <c r="G165" t="str">
        <f>IF(COUNTIF('Testing Referrals'!B:B,HCO_Data!K165)&gt;0,"Yes","")</f>
        <v/>
      </c>
      <c r="H165">
        <f>COUNTIF('HCO referrals'!B:B,HCO_Data!K165)+COUNTIF('HCO referrals'!C:C,HCO_Data!K165)</f>
        <v>0</v>
      </c>
      <c r="I165">
        <v>500000187</v>
      </c>
      <c r="K165" t="s">
        <v>10196</v>
      </c>
      <c r="L165" t="s">
        <v>1469</v>
      </c>
      <c r="M165" t="s">
        <v>1986</v>
      </c>
      <c r="N165">
        <v>50102</v>
      </c>
      <c r="O165" t="s">
        <v>1987</v>
      </c>
      <c r="Q165" t="s">
        <v>4283</v>
      </c>
      <c r="R165">
        <v>171</v>
      </c>
      <c r="S165">
        <v>75</v>
      </c>
      <c r="T165">
        <v>75</v>
      </c>
      <c r="V165" t="s">
        <v>414</v>
      </c>
      <c r="W165">
        <f>COUNTIFS('Clinical Trials HCO'!$A:$A, K165, 'Clinical Trials HCO'!$D:$D, "&lt;&gt;")</f>
        <v>0</v>
      </c>
      <c r="AG165" t="s">
        <v>414</v>
      </c>
    </row>
    <row r="166" spans="2:33">
      <c r="B166">
        <v>631</v>
      </c>
      <c r="C166" t="s">
        <v>8520</v>
      </c>
      <c r="F166">
        <f>COUNTIF(HCPs!W:W,HCO_Data!K166)</f>
        <v>0</v>
      </c>
      <c r="G166" t="str">
        <f>IF(COUNTIF('Testing Referrals'!B:B,HCO_Data!K166)&gt;0,"Yes","")</f>
        <v/>
      </c>
      <c r="H166">
        <f>COUNTIF('HCO referrals'!B:B,HCO_Data!K166)+COUNTIF('HCO referrals'!C:C,HCO_Data!K166)</f>
        <v>0</v>
      </c>
      <c r="I166">
        <v>760025312</v>
      </c>
      <c r="K166" t="s">
        <v>10197</v>
      </c>
      <c r="L166" t="s">
        <v>1521</v>
      </c>
      <c r="M166" t="s">
        <v>2081</v>
      </c>
      <c r="N166">
        <v>76000</v>
      </c>
      <c r="O166" t="s">
        <v>885</v>
      </c>
      <c r="Q166" t="s">
        <v>4283</v>
      </c>
      <c r="R166">
        <v>135</v>
      </c>
      <c r="S166">
        <v>75</v>
      </c>
      <c r="T166">
        <v>75</v>
      </c>
      <c r="V166" t="s">
        <v>414</v>
      </c>
      <c r="W166">
        <f>COUNTIFS('Clinical Trials HCO'!$A:$A, K166, 'Clinical Trials HCO'!$D:$D, "&lt;&gt;")</f>
        <v>0</v>
      </c>
      <c r="AF166" t="s">
        <v>414</v>
      </c>
    </row>
    <row r="167" spans="2:33">
      <c r="B167">
        <v>240</v>
      </c>
      <c r="F167">
        <f>COUNTIF(HCPs!W:W,HCO_Data!K167)</f>
        <v>0</v>
      </c>
      <c r="G167" t="str">
        <f>IF(COUNTIF('Testing Referrals'!B:B,HCO_Data!K167)&gt;0,"Yes","")</f>
        <v/>
      </c>
      <c r="H167">
        <f>COUNTIF('HCO referrals'!B:B,HCO_Data!K167)+COUNTIF('HCO referrals'!C:C,HCO_Data!K167)</f>
        <v>0</v>
      </c>
      <c r="I167">
        <v>970462107</v>
      </c>
      <c r="K167" t="s">
        <v>10198</v>
      </c>
      <c r="L167" t="s">
        <v>1532</v>
      </c>
      <c r="M167" t="s">
        <v>2102</v>
      </c>
      <c r="N167">
        <v>97492</v>
      </c>
      <c r="O167" t="s">
        <v>2103</v>
      </c>
      <c r="Q167" t="s">
        <v>4283</v>
      </c>
      <c r="R167">
        <v>108</v>
      </c>
      <c r="S167">
        <v>75</v>
      </c>
      <c r="T167">
        <v>75</v>
      </c>
      <c r="V167" t="s">
        <v>414</v>
      </c>
      <c r="W167">
        <f>COUNTIFS('Clinical Trials HCO'!$A:$A, K167, 'Clinical Trials HCO'!$D:$D, "&lt;&gt;")</f>
        <v>0</v>
      </c>
      <c r="AF167" t="s">
        <v>414</v>
      </c>
      <c r="AG167" t="s">
        <v>414</v>
      </c>
    </row>
    <row r="168" spans="2:33">
      <c r="B168">
        <v>223</v>
      </c>
      <c r="F168">
        <f>COUNTIF(HCPs!W:W,HCO_Data!K168)</f>
        <v>0</v>
      </c>
      <c r="G168" t="str">
        <f>IF(COUNTIF('Testing Referrals'!B:B,HCO_Data!K168)&gt;0,"Yes","")</f>
        <v/>
      </c>
      <c r="H168">
        <f>COUNTIF('HCO referrals'!B:B,HCO_Data!K168)+COUNTIF('HCO referrals'!C:C,HCO_Data!K168)</f>
        <v>0</v>
      </c>
      <c r="I168">
        <v>340780675</v>
      </c>
      <c r="K168" t="s">
        <v>10199</v>
      </c>
      <c r="L168" t="s">
        <v>1492</v>
      </c>
      <c r="M168" t="s">
        <v>2018</v>
      </c>
      <c r="N168">
        <v>34000</v>
      </c>
      <c r="O168" t="s">
        <v>858</v>
      </c>
      <c r="Q168" t="s">
        <v>4283</v>
      </c>
      <c r="R168">
        <v>111</v>
      </c>
      <c r="S168">
        <v>74</v>
      </c>
      <c r="T168">
        <v>74</v>
      </c>
      <c r="V168" t="s">
        <v>414</v>
      </c>
      <c r="W168">
        <f>COUNTIFS('Clinical Trials HCO'!$A:$A, K168, 'Clinical Trials HCO'!$D:$D, "&lt;&gt;")</f>
        <v>0</v>
      </c>
      <c r="AF168" t="s">
        <v>414</v>
      </c>
      <c r="AG168" t="s">
        <v>414</v>
      </c>
    </row>
    <row r="169" spans="2:33">
      <c r="B169">
        <v>229</v>
      </c>
      <c r="F169">
        <f>COUNTIF(HCPs!W:W,HCO_Data!K169)</f>
        <v>0</v>
      </c>
      <c r="G169" t="str">
        <f>IF(COUNTIF('Testing Referrals'!B:B,HCO_Data!K169)&gt;0,"Yes","")</f>
        <v/>
      </c>
      <c r="H169">
        <f>COUNTIF('HCO referrals'!B:B,HCO_Data!K169)+COUNTIF('HCO referrals'!C:C,HCO_Data!K169)</f>
        <v>0</v>
      </c>
      <c r="I169">
        <v>950807982</v>
      </c>
      <c r="K169" t="s">
        <v>10200</v>
      </c>
      <c r="L169" t="s">
        <v>1506</v>
      </c>
      <c r="M169" t="s">
        <v>2045</v>
      </c>
      <c r="N169">
        <v>95124</v>
      </c>
      <c r="O169" t="s">
        <v>2046</v>
      </c>
      <c r="Q169" t="s">
        <v>4283</v>
      </c>
      <c r="R169">
        <v>210</v>
      </c>
      <c r="S169">
        <v>74</v>
      </c>
      <c r="T169">
        <v>74</v>
      </c>
      <c r="V169" t="s">
        <v>414</v>
      </c>
      <c r="W169">
        <f>COUNTIFS('Clinical Trials HCO'!$A:$A, K169, 'Clinical Trials HCO'!$D:$D, "&lt;&gt;")</f>
        <v>0</v>
      </c>
      <c r="AG169" t="s">
        <v>414</v>
      </c>
    </row>
    <row r="170" spans="2:33">
      <c r="B170">
        <v>258</v>
      </c>
      <c r="F170">
        <f>COUNTIF(HCPs!W:W,HCO_Data!K170)</f>
        <v>0</v>
      </c>
      <c r="G170" t="str">
        <f>IF(COUNTIF('Testing Referrals'!B:B,HCO_Data!K170)&gt;0,"Yes","")</f>
        <v/>
      </c>
      <c r="H170">
        <f>COUNTIF('HCO referrals'!B:B,HCO_Data!K170)+COUNTIF('HCO referrals'!C:C,HCO_Data!K170)</f>
        <v>0</v>
      </c>
      <c r="I170">
        <v>670000157</v>
      </c>
      <c r="K170" t="s">
        <v>10201</v>
      </c>
      <c r="L170" t="s">
        <v>1344</v>
      </c>
      <c r="M170" t="s">
        <v>1720</v>
      </c>
      <c r="N170">
        <v>67504</v>
      </c>
      <c r="O170" t="s">
        <v>1721</v>
      </c>
      <c r="Q170" t="s">
        <v>4283</v>
      </c>
      <c r="R170">
        <v>137</v>
      </c>
      <c r="S170">
        <v>73</v>
      </c>
      <c r="T170">
        <v>73</v>
      </c>
      <c r="V170" t="s">
        <v>414</v>
      </c>
      <c r="W170">
        <f>COUNTIFS('Clinical Trials HCO'!$A:$A, K170, 'Clinical Trials HCO'!$D:$D, "&lt;&gt;")</f>
        <v>0</v>
      </c>
      <c r="AF170" t="s">
        <v>414</v>
      </c>
    </row>
    <row r="171" spans="2:33">
      <c r="F171">
        <f>COUNTIF(HCPs!W:W,HCO_Data!K171)</f>
        <v>0</v>
      </c>
      <c r="G171" t="str">
        <f>IF(COUNTIF('Testing Referrals'!B:B,HCO_Data!K171)&gt;0,"Yes","")</f>
        <v/>
      </c>
      <c r="H171">
        <f>COUNTIF('HCO referrals'!B:B,HCO_Data!K171)+COUNTIF('HCO referrals'!C:C,HCO_Data!K171)</f>
        <v>0</v>
      </c>
      <c r="I171">
        <v>690041124</v>
      </c>
      <c r="K171" t="s">
        <v>10202</v>
      </c>
      <c r="L171" t="s">
        <v>8822</v>
      </c>
      <c r="M171" t="s">
        <v>8823</v>
      </c>
      <c r="O171" t="s">
        <v>995</v>
      </c>
      <c r="P171" t="s">
        <v>701</v>
      </c>
      <c r="Q171" t="s">
        <v>4283</v>
      </c>
      <c r="R171">
        <v>474</v>
      </c>
      <c r="S171">
        <v>73</v>
      </c>
      <c r="T171">
        <v>73</v>
      </c>
      <c r="V171" t="s">
        <v>414</v>
      </c>
      <c r="W171">
        <f>COUNTIFS('Clinical Trials HCO'!$A:$A, K171, 'Clinical Trials HCO'!$D:$D, "&lt;&gt;")</f>
        <v>0</v>
      </c>
    </row>
    <row r="172" spans="2:33">
      <c r="B172">
        <v>183</v>
      </c>
      <c r="F172">
        <f>COUNTIF(HCPs!W:W,HCO_Data!K172)</f>
        <v>0</v>
      </c>
      <c r="G172" t="str">
        <f>IF(COUNTIF('Testing Referrals'!B:B,HCO_Data!K172)&gt;0,"Yes","")</f>
        <v/>
      </c>
      <c r="H172">
        <f>COUNTIF('HCO referrals'!B:B,HCO_Data!K172)+COUNTIF('HCO referrals'!C:C,HCO_Data!K172)</f>
        <v>0</v>
      </c>
      <c r="I172">
        <v>20000162</v>
      </c>
      <c r="K172" t="s">
        <v>10203</v>
      </c>
      <c r="L172" t="s">
        <v>1435</v>
      </c>
      <c r="M172" t="s">
        <v>1916</v>
      </c>
      <c r="N172">
        <v>2321</v>
      </c>
      <c r="O172" t="s">
        <v>1917</v>
      </c>
      <c r="Q172" t="s">
        <v>4283</v>
      </c>
      <c r="R172">
        <v>92</v>
      </c>
      <c r="S172">
        <v>72</v>
      </c>
      <c r="T172">
        <v>72</v>
      </c>
      <c r="V172" t="s">
        <v>414</v>
      </c>
      <c r="W172">
        <f>COUNTIFS('Clinical Trials HCO'!$A:$A, K172, 'Clinical Trials HCO'!$D:$D, "&lt;&gt;")</f>
        <v>0</v>
      </c>
      <c r="AF172" t="s">
        <v>414</v>
      </c>
      <c r="AG172" t="s">
        <v>414</v>
      </c>
    </row>
    <row r="173" spans="2:33">
      <c r="B173">
        <v>119</v>
      </c>
      <c r="F173">
        <f>COUNTIF(HCPs!W:W,HCO_Data!K173)</f>
        <v>0</v>
      </c>
      <c r="G173" t="str">
        <f>IF(COUNTIF('Testing Referrals'!B:B,HCO_Data!K173)&gt;0,"Yes","")</f>
        <v/>
      </c>
      <c r="H173">
        <f>COUNTIF('HCO referrals'!B:B,HCO_Data!K173)+COUNTIF('HCO referrals'!C:C,HCO_Data!K173)</f>
        <v>0</v>
      </c>
      <c r="I173">
        <v>300000023</v>
      </c>
      <c r="K173" t="s">
        <v>10204</v>
      </c>
      <c r="L173" t="s">
        <v>1369</v>
      </c>
      <c r="M173" t="s">
        <v>1772</v>
      </c>
      <c r="N173">
        <v>30103</v>
      </c>
      <c r="O173" t="s">
        <v>1773</v>
      </c>
      <c r="Q173" t="s">
        <v>4283</v>
      </c>
      <c r="R173">
        <v>157</v>
      </c>
      <c r="S173">
        <v>72</v>
      </c>
      <c r="T173">
        <v>72</v>
      </c>
      <c r="V173" t="s">
        <v>414</v>
      </c>
      <c r="W173">
        <f>COUNTIFS('Clinical Trials HCO'!$A:$A, K173, 'Clinical Trials HCO'!$D:$D, "&lt;&gt;")</f>
        <v>0</v>
      </c>
      <c r="AF173" t="s">
        <v>414</v>
      </c>
      <c r="AG173" t="s">
        <v>414</v>
      </c>
    </row>
    <row r="174" spans="2:33">
      <c r="B174">
        <v>157</v>
      </c>
      <c r="F174">
        <f>COUNTIF(HCPs!W:W,HCO_Data!K174)</f>
        <v>0</v>
      </c>
      <c r="G174" t="str">
        <f>IF(COUNTIF('Testing Referrals'!B:B,HCO_Data!K174)&gt;0,"Yes","")</f>
        <v/>
      </c>
      <c r="H174">
        <f>COUNTIF('HCO referrals'!B:B,HCO_Data!K174)+COUNTIF('HCO referrals'!C:C,HCO_Data!K174)</f>
        <v>0</v>
      </c>
      <c r="I174">
        <v>430000117</v>
      </c>
      <c r="K174" t="s">
        <v>10205</v>
      </c>
      <c r="L174" t="s">
        <v>648</v>
      </c>
      <c r="M174" t="s">
        <v>1858</v>
      </c>
      <c r="N174">
        <v>43012</v>
      </c>
      <c r="O174" t="s">
        <v>900</v>
      </c>
      <c r="Q174" t="s">
        <v>4283</v>
      </c>
      <c r="R174">
        <v>156</v>
      </c>
      <c r="S174">
        <v>72</v>
      </c>
      <c r="T174">
        <v>72</v>
      </c>
      <c r="V174" t="s">
        <v>414</v>
      </c>
      <c r="W174">
        <f>COUNTIFS('Clinical Trials HCO'!$A:$A, K174, 'Clinical Trials HCO'!$D:$D, "&lt;&gt;")</f>
        <v>0</v>
      </c>
      <c r="AF174" t="s">
        <v>414</v>
      </c>
      <c r="AG174" t="s">
        <v>414</v>
      </c>
    </row>
    <row r="175" spans="2:33">
      <c r="B175">
        <v>620</v>
      </c>
      <c r="F175">
        <f>COUNTIF(HCPs!W:W,HCO_Data!K175)</f>
        <v>0</v>
      </c>
      <c r="G175" t="str">
        <f>IF(COUNTIF('Testing Referrals'!B:B,HCO_Data!K175)&gt;0,"Yes","")</f>
        <v/>
      </c>
      <c r="H175">
        <f>COUNTIF('HCO referrals'!B:B,HCO_Data!K175)+COUNTIF('HCO referrals'!C:C,HCO_Data!K175)</f>
        <v>0</v>
      </c>
      <c r="I175">
        <v>330780529</v>
      </c>
      <c r="K175" t="s">
        <v>10206</v>
      </c>
      <c r="L175" t="s">
        <v>2481</v>
      </c>
      <c r="M175" t="s">
        <v>2794</v>
      </c>
      <c r="N175">
        <v>33608</v>
      </c>
      <c r="O175" t="s">
        <v>2174</v>
      </c>
      <c r="Q175" t="s">
        <v>4283</v>
      </c>
      <c r="R175">
        <v>290</v>
      </c>
      <c r="S175">
        <v>71</v>
      </c>
      <c r="T175">
        <v>71</v>
      </c>
      <c r="V175" t="s">
        <v>414</v>
      </c>
      <c r="W175">
        <f>COUNTIFS('Clinical Trials HCO'!$A:$A, K175, 'Clinical Trials HCO'!$D:$D, "&lt;&gt;")</f>
        <v>0</v>
      </c>
      <c r="AG175" t="s">
        <v>414</v>
      </c>
    </row>
    <row r="176" spans="2:33">
      <c r="B176">
        <v>276</v>
      </c>
      <c r="F176">
        <f>COUNTIF(HCPs!W:W,HCO_Data!K176)</f>
        <v>0</v>
      </c>
      <c r="G176" t="str">
        <f>IF(COUNTIF('Testing Referrals'!B:B,HCO_Data!K176)&gt;0,"Yes","")</f>
        <v>Yes</v>
      </c>
      <c r="H176">
        <f>COUNTIF('HCO referrals'!B:B,HCO_Data!K176)+COUNTIF('HCO referrals'!C:C,HCO_Data!K176)</f>
        <v>0</v>
      </c>
      <c r="I176">
        <v>930100037</v>
      </c>
      <c r="K176" t="s">
        <v>3778</v>
      </c>
      <c r="L176" t="s">
        <v>185</v>
      </c>
      <c r="M176" t="s">
        <v>2295</v>
      </c>
      <c r="N176">
        <v>93009</v>
      </c>
      <c r="O176" t="s">
        <v>970</v>
      </c>
      <c r="Q176" t="s">
        <v>4283</v>
      </c>
      <c r="R176">
        <v>176</v>
      </c>
      <c r="S176">
        <v>70</v>
      </c>
      <c r="T176">
        <v>70</v>
      </c>
      <c r="V176" t="s">
        <v>414</v>
      </c>
      <c r="W176">
        <f>COUNTIFS('Clinical Trials HCO'!$A:$A, K176, 'Clinical Trials HCO'!$D:$D, "&lt;&gt;")</f>
        <v>0</v>
      </c>
      <c r="AF176" t="s">
        <v>414</v>
      </c>
      <c r="AG176" t="s">
        <v>414</v>
      </c>
    </row>
    <row r="177" spans="2:33" hidden="1">
      <c r="B177">
        <v>180</v>
      </c>
      <c r="F177">
        <f>COUNTIF(HCPs!W:W,HCO_Data!K177)</f>
        <v>1</v>
      </c>
      <c r="G177" t="str">
        <f>IF(COUNTIF('Testing Referrals'!B:B,HCO_Data!K177)&gt;0,"Yes","")</f>
        <v/>
      </c>
      <c r="H177">
        <f>COUNTIF('HCO referrals'!B:B,HCO_Data!K177)+COUNTIF('HCO referrals'!C:C,HCO_Data!K177)</f>
        <v>0</v>
      </c>
      <c r="I177">
        <v>380000034</v>
      </c>
      <c r="K177" t="s">
        <v>10207</v>
      </c>
      <c r="L177" t="s">
        <v>1431</v>
      </c>
      <c r="M177" t="s">
        <v>1908</v>
      </c>
      <c r="N177">
        <v>38302</v>
      </c>
      <c r="O177" t="s">
        <v>1909</v>
      </c>
      <c r="Q177" t="s">
        <v>4283</v>
      </c>
      <c r="R177">
        <v>240</v>
      </c>
      <c r="S177">
        <v>70</v>
      </c>
      <c r="T177">
        <v>70</v>
      </c>
      <c r="V177" t="s">
        <v>414</v>
      </c>
      <c r="W177">
        <f>COUNTIFS('Clinical Trials HCO'!$A:$A, K177, 'Clinical Trials HCO'!$D:$D, "&lt;&gt;")</f>
        <v>0</v>
      </c>
      <c r="AF177" t="s">
        <v>414</v>
      </c>
      <c r="AG177" t="s">
        <v>414</v>
      </c>
    </row>
    <row r="178" spans="2:33">
      <c r="B178">
        <v>648</v>
      </c>
      <c r="F178">
        <f>COUNTIF(HCPs!W:W,HCO_Data!K178)</f>
        <v>0</v>
      </c>
      <c r="G178" t="str">
        <f>IF(COUNTIF('Testing Referrals'!B:B,HCO_Data!K178)&gt;0,"Yes","")</f>
        <v/>
      </c>
      <c r="H178">
        <f>COUNTIF('HCO referrals'!B:B,HCO_Data!K178)+COUNTIF('HCO referrals'!C:C,HCO_Data!K178)</f>
        <v>0</v>
      </c>
      <c r="I178">
        <v>620003376</v>
      </c>
      <c r="K178" t="s">
        <v>10208</v>
      </c>
      <c r="L178" t="s">
        <v>2627</v>
      </c>
      <c r="M178" t="s">
        <v>2914</v>
      </c>
      <c r="N178">
        <v>62110</v>
      </c>
      <c r="O178" t="s">
        <v>2915</v>
      </c>
      <c r="Q178" t="s">
        <v>4283</v>
      </c>
      <c r="R178">
        <v>442</v>
      </c>
      <c r="S178">
        <v>70</v>
      </c>
      <c r="T178">
        <v>70</v>
      </c>
      <c r="V178" t="s">
        <v>414</v>
      </c>
      <c r="W178">
        <f>COUNTIFS('Clinical Trials HCO'!$A:$A, K178, 'Clinical Trials HCO'!$D:$D, "&lt;&gt;")</f>
        <v>0</v>
      </c>
      <c r="AF178" t="s">
        <v>414</v>
      </c>
    </row>
    <row r="179" spans="2:33">
      <c r="F179">
        <f>COUNTIF(HCPs!W:W,HCO_Data!K179)</f>
        <v>0</v>
      </c>
      <c r="G179" t="str">
        <f>IF(COUNTIF('Testing Referrals'!B:B,HCO_Data!K179)&gt;0,"Yes","")</f>
        <v/>
      </c>
      <c r="H179">
        <f>COUNTIF('HCO referrals'!B:B,HCO_Data!K179)+COUNTIF('HCO referrals'!C:C,HCO_Data!K179)</f>
        <v>0</v>
      </c>
      <c r="I179">
        <v>830100574</v>
      </c>
      <c r="K179" t="s">
        <v>10209</v>
      </c>
      <c r="L179" t="s">
        <v>8664</v>
      </c>
      <c r="M179" t="s">
        <v>8665</v>
      </c>
      <c r="O179" t="s">
        <v>8666</v>
      </c>
      <c r="P179" t="s">
        <v>715</v>
      </c>
      <c r="Q179" t="s">
        <v>4283</v>
      </c>
      <c r="R179">
        <v>128</v>
      </c>
      <c r="S179">
        <v>70</v>
      </c>
      <c r="T179">
        <v>70</v>
      </c>
      <c r="V179" t="s">
        <v>414</v>
      </c>
      <c r="W179">
        <f>COUNTIFS('Clinical Trials HCO'!$A:$A, K179, 'Clinical Trials HCO'!$D:$D, "&lt;&gt;")</f>
        <v>0</v>
      </c>
    </row>
    <row r="180" spans="2:33" hidden="1">
      <c r="B180">
        <v>587</v>
      </c>
      <c r="C180" t="s">
        <v>8431</v>
      </c>
      <c r="F180">
        <f>COUNTIF(HCPs!W:W,HCO_Data!K180)</f>
        <v>2</v>
      </c>
      <c r="G180" t="str">
        <f>IF(COUNTIF('Testing Referrals'!B:B,HCO_Data!K180)&gt;0,"Yes","")</f>
        <v/>
      </c>
      <c r="H180">
        <f>COUNTIF('HCO referrals'!B:B,HCO_Data!K180)+COUNTIF('HCO referrals'!C:C,HCO_Data!K180)</f>
        <v>0</v>
      </c>
      <c r="I180">
        <v>720000033</v>
      </c>
      <c r="J180" s="72" t="s">
        <v>8427</v>
      </c>
      <c r="K180" t="s">
        <v>8429</v>
      </c>
      <c r="L180" s="13" t="s">
        <v>8426</v>
      </c>
      <c r="M180" t="s">
        <v>2657</v>
      </c>
      <c r="N180">
        <v>72037</v>
      </c>
      <c r="O180" t="s">
        <v>1883</v>
      </c>
      <c r="Q180" t="s">
        <v>4283</v>
      </c>
      <c r="R180">
        <v>445</v>
      </c>
      <c r="S180">
        <v>69</v>
      </c>
      <c r="T180">
        <v>69</v>
      </c>
      <c r="V180" t="s">
        <v>414</v>
      </c>
      <c r="W180">
        <f>COUNTIFS('Clinical Trials HCO'!$A:$A, K180, 'Clinical Trials HCO'!$D:$D, "&lt;&gt;")</f>
        <v>0</v>
      </c>
      <c r="AF180" t="s">
        <v>414</v>
      </c>
    </row>
    <row r="181" spans="2:33" hidden="1">
      <c r="B181">
        <v>542</v>
      </c>
      <c r="F181">
        <f>COUNTIF(HCPs!W:W,HCO_Data!K181)</f>
        <v>2</v>
      </c>
      <c r="G181" t="str">
        <f>IF(COUNTIF('Testing Referrals'!B:B,HCO_Data!K181)&gt;0,"Yes","")</f>
        <v/>
      </c>
      <c r="H181">
        <f>COUNTIF('HCO referrals'!B:B,HCO_Data!K181)+COUNTIF('HCO referrals'!C:C,HCO_Data!K181)</f>
        <v>0</v>
      </c>
      <c r="I181">
        <v>920000643</v>
      </c>
      <c r="K181" t="s">
        <v>3762</v>
      </c>
      <c r="L181" t="s">
        <v>4594</v>
      </c>
      <c r="M181" t="s">
        <v>2172</v>
      </c>
      <c r="N181">
        <v>92309</v>
      </c>
      <c r="O181" t="s">
        <v>1021</v>
      </c>
      <c r="Q181" t="s">
        <v>4283</v>
      </c>
      <c r="R181">
        <v>138</v>
      </c>
      <c r="S181">
        <v>68</v>
      </c>
      <c r="T181">
        <v>68</v>
      </c>
      <c r="V181" t="s">
        <v>414</v>
      </c>
      <c r="W181">
        <f>COUNTIFS('Clinical Trials HCO'!$A:$A, K181, 'Clinical Trials HCO'!$D:$D, "&lt;&gt;")</f>
        <v>0</v>
      </c>
      <c r="AF181" t="s">
        <v>414</v>
      </c>
      <c r="AG181" t="s">
        <v>414</v>
      </c>
    </row>
    <row r="182" spans="2:33">
      <c r="B182">
        <v>722</v>
      </c>
      <c r="F182">
        <f>COUNTIF(HCPs!W:W,HCO_Data!K182)</f>
        <v>0</v>
      </c>
      <c r="G182" t="str">
        <f>IF(COUNTIF('Testing Referrals'!B:B,HCO_Data!K182)&gt;0,"Yes","")</f>
        <v/>
      </c>
      <c r="H182">
        <f>COUNTIF('HCO referrals'!B:B,HCO_Data!K182)+COUNTIF('HCO referrals'!C:C,HCO_Data!K182)</f>
        <v>0</v>
      </c>
      <c r="I182">
        <v>540026895</v>
      </c>
      <c r="K182" t="s">
        <v>10210</v>
      </c>
      <c r="L182" t="s">
        <v>1620</v>
      </c>
      <c r="M182" t="s">
        <v>2239</v>
      </c>
      <c r="N182">
        <v>54000</v>
      </c>
      <c r="O182" t="s">
        <v>1992</v>
      </c>
      <c r="Q182" t="s">
        <v>4283</v>
      </c>
      <c r="R182">
        <v>147</v>
      </c>
      <c r="S182">
        <v>68</v>
      </c>
      <c r="T182">
        <v>68</v>
      </c>
      <c r="V182" t="s">
        <v>414</v>
      </c>
      <c r="W182">
        <f>COUNTIFS('Clinical Trials HCO'!$A:$A, K182, 'Clinical Trials HCO'!$D:$D, "&lt;&gt;")</f>
        <v>0</v>
      </c>
      <c r="AF182" t="s">
        <v>414</v>
      </c>
      <c r="AG182" t="s">
        <v>414</v>
      </c>
    </row>
    <row r="183" spans="2:33">
      <c r="B183">
        <v>156</v>
      </c>
      <c r="F183">
        <f>COUNTIF(HCPs!W:W,HCO_Data!K183)</f>
        <v>0</v>
      </c>
      <c r="G183" t="str">
        <f>IF(COUNTIF('Testing Referrals'!B:B,HCO_Data!K183)&gt;0,"Yes","")</f>
        <v/>
      </c>
      <c r="H183">
        <f>COUNTIF('HCO referrals'!B:B,HCO_Data!K183)+COUNTIF('HCO referrals'!C:C,HCO_Data!K183)</f>
        <v>0</v>
      </c>
      <c r="I183">
        <v>590000337</v>
      </c>
      <c r="K183" t="s">
        <v>10211</v>
      </c>
      <c r="L183" t="s">
        <v>1408</v>
      </c>
      <c r="M183" t="s">
        <v>1856</v>
      </c>
      <c r="N183">
        <v>59140</v>
      </c>
      <c r="O183" t="s">
        <v>1857</v>
      </c>
      <c r="Q183" t="s">
        <v>4283</v>
      </c>
      <c r="R183">
        <v>165</v>
      </c>
      <c r="S183">
        <v>68</v>
      </c>
      <c r="T183">
        <v>68</v>
      </c>
      <c r="V183" t="s">
        <v>414</v>
      </c>
      <c r="W183">
        <f>COUNTIFS('Clinical Trials HCO'!$A:$A, K183, 'Clinical Trials HCO'!$D:$D, "&lt;&gt;")</f>
        <v>0</v>
      </c>
      <c r="AG183" t="s">
        <v>414</v>
      </c>
    </row>
    <row r="184" spans="2:33" hidden="1">
      <c r="B184">
        <v>435</v>
      </c>
      <c r="C184" t="s">
        <v>8582</v>
      </c>
      <c r="F184">
        <f>COUNTIF(HCPs!W:W,HCO_Data!K184)</f>
        <v>2</v>
      </c>
      <c r="G184" t="str">
        <f>IF(COUNTIF('Testing Referrals'!B:B,HCO_Data!K184)&gt;0,"Yes","")</f>
        <v/>
      </c>
      <c r="H184">
        <f>COUNTIF('HCO referrals'!B:B,HCO_Data!K184)+COUNTIF('HCO referrals'!C:C,HCO_Data!K184)</f>
        <v>0</v>
      </c>
      <c r="I184">
        <v>490014909</v>
      </c>
      <c r="J184" s="72" t="s">
        <v>8583</v>
      </c>
      <c r="K184" t="s">
        <v>8585</v>
      </c>
      <c r="L184" t="s">
        <v>8584</v>
      </c>
      <c r="M184" t="s">
        <v>2749</v>
      </c>
      <c r="N184">
        <v>49044</v>
      </c>
      <c r="O184" t="s">
        <v>958</v>
      </c>
      <c r="Q184" t="s">
        <v>4283</v>
      </c>
      <c r="R184">
        <v>456</v>
      </c>
      <c r="S184">
        <v>67</v>
      </c>
      <c r="T184">
        <v>67</v>
      </c>
      <c r="V184" t="s">
        <v>414</v>
      </c>
      <c r="W184">
        <f>COUNTIFS('Clinical Trials HCO'!$A:$A, K184, 'Clinical Trials HCO'!$D:$D, "&lt;&gt;")</f>
        <v>0</v>
      </c>
      <c r="AF184" t="s">
        <v>414</v>
      </c>
      <c r="AG184" t="s">
        <v>414</v>
      </c>
    </row>
    <row r="185" spans="2:33">
      <c r="B185">
        <v>554</v>
      </c>
      <c r="F185">
        <f>COUNTIF(HCPs!W:W,HCO_Data!K185)</f>
        <v>0</v>
      </c>
      <c r="G185" t="str">
        <f>IF(COUNTIF('Testing Referrals'!B:B,HCO_Data!K185)&gt;0,"Yes","")</f>
        <v/>
      </c>
      <c r="H185">
        <f>COUNTIF('HCO referrals'!B:B,HCO_Data!K185)+COUNTIF('HCO referrals'!C:C,HCO_Data!K185)</f>
        <v>0</v>
      </c>
      <c r="I185">
        <v>760021329</v>
      </c>
      <c r="K185" t="s">
        <v>10212</v>
      </c>
      <c r="L185" t="s">
        <v>1601</v>
      </c>
      <c r="M185" t="s">
        <v>2207</v>
      </c>
      <c r="N185">
        <v>76620</v>
      </c>
      <c r="O185" t="s">
        <v>2078</v>
      </c>
      <c r="Q185" t="s">
        <v>4283</v>
      </c>
      <c r="R185">
        <v>151</v>
      </c>
      <c r="S185">
        <v>67</v>
      </c>
      <c r="T185">
        <v>67</v>
      </c>
      <c r="V185" t="s">
        <v>414</v>
      </c>
      <c r="W185">
        <f>COUNTIFS('Clinical Trials HCO'!$A:$A, K185, 'Clinical Trials HCO'!$D:$D, "&lt;&gt;")</f>
        <v>0</v>
      </c>
      <c r="AF185" t="s">
        <v>414</v>
      </c>
      <c r="AG185" t="s">
        <v>414</v>
      </c>
    </row>
    <row r="186" spans="2:33">
      <c r="B186">
        <v>239</v>
      </c>
      <c r="F186">
        <f>COUNTIF(HCPs!W:W,HCO_Data!K186)</f>
        <v>0</v>
      </c>
      <c r="G186" t="str">
        <f>IF(COUNTIF('Testing Referrals'!B:B,HCO_Data!K186)&gt;0,"Yes","")</f>
        <v/>
      </c>
      <c r="H186">
        <f>COUNTIF('HCO referrals'!B:B,HCO_Data!K186)+COUNTIF('HCO referrals'!C:C,HCO_Data!K186)</f>
        <v>0</v>
      </c>
      <c r="I186">
        <v>760780510</v>
      </c>
      <c r="K186" t="s">
        <v>10213</v>
      </c>
      <c r="L186" t="s">
        <v>678</v>
      </c>
      <c r="M186" t="s">
        <v>2066</v>
      </c>
      <c r="N186">
        <v>76230</v>
      </c>
      <c r="O186" t="s">
        <v>2067</v>
      </c>
      <c r="Q186" t="s">
        <v>4283</v>
      </c>
      <c r="R186">
        <v>155</v>
      </c>
      <c r="S186">
        <v>67</v>
      </c>
      <c r="T186">
        <v>67</v>
      </c>
      <c r="V186" t="s">
        <v>414</v>
      </c>
      <c r="W186">
        <f>COUNTIFS('Clinical Trials HCO'!$A:$A, K186, 'Clinical Trials HCO'!$D:$D, "&lt;&gt;")</f>
        <v>0</v>
      </c>
      <c r="AG186" t="s">
        <v>414</v>
      </c>
    </row>
    <row r="187" spans="2:33">
      <c r="B187">
        <v>124</v>
      </c>
      <c r="F187">
        <f>COUNTIF(HCPs!W:W,HCO_Data!K187)</f>
        <v>0</v>
      </c>
      <c r="G187" t="str">
        <f>IF(COUNTIF('Testing Referrals'!B:B,HCO_Data!K187)&gt;0,"Yes","")</f>
        <v/>
      </c>
      <c r="H187">
        <f>COUNTIF('HCO referrals'!B:B,HCO_Data!K187)+COUNTIF('HCO referrals'!C:C,HCO_Data!K187)</f>
        <v>0</v>
      </c>
      <c r="I187">
        <v>450000062</v>
      </c>
      <c r="J187" s="72" t="s">
        <v>11464</v>
      </c>
      <c r="K187" t="s">
        <v>10214</v>
      </c>
      <c r="L187" t="s">
        <v>650</v>
      </c>
      <c r="M187" t="s">
        <v>1768</v>
      </c>
      <c r="N187">
        <v>45200</v>
      </c>
      <c r="O187" t="s">
        <v>1769</v>
      </c>
      <c r="Q187" t="s">
        <v>4283</v>
      </c>
      <c r="R187">
        <v>131</v>
      </c>
      <c r="S187">
        <v>66</v>
      </c>
      <c r="T187">
        <v>66</v>
      </c>
      <c r="V187" t="s">
        <v>414</v>
      </c>
      <c r="W187">
        <f>COUNTIFS('Clinical Trials HCO'!$A:$A, K187, 'Clinical Trials HCO'!$D:$D, "&lt;&gt;")</f>
        <v>0</v>
      </c>
      <c r="AF187" t="s">
        <v>414</v>
      </c>
      <c r="AG187" t="s">
        <v>414</v>
      </c>
    </row>
    <row r="188" spans="2:33" hidden="1">
      <c r="F188">
        <f>COUNTIF(HCPs!W:W,HCO_Data!K188)</f>
        <v>1</v>
      </c>
      <c r="G188" t="str">
        <f>IF(COUNTIF('Testing Referrals'!B:B,HCO_Data!K188)&gt;0,"Yes","")</f>
        <v/>
      </c>
      <c r="H188">
        <f>COUNTIF('HCO referrals'!B:B,HCO_Data!K188)+COUNTIF('HCO referrals'!C:C,HCO_Data!K188)</f>
        <v>0</v>
      </c>
      <c r="I188">
        <v>940120017</v>
      </c>
      <c r="K188" t="s">
        <v>8533</v>
      </c>
      <c r="L188" t="s">
        <v>8531</v>
      </c>
      <c r="O188" t="s">
        <v>8534</v>
      </c>
      <c r="Q188" t="s">
        <v>4283</v>
      </c>
      <c r="R188">
        <v>213</v>
      </c>
      <c r="S188">
        <v>65</v>
      </c>
      <c r="T188">
        <v>65</v>
      </c>
      <c r="V188" t="s">
        <v>414</v>
      </c>
      <c r="W188">
        <f>COUNTIFS('Clinical Trials HCO'!$A:$A, K188, 'Clinical Trials HCO'!$D:$D, "&lt;&gt;")</f>
        <v>0</v>
      </c>
    </row>
    <row r="189" spans="2:33">
      <c r="B189">
        <v>329</v>
      </c>
      <c r="F189">
        <f>COUNTIF(HCPs!W:W,HCO_Data!K189)</f>
        <v>0</v>
      </c>
      <c r="G189" t="str">
        <f>IF(COUNTIF('Testing Referrals'!B:B,HCO_Data!K189)&gt;0,"Yes","")</f>
        <v/>
      </c>
      <c r="H189">
        <f>COUNTIF('HCO referrals'!B:B,HCO_Data!K189)+COUNTIF('HCO referrals'!C:C,HCO_Data!K189)</f>
        <v>0</v>
      </c>
      <c r="I189">
        <v>100000090</v>
      </c>
      <c r="K189" t="s">
        <v>10215</v>
      </c>
      <c r="L189" t="s">
        <v>1351</v>
      </c>
      <c r="M189" t="s">
        <v>1732</v>
      </c>
      <c r="N189">
        <v>10003</v>
      </c>
      <c r="O189" t="s">
        <v>1733</v>
      </c>
      <c r="Q189" t="s">
        <v>4283</v>
      </c>
      <c r="R189">
        <v>175</v>
      </c>
      <c r="S189">
        <v>65</v>
      </c>
      <c r="T189">
        <v>65</v>
      </c>
      <c r="V189" t="s">
        <v>414</v>
      </c>
      <c r="W189">
        <f>COUNTIFS('Clinical Trials HCO'!$A:$A, K189, 'Clinical Trials HCO'!$D:$D, "&lt;&gt;")</f>
        <v>0</v>
      </c>
      <c r="AG189" t="s">
        <v>414</v>
      </c>
    </row>
    <row r="190" spans="2:33">
      <c r="B190">
        <v>234</v>
      </c>
      <c r="F190">
        <f>COUNTIF(HCPs!W:W,HCO_Data!K190)</f>
        <v>0</v>
      </c>
      <c r="G190" t="str">
        <f>IF(COUNTIF('Testing Referrals'!B:B,HCO_Data!K190)&gt;0,"Yes","")</f>
        <v/>
      </c>
      <c r="H190">
        <f>COUNTIF('HCO referrals'!B:B,HCO_Data!K190)+COUNTIF('HCO referrals'!C:C,HCO_Data!K190)</f>
        <v>0</v>
      </c>
      <c r="I190">
        <v>160013207</v>
      </c>
      <c r="K190" t="s">
        <v>10216</v>
      </c>
      <c r="L190" t="s">
        <v>1338</v>
      </c>
      <c r="M190" t="s">
        <v>1708</v>
      </c>
      <c r="N190">
        <v>16800</v>
      </c>
      <c r="O190" t="s">
        <v>1709</v>
      </c>
      <c r="Q190" t="s">
        <v>4283</v>
      </c>
      <c r="R190">
        <v>174</v>
      </c>
      <c r="S190">
        <v>65</v>
      </c>
      <c r="T190">
        <v>65</v>
      </c>
      <c r="V190" t="s">
        <v>414</v>
      </c>
      <c r="W190">
        <f>COUNTIFS('Clinical Trials HCO'!$A:$A, K190, 'Clinical Trials HCO'!$D:$D, "&lt;&gt;")</f>
        <v>0</v>
      </c>
      <c r="AF190" t="s">
        <v>414</v>
      </c>
    </row>
    <row r="191" spans="2:33">
      <c r="B191">
        <v>510</v>
      </c>
      <c r="F191">
        <f>COUNTIF(HCPs!W:W,HCO_Data!K191)</f>
        <v>0</v>
      </c>
      <c r="G191" t="str">
        <f>IF(COUNTIF('Testing Referrals'!B:B,HCO_Data!K191)&gt;0,"Yes","")</f>
        <v/>
      </c>
      <c r="H191">
        <f>COUNTIF('HCO referrals'!B:B,HCO_Data!K191)+COUNTIF('HCO referrals'!C:C,HCO_Data!K191)</f>
        <v>0</v>
      </c>
      <c r="I191">
        <v>770020477</v>
      </c>
      <c r="K191" t="s">
        <v>10217</v>
      </c>
      <c r="L191" t="s">
        <v>1556</v>
      </c>
      <c r="M191" t="s">
        <v>2144</v>
      </c>
      <c r="N191">
        <v>77150</v>
      </c>
      <c r="O191" t="s">
        <v>2145</v>
      </c>
      <c r="Q191" t="s">
        <v>4283</v>
      </c>
      <c r="R191">
        <v>101</v>
      </c>
      <c r="S191">
        <v>65</v>
      </c>
      <c r="T191">
        <v>65</v>
      </c>
      <c r="V191" t="s">
        <v>414</v>
      </c>
      <c r="W191">
        <f>COUNTIFS('Clinical Trials HCO'!$A:$A, K191, 'Clinical Trials HCO'!$D:$D, "&lt;&gt;")</f>
        <v>0</v>
      </c>
    </row>
    <row r="192" spans="2:33" hidden="1">
      <c r="F192">
        <f>COUNTIF(HCPs!W:W,HCO_Data!K192)</f>
        <v>1</v>
      </c>
      <c r="G192" t="str">
        <f>IF(COUNTIF('Testing Referrals'!B:B,HCO_Data!K192)&gt;0,"Yes","")</f>
        <v/>
      </c>
      <c r="H192">
        <f>COUNTIF('HCO referrals'!B:B,HCO_Data!K192)+COUNTIF('HCO referrals'!C:C,HCO_Data!K192)</f>
        <v>0</v>
      </c>
      <c r="I192">
        <v>110000023</v>
      </c>
      <c r="J192" s="72" t="s">
        <v>8404</v>
      </c>
      <c r="K192" t="s">
        <v>8403</v>
      </c>
      <c r="L192" t="s">
        <v>8402</v>
      </c>
      <c r="Q192" t="s">
        <v>4283</v>
      </c>
      <c r="R192">
        <v>207</v>
      </c>
      <c r="S192">
        <v>64</v>
      </c>
      <c r="T192">
        <v>64</v>
      </c>
      <c r="V192" t="s">
        <v>414</v>
      </c>
      <c r="W192">
        <f>COUNTIFS('Clinical Trials HCO'!$A:$A, K192, 'Clinical Trials HCO'!$D:$D, "&lt;&gt;")</f>
        <v>0</v>
      </c>
    </row>
    <row r="193" spans="2:33">
      <c r="B193">
        <v>579</v>
      </c>
      <c r="C193" t="s">
        <v>8509</v>
      </c>
      <c r="F193">
        <f>COUNTIF(HCPs!W:W,HCO_Data!K193)</f>
        <v>0</v>
      </c>
      <c r="G193" t="str">
        <f>IF(COUNTIF('Testing Referrals'!B:B,HCO_Data!K193)&gt;0,"Yes","")</f>
        <v/>
      </c>
      <c r="H193">
        <f>COUNTIF('HCO referrals'!B:B,HCO_Data!K193)+COUNTIF('HCO referrals'!C:C,HCO_Data!K193)</f>
        <v>2</v>
      </c>
      <c r="I193">
        <v>300017209</v>
      </c>
      <c r="J193" s="72" t="s">
        <v>8510</v>
      </c>
      <c r="K193" t="s">
        <v>8512</v>
      </c>
      <c r="L193" t="s">
        <v>8511</v>
      </c>
      <c r="M193" t="s">
        <v>2318</v>
      </c>
      <c r="N193">
        <v>30029</v>
      </c>
      <c r="O193" t="s">
        <v>951</v>
      </c>
      <c r="Q193" t="s">
        <v>4283</v>
      </c>
      <c r="R193">
        <v>125</v>
      </c>
      <c r="S193">
        <v>64</v>
      </c>
      <c r="T193">
        <v>64</v>
      </c>
      <c r="V193" t="s">
        <v>414</v>
      </c>
      <c r="W193">
        <f>COUNTIFS('Clinical Trials HCO'!$A:$A, K193, 'Clinical Trials HCO'!$D:$D, "&lt;&gt;")</f>
        <v>1</v>
      </c>
      <c r="AG193" t="s">
        <v>414</v>
      </c>
    </row>
    <row r="194" spans="2:33">
      <c r="B194">
        <v>199</v>
      </c>
      <c r="F194">
        <f>COUNTIF(HCPs!W:W,HCO_Data!K194)</f>
        <v>0</v>
      </c>
      <c r="G194" t="str">
        <f>IF(COUNTIF('Testing Referrals'!B:B,HCO_Data!K194)&gt;0,"Yes","")</f>
        <v/>
      </c>
      <c r="H194">
        <f>COUNTIF('HCO referrals'!B:B,HCO_Data!K194)+COUNTIF('HCO referrals'!C:C,HCO_Data!K194)</f>
        <v>0</v>
      </c>
      <c r="I194">
        <v>50000348</v>
      </c>
      <c r="K194" t="s">
        <v>10218</v>
      </c>
      <c r="L194" t="s">
        <v>1451</v>
      </c>
      <c r="M194" t="s">
        <v>1953</v>
      </c>
      <c r="N194">
        <v>5007</v>
      </c>
      <c r="O194" t="s">
        <v>1954</v>
      </c>
      <c r="Q194" t="s">
        <v>4283</v>
      </c>
      <c r="R194">
        <v>218</v>
      </c>
      <c r="S194">
        <v>64</v>
      </c>
      <c r="T194">
        <v>64</v>
      </c>
      <c r="V194" t="s">
        <v>414</v>
      </c>
      <c r="W194">
        <f>COUNTIFS('Clinical Trials HCO'!$A:$A, K194, 'Clinical Trials HCO'!$D:$D, "&lt;&gt;")</f>
        <v>0</v>
      </c>
      <c r="AF194" t="s">
        <v>414</v>
      </c>
      <c r="AG194" t="s">
        <v>414</v>
      </c>
    </row>
    <row r="195" spans="2:33">
      <c r="B195">
        <v>591</v>
      </c>
      <c r="F195">
        <f>COUNTIF(HCPs!W:W,HCO_Data!K195)</f>
        <v>0</v>
      </c>
      <c r="G195" t="str">
        <f>IF(COUNTIF('Testing Referrals'!B:B,HCO_Data!K195)&gt;0,"Yes","")</f>
        <v/>
      </c>
      <c r="H195">
        <f>COUNTIF('HCO referrals'!B:B,HCO_Data!K195)+COUNTIF('HCO referrals'!C:C,HCO_Data!K195)</f>
        <v>0</v>
      </c>
      <c r="I195">
        <v>450010079</v>
      </c>
      <c r="K195" t="s">
        <v>10219</v>
      </c>
      <c r="L195" t="s">
        <v>651</v>
      </c>
      <c r="M195" t="s">
        <v>2325</v>
      </c>
      <c r="N195">
        <v>45770</v>
      </c>
      <c r="O195" t="s">
        <v>2326</v>
      </c>
      <c r="Q195" t="s">
        <v>4283</v>
      </c>
      <c r="R195">
        <v>173</v>
      </c>
      <c r="S195">
        <v>64</v>
      </c>
      <c r="T195">
        <v>64</v>
      </c>
      <c r="V195" t="s">
        <v>414</v>
      </c>
      <c r="W195">
        <f>COUNTIFS('Clinical Trials HCO'!$A:$A, K195, 'Clinical Trials HCO'!$D:$D, "&lt;&gt;")</f>
        <v>0</v>
      </c>
      <c r="AF195" t="s">
        <v>414</v>
      </c>
      <c r="AG195" t="s">
        <v>414</v>
      </c>
    </row>
    <row r="196" spans="2:33">
      <c r="B196">
        <v>178</v>
      </c>
      <c r="F196">
        <f>COUNTIF(HCPs!W:W,HCO_Data!K196)</f>
        <v>0</v>
      </c>
      <c r="G196" t="str">
        <f>IF(COUNTIF('Testing Referrals'!B:B,HCO_Data!K196)&gt;0,"Yes","")</f>
        <v/>
      </c>
      <c r="H196">
        <f>COUNTIF('HCO referrals'!B:B,HCO_Data!K196)+COUNTIF('HCO referrals'!C:C,HCO_Data!K196)</f>
        <v>0</v>
      </c>
      <c r="I196">
        <v>490000635</v>
      </c>
      <c r="K196" t="s">
        <v>10220</v>
      </c>
      <c r="L196" t="s">
        <v>1390</v>
      </c>
      <c r="M196" t="s">
        <v>1818</v>
      </c>
      <c r="N196">
        <v>49325</v>
      </c>
      <c r="O196" t="s">
        <v>961</v>
      </c>
      <c r="Q196" t="s">
        <v>4283</v>
      </c>
      <c r="R196">
        <v>149</v>
      </c>
      <c r="S196">
        <v>64</v>
      </c>
      <c r="T196">
        <v>64</v>
      </c>
      <c r="V196" t="s">
        <v>414</v>
      </c>
      <c r="W196">
        <f>COUNTIFS('Clinical Trials HCO'!$A:$A, K196, 'Clinical Trials HCO'!$D:$D, "&lt;&gt;")</f>
        <v>0</v>
      </c>
      <c r="AF196" t="s">
        <v>414</v>
      </c>
    </row>
    <row r="197" spans="2:33">
      <c r="B197">
        <v>589</v>
      </c>
      <c r="F197">
        <f>COUNTIF(HCPs!W:W,HCO_Data!K197)</f>
        <v>0</v>
      </c>
      <c r="G197" t="str">
        <f>IF(COUNTIF('Testing Referrals'!B:B,HCO_Data!K197)&gt;0,"Yes","")</f>
        <v/>
      </c>
      <c r="H197">
        <f>COUNTIF('HCO referrals'!B:B,HCO_Data!K197)+COUNTIF('HCO referrals'!C:C,HCO_Data!K197)</f>
        <v>0</v>
      </c>
      <c r="I197">
        <v>590780094</v>
      </c>
      <c r="K197" t="s">
        <v>10221</v>
      </c>
      <c r="L197" t="s">
        <v>1357</v>
      </c>
      <c r="M197" t="s">
        <v>1744</v>
      </c>
      <c r="N197">
        <v>59187</v>
      </c>
      <c r="O197" t="s">
        <v>1745</v>
      </c>
      <c r="Q197" t="s">
        <v>4283</v>
      </c>
      <c r="R197">
        <v>120</v>
      </c>
      <c r="S197">
        <v>64</v>
      </c>
      <c r="T197">
        <v>64</v>
      </c>
      <c r="V197" t="s">
        <v>414</v>
      </c>
      <c r="W197">
        <f>COUNTIFS('Clinical Trials HCO'!$A:$A, K197, 'Clinical Trials HCO'!$D:$D, "&lt;&gt;")</f>
        <v>0</v>
      </c>
      <c r="AF197" t="s">
        <v>414</v>
      </c>
      <c r="AG197" t="s">
        <v>414</v>
      </c>
    </row>
    <row r="198" spans="2:33">
      <c r="F198">
        <f>COUNTIF(HCPs!W:W,HCO_Data!K198)</f>
        <v>0</v>
      </c>
      <c r="G198" t="str">
        <f>IF(COUNTIF('Testing Referrals'!B:B,HCO_Data!K198)&gt;0,"Yes","")</f>
        <v/>
      </c>
      <c r="H198">
        <f>COUNTIF('HCO referrals'!B:B,HCO_Data!K198)+COUNTIF('HCO referrals'!C:C,HCO_Data!K198)</f>
        <v>0</v>
      </c>
      <c r="I198">
        <v>920029550</v>
      </c>
      <c r="K198" t="s">
        <v>10222</v>
      </c>
      <c r="L198" t="s">
        <v>8678</v>
      </c>
      <c r="M198" t="s">
        <v>8679</v>
      </c>
      <c r="N198">
        <v>92200</v>
      </c>
      <c r="O198" t="s">
        <v>1763</v>
      </c>
      <c r="P198" t="s">
        <v>722</v>
      </c>
      <c r="Q198" t="s">
        <v>4283</v>
      </c>
      <c r="R198">
        <v>193</v>
      </c>
      <c r="S198">
        <v>64</v>
      </c>
      <c r="T198">
        <v>64</v>
      </c>
      <c r="V198" t="s">
        <v>414</v>
      </c>
      <c r="W198">
        <f>COUNTIFS('Clinical Trials HCO'!$A:$A, K198, 'Clinical Trials HCO'!$D:$D, "&lt;&gt;")</f>
        <v>0</v>
      </c>
      <c r="AG198" t="s">
        <v>414</v>
      </c>
    </row>
    <row r="199" spans="2:33">
      <c r="B199">
        <v>162</v>
      </c>
      <c r="F199">
        <f>COUNTIF(HCPs!W:W,HCO_Data!K199)</f>
        <v>0</v>
      </c>
      <c r="G199" t="str">
        <f>IF(COUNTIF('Testing Referrals'!B:B,HCO_Data!K199)&gt;0,"Yes","")</f>
        <v/>
      </c>
      <c r="H199">
        <f>COUNTIF('HCO referrals'!B:B,HCO_Data!K199)+COUNTIF('HCO referrals'!C:C,HCO_Data!K199)</f>
        <v>0</v>
      </c>
      <c r="I199">
        <v>150000040</v>
      </c>
      <c r="K199" t="s">
        <v>10223</v>
      </c>
      <c r="L199" t="s">
        <v>1415</v>
      </c>
      <c r="M199" t="s">
        <v>1871</v>
      </c>
      <c r="N199">
        <v>15002</v>
      </c>
      <c r="O199" t="s">
        <v>1752</v>
      </c>
      <c r="Q199" t="s">
        <v>4283</v>
      </c>
      <c r="R199">
        <v>164</v>
      </c>
      <c r="S199">
        <v>63</v>
      </c>
      <c r="T199">
        <v>63</v>
      </c>
      <c r="V199" t="s">
        <v>414</v>
      </c>
      <c r="W199">
        <f>COUNTIFS('Clinical Trials HCO'!$A:$A, K199, 'Clinical Trials HCO'!$D:$D, "&lt;&gt;")</f>
        <v>0</v>
      </c>
      <c r="AG199" t="s">
        <v>414</v>
      </c>
    </row>
    <row r="200" spans="2:33">
      <c r="B200">
        <v>643</v>
      </c>
      <c r="F200">
        <f>COUNTIF(HCPs!W:W,HCO_Data!K200)</f>
        <v>0</v>
      </c>
      <c r="G200" t="str">
        <f>IF(COUNTIF('Testing Referrals'!B:B,HCO_Data!K200)&gt;0,"Yes","")</f>
        <v/>
      </c>
      <c r="H200">
        <f>COUNTIF('HCO referrals'!B:B,HCO_Data!K200)+COUNTIF('HCO referrals'!C:C,HCO_Data!K200)</f>
        <v>0</v>
      </c>
      <c r="I200">
        <v>300788502</v>
      </c>
      <c r="K200" t="s">
        <v>10224</v>
      </c>
      <c r="L200" t="s">
        <v>2624</v>
      </c>
      <c r="M200" t="s">
        <v>2908</v>
      </c>
      <c r="N200">
        <v>30932</v>
      </c>
      <c r="O200" t="s">
        <v>951</v>
      </c>
      <c r="Q200" t="s">
        <v>4283</v>
      </c>
      <c r="R200">
        <v>481</v>
      </c>
      <c r="S200">
        <v>63</v>
      </c>
      <c r="T200">
        <v>63</v>
      </c>
      <c r="V200" t="s">
        <v>414</v>
      </c>
      <c r="W200">
        <f>COUNTIFS('Clinical Trials HCO'!$A:$A, K200, 'Clinical Trials HCO'!$D:$D, "&lt;&gt;")</f>
        <v>0</v>
      </c>
      <c r="AF200" t="s">
        <v>414</v>
      </c>
    </row>
    <row r="201" spans="2:33" hidden="1">
      <c r="B201">
        <v>131</v>
      </c>
      <c r="F201">
        <f>COUNTIF(HCPs!W:W,HCO_Data!K201)</f>
        <v>1</v>
      </c>
      <c r="G201" t="str">
        <f>IF(COUNTIF('Testing Referrals'!B:B,HCO_Data!K201)&gt;0,"Yes","")</f>
        <v/>
      </c>
      <c r="H201">
        <f>COUNTIF('HCO referrals'!B:B,HCO_Data!K201)+COUNTIF('HCO referrals'!C:C,HCO_Data!K201)</f>
        <v>0</v>
      </c>
      <c r="I201">
        <v>890975527</v>
      </c>
      <c r="K201" t="s">
        <v>10225</v>
      </c>
      <c r="L201" s="13" t="s">
        <v>690</v>
      </c>
      <c r="M201" t="s">
        <v>1785</v>
      </c>
      <c r="N201">
        <v>89011</v>
      </c>
      <c r="O201" t="s">
        <v>1786</v>
      </c>
      <c r="Q201" t="s">
        <v>4283</v>
      </c>
      <c r="R201">
        <v>160</v>
      </c>
      <c r="S201">
        <v>63</v>
      </c>
      <c r="T201">
        <v>63</v>
      </c>
      <c r="V201" t="s">
        <v>414</v>
      </c>
      <c r="W201">
        <f>COUNTIFS('Clinical Trials HCO'!$A:$A, K201, 'Clinical Trials HCO'!$D:$D, "&lt;&gt;")</f>
        <v>0</v>
      </c>
      <c r="AG201" t="s">
        <v>414</v>
      </c>
    </row>
    <row r="202" spans="2:33" hidden="1">
      <c r="B202">
        <v>397</v>
      </c>
      <c r="F202">
        <f>COUNTIF(HCPs!W:W,HCO_Data!K202)</f>
        <v>1</v>
      </c>
      <c r="G202" t="str">
        <f>IF(COUNTIF('Testing Referrals'!B:B,HCO_Data!K202)&gt;0,"Yes","")</f>
        <v/>
      </c>
      <c r="H202">
        <f>COUNTIF('HCO referrals'!B:B,HCO_Data!K202)+COUNTIF('HCO referrals'!C:C,HCO_Data!K202)</f>
        <v>0</v>
      </c>
      <c r="I202">
        <v>780000311</v>
      </c>
      <c r="K202" t="s">
        <v>3759</v>
      </c>
      <c r="L202" s="13" t="s">
        <v>4575</v>
      </c>
      <c r="M202" t="s">
        <v>2714</v>
      </c>
      <c r="N202">
        <v>78303</v>
      </c>
      <c r="O202" t="s">
        <v>2715</v>
      </c>
      <c r="Q202" t="s">
        <v>4283</v>
      </c>
      <c r="R202">
        <v>289</v>
      </c>
      <c r="S202">
        <v>62</v>
      </c>
      <c r="T202">
        <v>62</v>
      </c>
      <c r="V202" t="s">
        <v>414</v>
      </c>
      <c r="W202">
        <f>COUNTIFS('Clinical Trials HCO'!$A:$A, K202, 'Clinical Trials HCO'!$D:$D, "&lt;&gt;")</f>
        <v>0</v>
      </c>
      <c r="AF202" t="s">
        <v>414</v>
      </c>
      <c r="AG202" t="s">
        <v>414</v>
      </c>
    </row>
    <row r="203" spans="2:33">
      <c r="B203">
        <v>532</v>
      </c>
      <c r="F203">
        <f>COUNTIF(HCPs!W:W,HCO_Data!K203)</f>
        <v>0</v>
      </c>
      <c r="G203" t="str">
        <f>IF(COUNTIF('Testing Referrals'!B:B,HCO_Data!K203)&gt;0,"Yes","")</f>
        <v/>
      </c>
      <c r="H203">
        <f>COUNTIF('HCO referrals'!B:B,HCO_Data!K203)+COUNTIF('HCO referrals'!C:C,HCO_Data!K203)</f>
        <v>0</v>
      </c>
      <c r="I203">
        <v>710780917</v>
      </c>
      <c r="K203" t="s">
        <v>10226</v>
      </c>
      <c r="L203" t="s">
        <v>1626</v>
      </c>
      <c r="M203" t="s">
        <v>2248</v>
      </c>
      <c r="N203">
        <v>71100</v>
      </c>
      <c r="O203" t="s">
        <v>907</v>
      </c>
      <c r="Q203" t="s">
        <v>4283</v>
      </c>
      <c r="R203">
        <v>163</v>
      </c>
      <c r="S203">
        <v>62</v>
      </c>
      <c r="T203">
        <v>62</v>
      </c>
      <c r="V203" t="s">
        <v>414</v>
      </c>
      <c r="W203">
        <f>COUNTIFS('Clinical Trials HCO'!$A:$A, K203, 'Clinical Trials HCO'!$D:$D, "&lt;&gt;")</f>
        <v>0</v>
      </c>
      <c r="AF203" t="s">
        <v>414</v>
      </c>
      <c r="AG203" t="s">
        <v>414</v>
      </c>
    </row>
    <row r="204" spans="2:33">
      <c r="B204">
        <v>169</v>
      </c>
      <c r="F204">
        <f>COUNTIF(HCPs!W:W,HCO_Data!K204)</f>
        <v>0</v>
      </c>
      <c r="G204" t="str">
        <f>IF(COUNTIF('Testing Referrals'!B:B,HCO_Data!K204)&gt;0,"Yes","")</f>
        <v/>
      </c>
      <c r="H204">
        <f>COUNTIF('HCO referrals'!B:B,HCO_Data!K204)+COUNTIF('HCO referrals'!C:C,HCO_Data!K204)</f>
        <v>0</v>
      </c>
      <c r="I204">
        <v>760000463</v>
      </c>
      <c r="K204" t="s">
        <v>10227</v>
      </c>
      <c r="L204" t="s">
        <v>1423</v>
      </c>
      <c r="M204" t="s">
        <v>1887</v>
      </c>
      <c r="N204">
        <v>76503</v>
      </c>
      <c r="O204" t="s">
        <v>1888</v>
      </c>
      <c r="Q204" t="s">
        <v>4283</v>
      </c>
      <c r="R204">
        <v>169</v>
      </c>
      <c r="S204">
        <v>62</v>
      </c>
      <c r="T204">
        <v>62</v>
      </c>
      <c r="V204" t="s">
        <v>414</v>
      </c>
      <c r="W204">
        <f>COUNTIFS('Clinical Trials HCO'!$A:$A, K204, 'Clinical Trials HCO'!$D:$D, "&lt;&gt;")</f>
        <v>0</v>
      </c>
      <c r="AF204" t="s">
        <v>414</v>
      </c>
      <c r="AG204" t="s">
        <v>414</v>
      </c>
    </row>
    <row r="205" spans="2:33">
      <c r="B205">
        <v>176</v>
      </c>
      <c r="F205">
        <f>COUNTIF(HCPs!W:W,HCO_Data!K205)</f>
        <v>0</v>
      </c>
      <c r="G205" t="str">
        <f>IF(COUNTIF('Testing Referrals'!B:B,HCO_Data!K205)&gt;0,"Yes","")</f>
        <v/>
      </c>
      <c r="H205">
        <f>COUNTIF('HCO referrals'!B:B,HCO_Data!K205)+COUNTIF('HCO referrals'!C:C,HCO_Data!K205)</f>
        <v>0</v>
      </c>
      <c r="I205">
        <v>690000575</v>
      </c>
      <c r="K205" t="s">
        <v>10228</v>
      </c>
      <c r="L205" t="s">
        <v>1429</v>
      </c>
      <c r="M205" t="s">
        <v>1902</v>
      </c>
      <c r="N205">
        <v>69400</v>
      </c>
      <c r="O205" t="s">
        <v>1903</v>
      </c>
      <c r="Q205" t="s">
        <v>4283</v>
      </c>
      <c r="R205">
        <v>139</v>
      </c>
      <c r="S205">
        <v>61</v>
      </c>
      <c r="T205">
        <v>61</v>
      </c>
      <c r="V205" t="s">
        <v>414</v>
      </c>
      <c r="W205">
        <f>COUNTIFS('Clinical Trials HCO'!$A:$A, K205, 'Clinical Trials HCO'!$D:$D, "&lt;&gt;")</f>
        <v>0</v>
      </c>
      <c r="AG205" t="s">
        <v>414</v>
      </c>
    </row>
    <row r="206" spans="2:33">
      <c r="B206">
        <v>315</v>
      </c>
      <c r="F206">
        <f>COUNTIF(HCPs!W:W,HCO_Data!K206)</f>
        <v>0</v>
      </c>
      <c r="G206" t="str">
        <f>IF(COUNTIF('Testing Referrals'!B:B,HCO_Data!K206)&gt;0,"Yes","")</f>
        <v/>
      </c>
      <c r="H206">
        <f>COUNTIF('HCO referrals'!B:B,HCO_Data!K206)+COUNTIF('HCO referrals'!C:C,HCO_Data!K206)</f>
        <v>0</v>
      </c>
      <c r="I206">
        <v>690780390</v>
      </c>
      <c r="K206" t="s">
        <v>10229</v>
      </c>
      <c r="L206" t="s">
        <v>1687</v>
      </c>
      <c r="M206" t="s">
        <v>2357</v>
      </c>
      <c r="N206">
        <v>69140</v>
      </c>
      <c r="O206" t="s">
        <v>2358</v>
      </c>
      <c r="Q206" t="s">
        <v>4283</v>
      </c>
      <c r="R206">
        <v>466</v>
      </c>
      <c r="S206">
        <v>61</v>
      </c>
      <c r="T206">
        <v>61</v>
      </c>
      <c r="V206" t="s">
        <v>414</v>
      </c>
      <c r="W206">
        <f>COUNTIFS('Clinical Trials HCO'!$A:$A, K206, 'Clinical Trials HCO'!$D:$D, "&lt;&gt;")</f>
        <v>0</v>
      </c>
      <c r="AG206" t="s">
        <v>414</v>
      </c>
    </row>
    <row r="207" spans="2:33" hidden="1">
      <c r="B207">
        <v>238</v>
      </c>
      <c r="F207">
        <f>COUNTIF(HCPs!W:W,HCO_Data!K207)</f>
        <v>1</v>
      </c>
      <c r="G207" t="str">
        <f>IF(COUNTIF('Testing Referrals'!B:B,HCO_Data!K207)&gt;0,"Yes","")</f>
        <v/>
      </c>
      <c r="H207">
        <f>COUNTIF('HCO referrals'!B:B,HCO_Data!K207)+COUNTIF('HCO referrals'!C:C,HCO_Data!K207)</f>
        <v>0</v>
      </c>
      <c r="I207">
        <v>830100251</v>
      </c>
      <c r="K207" t="s">
        <v>10230</v>
      </c>
      <c r="L207" s="13" t="s">
        <v>684</v>
      </c>
      <c r="M207" t="s">
        <v>2064</v>
      </c>
      <c r="N207">
        <v>83500</v>
      </c>
      <c r="O207" t="s">
        <v>2065</v>
      </c>
      <c r="Q207" t="s">
        <v>4283</v>
      </c>
      <c r="R207">
        <v>172</v>
      </c>
      <c r="S207">
        <v>61</v>
      </c>
      <c r="T207">
        <v>61</v>
      </c>
      <c r="V207" t="s">
        <v>414</v>
      </c>
      <c r="W207">
        <f>COUNTIFS('Clinical Trials HCO'!$A:$A, K207, 'Clinical Trials HCO'!$D:$D, "&lt;&gt;")</f>
        <v>0</v>
      </c>
      <c r="AG207" t="s">
        <v>414</v>
      </c>
    </row>
    <row r="208" spans="2:33" hidden="1">
      <c r="B208">
        <v>263</v>
      </c>
      <c r="F208">
        <f>COUNTIF(HCPs!W:W,HCO_Data!K208)</f>
        <v>1</v>
      </c>
      <c r="G208" t="str">
        <f>IF(COUNTIF('Testing Referrals'!B:B,HCO_Data!K208)&gt;0,"Yes","")</f>
        <v/>
      </c>
      <c r="H208">
        <f>COUNTIF('HCO referrals'!B:B,HCO_Data!K208)+COUNTIF('HCO referrals'!C:C,HCO_Data!K208)</f>
        <v>0</v>
      </c>
      <c r="I208">
        <v>120000039</v>
      </c>
      <c r="K208" t="s">
        <v>8162</v>
      </c>
      <c r="L208" t="s">
        <v>8161</v>
      </c>
      <c r="M208" t="s">
        <v>1838</v>
      </c>
      <c r="N208">
        <v>12027</v>
      </c>
      <c r="O208" t="s">
        <v>954</v>
      </c>
      <c r="Q208" t="s">
        <v>4283</v>
      </c>
      <c r="R208">
        <v>150</v>
      </c>
      <c r="S208">
        <v>60</v>
      </c>
      <c r="T208">
        <v>60</v>
      </c>
      <c r="V208" t="s">
        <v>414</v>
      </c>
      <c r="W208">
        <f>COUNTIFS('Clinical Trials HCO'!$A:$A, K208, 'Clinical Trials HCO'!$D:$D, "&lt;&gt;")</f>
        <v>0</v>
      </c>
      <c r="AF208" t="s">
        <v>414</v>
      </c>
      <c r="AG208" t="s">
        <v>414</v>
      </c>
    </row>
    <row r="209" spans="2:33">
      <c r="B209">
        <v>203</v>
      </c>
      <c r="F209">
        <f>COUNTIF(HCPs!W:W,HCO_Data!K209)</f>
        <v>0</v>
      </c>
      <c r="G209" t="str">
        <f>IF(COUNTIF('Testing Referrals'!B:B,HCO_Data!K209)&gt;0,"Yes","")</f>
        <v/>
      </c>
      <c r="H209">
        <f>COUNTIF('HCO referrals'!B:B,HCO_Data!K209)+COUNTIF('HCO referrals'!C:C,HCO_Data!K209)</f>
        <v>0</v>
      </c>
      <c r="I209">
        <v>810000521</v>
      </c>
      <c r="K209" t="s">
        <v>10231</v>
      </c>
      <c r="L209" t="s">
        <v>1460</v>
      </c>
      <c r="M209" t="s">
        <v>1971</v>
      </c>
      <c r="N209">
        <v>81108</v>
      </c>
      <c r="O209" t="s">
        <v>1972</v>
      </c>
      <c r="Q209" t="s">
        <v>4283</v>
      </c>
      <c r="R209">
        <v>203</v>
      </c>
      <c r="S209">
        <v>59</v>
      </c>
      <c r="T209">
        <v>59</v>
      </c>
      <c r="V209" t="s">
        <v>414</v>
      </c>
      <c r="W209">
        <f>COUNTIFS('Clinical Trials HCO'!$A:$A, K209, 'Clinical Trials HCO'!$D:$D, "&lt;&gt;")</f>
        <v>0</v>
      </c>
      <c r="AF209" t="s">
        <v>414</v>
      </c>
      <c r="AG209" t="s">
        <v>414</v>
      </c>
    </row>
    <row r="210" spans="2:33">
      <c r="B210">
        <v>545</v>
      </c>
      <c r="F210">
        <f>COUNTIF(HCPs!W:W,HCO_Data!K210)</f>
        <v>0</v>
      </c>
      <c r="G210" t="str">
        <f>IF(COUNTIF('Testing Referrals'!B:B,HCO_Data!K210)&gt;0,"Yes","")</f>
        <v/>
      </c>
      <c r="H210">
        <f>COUNTIF('HCO referrals'!B:B,HCO_Data!K210)+COUNTIF('HCO referrals'!C:C,HCO_Data!K210)</f>
        <v>0</v>
      </c>
      <c r="I210">
        <v>940000573</v>
      </c>
      <c r="K210" t="s">
        <v>10232</v>
      </c>
      <c r="L210" t="s">
        <v>2408</v>
      </c>
      <c r="M210" t="s">
        <v>1950</v>
      </c>
      <c r="N210">
        <v>94010</v>
      </c>
      <c r="O210" t="s">
        <v>1015</v>
      </c>
      <c r="Q210" t="s">
        <v>4283</v>
      </c>
      <c r="R210">
        <v>118</v>
      </c>
      <c r="S210">
        <v>59</v>
      </c>
      <c r="T210">
        <v>59</v>
      </c>
      <c r="V210" t="s">
        <v>414</v>
      </c>
      <c r="W210">
        <f>COUNTIFS('Clinical Trials HCO'!$A:$A, K210, 'Clinical Trials HCO'!$D:$D, "&lt;&gt;")</f>
        <v>0</v>
      </c>
      <c r="AG210" t="s">
        <v>414</v>
      </c>
    </row>
    <row r="211" spans="2:33">
      <c r="F211">
        <f>COUNTIF(HCPs!W:W,HCO_Data!K211)</f>
        <v>0</v>
      </c>
      <c r="G211" t="str">
        <f>IF(COUNTIF('Testing Referrals'!B:B,HCO_Data!K211)&gt;0,"Yes","")</f>
        <v/>
      </c>
      <c r="H211">
        <f>COUNTIF('HCO referrals'!B:B,HCO_Data!K211)+COUNTIF('HCO referrals'!C:C,HCO_Data!K211)</f>
        <v>0</v>
      </c>
      <c r="I211" t="s">
        <v>8645</v>
      </c>
      <c r="K211" t="s">
        <v>10233</v>
      </c>
      <c r="L211" t="s">
        <v>8672</v>
      </c>
      <c r="M211" t="s">
        <v>8673</v>
      </c>
      <c r="N211">
        <v>20090</v>
      </c>
      <c r="O211" t="s">
        <v>2700</v>
      </c>
      <c r="P211" t="s">
        <v>741</v>
      </c>
      <c r="Q211" t="s">
        <v>4283</v>
      </c>
      <c r="R211">
        <v>170</v>
      </c>
      <c r="S211">
        <v>59</v>
      </c>
      <c r="T211">
        <v>59</v>
      </c>
      <c r="V211" t="s">
        <v>414</v>
      </c>
      <c r="W211">
        <f>COUNTIFS('Clinical Trials HCO'!$A:$A, K211, 'Clinical Trials HCO'!$D:$D, "&lt;&gt;")</f>
        <v>0</v>
      </c>
      <c r="AF211" t="s">
        <v>414</v>
      </c>
      <c r="AG211" t="s">
        <v>414</v>
      </c>
    </row>
    <row r="212" spans="2:33">
      <c r="B212">
        <v>185</v>
      </c>
      <c r="F212">
        <f>COUNTIF(HCPs!W:W,HCO_Data!K212)</f>
        <v>0</v>
      </c>
      <c r="G212" t="str">
        <f>IF(COUNTIF('Testing Referrals'!B:B,HCO_Data!K212)&gt;0,"Yes","")</f>
        <v/>
      </c>
      <c r="H212">
        <f>COUNTIF('HCO referrals'!B:B,HCO_Data!K212)+COUNTIF('HCO referrals'!C:C,HCO_Data!K212)</f>
        <v>0</v>
      </c>
      <c r="I212">
        <v>20000519</v>
      </c>
      <c r="K212" t="s">
        <v>10234</v>
      </c>
      <c r="L212" t="s">
        <v>1437</v>
      </c>
      <c r="M212" t="s">
        <v>1922</v>
      </c>
      <c r="N212">
        <v>2209</v>
      </c>
      <c r="O212" t="s">
        <v>1923</v>
      </c>
      <c r="Q212" t="s">
        <v>4283</v>
      </c>
      <c r="R212">
        <v>199</v>
      </c>
      <c r="S212">
        <v>57</v>
      </c>
      <c r="T212">
        <v>57</v>
      </c>
      <c r="V212" t="s">
        <v>414</v>
      </c>
      <c r="W212">
        <f>COUNTIFS('Clinical Trials HCO'!$A:$A, K212, 'Clinical Trials HCO'!$D:$D, "&lt;&gt;")</f>
        <v>0</v>
      </c>
      <c r="AG212" t="s">
        <v>414</v>
      </c>
    </row>
    <row r="213" spans="2:33">
      <c r="B213">
        <v>389</v>
      </c>
      <c r="F213">
        <f>COUNTIF(HCPs!W:W,HCO_Data!K213)</f>
        <v>0</v>
      </c>
      <c r="G213" t="str">
        <f>IF(COUNTIF('Testing Referrals'!B:B,HCO_Data!K213)&gt;0,"Yes","")</f>
        <v/>
      </c>
      <c r="H213">
        <f>COUNTIF('HCO referrals'!B:B,HCO_Data!K213)+COUNTIF('HCO referrals'!C:C,HCO_Data!K213)</f>
        <v>0</v>
      </c>
      <c r="I213">
        <v>110780228</v>
      </c>
      <c r="K213" t="s">
        <v>10235</v>
      </c>
      <c r="L213" t="s">
        <v>1609</v>
      </c>
      <c r="M213" t="s">
        <v>2220</v>
      </c>
      <c r="N213">
        <v>11100</v>
      </c>
      <c r="O213" t="s">
        <v>2221</v>
      </c>
      <c r="Q213" t="s">
        <v>4283</v>
      </c>
      <c r="R213">
        <v>231</v>
      </c>
      <c r="S213">
        <v>57</v>
      </c>
      <c r="T213">
        <v>57</v>
      </c>
      <c r="V213" t="s">
        <v>414</v>
      </c>
      <c r="W213">
        <f>COUNTIFS('Clinical Trials HCO'!$A:$A, K213, 'Clinical Trials HCO'!$D:$D, "&lt;&gt;")</f>
        <v>0</v>
      </c>
      <c r="AF213" t="s">
        <v>414</v>
      </c>
      <c r="AG213" t="s">
        <v>414</v>
      </c>
    </row>
    <row r="214" spans="2:33">
      <c r="B214">
        <v>141</v>
      </c>
      <c r="F214">
        <f>COUNTIF(HCPs!W:W,HCO_Data!K214)</f>
        <v>0</v>
      </c>
      <c r="G214" t="str">
        <f>IF(COUNTIF('Testing Referrals'!B:B,HCO_Data!K214)&gt;0,"Yes","")</f>
        <v/>
      </c>
      <c r="H214">
        <f>COUNTIF('HCO referrals'!B:B,HCO_Data!K214)+COUNTIF('HCO referrals'!C:C,HCO_Data!K214)</f>
        <v>0</v>
      </c>
      <c r="I214">
        <v>360000137</v>
      </c>
      <c r="K214" t="s">
        <v>10236</v>
      </c>
      <c r="L214" t="s">
        <v>1383</v>
      </c>
      <c r="M214" t="s">
        <v>1802</v>
      </c>
      <c r="N214">
        <v>36019</v>
      </c>
      <c r="O214" t="s">
        <v>1803</v>
      </c>
      <c r="Q214" t="s">
        <v>4283</v>
      </c>
      <c r="R214">
        <v>267</v>
      </c>
      <c r="S214">
        <v>57</v>
      </c>
      <c r="T214">
        <v>57</v>
      </c>
      <c r="V214" t="s">
        <v>414</v>
      </c>
      <c r="W214">
        <f>COUNTIFS('Clinical Trials HCO'!$A:$A, K214, 'Clinical Trials HCO'!$D:$D, "&lt;&gt;")</f>
        <v>0</v>
      </c>
      <c r="AG214" t="s">
        <v>414</v>
      </c>
    </row>
    <row r="215" spans="2:33">
      <c r="B215">
        <v>409</v>
      </c>
      <c r="F215">
        <f>COUNTIF(HCPs!W:W,HCO_Data!K215)</f>
        <v>0</v>
      </c>
      <c r="G215" t="str">
        <f>IF(COUNTIF('Testing Referrals'!B:B,HCO_Data!K215)&gt;0,"Yes","")</f>
        <v/>
      </c>
      <c r="H215">
        <f>COUNTIF('HCO referrals'!B:B,HCO_Data!K215)+COUNTIF('HCO referrals'!C:C,HCO_Data!K215)</f>
        <v>0</v>
      </c>
      <c r="I215">
        <v>560008799</v>
      </c>
      <c r="K215" t="s">
        <v>10237</v>
      </c>
      <c r="L215" t="s">
        <v>2304</v>
      </c>
      <c r="M215" t="s">
        <v>2305</v>
      </c>
      <c r="N215">
        <v>56000</v>
      </c>
      <c r="O215" t="s">
        <v>1945</v>
      </c>
      <c r="Q215" t="s">
        <v>4283</v>
      </c>
      <c r="R215">
        <v>162</v>
      </c>
      <c r="S215">
        <v>57</v>
      </c>
      <c r="T215">
        <v>57</v>
      </c>
      <c r="V215" t="s">
        <v>414</v>
      </c>
      <c r="W215">
        <f>COUNTIFS('Clinical Trials HCO'!$A:$A, K215, 'Clinical Trials HCO'!$D:$D, "&lt;&gt;")</f>
        <v>0</v>
      </c>
      <c r="AF215" t="s">
        <v>414</v>
      </c>
      <c r="AG215" t="s">
        <v>414</v>
      </c>
    </row>
    <row r="216" spans="2:33">
      <c r="F216">
        <f>COUNTIF(HCPs!W:W,HCO_Data!K216)</f>
        <v>0</v>
      </c>
      <c r="G216" t="str">
        <f>IF(COUNTIF('Testing Referrals'!B:B,HCO_Data!K216)&gt;0,"Yes","")</f>
        <v/>
      </c>
      <c r="H216">
        <f>COUNTIF('HCO referrals'!B:B,HCO_Data!K216)+COUNTIF('HCO referrals'!C:C,HCO_Data!K216)</f>
        <v>0</v>
      </c>
      <c r="I216">
        <v>690780648</v>
      </c>
      <c r="K216" t="s">
        <v>10238</v>
      </c>
      <c r="L216" t="s">
        <v>8667</v>
      </c>
      <c r="M216" t="s">
        <v>8668</v>
      </c>
      <c r="N216">
        <v>69337</v>
      </c>
      <c r="O216" t="s">
        <v>8669</v>
      </c>
      <c r="P216" t="s">
        <v>701</v>
      </c>
      <c r="Q216" t="s">
        <v>4283</v>
      </c>
      <c r="R216">
        <v>141</v>
      </c>
      <c r="S216">
        <v>57</v>
      </c>
      <c r="T216">
        <v>57</v>
      </c>
      <c r="V216" t="s">
        <v>414</v>
      </c>
      <c r="W216">
        <f>COUNTIFS('Clinical Trials HCO'!$A:$A, K216, 'Clinical Trials HCO'!$D:$D, "&lt;&gt;")</f>
        <v>0</v>
      </c>
      <c r="AG216" t="s">
        <v>414</v>
      </c>
    </row>
    <row r="217" spans="2:33">
      <c r="B217">
        <v>721</v>
      </c>
      <c r="F217">
        <f>COUNTIF(HCPs!W:W,HCO_Data!K217)</f>
        <v>0</v>
      </c>
      <c r="G217" t="str">
        <f>IF(COUNTIF('Testing Referrals'!B:B,HCO_Data!K217)&gt;0,"Yes","")</f>
        <v/>
      </c>
      <c r="H217">
        <f>COUNTIF('HCO referrals'!B:B,HCO_Data!K217)+COUNTIF('HCO referrals'!C:C,HCO_Data!K217)</f>
        <v>0</v>
      </c>
      <c r="I217">
        <v>850000241</v>
      </c>
      <c r="K217" t="s">
        <v>10239</v>
      </c>
      <c r="L217" t="s">
        <v>2444</v>
      </c>
      <c r="M217" t="s">
        <v>1795</v>
      </c>
      <c r="N217">
        <v>85340</v>
      </c>
      <c r="O217" t="s">
        <v>2739</v>
      </c>
      <c r="Q217" t="s">
        <v>4283</v>
      </c>
      <c r="R217">
        <v>220</v>
      </c>
      <c r="S217">
        <v>57</v>
      </c>
      <c r="T217">
        <v>57</v>
      </c>
      <c r="V217" t="s">
        <v>414</v>
      </c>
      <c r="W217">
        <f>COUNTIFS('Clinical Trials HCO'!$A:$A, K217, 'Clinical Trials HCO'!$D:$D, "&lt;&gt;")</f>
        <v>0</v>
      </c>
      <c r="AG217" t="s">
        <v>414</v>
      </c>
    </row>
    <row r="218" spans="2:33">
      <c r="B218">
        <v>490</v>
      </c>
      <c r="F218">
        <f>COUNTIF(HCPs!W:W,HCO_Data!K218)</f>
        <v>0</v>
      </c>
      <c r="G218" t="str">
        <f>IF(COUNTIF('Testing Referrals'!B:B,HCO_Data!K218)&gt;0,"Yes","")</f>
        <v/>
      </c>
      <c r="H218">
        <f>COUNTIF('HCO referrals'!B:B,HCO_Data!K218)+COUNTIF('HCO referrals'!C:C,HCO_Data!K218)</f>
        <v>2</v>
      </c>
      <c r="I218">
        <v>590797353</v>
      </c>
      <c r="J218" s="72" t="s">
        <v>8076</v>
      </c>
      <c r="K218" t="s">
        <v>8078</v>
      </c>
      <c r="L218" t="s">
        <v>8077</v>
      </c>
      <c r="M218" t="s">
        <v>2121</v>
      </c>
      <c r="N218">
        <v>59020</v>
      </c>
      <c r="O218" t="s">
        <v>871</v>
      </c>
      <c r="Q218" t="s">
        <v>4283</v>
      </c>
      <c r="R218">
        <v>146</v>
      </c>
      <c r="S218">
        <v>56</v>
      </c>
      <c r="T218">
        <v>56</v>
      </c>
      <c r="V218" t="s">
        <v>414</v>
      </c>
      <c r="W218">
        <f>COUNTIFS('Clinical Trials HCO'!$A:$A, K218, 'Clinical Trials HCO'!$D:$D, "&lt;&gt;")</f>
        <v>2</v>
      </c>
      <c r="AF218" t="s">
        <v>414</v>
      </c>
      <c r="AG218" t="s">
        <v>414</v>
      </c>
    </row>
    <row r="219" spans="2:33">
      <c r="B219">
        <v>126</v>
      </c>
      <c r="F219">
        <f>COUNTIF(HCPs!W:W,HCO_Data!K219)</f>
        <v>0</v>
      </c>
      <c r="G219" t="str">
        <f>IF(COUNTIF('Testing Referrals'!B:B,HCO_Data!K219)&gt;0,"Yes","")</f>
        <v/>
      </c>
      <c r="H219">
        <f>COUNTIF('HCO referrals'!B:B,HCO_Data!K219)+COUNTIF('HCO referrals'!C:C,HCO_Data!K219)</f>
        <v>0</v>
      </c>
      <c r="I219">
        <v>740781141</v>
      </c>
      <c r="K219" t="s">
        <v>10240</v>
      </c>
      <c r="L219" t="s">
        <v>1370</v>
      </c>
      <c r="M219" t="s">
        <v>1774</v>
      </c>
      <c r="N219">
        <v>74130</v>
      </c>
      <c r="O219" t="s">
        <v>1775</v>
      </c>
      <c r="Q219" t="s">
        <v>4283</v>
      </c>
      <c r="R219">
        <v>228</v>
      </c>
      <c r="S219">
        <v>56</v>
      </c>
      <c r="T219">
        <v>56</v>
      </c>
      <c r="V219" t="s">
        <v>414</v>
      </c>
      <c r="W219">
        <f>COUNTIFS('Clinical Trials HCO'!$A:$A, K219, 'Clinical Trials HCO'!$D:$D, "&lt;&gt;")</f>
        <v>0</v>
      </c>
      <c r="AF219" t="s">
        <v>414</v>
      </c>
      <c r="AG219" t="s">
        <v>414</v>
      </c>
    </row>
    <row r="220" spans="2:33">
      <c r="B220">
        <v>407</v>
      </c>
      <c r="F220">
        <f>COUNTIF(HCPs!W:W,HCO_Data!K220)</f>
        <v>0</v>
      </c>
      <c r="G220" t="str">
        <f>IF(COUNTIF('Testing Referrals'!B:B,HCO_Data!K220)&gt;0,"Yes","")</f>
        <v/>
      </c>
      <c r="H220">
        <f>COUNTIF('HCO referrals'!B:B,HCO_Data!K220)+COUNTIF('HCO referrals'!C:C,HCO_Data!K220)</f>
        <v>0</v>
      </c>
      <c r="I220">
        <v>590801106</v>
      </c>
      <c r="K220" t="s">
        <v>10241</v>
      </c>
      <c r="L220" t="s">
        <v>1637</v>
      </c>
      <c r="M220" t="s">
        <v>2268</v>
      </c>
      <c r="N220">
        <v>59056</v>
      </c>
      <c r="O220" t="s">
        <v>2269</v>
      </c>
      <c r="Q220" t="s">
        <v>4283</v>
      </c>
      <c r="R220">
        <v>262</v>
      </c>
      <c r="S220">
        <v>55</v>
      </c>
      <c r="T220">
        <v>55</v>
      </c>
      <c r="V220" t="s">
        <v>414</v>
      </c>
      <c r="W220">
        <f>COUNTIFS('Clinical Trials HCO'!$A:$A, K220, 'Clinical Trials HCO'!$D:$D, "&lt;&gt;")</f>
        <v>0</v>
      </c>
      <c r="AF220" t="s">
        <v>414</v>
      </c>
      <c r="AG220" t="s">
        <v>414</v>
      </c>
    </row>
    <row r="221" spans="2:33">
      <c r="B221">
        <v>142</v>
      </c>
      <c r="F221">
        <f>COUNTIF(HCPs!W:W,HCO_Data!K221)</f>
        <v>0</v>
      </c>
      <c r="G221" t="str">
        <f>IF(COUNTIF('Testing Referrals'!B:B,HCO_Data!K221)&gt;0,"Yes","")</f>
        <v/>
      </c>
      <c r="H221">
        <f>COUNTIF('HCO referrals'!B:B,HCO_Data!K221)+COUNTIF('HCO referrals'!C:C,HCO_Data!K221)</f>
        <v>0</v>
      </c>
      <c r="I221">
        <v>600113476</v>
      </c>
      <c r="K221" t="s">
        <v>10242</v>
      </c>
      <c r="L221" t="s">
        <v>1806</v>
      </c>
      <c r="M221" t="s">
        <v>1807</v>
      </c>
      <c r="N221">
        <v>60321</v>
      </c>
      <c r="O221" t="s">
        <v>1808</v>
      </c>
      <c r="Q221" t="s">
        <v>4283</v>
      </c>
      <c r="R221">
        <v>230</v>
      </c>
      <c r="S221">
        <v>55</v>
      </c>
      <c r="T221">
        <v>55</v>
      </c>
      <c r="V221" t="s">
        <v>414</v>
      </c>
      <c r="W221">
        <f>COUNTIFS('Clinical Trials HCO'!$A:$A, K221, 'Clinical Trials HCO'!$D:$D, "&lt;&gt;")</f>
        <v>0</v>
      </c>
      <c r="AF221" t="s">
        <v>414</v>
      </c>
      <c r="AG221" t="s">
        <v>414</v>
      </c>
    </row>
    <row r="222" spans="2:33">
      <c r="F222">
        <f>COUNTIF(HCPs!W:W,HCO_Data!K222)</f>
        <v>0</v>
      </c>
      <c r="G222" t="str">
        <f>IF(COUNTIF('Testing Referrals'!B:B,HCO_Data!K222)&gt;0,"Yes","")</f>
        <v/>
      </c>
      <c r="H222">
        <f>COUNTIF('HCO referrals'!B:B,HCO_Data!K222)+COUNTIF('HCO referrals'!C:C,HCO_Data!K222)</f>
        <v>0</v>
      </c>
      <c r="I222">
        <v>750150344</v>
      </c>
      <c r="K222" t="s">
        <v>10243</v>
      </c>
      <c r="L222" t="s">
        <v>8839</v>
      </c>
      <c r="M222" t="s">
        <v>8840</v>
      </c>
      <c r="O222" t="s">
        <v>700</v>
      </c>
      <c r="P222" t="s">
        <v>700</v>
      </c>
      <c r="Q222" t="s">
        <v>4283</v>
      </c>
      <c r="R222">
        <v>494</v>
      </c>
      <c r="S222">
        <v>55</v>
      </c>
      <c r="T222">
        <v>55</v>
      </c>
      <c r="V222" t="s">
        <v>414</v>
      </c>
      <c r="W222">
        <f>COUNTIFS('Clinical Trials HCO'!$A:$A, K222, 'Clinical Trials HCO'!$D:$D, "&lt;&gt;")</f>
        <v>0</v>
      </c>
    </row>
    <row r="223" spans="2:33">
      <c r="B223">
        <v>666</v>
      </c>
      <c r="F223">
        <f>COUNTIF(HCPs!W:W,HCO_Data!K223)</f>
        <v>0</v>
      </c>
      <c r="G223" t="str">
        <f>IF(COUNTIF('Testing Referrals'!B:B,HCO_Data!K223)&gt;0,"Yes","")</f>
        <v/>
      </c>
      <c r="H223">
        <f>COUNTIF('HCO referrals'!B:B,HCO_Data!K223)+COUNTIF('HCO referrals'!C:C,HCO_Data!K223)</f>
        <v>0</v>
      </c>
      <c r="I223">
        <v>760000018</v>
      </c>
      <c r="K223" t="s">
        <v>10244</v>
      </c>
      <c r="L223" t="s">
        <v>1404</v>
      </c>
      <c r="M223" t="s">
        <v>1847</v>
      </c>
      <c r="N223">
        <v>76202</v>
      </c>
      <c r="O223" t="s">
        <v>1848</v>
      </c>
      <c r="Q223" t="s">
        <v>4283</v>
      </c>
      <c r="R223">
        <v>182</v>
      </c>
      <c r="S223">
        <v>55</v>
      </c>
      <c r="T223">
        <v>55</v>
      </c>
      <c r="V223" t="s">
        <v>414</v>
      </c>
      <c r="W223">
        <f>COUNTIFS('Clinical Trials HCO'!$A:$A, K223, 'Clinical Trials HCO'!$D:$D, "&lt;&gt;")</f>
        <v>0</v>
      </c>
      <c r="AG223" t="s">
        <v>414</v>
      </c>
    </row>
    <row r="224" spans="2:33">
      <c r="B224">
        <v>125</v>
      </c>
      <c r="F224">
        <f>COUNTIF(HCPs!W:W,HCO_Data!K224)</f>
        <v>0</v>
      </c>
      <c r="G224" t="str">
        <f>IF(COUNTIF('Testing Referrals'!B:B,HCO_Data!K224)&gt;0,"Yes","")</f>
        <v/>
      </c>
      <c r="H224">
        <f>COUNTIF('HCO referrals'!B:B,HCO_Data!K224)+COUNTIF('HCO referrals'!C:C,HCO_Data!K224)</f>
        <v>0</v>
      </c>
      <c r="I224">
        <v>810000505</v>
      </c>
      <c r="K224" t="s">
        <v>10245</v>
      </c>
      <c r="L224" t="s">
        <v>682</v>
      </c>
      <c r="M224" t="s">
        <v>1770</v>
      </c>
      <c r="N224">
        <v>81013</v>
      </c>
      <c r="O224" t="s">
        <v>1771</v>
      </c>
      <c r="Q224" t="s">
        <v>4283</v>
      </c>
      <c r="R224">
        <v>260</v>
      </c>
      <c r="S224">
        <v>55</v>
      </c>
      <c r="T224">
        <v>55</v>
      </c>
      <c r="V224" t="s">
        <v>414</v>
      </c>
      <c r="W224">
        <f>COUNTIFS('Clinical Trials HCO'!$A:$A, K224, 'Clinical Trials HCO'!$D:$D, "&lt;&gt;")</f>
        <v>0</v>
      </c>
      <c r="AF224" t="s">
        <v>414</v>
      </c>
      <c r="AG224" t="s">
        <v>414</v>
      </c>
    </row>
    <row r="225" spans="2:33" hidden="1">
      <c r="B225">
        <v>274</v>
      </c>
      <c r="C225" t="s">
        <v>8047</v>
      </c>
      <c r="F225">
        <f>COUNTIF(HCPs!W:W,HCO_Data!K225)</f>
        <v>1</v>
      </c>
      <c r="G225" t="str">
        <f>IF(COUNTIF('Testing Referrals'!B:B,HCO_Data!K225)&gt;0,"Yes","")</f>
        <v>Yes</v>
      </c>
      <c r="H225">
        <f>COUNTIF('HCO referrals'!B:B,HCO_Data!K225)+COUNTIF('HCO referrals'!C:C,HCO_Data!K225)</f>
        <v>0</v>
      </c>
      <c r="I225">
        <v>750100232</v>
      </c>
      <c r="K225" t="s">
        <v>3779</v>
      </c>
      <c r="L225" t="s">
        <v>4852</v>
      </c>
      <c r="M225" t="s">
        <v>2292</v>
      </c>
      <c r="N225">
        <v>75877</v>
      </c>
      <c r="O225" t="s">
        <v>700</v>
      </c>
      <c r="Q225" t="s">
        <v>4283</v>
      </c>
      <c r="R225">
        <v>198</v>
      </c>
      <c r="S225">
        <v>54</v>
      </c>
      <c r="T225">
        <v>54</v>
      </c>
      <c r="V225" t="s">
        <v>414</v>
      </c>
      <c r="W225">
        <f>COUNTIFS('Clinical Trials HCO'!$A:$A, K225, 'Clinical Trials HCO'!$D:$D, "&lt;&gt;")</f>
        <v>0</v>
      </c>
      <c r="AF225" t="s">
        <v>414</v>
      </c>
      <c r="AG225" t="s">
        <v>414</v>
      </c>
    </row>
    <row r="226" spans="2:33">
      <c r="B226">
        <v>187</v>
      </c>
      <c r="F226">
        <f>COUNTIF(HCPs!W:W,HCO_Data!K226)</f>
        <v>0</v>
      </c>
      <c r="G226" t="str">
        <f>IF(COUNTIF('Testing Referrals'!B:B,HCO_Data!K226)&gt;0,"Yes","")</f>
        <v/>
      </c>
      <c r="H226">
        <f>COUNTIF('HCO referrals'!B:B,HCO_Data!K226)+COUNTIF('HCO referrals'!C:C,HCO_Data!K226)</f>
        <v>2</v>
      </c>
      <c r="I226">
        <v>770000149</v>
      </c>
      <c r="K226" t="s">
        <v>3797</v>
      </c>
      <c r="L226" t="s">
        <v>4992</v>
      </c>
      <c r="M226" t="s">
        <v>1925</v>
      </c>
      <c r="N226">
        <v>77305</v>
      </c>
      <c r="O226" t="s">
        <v>1926</v>
      </c>
      <c r="Q226" t="s">
        <v>4283</v>
      </c>
      <c r="R226">
        <v>200</v>
      </c>
      <c r="S226">
        <v>54</v>
      </c>
      <c r="T226">
        <v>54</v>
      </c>
      <c r="V226" t="s">
        <v>414</v>
      </c>
      <c r="W226">
        <f>COUNTIFS('Clinical Trials HCO'!$A:$A, K226, 'Clinical Trials HCO'!$D:$D, "&lt;&gt;")</f>
        <v>0</v>
      </c>
      <c r="AF226" t="s">
        <v>414</v>
      </c>
      <c r="AG226" t="s">
        <v>414</v>
      </c>
    </row>
    <row r="227" spans="2:33">
      <c r="B227">
        <v>107</v>
      </c>
      <c r="F227">
        <f>COUNTIF(HCPs!W:W,HCO_Data!K227)</f>
        <v>0</v>
      </c>
      <c r="G227" t="str">
        <f>IF(COUNTIF('Testing Referrals'!B:B,HCO_Data!K227)&gt;0,"Yes","")</f>
        <v/>
      </c>
      <c r="H227">
        <f>COUNTIF('HCO referrals'!B:B,HCO_Data!K227)+COUNTIF('HCO referrals'!C:C,HCO_Data!K227)</f>
        <v>0</v>
      </c>
      <c r="I227">
        <v>160000253</v>
      </c>
      <c r="K227" t="s">
        <v>10246</v>
      </c>
      <c r="L227" t="s">
        <v>1340</v>
      </c>
      <c r="M227" t="s">
        <v>1712</v>
      </c>
      <c r="N227">
        <v>16000</v>
      </c>
      <c r="O227" t="s">
        <v>1713</v>
      </c>
      <c r="Q227" t="s">
        <v>4283</v>
      </c>
      <c r="R227">
        <v>211</v>
      </c>
      <c r="S227">
        <v>54</v>
      </c>
      <c r="T227">
        <v>54</v>
      </c>
      <c r="V227" t="s">
        <v>414</v>
      </c>
      <c r="W227">
        <f>COUNTIFS('Clinical Trials HCO'!$A:$A, K227, 'Clinical Trials HCO'!$D:$D, "&lt;&gt;")</f>
        <v>0</v>
      </c>
      <c r="AF227" t="s">
        <v>414</v>
      </c>
    </row>
    <row r="228" spans="2:33">
      <c r="B228">
        <v>485</v>
      </c>
      <c r="F228">
        <f>COUNTIF(HCPs!W:W,HCO_Data!K228)</f>
        <v>0</v>
      </c>
      <c r="G228" t="str">
        <f>IF(COUNTIF('Testing Referrals'!B:B,HCO_Data!K228)&gt;0,"Yes","")</f>
        <v/>
      </c>
      <c r="H228">
        <f>COUNTIF('HCO referrals'!B:B,HCO_Data!K228)+COUNTIF('HCO referrals'!C:C,HCO_Data!K228)</f>
        <v>0</v>
      </c>
      <c r="I228">
        <v>180004145</v>
      </c>
      <c r="K228" t="s">
        <v>10247</v>
      </c>
      <c r="L228" t="s">
        <v>1613</v>
      </c>
      <c r="M228" t="s">
        <v>2227</v>
      </c>
      <c r="N228">
        <v>18230</v>
      </c>
      <c r="O228" t="s">
        <v>2228</v>
      </c>
      <c r="Q228" t="s">
        <v>4283</v>
      </c>
      <c r="R228">
        <v>178</v>
      </c>
      <c r="S228">
        <v>54</v>
      </c>
      <c r="T228">
        <v>54</v>
      </c>
      <c r="V228" t="s">
        <v>414</v>
      </c>
      <c r="W228">
        <f>COUNTIFS('Clinical Trials HCO'!$A:$A, K228, 'Clinical Trials HCO'!$D:$D, "&lt;&gt;")</f>
        <v>0</v>
      </c>
      <c r="AF228" t="s">
        <v>414</v>
      </c>
      <c r="AG228" t="s">
        <v>414</v>
      </c>
    </row>
    <row r="229" spans="2:33">
      <c r="B229">
        <v>158</v>
      </c>
      <c r="F229">
        <f>COUNTIF(HCPs!W:W,HCO_Data!K229)</f>
        <v>0</v>
      </c>
      <c r="G229" t="str">
        <f>IF(COUNTIF('Testing Referrals'!B:B,HCO_Data!K229)&gt;0,"Yes","")</f>
        <v/>
      </c>
      <c r="H229">
        <f>COUNTIF('HCO referrals'!B:B,HCO_Data!K229)+COUNTIF('HCO referrals'!C:C,HCO_Data!K229)</f>
        <v>0</v>
      </c>
      <c r="I229">
        <v>270000359</v>
      </c>
      <c r="K229" t="s">
        <v>10248</v>
      </c>
      <c r="L229" t="s">
        <v>1409</v>
      </c>
      <c r="M229" t="s">
        <v>1859</v>
      </c>
      <c r="N229">
        <v>27015</v>
      </c>
      <c r="O229" t="s">
        <v>1860</v>
      </c>
      <c r="Q229" t="s">
        <v>4283</v>
      </c>
      <c r="R229">
        <v>309</v>
      </c>
      <c r="S229">
        <v>54</v>
      </c>
      <c r="T229">
        <v>54</v>
      </c>
      <c r="V229" t="s">
        <v>414</v>
      </c>
      <c r="W229">
        <f>COUNTIFS('Clinical Trials HCO'!$A:$A, K229, 'Clinical Trials HCO'!$D:$D, "&lt;&gt;")</f>
        <v>0</v>
      </c>
      <c r="AF229" t="s">
        <v>414</v>
      </c>
      <c r="AG229" t="s">
        <v>414</v>
      </c>
    </row>
    <row r="230" spans="2:33">
      <c r="B230">
        <v>340</v>
      </c>
      <c r="F230">
        <f>COUNTIF(HCPs!W:W,HCO_Data!K230)</f>
        <v>0</v>
      </c>
      <c r="G230" t="str">
        <f>IF(COUNTIF('Testing Referrals'!B:B,HCO_Data!K230)&gt;0,"Yes","")</f>
        <v/>
      </c>
      <c r="H230">
        <f>COUNTIF('HCO referrals'!B:B,HCO_Data!K230)+COUNTIF('HCO referrals'!C:C,HCO_Data!K230)</f>
        <v>0</v>
      </c>
      <c r="I230">
        <v>610000069</v>
      </c>
      <c r="K230" t="s">
        <v>10249</v>
      </c>
      <c r="L230" t="s">
        <v>2377</v>
      </c>
      <c r="M230" t="s">
        <v>2648</v>
      </c>
      <c r="N230">
        <v>61202</v>
      </c>
      <c r="O230" t="s">
        <v>2649</v>
      </c>
      <c r="Q230" t="s">
        <v>4283</v>
      </c>
      <c r="R230">
        <v>280</v>
      </c>
      <c r="S230">
        <v>54</v>
      </c>
      <c r="T230">
        <v>54</v>
      </c>
      <c r="V230" t="s">
        <v>414</v>
      </c>
      <c r="W230">
        <f>COUNTIFS('Clinical Trials HCO'!$A:$A, K230, 'Clinical Trials HCO'!$D:$D, "&lt;&gt;")</f>
        <v>0</v>
      </c>
    </row>
    <row r="231" spans="2:33">
      <c r="B231">
        <v>194</v>
      </c>
      <c r="F231">
        <f>COUNTIF(HCPs!W:W,HCO_Data!K231)</f>
        <v>0</v>
      </c>
      <c r="G231" t="str">
        <f>IF(COUNTIF('Testing Referrals'!B:B,HCO_Data!K231)&gt;0,"Yes","")</f>
        <v/>
      </c>
      <c r="H231">
        <f>COUNTIF('HCO referrals'!B:B,HCO_Data!K231)+COUNTIF('HCO referrals'!C:C,HCO_Data!K231)</f>
        <v>0</v>
      </c>
      <c r="I231">
        <v>710978263</v>
      </c>
      <c r="K231" t="s">
        <v>10250</v>
      </c>
      <c r="L231" t="s">
        <v>674</v>
      </c>
      <c r="M231" t="s">
        <v>1941</v>
      </c>
      <c r="N231">
        <v>71321</v>
      </c>
      <c r="O231" t="s">
        <v>907</v>
      </c>
      <c r="Q231" t="s">
        <v>4283</v>
      </c>
      <c r="R231">
        <v>236</v>
      </c>
      <c r="S231">
        <v>54</v>
      </c>
      <c r="T231">
        <v>54</v>
      </c>
      <c r="V231" t="s">
        <v>414</v>
      </c>
      <c r="W231">
        <f>COUNTIFS('Clinical Trials HCO'!$A:$A, K231, 'Clinical Trials HCO'!$D:$D, "&lt;&gt;")</f>
        <v>0</v>
      </c>
      <c r="AF231" t="s">
        <v>414</v>
      </c>
      <c r="AG231" t="s">
        <v>414</v>
      </c>
    </row>
    <row r="232" spans="2:33" hidden="1">
      <c r="B232">
        <v>134</v>
      </c>
      <c r="F232">
        <f>COUNTIF(HCPs!W:W,HCO_Data!K232)</f>
        <v>1</v>
      </c>
      <c r="G232" t="str">
        <f>IF(COUNTIF('Testing Referrals'!B:B,HCO_Data!K232)&gt;0,"Yes","")</f>
        <v/>
      </c>
      <c r="H232">
        <f>COUNTIF('HCO referrals'!B:B,HCO_Data!K232)+COUNTIF('HCO referrals'!C:C,HCO_Data!K232)</f>
        <v>0</v>
      </c>
      <c r="I232">
        <v>340000033</v>
      </c>
      <c r="K232" t="s">
        <v>10251</v>
      </c>
      <c r="L232" s="13" t="s">
        <v>645</v>
      </c>
      <c r="M232" t="s">
        <v>1789</v>
      </c>
      <c r="N232">
        <v>34525</v>
      </c>
      <c r="O232" t="s">
        <v>1790</v>
      </c>
      <c r="Q232" t="s">
        <v>4283</v>
      </c>
      <c r="R232">
        <v>390</v>
      </c>
      <c r="S232">
        <v>53</v>
      </c>
      <c r="T232">
        <v>53</v>
      </c>
      <c r="V232" t="s">
        <v>414</v>
      </c>
      <c r="W232">
        <f>COUNTIFS('Clinical Trials HCO'!$A:$A, K232, 'Clinical Trials HCO'!$D:$D, "&lt;&gt;")</f>
        <v>0</v>
      </c>
      <c r="AG232" t="s">
        <v>414</v>
      </c>
    </row>
    <row r="233" spans="2:33">
      <c r="B233">
        <v>123</v>
      </c>
      <c r="F233">
        <f>COUNTIF(HCPs!W:W,HCO_Data!K233)</f>
        <v>0</v>
      </c>
      <c r="G233" t="str">
        <f>IF(COUNTIF('Testing Referrals'!B:B,HCO_Data!K233)&gt;0,"Yes","")</f>
        <v/>
      </c>
      <c r="H233">
        <f>COUNTIF('HCO referrals'!B:B,HCO_Data!K233)+COUNTIF('HCO referrals'!C:C,HCO_Data!K233)</f>
        <v>0</v>
      </c>
      <c r="I233">
        <v>470000423</v>
      </c>
      <c r="K233" t="s">
        <v>10252</v>
      </c>
      <c r="L233" t="s">
        <v>1368</v>
      </c>
      <c r="M233" t="s">
        <v>1766</v>
      </c>
      <c r="N233">
        <v>47923</v>
      </c>
      <c r="O233" t="s">
        <v>1767</v>
      </c>
      <c r="Q233" t="s">
        <v>4283</v>
      </c>
      <c r="R233">
        <v>145</v>
      </c>
      <c r="S233">
        <v>53</v>
      </c>
      <c r="T233">
        <v>53</v>
      </c>
      <c r="V233" t="s">
        <v>414</v>
      </c>
      <c r="W233">
        <f>COUNTIFS('Clinical Trials HCO'!$A:$A, K233, 'Clinical Trials HCO'!$D:$D, "&lt;&gt;")</f>
        <v>0</v>
      </c>
      <c r="AF233" t="s">
        <v>414</v>
      </c>
      <c r="AG233" t="s">
        <v>414</v>
      </c>
    </row>
    <row r="234" spans="2:33">
      <c r="B234">
        <v>301</v>
      </c>
      <c r="F234">
        <f>COUNTIF(HCPs!W:W,HCO_Data!K234)</f>
        <v>0</v>
      </c>
      <c r="G234" t="str">
        <f>IF(COUNTIF('Testing Referrals'!B:B,HCO_Data!K234)&gt;0,"Yes","")</f>
        <v/>
      </c>
      <c r="H234">
        <f>COUNTIF('HCO referrals'!B:B,HCO_Data!K234)+COUNTIF('HCO referrals'!C:C,HCO_Data!K234)</f>
        <v>0</v>
      </c>
      <c r="I234">
        <v>580972693</v>
      </c>
      <c r="K234" t="s">
        <v>10253</v>
      </c>
      <c r="L234" t="s">
        <v>1592</v>
      </c>
      <c r="M234" t="s">
        <v>2195</v>
      </c>
      <c r="N234">
        <v>58033</v>
      </c>
      <c r="O234" t="s">
        <v>915</v>
      </c>
      <c r="Q234" t="s">
        <v>4283</v>
      </c>
      <c r="R234">
        <v>278</v>
      </c>
      <c r="S234">
        <v>53</v>
      </c>
      <c r="T234">
        <v>53</v>
      </c>
      <c r="V234" t="s">
        <v>414</v>
      </c>
      <c r="W234">
        <f>COUNTIFS('Clinical Trials HCO'!$A:$A, K234, 'Clinical Trials HCO'!$D:$D, "&lt;&gt;")</f>
        <v>0</v>
      </c>
      <c r="AF234" t="s">
        <v>414</v>
      </c>
      <c r="AG234" t="s">
        <v>414</v>
      </c>
    </row>
    <row r="235" spans="2:33">
      <c r="B235">
        <v>370</v>
      </c>
      <c r="F235">
        <f>COUNTIF(HCPs!W:W,HCO_Data!K235)</f>
        <v>0</v>
      </c>
      <c r="G235" t="str">
        <f>IF(COUNTIF('Testing Referrals'!B:B,HCO_Data!K235)&gt;0,"Yes","")</f>
        <v/>
      </c>
      <c r="H235">
        <f>COUNTIF('HCO referrals'!B:B,HCO_Data!K235)+COUNTIF('HCO referrals'!C:C,HCO_Data!K235)</f>
        <v>0</v>
      </c>
      <c r="I235">
        <v>620000257</v>
      </c>
      <c r="K235" t="s">
        <v>10254</v>
      </c>
      <c r="L235" t="s">
        <v>1422</v>
      </c>
      <c r="M235" t="s">
        <v>1884</v>
      </c>
      <c r="N235">
        <v>62307</v>
      </c>
      <c r="O235" t="s">
        <v>935</v>
      </c>
      <c r="Q235" t="s">
        <v>4283</v>
      </c>
      <c r="R235">
        <v>221</v>
      </c>
      <c r="S235">
        <v>53</v>
      </c>
      <c r="T235">
        <v>53</v>
      </c>
      <c r="V235" t="s">
        <v>414</v>
      </c>
      <c r="W235">
        <f>COUNTIFS('Clinical Trials HCO'!$A:$A, K235, 'Clinical Trials HCO'!$D:$D, "&lt;&gt;")</f>
        <v>0</v>
      </c>
      <c r="AG235" t="s">
        <v>414</v>
      </c>
    </row>
    <row r="236" spans="2:33">
      <c r="B236">
        <v>468</v>
      </c>
      <c r="F236">
        <f>COUNTIF(HCPs!W:W,HCO_Data!K236)</f>
        <v>0</v>
      </c>
      <c r="G236" t="str">
        <f>IF(COUNTIF('Testing Referrals'!B:B,HCO_Data!K236)&gt;0,"Yes","")</f>
        <v/>
      </c>
      <c r="H236">
        <f>COUNTIF('HCO referrals'!B:B,HCO_Data!K236)+COUNTIF('HCO referrals'!C:C,HCO_Data!K236)</f>
        <v>0</v>
      </c>
      <c r="I236">
        <v>620100099</v>
      </c>
      <c r="K236" t="s">
        <v>10255</v>
      </c>
      <c r="L236" t="s">
        <v>1595</v>
      </c>
      <c r="M236" t="s">
        <v>2198</v>
      </c>
      <c r="N236">
        <v>62012</v>
      </c>
      <c r="O236" t="s">
        <v>929</v>
      </c>
      <c r="Q236" t="s">
        <v>4283</v>
      </c>
      <c r="R236">
        <v>187</v>
      </c>
      <c r="S236">
        <v>53</v>
      </c>
      <c r="T236">
        <v>53</v>
      </c>
      <c r="V236" t="s">
        <v>414</v>
      </c>
      <c r="W236">
        <f>COUNTIFS('Clinical Trials HCO'!$A:$A, K236, 'Clinical Trials HCO'!$D:$D, "&lt;&gt;")</f>
        <v>0</v>
      </c>
      <c r="AF236" t="s">
        <v>414</v>
      </c>
      <c r="AG236" t="s">
        <v>414</v>
      </c>
    </row>
    <row r="237" spans="2:33">
      <c r="B237">
        <v>430</v>
      </c>
      <c r="F237">
        <f>COUNTIF(HCPs!W:W,HCO_Data!K237)</f>
        <v>0</v>
      </c>
      <c r="G237" t="str">
        <f>IF(COUNTIF('Testing Referrals'!B:B,HCO_Data!K237)&gt;0,"Yes","")</f>
        <v/>
      </c>
      <c r="H237">
        <f>COUNTIF('HCO referrals'!B:B,HCO_Data!K237)+COUNTIF('HCO referrals'!C:C,HCO_Data!K237)</f>
        <v>0</v>
      </c>
      <c r="I237">
        <v>690041132</v>
      </c>
      <c r="K237" t="s">
        <v>10256</v>
      </c>
      <c r="L237" t="s">
        <v>1671</v>
      </c>
      <c r="M237" t="s">
        <v>2321</v>
      </c>
      <c r="N237">
        <v>69100</v>
      </c>
      <c r="O237" t="s">
        <v>995</v>
      </c>
      <c r="Q237" t="s">
        <v>4283</v>
      </c>
      <c r="R237">
        <v>201</v>
      </c>
      <c r="S237">
        <v>53</v>
      </c>
      <c r="T237">
        <v>53</v>
      </c>
      <c r="V237" t="s">
        <v>414</v>
      </c>
      <c r="W237">
        <f>COUNTIFS('Clinical Trials HCO'!$A:$A, K237, 'Clinical Trials HCO'!$D:$D, "&lt;&gt;")</f>
        <v>0</v>
      </c>
    </row>
    <row r="238" spans="2:33">
      <c r="F238">
        <f>COUNTIF(HCPs!W:W,HCO_Data!K238)</f>
        <v>0</v>
      </c>
      <c r="G238" t="str">
        <f>IF(COUNTIF('Testing Referrals'!B:B,HCO_Data!K238)&gt;0,"Yes","")</f>
        <v/>
      </c>
      <c r="H238">
        <f>COUNTIF('HCO referrals'!B:B,HCO_Data!K238)+COUNTIF('HCO referrals'!C:C,HCO_Data!K238)</f>
        <v>0</v>
      </c>
      <c r="I238">
        <v>750150260</v>
      </c>
      <c r="K238" t="s">
        <v>10257</v>
      </c>
      <c r="L238" t="s">
        <v>8804</v>
      </c>
      <c r="M238" t="s">
        <v>8805</v>
      </c>
      <c r="O238" t="s">
        <v>8806</v>
      </c>
      <c r="P238" t="s">
        <v>700</v>
      </c>
      <c r="Q238" t="s">
        <v>4283</v>
      </c>
      <c r="R238">
        <v>462</v>
      </c>
      <c r="S238">
        <v>53</v>
      </c>
      <c r="T238">
        <v>53</v>
      </c>
      <c r="V238" t="s">
        <v>414</v>
      </c>
      <c r="W238">
        <f>COUNTIFS('Clinical Trials HCO'!$A:$A, K238, 'Clinical Trials HCO'!$D:$D, "&lt;&gt;")</f>
        <v>0</v>
      </c>
    </row>
    <row r="239" spans="2:33">
      <c r="B239">
        <v>255</v>
      </c>
      <c r="F239">
        <f>COUNTIF(HCPs!W:W,HCO_Data!K239)</f>
        <v>0</v>
      </c>
      <c r="G239" t="str">
        <f>IF(COUNTIF('Testing Referrals'!B:B,HCO_Data!K239)&gt;0,"Yes","")</f>
        <v/>
      </c>
      <c r="H239">
        <f>COUNTIF('HCO referrals'!B:B,HCO_Data!K239)+COUNTIF('HCO referrals'!C:C,HCO_Data!K239)</f>
        <v>0</v>
      </c>
      <c r="I239">
        <v>930000286</v>
      </c>
      <c r="K239" t="s">
        <v>10258</v>
      </c>
      <c r="L239" t="s">
        <v>1548</v>
      </c>
      <c r="M239" t="s">
        <v>2133</v>
      </c>
      <c r="N239">
        <v>93370</v>
      </c>
      <c r="O239" t="s">
        <v>2134</v>
      </c>
      <c r="Q239" t="s">
        <v>4283</v>
      </c>
      <c r="R239">
        <v>161</v>
      </c>
      <c r="S239">
        <v>53</v>
      </c>
      <c r="T239">
        <v>53</v>
      </c>
      <c r="V239" t="s">
        <v>414</v>
      </c>
      <c r="W239">
        <f>COUNTIFS('Clinical Trials HCO'!$A:$A, K239, 'Clinical Trials HCO'!$D:$D, "&lt;&gt;")</f>
        <v>0</v>
      </c>
      <c r="AF239" t="s">
        <v>414</v>
      </c>
      <c r="AG239" t="s">
        <v>414</v>
      </c>
    </row>
    <row r="240" spans="2:33" hidden="1">
      <c r="B240">
        <v>336</v>
      </c>
      <c r="C240" t="s">
        <v>5158</v>
      </c>
      <c r="F240">
        <f>COUNTIF(HCPs!W:W,HCO_Data!K240)</f>
        <v>1</v>
      </c>
      <c r="G240" t="str">
        <f>IF(COUNTIF('Testing Referrals'!B:B,HCO_Data!K240)&gt;0,"Yes","")</f>
        <v/>
      </c>
      <c r="H240">
        <f>COUNTIF('HCO referrals'!B:B,HCO_Data!K240)+COUNTIF('HCO referrals'!C:C,HCO_Data!K240)</f>
        <v>2</v>
      </c>
      <c r="I240">
        <v>690793468</v>
      </c>
      <c r="K240" t="s">
        <v>3800</v>
      </c>
      <c r="L240" t="s">
        <v>5132</v>
      </c>
      <c r="M240" t="s">
        <v>2309</v>
      </c>
      <c r="N240">
        <v>69641</v>
      </c>
      <c r="O240" t="s">
        <v>2310</v>
      </c>
      <c r="Q240" t="s">
        <v>4283</v>
      </c>
      <c r="R240">
        <v>185</v>
      </c>
      <c r="S240">
        <v>52</v>
      </c>
      <c r="T240">
        <v>52</v>
      </c>
      <c r="V240" t="s">
        <v>414</v>
      </c>
      <c r="W240">
        <f>COUNTIFS('Clinical Trials HCO'!$A:$A, K240, 'Clinical Trials HCO'!$D:$D, "&lt;&gt;")</f>
        <v>0</v>
      </c>
      <c r="AF240" t="s">
        <v>414</v>
      </c>
      <c r="AG240" t="s">
        <v>414</v>
      </c>
    </row>
    <row r="241" spans="2:33">
      <c r="B241">
        <v>525</v>
      </c>
      <c r="F241">
        <f>COUNTIF(HCPs!W:W,HCO_Data!K241)</f>
        <v>0</v>
      </c>
      <c r="G241" t="str">
        <f>IF(COUNTIF('Testing Referrals'!B:B,HCO_Data!K241)&gt;0,"Yes","")</f>
        <v/>
      </c>
      <c r="H241">
        <f>COUNTIF('HCO referrals'!B:B,HCO_Data!K241)+COUNTIF('HCO referrals'!C:C,HCO_Data!K241)</f>
        <v>0</v>
      </c>
      <c r="I241">
        <v>130781479</v>
      </c>
      <c r="K241" t="s">
        <v>10259</v>
      </c>
      <c r="L241" t="s">
        <v>1615</v>
      </c>
      <c r="M241" t="s">
        <v>2230</v>
      </c>
      <c r="N241">
        <v>13675</v>
      </c>
      <c r="O241" t="s">
        <v>2231</v>
      </c>
      <c r="Q241" t="s">
        <v>4283</v>
      </c>
      <c r="R241">
        <v>217</v>
      </c>
      <c r="S241">
        <v>52</v>
      </c>
      <c r="T241">
        <v>52</v>
      </c>
      <c r="V241" t="s">
        <v>414</v>
      </c>
      <c r="W241">
        <f>COUNTIFS('Clinical Trials HCO'!$A:$A, K241, 'Clinical Trials HCO'!$D:$D, "&lt;&gt;")</f>
        <v>0</v>
      </c>
      <c r="AF241" t="s">
        <v>414</v>
      </c>
    </row>
    <row r="242" spans="2:33">
      <c r="B242">
        <v>153</v>
      </c>
      <c r="F242">
        <f>COUNTIF(HCPs!W:W,HCO_Data!K242)</f>
        <v>0</v>
      </c>
      <c r="G242" t="str">
        <f>IF(COUNTIF('Testing Referrals'!B:B,HCO_Data!K242)&gt;0,"Yes","")</f>
        <v/>
      </c>
      <c r="H242">
        <f>COUNTIF('HCO referrals'!B:B,HCO_Data!K242)+COUNTIF('HCO referrals'!C:C,HCO_Data!K242)</f>
        <v>0</v>
      </c>
      <c r="I242">
        <v>280000084</v>
      </c>
      <c r="K242" t="s">
        <v>10260</v>
      </c>
      <c r="L242" t="s">
        <v>1406</v>
      </c>
      <c r="M242" t="s">
        <v>1850</v>
      </c>
      <c r="N242">
        <v>28102</v>
      </c>
      <c r="O242" t="s">
        <v>1851</v>
      </c>
      <c r="Q242" t="s">
        <v>4283</v>
      </c>
      <c r="R242">
        <v>184</v>
      </c>
      <c r="S242">
        <v>52</v>
      </c>
      <c r="T242">
        <v>52</v>
      </c>
      <c r="V242" t="s">
        <v>414</v>
      </c>
      <c r="W242">
        <f>COUNTIFS('Clinical Trials HCO'!$A:$A, K242, 'Clinical Trials HCO'!$D:$D, "&lt;&gt;")</f>
        <v>0</v>
      </c>
      <c r="AF242" t="s">
        <v>414</v>
      </c>
      <c r="AG242" t="s">
        <v>414</v>
      </c>
    </row>
    <row r="243" spans="2:33">
      <c r="B243">
        <v>526</v>
      </c>
      <c r="F243">
        <f>COUNTIF(HCPs!W:W,HCO_Data!K243)</f>
        <v>0</v>
      </c>
      <c r="G243" t="str">
        <f>IF(COUNTIF('Testing Referrals'!B:B,HCO_Data!K243)&gt;0,"Yes","")</f>
        <v/>
      </c>
      <c r="H243">
        <f>COUNTIF('HCO referrals'!B:B,HCO_Data!K243)+COUNTIF('HCO referrals'!C:C,HCO_Data!K243)</f>
        <v>0</v>
      </c>
      <c r="I243">
        <v>820000057</v>
      </c>
      <c r="K243" t="s">
        <v>10261</v>
      </c>
      <c r="L243" t="s">
        <v>1498</v>
      </c>
      <c r="M243" t="s">
        <v>2028</v>
      </c>
      <c r="N243">
        <v>82000</v>
      </c>
      <c r="O243" t="s">
        <v>1899</v>
      </c>
      <c r="Q243" t="s">
        <v>4283</v>
      </c>
      <c r="R243">
        <v>191</v>
      </c>
      <c r="S243">
        <v>52</v>
      </c>
      <c r="T243">
        <v>52</v>
      </c>
      <c r="V243" t="s">
        <v>414</v>
      </c>
      <c r="W243">
        <f>COUNTIFS('Clinical Trials HCO'!$A:$A, K243, 'Clinical Trials HCO'!$D:$D, "&lt;&gt;")</f>
        <v>0</v>
      </c>
      <c r="AG243" t="s">
        <v>414</v>
      </c>
    </row>
    <row r="244" spans="2:33" hidden="1">
      <c r="B244">
        <v>719</v>
      </c>
      <c r="F244">
        <f>COUNTIF(HCPs!W:W,HCO_Data!K244)</f>
        <v>1</v>
      </c>
      <c r="G244" t="str">
        <f>IF(COUNTIF('Testing Referrals'!B:B,HCO_Data!K244)&gt;0,"Yes","")</f>
        <v/>
      </c>
      <c r="H244">
        <f>COUNTIF('HCO referrals'!B:B,HCO_Data!K244)+COUNTIF('HCO referrals'!C:C,HCO_Data!K244)</f>
        <v>0</v>
      </c>
      <c r="I244">
        <v>720023068</v>
      </c>
      <c r="K244" t="s">
        <v>8417</v>
      </c>
      <c r="L244" t="s">
        <v>8459</v>
      </c>
      <c r="M244" t="s">
        <v>2108</v>
      </c>
      <c r="N244">
        <v>72000</v>
      </c>
      <c r="O244" t="s">
        <v>1883</v>
      </c>
      <c r="Q244" t="s">
        <v>4283</v>
      </c>
      <c r="R244">
        <v>205</v>
      </c>
      <c r="S244">
        <v>51</v>
      </c>
      <c r="T244">
        <v>51</v>
      </c>
      <c r="V244" t="s">
        <v>414</v>
      </c>
      <c r="W244">
        <f>COUNTIFS('Clinical Trials HCO'!$A:$A, K244, 'Clinical Trials HCO'!$D:$D, "&lt;&gt;")</f>
        <v>0</v>
      </c>
      <c r="AF244" t="s">
        <v>414</v>
      </c>
      <c r="AG244" t="s">
        <v>414</v>
      </c>
    </row>
    <row r="245" spans="2:33">
      <c r="B245">
        <v>293</v>
      </c>
      <c r="F245">
        <f>COUNTIF(HCPs!W:W,HCO_Data!K245)</f>
        <v>0</v>
      </c>
      <c r="G245" t="str">
        <f>IF(COUNTIF('Testing Referrals'!B:B,HCO_Data!K245)&gt;0,"Yes","")</f>
        <v/>
      </c>
      <c r="H245">
        <f>COUNTIF('HCO referrals'!B:B,HCO_Data!K245)+COUNTIF('HCO referrals'!C:C,HCO_Data!K245)</f>
        <v>0</v>
      </c>
      <c r="I245">
        <v>20010047</v>
      </c>
      <c r="K245" t="s">
        <v>10262</v>
      </c>
      <c r="L245" t="s">
        <v>1624</v>
      </c>
      <c r="M245" t="s">
        <v>2245</v>
      </c>
      <c r="N245">
        <v>2315</v>
      </c>
      <c r="O245" t="s">
        <v>1917</v>
      </c>
      <c r="Q245" t="s">
        <v>4283</v>
      </c>
      <c r="R245">
        <v>188</v>
      </c>
      <c r="S245">
        <v>51</v>
      </c>
      <c r="T245">
        <v>51</v>
      </c>
      <c r="V245" t="s">
        <v>414</v>
      </c>
      <c r="W245">
        <f>COUNTIFS('Clinical Trials HCO'!$A:$A, K245, 'Clinical Trials HCO'!$D:$D, "&lt;&gt;")</f>
        <v>0</v>
      </c>
    </row>
    <row r="246" spans="2:33">
      <c r="F246">
        <f>COUNTIF(HCPs!W:W,HCO_Data!K246)</f>
        <v>0</v>
      </c>
      <c r="G246" t="str">
        <f>IF(COUNTIF('Testing Referrals'!B:B,HCO_Data!K246)&gt;0,"Yes","")</f>
        <v/>
      </c>
      <c r="H246">
        <f>COUNTIF('HCO referrals'!B:B,HCO_Data!K246)+COUNTIF('HCO referrals'!C:C,HCO_Data!K246)</f>
        <v>0</v>
      </c>
      <c r="I246">
        <v>440048718</v>
      </c>
      <c r="K246" t="s">
        <v>10263</v>
      </c>
      <c r="L246" t="s">
        <v>8674</v>
      </c>
      <c r="M246" t="s">
        <v>8675</v>
      </c>
      <c r="O246" t="s">
        <v>2003</v>
      </c>
      <c r="P246" t="s">
        <v>711</v>
      </c>
      <c r="Q246" t="s">
        <v>4283</v>
      </c>
      <c r="R246">
        <v>179</v>
      </c>
      <c r="S246">
        <v>51</v>
      </c>
      <c r="T246">
        <v>51</v>
      </c>
      <c r="V246" t="s">
        <v>414</v>
      </c>
      <c r="W246">
        <f>COUNTIFS('Clinical Trials HCO'!$A:$A, K246, 'Clinical Trials HCO'!$D:$D, "&lt;&gt;")</f>
        <v>0</v>
      </c>
    </row>
    <row r="247" spans="2:33">
      <c r="B247">
        <v>547</v>
      </c>
      <c r="F247">
        <f>COUNTIF(HCPs!W:W,HCO_Data!K247)</f>
        <v>0</v>
      </c>
      <c r="G247" t="str">
        <f>IF(COUNTIF('Testing Referrals'!B:B,HCO_Data!K247)&gt;0,"Yes","")</f>
        <v/>
      </c>
      <c r="H247">
        <f>COUNTIF('HCO referrals'!B:B,HCO_Data!K247)+COUNTIF('HCO referrals'!C:C,HCO_Data!K247)</f>
        <v>0</v>
      </c>
      <c r="I247">
        <v>590780268</v>
      </c>
      <c r="K247" t="s">
        <v>10264</v>
      </c>
      <c r="L247" t="s">
        <v>2253</v>
      </c>
      <c r="M247" t="s">
        <v>2254</v>
      </c>
      <c r="N247">
        <v>59000</v>
      </c>
      <c r="O247" t="s">
        <v>871</v>
      </c>
      <c r="Q247" t="s">
        <v>4283</v>
      </c>
      <c r="R247">
        <v>246</v>
      </c>
      <c r="S247">
        <v>51</v>
      </c>
      <c r="T247">
        <v>51</v>
      </c>
      <c r="V247" t="s">
        <v>414</v>
      </c>
      <c r="W247">
        <f>COUNTIFS('Clinical Trials HCO'!$A:$A, K247, 'Clinical Trials HCO'!$D:$D, "&lt;&gt;")</f>
        <v>0</v>
      </c>
      <c r="AF247" t="s">
        <v>414</v>
      </c>
      <c r="AG247" t="s">
        <v>414</v>
      </c>
    </row>
    <row r="248" spans="2:33">
      <c r="B248">
        <v>558</v>
      </c>
      <c r="F248">
        <f>COUNTIF(HCPs!W:W,HCO_Data!K248)</f>
        <v>0</v>
      </c>
      <c r="G248" t="str">
        <f>IF(COUNTIF('Testing Referrals'!B:B,HCO_Data!K248)&gt;0,"Yes","")</f>
        <v/>
      </c>
      <c r="H248">
        <f>COUNTIF('HCO referrals'!B:B,HCO_Data!K248)+COUNTIF('HCO referrals'!C:C,HCO_Data!K248)</f>
        <v>0</v>
      </c>
      <c r="I248">
        <v>770000156</v>
      </c>
      <c r="K248" t="s">
        <v>10265</v>
      </c>
      <c r="L248" t="s">
        <v>1395</v>
      </c>
      <c r="M248" t="s">
        <v>1826</v>
      </c>
      <c r="N248">
        <v>77000</v>
      </c>
      <c r="O248" t="s">
        <v>1827</v>
      </c>
      <c r="Q248" t="s">
        <v>4283</v>
      </c>
      <c r="R248">
        <v>270</v>
      </c>
      <c r="S248">
        <v>51</v>
      </c>
      <c r="T248">
        <v>51</v>
      </c>
      <c r="V248" t="s">
        <v>414</v>
      </c>
      <c r="W248">
        <f>COUNTIFS('Clinical Trials HCO'!$A:$A, K248, 'Clinical Trials HCO'!$D:$D, "&lt;&gt;")</f>
        <v>0</v>
      </c>
      <c r="AF248" t="s">
        <v>414</v>
      </c>
      <c r="AG248" t="s">
        <v>414</v>
      </c>
    </row>
    <row r="249" spans="2:33">
      <c r="B249">
        <v>209</v>
      </c>
      <c r="F249">
        <f>COUNTIF(HCPs!W:W,HCO_Data!K249)</f>
        <v>0</v>
      </c>
      <c r="G249" t="str">
        <f>IF(COUNTIF('Testing Referrals'!B:B,HCO_Data!K249)&gt;0,"Yes","")</f>
        <v/>
      </c>
      <c r="H249">
        <f>COUNTIF('HCO referrals'!B:B,HCO_Data!K249)+COUNTIF('HCO referrals'!C:C,HCO_Data!K249)</f>
        <v>0</v>
      </c>
      <c r="I249">
        <v>950300244</v>
      </c>
      <c r="K249" t="s">
        <v>10266</v>
      </c>
      <c r="L249" t="s">
        <v>1468</v>
      </c>
      <c r="M249" t="s">
        <v>1985</v>
      </c>
      <c r="N249">
        <v>95520</v>
      </c>
      <c r="O249" t="s">
        <v>939</v>
      </c>
      <c r="Q249" t="s">
        <v>4283</v>
      </c>
      <c r="R249">
        <v>167</v>
      </c>
      <c r="S249">
        <v>51</v>
      </c>
      <c r="T249">
        <v>51</v>
      </c>
      <c r="V249" t="s">
        <v>414</v>
      </c>
      <c r="W249">
        <f>COUNTIFS('Clinical Trials HCO'!$A:$A, K249, 'Clinical Trials HCO'!$D:$D, "&lt;&gt;")</f>
        <v>0</v>
      </c>
      <c r="AG249" t="s">
        <v>414</v>
      </c>
    </row>
    <row r="250" spans="2:33" hidden="1">
      <c r="B250">
        <v>326</v>
      </c>
      <c r="C250" t="s">
        <v>8106</v>
      </c>
      <c r="F250">
        <f>COUNTIF(HCPs!W:W,HCO_Data!K250)</f>
        <v>1</v>
      </c>
      <c r="G250" t="str">
        <f>IF(COUNTIF('Testing Referrals'!B:B,HCO_Data!K250)&gt;0,"Yes","")</f>
        <v/>
      </c>
      <c r="H250">
        <f>COUNTIF('HCO referrals'!B:B,HCO_Data!K250)+COUNTIF('HCO referrals'!C:C,HCO_Data!K250)</f>
        <v>0</v>
      </c>
      <c r="I250">
        <v>330780115</v>
      </c>
      <c r="J250" s="72" t="s">
        <v>8081</v>
      </c>
      <c r="K250" t="s">
        <v>3812</v>
      </c>
      <c r="L250" s="13" t="s">
        <v>8082</v>
      </c>
      <c r="M250" t="s">
        <v>2105</v>
      </c>
      <c r="N250">
        <v>33000</v>
      </c>
      <c r="O250" t="s">
        <v>942</v>
      </c>
      <c r="Q250" t="s">
        <v>4283</v>
      </c>
      <c r="R250">
        <v>204</v>
      </c>
      <c r="S250">
        <v>50</v>
      </c>
      <c r="T250">
        <v>50</v>
      </c>
      <c r="V250" t="s">
        <v>414</v>
      </c>
      <c r="W250">
        <f>COUNTIFS('Clinical Trials HCO'!$A:$A, K250, 'Clinical Trials HCO'!$D:$D, "&lt;&gt;")</f>
        <v>6</v>
      </c>
      <c r="AF250" t="s">
        <v>414</v>
      </c>
      <c r="AG250" t="s">
        <v>414</v>
      </c>
    </row>
    <row r="251" spans="2:33" hidden="1">
      <c r="B251">
        <v>600</v>
      </c>
      <c r="C251" t="s">
        <v>8441</v>
      </c>
      <c r="F251">
        <f>COUNTIF(HCPs!W:W,HCO_Data!K251)</f>
        <v>2</v>
      </c>
      <c r="G251" t="str">
        <f>IF(COUNTIF('Testing Referrals'!B:B,HCO_Data!K251)&gt;0,"Yes","")</f>
        <v/>
      </c>
      <c r="H251">
        <f>COUNTIF('HCO referrals'!B:B,HCO_Data!K251)+COUNTIF('HCO referrals'!C:C,HCO_Data!K251)</f>
        <v>0</v>
      </c>
      <c r="I251">
        <v>720017748</v>
      </c>
      <c r="J251" s="72" t="s">
        <v>8450</v>
      </c>
      <c r="K251" t="s">
        <v>3820</v>
      </c>
      <c r="L251" t="s">
        <v>8449</v>
      </c>
      <c r="M251" t="s">
        <v>2668</v>
      </c>
      <c r="N251">
        <v>72058</v>
      </c>
      <c r="O251" t="s">
        <v>1883</v>
      </c>
      <c r="Q251" t="s">
        <v>4283</v>
      </c>
      <c r="R251">
        <v>488</v>
      </c>
      <c r="S251">
        <v>50</v>
      </c>
      <c r="T251">
        <v>50</v>
      </c>
      <c r="V251" t="s">
        <v>414</v>
      </c>
      <c r="W251">
        <f>COUNTIFS('Clinical Trials HCO'!$A:$A, K251, 'Clinical Trials HCO'!$D:$D, "&lt;&gt;")</f>
        <v>0</v>
      </c>
      <c r="AG251" t="s">
        <v>414</v>
      </c>
    </row>
    <row r="252" spans="2:33">
      <c r="B252">
        <v>319</v>
      </c>
      <c r="F252">
        <f>COUNTIF(HCPs!W:W,HCO_Data!K252)</f>
        <v>0</v>
      </c>
      <c r="G252" t="str">
        <f>IF(COUNTIF('Testing Referrals'!B:B,HCO_Data!K252)&gt;0,"Yes","")</f>
        <v/>
      </c>
      <c r="H252">
        <f>COUNTIF('HCO referrals'!B:B,HCO_Data!K252)+COUNTIF('HCO referrals'!C:C,HCO_Data!K252)</f>
        <v>0</v>
      </c>
      <c r="I252">
        <v>170000152</v>
      </c>
      <c r="K252" t="s">
        <v>10267</v>
      </c>
      <c r="L252" t="s">
        <v>1355</v>
      </c>
      <c r="M252" t="s">
        <v>1740</v>
      </c>
      <c r="N252">
        <v>17301</v>
      </c>
      <c r="O252" t="s">
        <v>1741</v>
      </c>
      <c r="Q252" t="s">
        <v>4283</v>
      </c>
      <c r="R252">
        <v>276</v>
      </c>
      <c r="S252">
        <v>50</v>
      </c>
      <c r="T252">
        <v>50</v>
      </c>
      <c r="V252" t="s">
        <v>414</v>
      </c>
      <c r="W252">
        <f>COUNTIFS('Clinical Trials HCO'!$A:$A, K252, 'Clinical Trials HCO'!$D:$D, "&lt;&gt;")</f>
        <v>0</v>
      </c>
      <c r="AG252" t="s">
        <v>414</v>
      </c>
    </row>
    <row r="253" spans="2:33">
      <c r="B253">
        <v>524</v>
      </c>
      <c r="C253" t="s">
        <v>8550</v>
      </c>
      <c r="F253">
        <f>COUNTIF(HCPs!W:W,HCO_Data!K253)</f>
        <v>0</v>
      </c>
      <c r="G253" t="str">
        <f>IF(COUNTIF('Testing Referrals'!B:B,HCO_Data!K253)&gt;0,"Yes","")</f>
        <v/>
      </c>
      <c r="H253">
        <f>COUNTIF('HCO referrals'!B:B,HCO_Data!K253)+COUNTIF('HCO referrals'!C:C,HCO_Data!K253)</f>
        <v>0</v>
      </c>
      <c r="I253">
        <v>290000140</v>
      </c>
      <c r="K253" t="s">
        <v>10268</v>
      </c>
      <c r="L253" t="s">
        <v>1525</v>
      </c>
      <c r="M253" t="s">
        <v>2092</v>
      </c>
      <c r="N253">
        <v>29229</v>
      </c>
      <c r="O253" t="s">
        <v>862</v>
      </c>
      <c r="Q253" t="s">
        <v>4283</v>
      </c>
      <c r="R253">
        <v>208</v>
      </c>
      <c r="S253">
        <v>50</v>
      </c>
      <c r="T253">
        <v>50</v>
      </c>
      <c r="V253" t="s">
        <v>414</v>
      </c>
      <c r="W253">
        <f>COUNTIFS('Clinical Trials HCO'!$A:$A, K253, 'Clinical Trials HCO'!$D:$D, "&lt;&gt;")</f>
        <v>0</v>
      </c>
      <c r="AG253" t="s">
        <v>414</v>
      </c>
    </row>
    <row r="254" spans="2:33">
      <c r="B254">
        <v>440</v>
      </c>
      <c r="F254">
        <f>COUNTIF(HCPs!W:W,HCO_Data!K254)</f>
        <v>0</v>
      </c>
      <c r="G254" t="str">
        <f>IF(COUNTIF('Testing Referrals'!B:B,HCO_Data!K254)&gt;0,"Yes","")</f>
        <v/>
      </c>
      <c r="H254">
        <f>COUNTIF('HCO referrals'!B:B,HCO_Data!K254)+COUNTIF('HCO referrals'!C:C,HCO_Data!K254)</f>
        <v>0</v>
      </c>
      <c r="I254">
        <v>380785956</v>
      </c>
      <c r="K254" t="s">
        <v>10269</v>
      </c>
      <c r="L254" t="s">
        <v>640</v>
      </c>
      <c r="M254" t="s">
        <v>2760</v>
      </c>
      <c r="N254">
        <v>38130</v>
      </c>
      <c r="O254" t="s">
        <v>2761</v>
      </c>
      <c r="Q254" t="s">
        <v>4283</v>
      </c>
      <c r="R254">
        <v>482</v>
      </c>
      <c r="S254">
        <v>50</v>
      </c>
      <c r="T254">
        <v>50</v>
      </c>
      <c r="V254" t="s">
        <v>414</v>
      </c>
      <c r="W254">
        <f>COUNTIFS('Clinical Trials HCO'!$A:$A, K254, 'Clinical Trials HCO'!$D:$D, "&lt;&gt;")</f>
        <v>0</v>
      </c>
      <c r="AF254" t="s">
        <v>414</v>
      </c>
      <c r="AG254" t="s">
        <v>414</v>
      </c>
    </row>
    <row r="255" spans="2:33">
      <c r="B255">
        <v>152</v>
      </c>
      <c r="F255">
        <f>COUNTIF(HCPs!W:W,HCO_Data!K255)</f>
        <v>0</v>
      </c>
      <c r="G255" t="str">
        <f>IF(COUNTIF('Testing Referrals'!B:B,HCO_Data!K255)&gt;0,"Yes","")</f>
        <v/>
      </c>
      <c r="H255">
        <f>COUNTIF('HCO referrals'!B:B,HCO_Data!K255)+COUNTIF('HCO referrals'!C:C,HCO_Data!K255)</f>
        <v>0</v>
      </c>
      <c r="I255">
        <v>590001004</v>
      </c>
      <c r="K255" t="s">
        <v>10270</v>
      </c>
      <c r="L255" t="s">
        <v>1405</v>
      </c>
      <c r="M255" t="s">
        <v>1849</v>
      </c>
      <c r="N255">
        <v>59187</v>
      </c>
      <c r="O255" t="s">
        <v>1745</v>
      </c>
      <c r="Q255" t="s">
        <v>4283</v>
      </c>
      <c r="R255">
        <v>497</v>
      </c>
      <c r="S255">
        <v>50</v>
      </c>
      <c r="T255">
        <v>50</v>
      </c>
      <c r="V255" t="s">
        <v>414</v>
      </c>
      <c r="W255">
        <f>COUNTIFS('Clinical Trials HCO'!$A:$A, K255, 'Clinical Trials HCO'!$D:$D, "&lt;&gt;")</f>
        <v>0</v>
      </c>
      <c r="AF255" t="s">
        <v>414</v>
      </c>
      <c r="AG255" t="s">
        <v>414</v>
      </c>
    </row>
    <row r="256" spans="2:33">
      <c r="B256">
        <v>128</v>
      </c>
      <c r="C256" t="s">
        <v>11564</v>
      </c>
      <c r="F256">
        <f>COUNTIF(HCPs!W:W,HCO_Data!K256)</f>
        <v>4</v>
      </c>
      <c r="G256" t="str">
        <f>IF(COUNTIF('Testing Referrals'!B:B,HCO_Data!K256)&gt;0,"Yes","")</f>
        <v/>
      </c>
      <c r="H256">
        <f>COUNTIF('HCO referrals'!B:B,HCO_Data!K256)+COUNTIF('HCO referrals'!C:C,HCO_Data!K256)</f>
        <v>0</v>
      </c>
      <c r="I256">
        <v>620000034</v>
      </c>
      <c r="K256" t="s">
        <v>10271</v>
      </c>
      <c r="L256" s="117" t="s">
        <v>1373</v>
      </c>
      <c r="M256" t="s">
        <v>1780</v>
      </c>
      <c r="N256">
        <v>62022</v>
      </c>
      <c r="O256" t="s">
        <v>929</v>
      </c>
      <c r="Q256" t="s">
        <v>4283</v>
      </c>
      <c r="R256">
        <v>243</v>
      </c>
      <c r="S256">
        <v>50</v>
      </c>
      <c r="T256">
        <v>50</v>
      </c>
      <c r="V256" t="s">
        <v>414</v>
      </c>
      <c r="W256">
        <f>COUNTIFS('Clinical Trials HCO'!$A:$A, K256, 'Clinical Trials HCO'!$D:$D, "&lt;&gt;")</f>
        <v>0</v>
      </c>
      <c r="AF256" t="s">
        <v>414</v>
      </c>
      <c r="AG256" t="s">
        <v>414</v>
      </c>
    </row>
    <row r="257" spans="2:33">
      <c r="B257">
        <v>177</v>
      </c>
      <c r="F257">
        <f>COUNTIF(HCPs!W:W,HCO_Data!K257)</f>
        <v>0</v>
      </c>
      <c r="G257" t="str">
        <f>IF(COUNTIF('Testing Referrals'!B:B,HCO_Data!K257)&gt;0,"Yes","")</f>
        <v/>
      </c>
      <c r="H257">
        <f>COUNTIF('HCO referrals'!B:B,HCO_Data!K257)+COUNTIF('HCO referrals'!C:C,HCO_Data!K257)</f>
        <v>0</v>
      </c>
      <c r="I257">
        <v>950000364</v>
      </c>
      <c r="K257" t="s">
        <v>10272</v>
      </c>
      <c r="L257" s="117" t="s">
        <v>1430</v>
      </c>
      <c r="M257" t="s">
        <v>1904</v>
      </c>
      <c r="N257">
        <v>95300</v>
      </c>
      <c r="O257" t="s">
        <v>1905</v>
      </c>
      <c r="Q257" t="s">
        <v>4283</v>
      </c>
      <c r="R257">
        <v>272</v>
      </c>
      <c r="S257">
        <v>49</v>
      </c>
      <c r="T257">
        <v>49</v>
      </c>
      <c r="V257" t="s">
        <v>414</v>
      </c>
      <c r="W257">
        <f>COUNTIFS('Clinical Trials HCO'!$A:$A, K257, 'Clinical Trials HCO'!$D:$D, "&lt;&gt;")</f>
        <v>0</v>
      </c>
      <c r="AF257" t="s">
        <v>414</v>
      </c>
    </row>
    <row r="258" spans="2:33" hidden="1">
      <c r="B258">
        <v>612</v>
      </c>
      <c r="F258">
        <f>COUNTIF(HCPs!W:W,HCO_Data!K258)</f>
        <v>1</v>
      </c>
      <c r="G258" t="str">
        <f>IF(COUNTIF('Testing Referrals'!B:B,HCO_Data!K258)&gt;0,"Yes","")</f>
        <v/>
      </c>
      <c r="H258">
        <f>COUNTIF('HCO referrals'!B:B,HCO_Data!K258)+COUNTIF('HCO referrals'!C:C,HCO_Data!K258)</f>
        <v>2</v>
      </c>
      <c r="I258">
        <v>590782256</v>
      </c>
      <c r="K258" t="s">
        <v>10273</v>
      </c>
      <c r="L258" s="117" t="s">
        <v>1672</v>
      </c>
      <c r="M258" t="s">
        <v>2323</v>
      </c>
      <c r="N258">
        <v>59300</v>
      </c>
      <c r="O258" t="s">
        <v>1934</v>
      </c>
      <c r="Q258" t="s">
        <v>4283</v>
      </c>
      <c r="R258">
        <v>196</v>
      </c>
      <c r="S258">
        <v>48</v>
      </c>
      <c r="T258">
        <v>48</v>
      </c>
      <c r="V258" t="s">
        <v>414</v>
      </c>
      <c r="W258">
        <f>COUNTIFS('Clinical Trials HCO'!$A:$A, K258, 'Clinical Trials HCO'!$D:$D, "&lt;&gt;")</f>
        <v>0</v>
      </c>
      <c r="AF258" t="s">
        <v>414</v>
      </c>
      <c r="AG258" t="s">
        <v>414</v>
      </c>
    </row>
    <row r="259" spans="2:33" hidden="1">
      <c r="B259">
        <v>56</v>
      </c>
      <c r="C259" t="s">
        <v>11544</v>
      </c>
      <c r="F259">
        <f>COUNTIF(HCPs!W:W,HCO_Data!K259)</f>
        <v>2</v>
      </c>
      <c r="G259" t="str">
        <f>IF(COUNTIF('Testing Referrals'!B:B,HCO_Data!K259)&gt;0,"Yes","")</f>
        <v/>
      </c>
      <c r="H259">
        <f>COUNTIF('HCO referrals'!B:B,HCO_Data!K259)+COUNTIF('HCO referrals'!C:C,HCO_Data!K259)</f>
        <v>2</v>
      </c>
      <c r="I259">
        <v>310782347</v>
      </c>
      <c r="K259" t="s">
        <v>3746</v>
      </c>
      <c r="L259" s="97" t="s">
        <v>4482</v>
      </c>
      <c r="M259" s="12" t="s">
        <v>345</v>
      </c>
      <c r="N259">
        <v>31059</v>
      </c>
      <c r="O259" t="s">
        <v>346</v>
      </c>
      <c r="P259" s="12" t="s">
        <v>832</v>
      </c>
      <c r="Q259" t="s">
        <v>4283</v>
      </c>
      <c r="R259">
        <v>68</v>
      </c>
      <c r="S259">
        <v>47</v>
      </c>
      <c r="T259">
        <v>47</v>
      </c>
      <c r="V259" t="s">
        <v>414</v>
      </c>
      <c r="W259">
        <f>COUNTIFS('Clinical Trials HCO'!$A:$A, K259, 'Clinical Trials HCO'!$D:$D, "&lt;&gt;")</f>
        <v>17</v>
      </c>
      <c r="AE259" t="s">
        <v>3926</v>
      </c>
    </row>
    <row r="260" spans="2:33">
      <c r="B260">
        <v>644</v>
      </c>
      <c r="C260" t="s">
        <v>11548</v>
      </c>
      <c r="F260">
        <f>COUNTIF(HCPs!W:W,HCO_Data!K260)</f>
        <v>1</v>
      </c>
      <c r="G260" t="str">
        <f>IF(COUNTIF('Testing Referrals'!B:B,HCO_Data!K260)&gt;0,"Yes","")</f>
        <v/>
      </c>
      <c r="H260">
        <f>COUNTIF('HCO referrals'!B:B,HCO_Data!K260)+COUNTIF('HCO referrals'!C:C,HCO_Data!K260)</f>
        <v>3</v>
      </c>
      <c r="I260">
        <v>330782582</v>
      </c>
      <c r="K260" t="s">
        <v>10274</v>
      </c>
      <c r="L260" s="74" t="s">
        <v>644</v>
      </c>
      <c r="M260" t="s">
        <v>2909</v>
      </c>
      <c r="N260">
        <v>33523</v>
      </c>
      <c r="O260" t="s">
        <v>2910</v>
      </c>
      <c r="Q260" t="s">
        <v>4283</v>
      </c>
      <c r="R260">
        <v>214</v>
      </c>
      <c r="S260">
        <v>47</v>
      </c>
      <c r="T260">
        <v>47</v>
      </c>
      <c r="V260" t="s">
        <v>414</v>
      </c>
      <c r="W260">
        <f>COUNTIFS('Clinical Trials HCO'!$A:$A, K260, 'Clinical Trials HCO'!$D:$D, "&lt;&gt;")</f>
        <v>0</v>
      </c>
      <c r="AF260" t="s">
        <v>414</v>
      </c>
      <c r="AG260" t="s">
        <v>414</v>
      </c>
    </row>
    <row r="261" spans="2:33">
      <c r="B261">
        <v>328</v>
      </c>
      <c r="C261" t="s">
        <v>11555</v>
      </c>
      <c r="F261">
        <f>COUNTIF(HCPs!W:W,HCO_Data!K261)</f>
        <v>1</v>
      </c>
      <c r="G261" t="str">
        <f>IF(COUNTIF('Testing Referrals'!B:B,HCO_Data!K261)&gt;0,"Yes","")</f>
        <v>Yes</v>
      </c>
      <c r="H261">
        <f>COUNTIF('HCO referrals'!B:B,HCO_Data!K261)+COUNTIF('HCO referrals'!C:C,HCO_Data!K261)</f>
        <v>0</v>
      </c>
      <c r="I261">
        <v>690780663</v>
      </c>
      <c r="K261" t="s">
        <v>10275</v>
      </c>
      <c r="L261" s="74" t="s">
        <v>1535</v>
      </c>
      <c r="M261" t="s">
        <v>2106</v>
      </c>
      <c r="N261">
        <v>69560</v>
      </c>
      <c r="O261" t="s">
        <v>2107</v>
      </c>
      <c r="Q261" t="s">
        <v>4283</v>
      </c>
      <c r="R261">
        <v>195</v>
      </c>
      <c r="S261">
        <v>47</v>
      </c>
      <c r="T261">
        <v>47</v>
      </c>
      <c r="V261" t="s">
        <v>414</v>
      </c>
      <c r="W261">
        <f>COUNTIFS('Clinical Trials HCO'!$A:$A, K261, 'Clinical Trials HCO'!$D:$D, "&lt;&gt;")</f>
        <v>0</v>
      </c>
      <c r="AF261" t="s">
        <v>414</v>
      </c>
      <c r="AG261" t="s">
        <v>414</v>
      </c>
    </row>
    <row r="262" spans="2:33">
      <c r="B262">
        <v>147</v>
      </c>
      <c r="C262" t="s">
        <v>11536</v>
      </c>
      <c r="F262">
        <f>COUNTIF(HCPs!W:W,HCO_Data!K262)</f>
        <v>0</v>
      </c>
      <c r="G262" t="str">
        <f>IF(COUNTIF('Testing Referrals'!B:B,HCO_Data!K262)&gt;0,"Yes","")</f>
        <v/>
      </c>
      <c r="H262">
        <f>COUNTIF('HCO referrals'!B:B,HCO_Data!K262)+COUNTIF('HCO referrals'!C:C,HCO_Data!K262)</f>
        <v>2</v>
      </c>
      <c r="I262">
        <v>30000079</v>
      </c>
      <c r="K262" t="s">
        <v>10276</v>
      </c>
      <c r="L262" s="75" t="s">
        <v>1396</v>
      </c>
      <c r="M262" t="s">
        <v>1828</v>
      </c>
      <c r="N262">
        <v>3109</v>
      </c>
      <c r="O262" t="s">
        <v>1829</v>
      </c>
      <c r="Q262" t="s">
        <v>4283</v>
      </c>
      <c r="R262">
        <v>255</v>
      </c>
      <c r="S262">
        <v>46</v>
      </c>
      <c r="T262">
        <v>46</v>
      </c>
      <c r="V262" t="s">
        <v>414</v>
      </c>
      <c r="W262">
        <f>COUNTIFS('Clinical Trials HCO'!$A:$A, K262, 'Clinical Trials HCO'!$D:$D, "&lt;&gt;")</f>
        <v>1</v>
      </c>
      <c r="AF262" t="s">
        <v>414</v>
      </c>
      <c r="AG262" t="s">
        <v>414</v>
      </c>
    </row>
    <row r="263" spans="2:33" hidden="1">
      <c r="B263">
        <v>557</v>
      </c>
      <c r="C263" t="s">
        <v>11539</v>
      </c>
      <c r="F263">
        <f>COUNTIF(HCPs!W:W,HCO_Data!K263)</f>
        <v>2</v>
      </c>
      <c r="G263" t="str">
        <f>IF(COUNTIF('Testing Referrals'!B:B,HCO_Data!K263)&gt;0,"Yes","")</f>
        <v/>
      </c>
      <c r="H263">
        <f>COUNTIF('HCO referrals'!B:B,HCO_Data!K263)+COUNTIF('HCO referrals'!C:C,HCO_Data!K263)</f>
        <v>2</v>
      </c>
      <c r="I263">
        <v>40000911</v>
      </c>
      <c r="K263" t="s">
        <v>10277</v>
      </c>
      <c r="L263" s="13" t="s">
        <v>1343</v>
      </c>
      <c r="M263" t="s">
        <v>1718</v>
      </c>
      <c r="N263">
        <v>4003</v>
      </c>
      <c r="O263" t="s">
        <v>1719</v>
      </c>
      <c r="Q263" t="s">
        <v>4283</v>
      </c>
      <c r="R263">
        <v>239</v>
      </c>
      <c r="S263">
        <v>46</v>
      </c>
      <c r="T263">
        <v>46</v>
      </c>
      <c r="V263" t="s">
        <v>414</v>
      </c>
      <c r="W263">
        <f>COUNTIFS('Clinical Trials HCO'!$A:$A, K263, 'Clinical Trials HCO'!$D:$D, "&lt;&gt;")</f>
        <v>1</v>
      </c>
      <c r="AF263" t="s">
        <v>414</v>
      </c>
      <c r="AG263" t="s">
        <v>414</v>
      </c>
    </row>
    <row r="264" spans="2:33" hidden="1">
      <c r="B264">
        <v>206</v>
      </c>
      <c r="C264" t="s">
        <v>11538</v>
      </c>
      <c r="F264">
        <f>COUNTIF(HCPs!W:W,HCO_Data!K264)</f>
        <v>1</v>
      </c>
      <c r="G264" t="str">
        <f>IF(COUNTIF('Testing Referrals'!B:B,HCO_Data!K264)&gt;0,"Yes","")</f>
        <v/>
      </c>
      <c r="H264">
        <f>COUNTIF('HCO referrals'!B:B,HCO_Data!K264)+COUNTIF('HCO referrals'!C:C,HCO_Data!K264)</f>
        <v>0</v>
      </c>
      <c r="I264">
        <v>90000175</v>
      </c>
      <c r="K264" t="s">
        <v>10278</v>
      </c>
      <c r="L264" s="117" t="s">
        <v>1464</v>
      </c>
      <c r="M264" t="s">
        <v>1977</v>
      </c>
      <c r="N264">
        <v>9000</v>
      </c>
      <c r="O264" t="s">
        <v>1978</v>
      </c>
      <c r="Q264" t="s">
        <v>4283</v>
      </c>
      <c r="R264">
        <v>268</v>
      </c>
      <c r="S264">
        <v>46</v>
      </c>
      <c r="T264">
        <v>46</v>
      </c>
      <c r="V264" t="s">
        <v>414</v>
      </c>
      <c r="W264">
        <f>COUNTIFS('Clinical Trials HCO'!$A:$A, K264, 'Clinical Trials HCO'!$D:$D, "&lt;&gt;")</f>
        <v>0</v>
      </c>
      <c r="AG264" t="s">
        <v>414</v>
      </c>
    </row>
    <row r="265" spans="2:33">
      <c r="F265">
        <f>COUNTIF(HCPs!W:W,HCO_Data!K265)</f>
        <v>0</v>
      </c>
      <c r="G265" t="str">
        <f>IF(COUNTIF('Testing Referrals'!B:B,HCO_Data!K265)&gt;0,"Yes","")</f>
        <v/>
      </c>
      <c r="H265">
        <f>COUNTIF('HCO referrals'!B:B,HCO_Data!K265)+COUNTIF('HCO referrals'!C:C,HCO_Data!K265)</f>
        <v>0</v>
      </c>
      <c r="I265">
        <v>130001225</v>
      </c>
      <c r="K265" t="s">
        <v>10279</v>
      </c>
      <c r="L265" s="117" t="s">
        <v>8689</v>
      </c>
      <c r="M265" t="s">
        <v>8690</v>
      </c>
      <c r="O265" t="s">
        <v>8691</v>
      </c>
      <c r="P265" t="s">
        <v>703</v>
      </c>
      <c r="Q265" t="s">
        <v>4283</v>
      </c>
      <c r="R265">
        <v>254</v>
      </c>
      <c r="S265">
        <v>46</v>
      </c>
      <c r="T265">
        <v>46</v>
      </c>
      <c r="V265" t="s">
        <v>414</v>
      </c>
      <c r="W265">
        <f>COUNTIFS('Clinical Trials HCO'!$A:$A, K265, 'Clinical Trials HCO'!$D:$D, "&lt;&gt;")</f>
        <v>0</v>
      </c>
    </row>
    <row r="266" spans="2:33">
      <c r="B266">
        <v>500</v>
      </c>
      <c r="F266">
        <f>COUNTIF(HCPs!W:W,HCO_Data!K266)</f>
        <v>0</v>
      </c>
      <c r="G266" t="str">
        <f>IF(COUNTIF('Testing Referrals'!B:B,HCO_Data!K266)&gt;0,"Yes","")</f>
        <v/>
      </c>
      <c r="H266">
        <f>COUNTIF('HCO referrals'!B:B,HCO_Data!K266)+COUNTIF('HCO referrals'!C:C,HCO_Data!K266)</f>
        <v>0</v>
      </c>
      <c r="I266">
        <v>780150066</v>
      </c>
      <c r="K266" t="s">
        <v>10280</v>
      </c>
      <c r="L266" s="117" t="s">
        <v>1580</v>
      </c>
      <c r="M266" t="s">
        <v>2177</v>
      </c>
      <c r="N266">
        <v>78004</v>
      </c>
      <c r="O266" t="s">
        <v>2178</v>
      </c>
      <c r="Q266" t="s">
        <v>4283</v>
      </c>
      <c r="R266">
        <v>314</v>
      </c>
      <c r="S266">
        <v>46</v>
      </c>
      <c r="T266">
        <v>46</v>
      </c>
      <c r="V266" t="s">
        <v>414</v>
      </c>
      <c r="W266">
        <f>COUNTIFS('Clinical Trials HCO'!$A:$A, K266, 'Clinical Trials HCO'!$D:$D, "&lt;&gt;")</f>
        <v>0</v>
      </c>
      <c r="AF266" t="s">
        <v>414</v>
      </c>
      <c r="AG266" t="s">
        <v>414</v>
      </c>
    </row>
    <row r="267" spans="2:33">
      <c r="B267">
        <v>297</v>
      </c>
      <c r="C267" t="s">
        <v>8284</v>
      </c>
      <c r="F267">
        <f>COUNTIF(HCPs!W:W,HCO_Data!K267)</f>
        <v>0</v>
      </c>
      <c r="G267" t="str">
        <f>IF(COUNTIF('Testing Referrals'!B:B,HCO_Data!K267)&gt;0,"Yes","")</f>
        <v/>
      </c>
      <c r="H267">
        <f>COUNTIF('HCO referrals'!B:B,HCO_Data!K267)+COUNTIF('HCO referrals'!C:C,HCO_Data!K267)</f>
        <v>2</v>
      </c>
      <c r="I267">
        <v>670780170</v>
      </c>
      <c r="J267" s="72" t="s">
        <v>8282</v>
      </c>
      <c r="K267" t="s">
        <v>3816</v>
      </c>
      <c r="L267" s="75" t="s">
        <v>8283</v>
      </c>
      <c r="M267" t="s">
        <v>2055</v>
      </c>
      <c r="N267">
        <v>67010</v>
      </c>
      <c r="O267" t="s">
        <v>2056</v>
      </c>
      <c r="Q267" t="s">
        <v>4283</v>
      </c>
      <c r="R267">
        <v>216</v>
      </c>
      <c r="S267">
        <v>45</v>
      </c>
      <c r="T267">
        <v>45</v>
      </c>
      <c r="V267" t="s">
        <v>414</v>
      </c>
      <c r="W267">
        <f>COUNTIFS('Clinical Trials HCO'!$A:$A, K267, 'Clinical Trials HCO'!$D:$D, "&lt;&gt;")</f>
        <v>1</v>
      </c>
      <c r="AG267" t="s">
        <v>414</v>
      </c>
    </row>
    <row r="268" spans="2:33">
      <c r="B268">
        <v>535</v>
      </c>
      <c r="C268" t="s">
        <v>11410</v>
      </c>
      <c r="F268">
        <f>COUNTIF(HCPs!W:W,HCO_Data!K268)</f>
        <v>0</v>
      </c>
      <c r="G268" t="str">
        <f>IF(COUNTIF('Testing Referrals'!B:B,HCO_Data!K268)&gt;0,"Yes","")</f>
        <v/>
      </c>
      <c r="H268">
        <f>COUNTIF('HCO referrals'!B:B,HCO_Data!K268)+COUNTIF('HCO referrals'!C:C,HCO_Data!K268)</f>
        <v>2</v>
      </c>
      <c r="I268">
        <v>530008671</v>
      </c>
      <c r="K268" t="s">
        <v>10281</v>
      </c>
      <c r="L268" s="74" t="s">
        <v>2370</v>
      </c>
      <c r="M268" t="s">
        <v>2371</v>
      </c>
      <c r="N268">
        <v>53010</v>
      </c>
      <c r="O268" t="s">
        <v>2372</v>
      </c>
      <c r="Q268" t="s">
        <v>4283</v>
      </c>
      <c r="R268">
        <v>206</v>
      </c>
      <c r="S268">
        <v>45</v>
      </c>
      <c r="T268">
        <v>45</v>
      </c>
      <c r="V268" t="s">
        <v>414</v>
      </c>
      <c r="W268">
        <f>COUNTIFS('Clinical Trials HCO'!$A:$A, K268, 'Clinical Trials HCO'!$D:$D, "&lt;&gt;")</f>
        <v>0</v>
      </c>
    </row>
    <row r="269" spans="2:33" hidden="1">
      <c r="C269" t="s">
        <v>11415</v>
      </c>
      <c r="F269">
        <f>COUNTIF(HCPs!W:W,HCO_Data!K269)</f>
        <v>1</v>
      </c>
      <c r="G269" t="str">
        <f>IF(COUNTIF('Testing Referrals'!B:B,HCO_Data!K269)&gt;0,"Yes","")</f>
        <v>Yes</v>
      </c>
      <c r="H269">
        <f>COUNTIF('HCO referrals'!B:B,HCO_Data!K269)+COUNTIF('HCO referrals'!C:C,HCO_Data!K269)</f>
        <v>0</v>
      </c>
      <c r="I269">
        <v>630000438</v>
      </c>
      <c r="K269" t="s">
        <v>10282</v>
      </c>
      <c r="L269" s="74" t="s">
        <v>8680</v>
      </c>
      <c r="M269" t="s">
        <v>8681</v>
      </c>
      <c r="O269" t="s">
        <v>8682</v>
      </c>
      <c r="P269" t="s">
        <v>735</v>
      </c>
      <c r="Q269" t="s">
        <v>4283</v>
      </c>
      <c r="R269">
        <v>209</v>
      </c>
      <c r="S269">
        <v>45</v>
      </c>
      <c r="T269">
        <v>45</v>
      </c>
      <c r="V269" t="s">
        <v>414</v>
      </c>
      <c r="W269">
        <f>COUNTIFS('Clinical Trials HCO'!$A:$A, K269, 'Clinical Trials HCO'!$D:$D, "&lt;&gt;")</f>
        <v>0</v>
      </c>
    </row>
    <row r="270" spans="2:33" hidden="1">
      <c r="B270">
        <v>564</v>
      </c>
      <c r="C270" t="s">
        <v>11417</v>
      </c>
      <c r="F270">
        <f>COUNTIF(HCPs!W:W,HCO_Data!K270)</f>
        <v>2</v>
      </c>
      <c r="G270" t="str">
        <f>IF(COUNTIF('Testing Referrals'!B:B,HCO_Data!K270)&gt;0,"Yes","")</f>
        <v>Yes</v>
      </c>
      <c r="H270">
        <f>COUNTIF('HCO referrals'!B:B,HCO_Data!K270)+COUNTIF('HCO referrals'!C:C,HCO_Data!K270)</f>
        <v>0</v>
      </c>
      <c r="I270">
        <v>690780366</v>
      </c>
      <c r="K270" t="s">
        <v>10283</v>
      </c>
      <c r="L270" s="74" t="s">
        <v>1523</v>
      </c>
      <c r="M270" t="s">
        <v>2084</v>
      </c>
      <c r="N270">
        <v>69110</v>
      </c>
      <c r="O270" t="s">
        <v>2085</v>
      </c>
      <c r="Q270" t="s">
        <v>4283</v>
      </c>
      <c r="R270">
        <v>215</v>
      </c>
      <c r="S270">
        <v>45</v>
      </c>
      <c r="T270">
        <v>45</v>
      </c>
      <c r="V270" t="s">
        <v>414</v>
      </c>
      <c r="W270">
        <f>COUNTIFS('Clinical Trials HCO'!$A:$A, K270, 'Clinical Trials HCO'!$D:$D, "&lt;&gt;")</f>
        <v>0</v>
      </c>
      <c r="AF270" t="s">
        <v>414</v>
      </c>
      <c r="AG270" t="s">
        <v>414</v>
      </c>
    </row>
    <row r="271" spans="2:33" hidden="1">
      <c r="B271">
        <v>529</v>
      </c>
      <c r="C271" t="s">
        <v>11446</v>
      </c>
      <c r="F271">
        <f>COUNTIF(HCPs!W:W,HCO_Data!K271)</f>
        <v>1</v>
      </c>
      <c r="G271" t="str">
        <f>IF(COUNTIF('Testing Referrals'!B:B,HCO_Data!K271)&gt;0,"Yes","")</f>
        <v/>
      </c>
      <c r="H271">
        <f>COUNTIF('HCO referrals'!B:B,HCO_Data!K271)+COUNTIF('HCO referrals'!C:C,HCO_Data!K271)</f>
        <v>0</v>
      </c>
      <c r="I271">
        <v>930300595</v>
      </c>
      <c r="K271" t="s">
        <v>10284</v>
      </c>
      <c r="L271" s="74" t="s">
        <v>1611</v>
      </c>
      <c r="M271" t="s">
        <v>2224</v>
      </c>
      <c r="N271">
        <v>93290</v>
      </c>
      <c r="O271" t="s">
        <v>2225</v>
      </c>
      <c r="Q271" t="s">
        <v>4283</v>
      </c>
      <c r="R271">
        <v>140</v>
      </c>
      <c r="S271">
        <v>45</v>
      </c>
      <c r="T271">
        <v>45</v>
      </c>
      <c r="V271" t="s">
        <v>414</v>
      </c>
      <c r="W271">
        <f>COUNTIFS('Clinical Trials HCO'!$A:$A, K271, 'Clinical Trials HCO'!$D:$D, "&lt;&gt;")</f>
        <v>0</v>
      </c>
      <c r="AF271" t="s">
        <v>414</v>
      </c>
    </row>
    <row r="272" spans="2:33" hidden="1">
      <c r="B272">
        <v>192</v>
      </c>
      <c r="C272" t="s">
        <v>11328</v>
      </c>
      <c r="F272">
        <f>COUNTIF(HCPs!W:W,HCO_Data!K272)</f>
        <v>1</v>
      </c>
      <c r="G272" t="str">
        <f>IF(COUNTIF('Testing Referrals'!B:B,HCO_Data!K272)&gt;0,"Yes","")</f>
        <v/>
      </c>
      <c r="H272">
        <f>COUNTIF('HCO referrals'!B:B,HCO_Data!K272)+COUNTIF('HCO referrals'!C:C,HCO_Data!K272)</f>
        <v>9</v>
      </c>
      <c r="I272">
        <v>950000307</v>
      </c>
      <c r="K272" t="s">
        <v>10285</v>
      </c>
      <c r="L272" s="74" t="s">
        <v>1443</v>
      </c>
      <c r="M272" t="s">
        <v>1937</v>
      </c>
      <c r="N272">
        <v>95107</v>
      </c>
      <c r="O272" t="s">
        <v>1938</v>
      </c>
      <c r="Q272" t="s">
        <v>4283</v>
      </c>
      <c r="R272">
        <v>301</v>
      </c>
      <c r="S272">
        <v>45</v>
      </c>
      <c r="T272">
        <v>45</v>
      </c>
      <c r="V272" t="s">
        <v>414</v>
      </c>
      <c r="W272">
        <f>COUNTIFS('Clinical Trials HCO'!$A:$A, K272, 'Clinical Trials HCO'!$D:$D, "&lt;&gt;")</f>
        <v>0</v>
      </c>
      <c r="AF272" t="s">
        <v>414</v>
      </c>
      <c r="AG272" t="s">
        <v>414</v>
      </c>
    </row>
    <row r="273" spans="2:33">
      <c r="B273">
        <v>639</v>
      </c>
      <c r="C273" t="s">
        <v>8493</v>
      </c>
      <c r="F273">
        <f>COUNTIF(HCPs!W:W,HCO_Data!K273)</f>
        <v>0</v>
      </c>
      <c r="G273" t="str">
        <f>IF(COUNTIF('Testing Referrals'!B:B,HCO_Data!K273)&gt;0,"Yes","")</f>
        <v/>
      </c>
      <c r="H273">
        <f>COUNTIF('HCO referrals'!B:B,HCO_Data!K273)+COUNTIF('HCO referrals'!C:C,HCO_Data!K273)</f>
        <v>1</v>
      </c>
      <c r="I273">
        <v>510000185</v>
      </c>
      <c r="K273" t="s">
        <v>3823</v>
      </c>
      <c r="L273" s="75" t="s">
        <v>1683</v>
      </c>
      <c r="M273" t="s">
        <v>2343</v>
      </c>
      <c r="N273">
        <v>51057</v>
      </c>
      <c r="O273" t="s">
        <v>880</v>
      </c>
      <c r="Q273" t="s">
        <v>4283</v>
      </c>
      <c r="R273">
        <v>202</v>
      </c>
      <c r="S273">
        <v>44</v>
      </c>
      <c r="T273">
        <v>44</v>
      </c>
      <c r="V273" t="s">
        <v>414</v>
      </c>
      <c r="W273">
        <f>COUNTIFS('Clinical Trials HCO'!$A:$A, K273, 'Clinical Trials HCO'!$D:$D, "&lt;&gt;")</f>
        <v>0</v>
      </c>
      <c r="AF273" t="s">
        <v>414</v>
      </c>
      <c r="AG273" t="s">
        <v>414</v>
      </c>
    </row>
    <row r="274" spans="2:33" hidden="1">
      <c r="B274">
        <v>586</v>
      </c>
      <c r="C274" t="s">
        <v>11411</v>
      </c>
      <c r="F274">
        <f>COUNTIF(HCPs!W:W,HCO_Data!K274)</f>
        <v>1</v>
      </c>
      <c r="G274" t="str">
        <f>IF(COUNTIF('Testing Referrals'!B:B,HCO_Data!K274)&gt;0,"Yes","")</f>
        <v/>
      </c>
      <c r="H274">
        <f>COUNTIF('HCO referrals'!B:B,HCO_Data!K274)+COUNTIF('HCO referrals'!C:C,HCO_Data!K274)</f>
        <v>8</v>
      </c>
      <c r="I274">
        <v>530000264</v>
      </c>
      <c r="K274" t="s">
        <v>10286</v>
      </c>
      <c r="L274" s="74" t="s">
        <v>2378</v>
      </c>
      <c r="M274" t="s">
        <v>2650</v>
      </c>
      <c r="N274">
        <v>53015</v>
      </c>
      <c r="O274" t="s">
        <v>2372</v>
      </c>
      <c r="Q274" t="s">
        <v>4283</v>
      </c>
      <c r="R274">
        <v>495</v>
      </c>
      <c r="S274">
        <v>44</v>
      </c>
      <c r="T274">
        <v>44</v>
      </c>
      <c r="V274" t="s">
        <v>414</v>
      </c>
      <c r="W274">
        <f>COUNTIFS('Clinical Trials HCO'!$A:$A, K274, 'Clinical Trials HCO'!$D:$D, "&lt;&gt;")</f>
        <v>0</v>
      </c>
      <c r="AG274" t="s">
        <v>414</v>
      </c>
    </row>
    <row r="275" spans="2:33" hidden="1">
      <c r="B275">
        <v>717</v>
      </c>
      <c r="C275" t="s">
        <v>11341</v>
      </c>
      <c r="F275">
        <f>COUNTIF(HCPs!W:W,HCO_Data!K275)</f>
        <v>1</v>
      </c>
      <c r="G275" t="str">
        <f>IF(COUNTIF('Testing Referrals'!B:B,HCO_Data!K275)&gt;0,"Yes","")</f>
        <v/>
      </c>
      <c r="H275">
        <f>COUNTIF('HCO referrals'!B:B,HCO_Data!K275)+COUNTIF('HCO referrals'!C:C,HCO_Data!K275)</f>
        <v>4</v>
      </c>
      <c r="I275">
        <v>590008041</v>
      </c>
      <c r="K275" t="s">
        <v>10287</v>
      </c>
      <c r="L275" s="74" t="s">
        <v>2636</v>
      </c>
      <c r="M275" t="s">
        <v>2926</v>
      </c>
      <c r="N275">
        <v>59300</v>
      </c>
      <c r="O275" t="s">
        <v>1934</v>
      </c>
      <c r="Q275" t="s">
        <v>4283</v>
      </c>
      <c r="R275">
        <v>485</v>
      </c>
      <c r="S275">
        <v>44</v>
      </c>
      <c r="T275">
        <v>44</v>
      </c>
      <c r="V275" t="s">
        <v>414</v>
      </c>
      <c r="W275">
        <f>COUNTIFS('Clinical Trials HCO'!$A:$A, K275, 'Clinical Trials HCO'!$D:$D, "&lt;&gt;")</f>
        <v>0</v>
      </c>
      <c r="AG275" t="s">
        <v>414</v>
      </c>
    </row>
    <row r="276" spans="2:33" hidden="1">
      <c r="B276">
        <v>678</v>
      </c>
      <c r="F276">
        <f>COUNTIF(HCPs!W:W,HCO_Data!K276)</f>
        <v>2</v>
      </c>
      <c r="G276" t="str">
        <f>IF(COUNTIF('Testing Referrals'!B:B,HCO_Data!K276)&gt;0,"Yes","")</f>
        <v/>
      </c>
      <c r="H276">
        <f>COUNTIF('HCO referrals'!B:B,HCO_Data!K276)+COUNTIF('HCO referrals'!C:C,HCO_Data!K276)</f>
        <v>0</v>
      </c>
      <c r="I276">
        <v>670018068</v>
      </c>
      <c r="K276" t="s">
        <v>10288</v>
      </c>
      <c r="L276" s="74" t="s">
        <v>2488</v>
      </c>
      <c r="M276" t="s">
        <v>2802</v>
      </c>
      <c r="N276">
        <v>67016</v>
      </c>
      <c r="O276" t="s">
        <v>2056</v>
      </c>
      <c r="Q276" t="s">
        <v>4283</v>
      </c>
      <c r="R276">
        <v>517</v>
      </c>
      <c r="S276">
        <v>44</v>
      </c>
      <c r="T276">
        <v>44</v>
      </c>
      <c r="V276" t="s">
        <v>414</v>
      </c>
      <c r="W276">
        <f>COUNTIFS('Clinical Trials HCO'!$A:$A, K276, 'Clinical Trials HCO'!$D:$D, "&lt;&gt;")</f>
        <v>0</v>
      </c>
      <c r="AF276" t="s">
        <v>414</v>
      </c>
      <c r="AG276" t="s">
        <v>414</v>
      </c>
    </row>
    <row r="277" spans="2:33" hidden="1">
      <c r="B277">
        <v>149</v>
      </c>
      <c r="C277" t="s">
        <v>11271</v>
      </c>
      <c r="F277">
        <f>COUNTIF(HCPs!W:W,HCO_Data!K277)</f>
        <v>1</v>
      </c>
      <c r="G277" t="str">
        <f>IF(COUNTIF('Testing Referrals'!B:B,HCO_Data!K277)&gt;0,"Yes","")</f>
        <v/>
      </c>
      <c r="H277">
        <f>COUNTIF('HCO referrals'!B:B,HCO_Data!K277)+COUNTIF('HCO referrals'!C:C,HCO_Data!K277)</f>
        <v>0</v>
      </c>
      <c r="I277">
        <v>780000329</v>
      </c>
      <c r="K277" t="s">
        <v>10289</v>
      </c>
      <c r="L277" s="74" t="s">
        <v>681</v>
      </c>
      <c r="M277" t="s">
        <v>1834</v>
      </c>
      <c r="N277">
        <v>78514</v>
      </c>
      <c r="O277" t="s">
        <v>1835</v>
      </c>
      <c r="Q277" t="s">
        <v>4283</v>
      </c>
      <c r="R277">
        <v>219</v>
      </c>
      <c r="S277">
        <v>44</v>
      </c>
      <c r="T277">
        <v>44</v>
      </c>
      <c r="V277" t="s">
        <v>414</v>
      </c>
      <c r="W277">
        <f>COUNTIFS('Clinical Trials HCO'!$A:$A, K277, 'Clinical Trials HCO'!$D:$D, "&lt;&gt;")</f>
        <v>0</v>
      </c>
      <c r="AF277" t="s">
        <v>414</v>
      </c>
    </row>
    <row r="278" spans="2:33" hidden="1">
      <c r="B278">
        <v>48</v>
      </c>
      <c r="C278" t="s">
        <v>4709</v>
      </c>
      <c r="D278" t="s">
        <v>8638</v>
      </c>
      <c r="F278">
        <f>COUNTIF(HCPs!W:W,HCO_Data!K278)</f>
        <v>7</v>
      </c>
      <c r="G278" t="str">
        <f>IF(COUNTIF('Testing Referrals'!B:B,HCO_Data!K278)&gt;0,"Yes","")</f>
        <v>Yes</v>
      </c>
      <c r="H278">
        <f>COUNTIF('HCO referrals'!B:B,HCO_Data!K278)+COUNTIF('HCO referrals'!C:C,HCO_Data!K278)</f>
        <v>4</v>
      </c>
      <c r="I278">
        <v>750160012</v>
      </c>
      <c r="K278" t="s">
        <v>3764</v>
      </c>
      <c r="L278" s="74" t="s">
        <v>31</v>
      </c>
      <c r="M278" s="12" t="s">
        <v>2945</v>
      </c>
      <c r="N278">
        <v>75005</v>
      </c>
      <c r="O278" t="s">
        <v>262</v>
      </c>
      <c r="P278" s="12" t="s">
        <v>1300</v>
      </c>
      <c r="Q278" t="s">
        <v>4283</v>
      </c>
      <c r="R278">
        <v>181</v>
      </c>
      <c r="S278">
        <v>43</v>
      </c>
      <c r="T278">
        <v>43</v>
      </c>
      <c r="V278" t="s">
        <v>414</v>
      </c>
      <c r="W278">
        <f>COUNTIFS('Clinical Trials HCO'!$A:$A, K278, 'Clinical Trials HCO'!$D:$D, "&lt;&gt;")</f>
        <v>15</v>
      </c>
      <c r="AD278" s="12" t="s">
        <v>414</v>
      </c>
      <c r="AE278" s="12"/>
      <c r="AF278" s="12"/>
      <c r="AG278" s="12"/>
    </row>
    <row r="279" spans="2:33">
      <c r="B279">
        <v>596</v>
      </c>
      <c r="C279" t="s">
        <v>11237</v>
      </c>
      <c r="F279">
        <f>COUNTIF(HCPs!W:W,HCO_Data!K279)</f>
        <v>0</v>
      </c>
      <c r="G279" t="str">
        <f>IF(COUNTIF('Testing Referrals'!B:B,HCO_Data!K279)&gt;0,"Yes","")</f>
        <v>Yes</v>
      </c>
      <c r="H279">
        <f>COUNTIF('HCO referrals'!B:B,HCO_Data!K279)+COUNTIF('HCO referrals'!C:C,HCO_Data!K279)</f>
        <v>2</v>
      </c>
      <c r="I279">
        <v>510004302</v>
      </c>
      <c r="K279" t="s">
        <v>4559</v>
      </c>
      <c r="L279" s="75" t="s">
        <v>3304</v>
      </c>
      <c r="M279" t="s">
        <v>2189</v>
      </c>
      <c r="N279">
        <v>51092</v>
      </c>
      <c r="O279" t="s">
        <v>880</v>
      </c>
      <c r="Q279" t="s">
        <v>4283</v>
      </c>
      <c r="R279">
        <v>511</v>
      </c>
      <c r="S279">
        <v>43</v>
      </c>
      <c r="T279">
        <v>43</v>
      </c>
      <c r="V279" t="s">
        <v>414</v>
      </c>
      <c r="W279">
        <f>COUNTIFS('Clinical Trials HCO'!$A:$A, K279, 'Clinical Trials HCO'!$D:$D, "&lt;&gt;")</f>
        <v>0</v>
      </c>
      <c r="AF279" t="s">
        <v>414</v>
      </c>
      <c r="AG279" t="s">
        <v>414</v>
      </c>
    </row>
    <row r="280" spans="2:33" hidden="1">
      <c r="B280">
        <v>117</v>
      </c>
      <c r="C280" t="s">
        <v>11241</v>
      </c>
      <c r="F280">
        <f>COUNTIF(HCPs!W:W,HCO_Data!K280)</f>
        <v>1</v>
      </c>
      <c r="G280" t="str">
        <f>IF(COUNTIF('Testing Referrals'!B:B,HCO_Data!K280)&gt;0,"Yes","")</f>
        <v/>
      </c>
      <c r="H280">
        <f>COUNTIF('HCO referrals'!B:B,HCO_Data!K280)+COUNTIF('HCO referrals'!C:C,HCO_Data!K280)</f>
        <v>2</v>
      </c>
      <c r="I280">
        <v>60000544</v>
      </c>
      <c r="K280" t="s">
        <v>10290</v>
      </c>
      <c r="L280" s="74" t="s">
        <v>1389</v>
      </c>
      <c r="M280" t="s">
        <v>1816</v>
      </c>
      <c r="N280">
        <v>6414</v>
      </c>
      <c r="O280" t="s">
        <v>1817</v>
      </c>
      <c r="Q280" t="s">
        <v>4283</v>
      </c>
      <c r="R280">
        <v>294</v>
      </c>
      <c r="S280">
        <v>43</v>
      </c>
      <c r="T280">
        <v>43</v>
      </c>
      <c r="V280" t="s">
        <v>414</v>
      </c>
      <c r="W280">
        <f>COUNTIFS('Clinical Trials HCO'!$A:$A, K280, 'Clinical Trials HCO'!$D:$D, "&lt;&gt;")</f>
        <v>0</v>
      </c>
      <c r="AF280" t="s">
        <v>414</v>
      </c>
      <c r="AG280" t="s">
        <v>414</v>
      </c>
    </row>
    <row r="281" spans="2:33" hidden="1">
      <c r="B281">
        <v>330</v>
      </c>
      <c r="C281" t="s">
        <v>11248</v>
      </c>
      <c r="F281">
        <f>COUNTIF(HCPs!W:W,HCO_Data!K281)</f>
        <v>1</v>
      </c>
      <c r="G281" t="str">
        <f>IF(COUNTIF('Testing Referrals'!B:B,HCO_Data!K281)&gt;0,"Yes","")</f>
        <v/>
      </c>
      <c r="H281">
        <f>COUNTIF('HCO referrals'!B:B,HCO_Data!K281)+COUNTIF('HCO referrals'!C:C,HCO_Data!K281)</f>
        <v>0</v>
      </c>
      <c r="I281">
        <v>150780732</v>
      </c>
      <c r="K281" t="s">
        <v>10291</v>
      </c>
      <c r="L281" s="74" t="s">
        <v>1361</v>
      </c>
      <c r="M281" t="s">
        <v>1751</v>
      </c>
      <c r="N281">
        <v>15000</v>
      </c>
      <c r="O281" t="s">
        <v>1752</v>
      </c>
      <c r="Q281" t="s">
        <v>4283</v>
      </c>
      <c r="R281">
        <v>250</v>
      </c>
      <c r="S281">
        <v>43</v>
      </c>
      <c r="T281">
        <v>43</v>
      </c>
      <c r="V281" t="s">
        <v>414</v>
      </c>
      <c r="W281">
        <f>COUNTIFS('Clinical Trials HCO'!$A:$A, K281, 'Clinical Trials HCO'!$D:$D, "&lt;&gt;")</f>
        <v>0</v>
      </c>
      <c r="AF281" t="s">
        <v>414</v>
      </c>
    </row>
    <row r="282" spans="2:33" hidden="1">
      <c r="B282">
        <v>137</v>
      </c>
      <c r="C282" t="s">
        <v>11251</v>
      </c>
      <c r="F282">
        <f>COUNTIF(HCPs!W:W,HCO_Data!K282)</f>
        <v>1</v>
      </c>
      <c r="G282" t="str">
        <f>IF(COUNTIF('Testing Referrals'!B:B,HCO_Data!K282)&gt;0,"Yes","")</f>
        <v/>
      </c>
      <c r="H282">
        <f>COUNTIF('HCO referrals'!B:B,HCO_Data!K282)+COUNTIF('HCO referrals'!C:C,HCO_Data!K282)</f>
        <v>0</v>
      </c>
      <c r="I282">
        <v>180000010</v>
      </c>
      <c r="K282" t="s">
        <v>10292</v>
      </c>
      <c r="L282" s="74" t="s">
        <v>1365</v>
      </c>
      <c r="M282" t="s">
        <v>1758</v>
      </c>
      <c r="N282">
        <v>18020</v>
      </c>
      <c r="O282" t="s">
        <v>1759</v>
      </c>
      <c r="Q282" t="s">
        <v>4283</v>
      </c>
      <c r="R282">
        <v>362</v>
      </c>
      <c r="S282">
        <v>43</v>
      </c>
      <c r="T282">
        <v>43</v>
      </c>
      <c r="V282" t="s">
        <v>414</v>
      </c>
      <c r="W282">
        <f>COUNTIFS('Clinical Trials HCO'!$A:$A, K282, 'Clinical Trials HCO'!$D:$D, "&lt;&gt;")</f>
        <v>0</v>
      </c>
      <c r="AF282" t="s">
        <v>414</v>
      </c>
      <c r="AG282" t="s">
        <v>414</v>
      </c>
    </row>
    <row r="283" spans="2:33" hidden="1">
      <c r="B283">
        <v>226</v>
      </c>
      <c r="C283" t="s">
        <v>11258</v>
      </c>
      <c r="F283">
        <f>COUNTIF(HCPs!W:W,HCO_Data!K283)</f>
        <v>2</v>
      </c>
      <c r="G283" t="str">
        <f>IF(COUNTIF('Testing Referrals'!B:B,HCO_Data!K283)&gt;0,"Yes","")</f>
        <v/>
      </c>
      <c r="H283">
        <f>COUNTIF('HCO referrals'!B:B,HCO_Data!K283)+COUNTIF('HCO referrals'!C:C,HCO_Data!K283)</f>
        <v>0</v>
      </c>
      <c r="I283">
        <v>340780667</v>
      </c>
      <c r="K283" t="s">
        <v>10293</v>
      </c>
      <c r="L283" s="74" t="s">
        <v>1496</v>
      </c>
      <c r="M283" t="s">
        <v>2025</v>
      </c>
      <c r="N283">
        <v>34171</v>
      </c>
      <c r="O283" t="s">
        <v>2026</v>
      </c>
      <c r="Q283" t="s">
        <v>4283</v>
      </c>
      <c r="R283">
        <v>350</v>
      </c>
      <c r="S283">
        <v>43</v>
      </c>
      <c r="T283">
        <v>43</v>
      </c>
      <c r="V283" t="s">
        <v>414</v>
      </c>
      <c r="W283">
        <f>COUNTIFS('Clinical Trials HCO'!$A:$A, K283, 'Clinical Trials HCO'!$D:$D, "&lt;&gt;")</f>
        <v>0</v>
      </c>
      <c r="AG283" t="s">
        <v>414</v>
      </c>
    </row>
    <row r="284" spans="2:33">
      <c r="B284">
        <v>518</v>
      </c>
      <c r="C284" t="s">
        <v>11268</v>
      </c>
      <c r="F284">
        <f>COUNTIF(HCPs!W:W,HCO_Data!K284)</f>
        <v>0</v>
      </c>
      <c r="G284" t="str">
        <f>IF(COUNTIF('Testing Referrals'!B:B,HCO_Data!K284)&gt;0,"Yes","")</f>
        <v/>
      </c>
      <c r="H284">
        <f>COUNTIF('HCO referrals'!B:B,HCO_Data!K284)+COUNTIF('HCO referrals'!C:C,HCO_Data!K284)</f>
        <v>2</v>
      </c>
      <c r="I284">
        <v>380000406</v>
      </c>
      <c r="K284" t="s">
        <v>10294</v>
      </c>
      <c r="L284" s="74" t="s">
        <v>1568</v>
      </c>
      <c r="M284" t="s">
        <v>2159</v>
      </c>
      <c r="N284">
        <v>38500</v>
      </c>
      <c r="O284" t="s">
        <v>2160</v>
      </c>
      <c r="Q284" t="s">
        <v>4283</v>
      </c>
      <c r="R284">
        <v>242</v>
      </c>
      <c r="S284">
        <v>43</v>
      </c>
      <c r="T284">
        <v>43</v>
      </c>
      <c r="V284" t="s">
        <v>414</v>
      </c>
      <c r="W284">
        <f>COUNTIFS('Clinical Trials HCO'!$A:$A, K284, 'Clinical Trials HCO'!$D:$D, "&lt;&gt;")</f>
        <v>0</v>
      </c>
      <c r="AF284" t="s">
        <v>414</v>
      </c>
      <c r="AG284" t="s">
        <v>414</v>
      </c>
    </row>
    <row r="285" spans="2:33" hidden="1">
      <c r="B285">
        <v>170</v>
      </c>
      <c r="C285" t="s">
        <v>11164</v>
      </c>
      <c r="F285">
        <f>COUNTIF(HCPs!W:W,HCO_Data!K285)</f>
        <v>1</v>
      </c>
      <c r="G285" t="str">
        <f>IF(COUNTIF('Testing Referrals'!B:B,HCO_Data!K285)&gt;0,"Yes","")</f>
        <v/>
      </c>
      <c r="H285">
        <f>COUNTIF('HCO referrals'!B:B,HCO_Data!K285)+COUNTIF('HCO referrals'!C:C,HCO_Data!K285)</f>
        <v>2</v>
      </c>
      <c r="I285">
        <v>390000040</v>
      </c>
      <c r="K285" t="s">
        <v>10295</v>
      </c>
      <c r="L285" s="74" t="s">
        <v>1424</v>
      </c>
      <c r="M285" t="s">
        <v>1889</v>
      </c>
      <c r="N285">
        <v>39016</v>
      </c>
      <c r="O285" t="s">
        <v>1890</v>
      </c>
      <c r="Q285" t="s">
        <v>4283</v>
      </c>
      <c r="R285">
        <v>265</v>
      </c>
      <c r="S285">
        <v>43</v>
      </c>
      <c r="T285">
        <v>43</v>
      </c>
      <c r="V285" t="s">
        <v>414</v>
      </c>
      <c r="W285">
        <f>COUNTIFS('Clinical Trials HCO'!$A:$A, K285, 'Clinical Trials HCO'!$D:$D, "&lt;&gt;")</f>
        <v>1</v>
      </c>
      <c r="AF285" t="s">
        <v>414</v>
      </c>
      <c r="AG285" t="s">
        <v>414</v>
      </c>
    </row>
    <row r="286" spans="2:33" hidden="1">
      <c r="B286">
        <v>251</v>
      </c>
      <c r="C286" t="s">
        <v>11168</v>
      </c>
      <c r="F286">
        <f>COUNTIF(HCPs!W:W,HCO_Data!K286)</f>
        <v>2</v>
      </c>
      <c r="G286" t="str">
        <f>IF(COUNTIF('Testing Referrals'!B:B,HCO_Data!K286)&gt;0,"Yes","")</f>
        <v/>
      </c>
      <c r="H286">
        <f>COUNTIF('HCO referrals'!B:B,HCO_Data!K286)+COUNTIF('HCO referrals'!C:C,HCO_Data!K286)</f>
        <v>2</v>
      </c>
      <c r="I286">
        <v>700000029</v>
      </c>
      <c r="K286" t="s">
        <v>10296</v>
      </c>
      <c r="L286" s="74" t="s">
        <v>1544</v>
      </c>
      <c r="M286" t="s">
        <v>2123</v>
      </c>
      <c r="N286">
        <v>70014</v>
      </c>
      <c r="O286" t="s">
        <v>2124</v>
      </c>
      <c r="Q286" t="s">
        <v>4283</v>
      </c>
      <c r="R286">
        <v>222</v>
      </c>
      <c r="S286">
        <v>43</v>
      </c>
      <c r="T286">
        <v>43</v>
      </c>
      <c r="V286" t="s">
        <v>414</v>
      </c>
      <c r="W286">
        <f>COUNTIFS('Clinical Trials HCO'!$A:$A, K286, 'Clinical Trials HCO'!$D:$D, "&lt;&gt;")</f>
        <v>0</v>
      </c>
      <c r="AF286" t="s">
        <v>414</v>
      </c>
      <c r="AG286" t="s">
        <v>414</v>
      </c>
    </row>
    <row r="287" spans="2:33" hidden="1">
      <c r="B287">
        <v>253</v>
      </c>
      <c r="C287" t="s">
        <v>11172</v>
      </c>
      <c r="F287">
        <f>COUNTIF(HCPs!W:W,HCO_Data!K287)</f>
        <v>2</v>
      </c>
      <c r="G287" t="str">
        <f>IF(COUNTIF('Testing Referrals'!B:B,HCO_Data!K287)&gt;0,"Yes","")</f>
        <v/>
      </c>
      <c r="H287">
        <f>COUNTIF('HCO referrals'!B:B,HCO_Data!K287)+COUNTIF('HCO referrals'!C:C,HCO_Data!K287)</f>
        <v>2</v>
      </c>
      <c r="I287">
        <v>770019032</v>
      </c>
      <c r="K287" t="s">
        <v>3796</v>
      </c>
      <c r="L287" s="74" t="s">
        <v>4991</v>
      </c>
      <c r="M287" t="s">
        <v>2129</v>
      </c>
      <c r="N287">
        <v>77600</v>
      </c>
      <c r="O287" t="s">
        <v>2130</v>
      </c>
      <c r="Q287" t="s">
        <v>4283</v>
      </c>
      <c r="R287">
        <v>259</v>
      </c>
      <c r="S287">
        <v>42</v>
      </c>
      <c r="T287">
        <v>42</v>
      </c>
      <c r="V287" t="s">
        <v>414</v>
      </c>
      <c r="W287">
        <f>COUNTIFS('Clinical Trials HCO'!$A:$A, K287, 'Clinical Trials HCO'!$D:$D, "&lt;&gt;")</f>
        <v>0</v>
      </c>
      <c r="AF287" t="s">
        <v>414</v>
      </c>
      <c r="AG287" t="s">
        <v>414</v>
      </c>
    </row>
    <row r="288" spans="2:33" hidden="1">
      <c r="C288" t="s">
        <v>8415</v>
      </c>
      <c r="F288">
        <f>COUNTIF(HCPs!W:W,HCO_Data!K288)</f>
        <v>1</v>
      </c>
      <c r="G288" t="str">
        <f>IF(COUNTIF('Testing Referrals'!B:B,HCO_Data!K288)&gt;0,"Yes","")</f>
        <v/>
      </c>
      <c r="H288">
        <f>COUNTIF('HCO referrals'!B:B,HCO_Data!K288)+COUNTIF('HCO referrals'!C:C,HCO_Data!K288)</f>
        <v>2</v>
      </c>
      <c r="I288">
        <v>140016759</v>
      </c>
      <c r="K288" t="s">
        <v>7997</v>
      </c>
      <c r="L288" s="74" t="s">
        <v>7996</v>
      </c>
      <c r="M288" t="s">
        <v>7998</v>
      </c>
      <c r="N288">
        <v>14000</v>
      </c>
      <c r="O288" t="s">
        <v>2958</v>
      </c>
      <c r="R288">
        <v>297</v>
      </c>
      <c r="S288">
        <v>42</v>
      </c>
      <c r="T288">
        <v>42</v>
      </c>
      <c r="V288" t="s">
        <v>414</v>
      </c>
      <c r="W288">
        <f>COUNTIFS('Clinical Trials HCO'!$A:$A, K288, 'Clinical Trials HCO'!$D:$D, "&lt;&gt;")</f>
        <v>1</v>
      </c>
      <c r="AF288" t="s">
        <v>414</v>
      </c>
    </row>
    <row r="289" spans="2:33">
      <c r="B289">
        <v>642</v>
      </c>
      <c r="C289" t="s">
        <v>11187</v>
      </c>
      <c r="F289">
        <f>COUNTIF(HCPs!W:W,HCO_Data!K289)</f>
        <v>0</v>
      </c>
      <c r="G289" t="str">
        <f>IF(COUNTIF('Testing Referrals'!B:B,HCO_Data!K289)&gt;0,"Yes","")</f>
        <v>Yes</v>
      </c>
      <c r="H289">
        <f>COUNTIF('HCO referrals'!B:B,HCO_Data!K289)+COUNTIF('HCO referrals'!C:C,HCO_Data!K289)</f>
        <v>0</v>
      </c>
      <c r="I289">
        <v>540000478</v>
      </c>
      <c r="K289" t="s">
        <v>10297</v>
      </c>
      <c r="L289" s="75" t="s">
        <v>654</v>
      </c>
      <c r="M289" t="s">
        <v>2079</v>
      </c>
      <c r="N289">
        <v>54271</v>
      </c>
      <c r="O289" t="s">
        <v>2080</v>
      </c>
      <c r="Q289" t="s">
        <v>4283</v>
      </c>
      <c r="R289">
        <v>253</v>
      </c>
      <c r="S289">
        <v>42</v>
      </c>
      <c r="T289">
        <v>42</v>
      </c>
      <c r="V289" t="s">
        <v>414</v>
      </c>
      <c r="W289">
        <f>COUNTIFS('Clinical Trials HCO'!$A:$A, K289, 'Clinical Trials HCO'!$D:$D, "&lt;&gt;")</f>
        <v>0</v>
      </c>
      <c r="AD289" s="12" t="s">
        <v>414</v>
      </c>
      <c r="AE289" t="s">
        <v>3927</v>
      </c>
      <c r="AF289" t="s">
        <v>414</v>
      </c>
      <c r="AG289" t="s">
        <v>414</v>
      </c>
    </row>
    <row r="290" spans="2:33" hidden="1">
      <c r="B290">
        <v>711</v>
      </c>
      <c r="C290" t="s">
        <v>11200</v>
      </c>
      <c r="F290">
        <f>COUNTIF(HCPs!W:W,HCO_Data!K290)</f>
        <v>1</v>
      </c>
      <c r="G290" t="str">
        <f>IF(COUNTIF('Testing Referrals'!B:B,HCO_Data!K290)&gt;0,"Yes","")</f>
        <v/>
      </c>
      <c r="H290">
        <f>COUNTIF('HCO referrals'!B:B,HCO_Data!K290)+COUNTIF('HCO referrals'!C:C,HCO_Data!K290)</f>
        <v>2</v>
      </c>
      <c r="I290">
        <v>830100434</v>
      </c>
      <c r="K290" t="s">
        <v>10298</v>
      </c>
      <c r="L290" s="74" t="s">
        <v>2577</v>
      </c>
      <c r="M290" t="s">
        <v>2865</v>
      </c>
      <c r="N290">
        <v>83000</v>
      </c>
      <c r="O290" t="s">
        <v>865</v>
      </c>
      <c r="Q290" t="s">
        <v>4283</v>
      </c>
      <c r="R290">
        <v>233</v>
      </c>
      <c r="S290">
        <v>42</v>
      </c>
      <c r="T290">
        <v>42</v>
      </c>
      <c r="V290" t="s">
        <v>414</v>
      </c>
      <c r="W290">
        <f>COUNTIFS('Clinical Trials HCO'!$A:$A, K290, 'Clinical Trials HCO'!$D:$D, "&lt;&gt;")</f>
        <v>0</v>
      </c>
      <c r="AF290" t="s">
        <v>414</v>
      </c>
      <c r="AG290" t="s">
        <v>414</v>
      </c>
    </row>
    <row r="291" spans="2:33" hidden="1">
      <c r="B291">
        <v>184</v>
      </c>
      <c r="C291" t="s">
        <v>11205</v>
      </c>
      <c r="F291">
        <f>COUNTIF(HCPs!W:W,HCO_Data!K291)</f>
        <v>1</v>
      </c>
      <c r="G291" t="str">
        <f>IF(COUNTIF('Testing Referrals'!B:B,HCO_Data!K291)&gt;0,"Yes","")</f>
        <v/>
      </c>
      <c r="H291">
        <f>COUNTIF('HCO referrals'!B:B,HCO_Data!K291)+COUNTIF('HCO referrals'!C:C,HCO_Data!K291)</f>
        <v>3</v>
      </c>
      <c r="I291">
        <v>890975550</v>
      </c>
      <c r="K291" t="s">
        <v>10299</v>
      </c>
      <c r="L291" s="74" t="s">
        <v>693</v>
      </c>
      <c r="M291" t="s">
        <v>1920</v>
      </c>
      <c r="N291">
        <v>89108</v>
      </c>
      <c r="O291" t="s">
        <v>1921</v>
      </c>
      <c r="Q291" t="s">
        <v>4283</v>
      </c>
      <c r="R291">
        <v>238</v>
      </c>
      <c r="S291">
        <v>42</v>
      </c>
      <c r="T291">
        <v>42</v>
      </c>
      <c r="V291" t="s">
        <v>414</v>
      </c>
      <c r="W291">
        <f>COUNTIFS('Clinical Trials HCO'!$A:$A, K291, 'Clinical Trials HCO'!$D:$D, "&lt;&gt;")</f>
        <v>0</v>
      </c>
      <c r="AF291" t="s">
        <v>414</v>
      </c>
      <c r="AG291" t="s">
        <v>414</v>
      </c>
    </row>
    <row r="292" spans="2:33" hidden="1">
      <c r="C292" t="s">
        <v>11124</v>
      </c>
      <c r="F292">
        <f>COUNTIF(HCPs!W:W,HCO_Data!K292)</f>
        <v>2</v>
      </c>
      <c r="G292" t="str">
        <f>IF(COUNTIF('Testing Referrals'!B:B,HCO_Data!K292)&gt;0,"Yes","")</f>
        <v/>
      </c>
      <c r="H292">
        <f>COUNTIF('HCO referrals'!B:B,HCO_Data!K292)+COUNTIF('HCO referrals'!C:C,HCO_Data!K292)</f>
        <v>2</v>
      </c>
      <c r="I292">
        <v>740014345</v>
      </c>
      <c r="K292" t="s">
        <v>5139</v>
      </c>
      <c r="L292" s="97" t="s">
        <v>5138</v>
      </c>
      <c r="O292" t="s">
        <v>8010</v>
      </c>
      <c r="Q292" t="s">
        <v>4283</v>
      </c>
      <c r="R292">
        <v>197</v>
      </c>
      <c r="S292">
        <v>41</v>
      </c>
      <c r="T292">
        <v>41</v>
      </c>
      <c r="V292" t="s">
        <v>414</v>
      </c>
      <c r="W292">
        <f>COUNTIFS('Clinical Trials HCO'!$A:$A, K292, 'Clinical Trials HCO'!$D:$D, "&lt;&gt;")</f>
        <v>0</v>
      </c>
    </row>
    <row r="293" spans="2:33" hidden="1">
      <c r="B293">
        <v>664</v>
      </c>
      <c r="C293" t="s">
        <v>11125</v>
      </c>
      <c r="F293">
        <f>COUNTIF(HCPs!W:W,HCO_Data!K293)</f>
        <v>3</v>
      </c>
      <c r="G293" t="str">
        <f>IF(COUNTIF('Testing Referrals'!B:B,HCO_Data!K293)&gt;0,"Yes","")</f>
        <v/>
      </c>
      <c r="H293">
        <f>COUNTIF('HCO referrals'!B:B,HCO_Data!K293)+COUNTIF('HCO referrals'!C:C,HCO_Data!K293)</f>
        <v>0</v>
      </c>
      <c r="I293">
        <v>130000409</v>
      </c>
      <c r="K293" t="s">
        <v>10300</v>
      </c>
      <c r="L293" s="97" t="s">
        <v>1459</v>
      </c>
      <c r="M293" t="s">
        <v>1969</v>
      </c>
      <c r="N293">
        <v>13616</v>
      </c>
      <c r="O293" t="s">
        <v>1970</v>
      </c>
      <c r="Q293" t="s">
        <v>4283</v>
      </c>
      <c r="R293">
        <v>385</v>
      </c>
      <c r="S293">
        <v>41</v>
      </c>
      <c r="T293">
        <v>41</v>
      </c>
      <c r="V293" t="s">
        <v>414</v>
      </c>
      <c r="W293">
        <f>COUNTIFS('Clinical Trials HCO'!$A:$A, K293, 'Clinical Trials HCO'!$D:$D, "&lt;&gt;")</f>
        <v>0</v>
      </c>
      <c r="AF293" t="s">
        <v>414</v>
      </c>
    </row>
    <row r="294" spans="2:33" hidden="1">
      <c r="B294">
        <v>555</v>
      </c>
      <c r="C294" t="s">
        <v>11137</v>
      </c>
      <c r="F294">
        <f>COUNTIF(HCPs!W:W,HCO_Data!K294)</f>
        <v>2</v>
      </c>
      <c r="G294" t="str">
        <f>IF(COUNTIF('Testing Referrals'!B:B,HCO_Data!K294)&gt;0,"Yes","")</f>
        <v/>
      </c>
      <c r="H294">
        <f>COUNTIF('HCO referrals'!B:B,HCO_Data!K294)+COUNTIF('HCO referrals'!C:C,HCO_Data!K294)</f>
        <v>3</v>
      </c>
      <c r="I294">
        <v>260000120</v>
      </c>
      <c r="K294" t="s">
        <v>10301</v>
      </c>
      <c r="L294" s="74" t="s">
        <v>1639</v>
      </c>
      <c r="M294" t="s">
        <v>2272</v>
      </c>
      <c r="N294">
        <v>26102</v>
      </c>
      <c r="O294" t="s">
        <v>2273</v>
      </c>
      <c r="Q294" t="s">
        <v>4283</v>
      </c>
      <c r="R294">
        <v>258</v>
      </c>
      <c r="S294">
        <v>41</v>
      </c>
      <c r="T294">
        <v>41</v>
      </c>
      <c r="V294" t="s">
        <v>414</v>
      </c>
      <c r="W294">
        <f>COUNTIFS('Clinical Trials HCO'!$A:$A, K294, 'Clinical Trials HCO'!$D:$D, "&lt;&gt;")</f>
        <v>0</v>
      </c>
      <c r="AF294" t="s">
        <v>414</v>
      </c>
      <c r="AG294" t="s">
        <v>414</v>
      </c>
    </row>
    <row r="295" spans="2:33">
      <c r="B295">
        <v>354</v>
      </c>
      <c r="C295" t="s">
        <v>11142</v>
      </c>
      <c r="F295">
        <f>COUNTIF(HCPs!W:W,HCO_Data!K295)</f>
        <v>0</v>
      </c>
      <c r="G295" t="str">
        <f>IF(COUNTIF('Testing Referrals'!B:B,HCO_Data!K295)&gt;0,"Yes","")</f>
        <v/>
      </c>
      <c r="H295">
        <f>COUNTIF('HCO referrals'!B:B,HCO_Data!K295)+COUNTIF('HCO referrals'!C:C,HCO_Data!K295)</f>
        <v>0</v>
      </c>
      <c r="I295">
        <v>470000159</v>
      </c>
      <c r="K295" t="s">
        <v>10302</v>
      </c>
      <c r="L295" s="75" t="s">
        <v>1505</v>
      </c>
      <c r="M295" t="s">
        <v>2044</v>
      </c>
      <c r="N295">
        <v>47000</v>
      </c>
      <c r="O295" t="s">
        <v>1767</v>
      </c>
      <c r="Q295" t="s">
        <v>4283</v>
      </c>
      <c r="R295">
        <v>244</v>
      </c>
      <c r="S295">
        <v>41</v>
      </c>
      <c r="T295">
        <v>41</v>
      </c>
      <c r="V295" t="s">
        <v>414</v>
      </c>
      <c r="W295">
        <f>COUNTIFS('Clinical Trials HCO'!$A:$A, K295, 'Clinical Trials HCO'!$D:$D, "&lt;&gt;")</f>
        <v>0</v>
      </c>
      <c r="AF295" t="s">
        <v>414</v>
      </c>
      <c r="AG295" t="s">
        <v>414</v>
      </c>
    </row>
    <row r="296" spans="2:33" hidden="1">
      <c r="B296">
        <v>138</v>
      </c>
      <c r="C296" t="s">
        <v>11143</v>
      </c>
      <c r="F296">
        <f>COUNTIF(HCPs!W:W,HCO_Data!K296)</f>
        <v>1</v>
      </c>
      <c r="G296" t="str">
        <f>IF(COUNTIF('Testing Referrals'!B:B,HCO_Data!K296)&gt;0,"Yes","")</f>
        <v/>
      </c>
      <c r="H296">
        <f>COUNTIF('HCO referrals'!B:B,HCO_Data!K296)+COUNTIF('HCO referrals'!C:C,HCO_Data!K296)</f>
        <v>0</v>
      </c>
      <c r="I296">
        <v>620000323</v>
      </c>
      <c r="K296" t="s">
        <v>10303</v>
      </c>
      <c r="L296" s="74" t="s">
        <v>1380</v>
      </c>
      <c r="M296" t="s">
        <v>1796</v>
      </c>
      <c r="N296">
        <v>62107</v>
      </c>
      <c r="O296" t="s">
        <v>1797</v>
      </c>
      <c r="Q296" t="s">
        <v>4283</v>
      </c>
      <c r="R296">
        <v>190</v>
      </c>
      <c r="S296">
        <v>41</v>
      </c>
      <c r="T296">
        <v>41</v>
      </c>
      <c r="V296" t="s">
        <v>414</v>
      </c>
      <c r="W296">
        <f>COUNTIFS('Clinical Trials HCO'!$A:$A, K296, 'Clinical Trials HCO'!$D:$D, "&lt;&gt;")</f>
        <v>0</v>
      </c>
      <c r="AF296" t="s">
        <v>414</v>
      </c>
      <c r="AG296" t="s">
        <v>414</v>
      </c>
    </row>
    <row r="297" spans="2:33" hidden="1">
      <c r="B297">
        <v>159</v>
      </c>
      <c r="C297" t="s">
        <v>11151</v>
      </c>
      <c r="F297">
        <f>COUNTIF(HCPs!W:W,HCO_Data!K297)</f>
        <v>1</v>
      </c>
      <c r="G297" t="str">
        <f>IF(COUNTIF('Testing Referrals'!B:B,HCO_Data!K297)&gt;0,"Yes","")</f>
        <v/>
      </c>
      <c r="H297">
        <f>COUNTIF('HCO referrals'!B:B,HCO_Data!K297)+COUNTIF('HCO referrals'!C:C,HCO_Data!K297)</f>
        <v>0</v>
      </c>
      <c r="I297">
        <v>780000287</v>
      </c>
      <c r="K297" t="s">
        <v>10304</v>
      </c>
      <c r="L297" s="74" t="s">
        <v>1410</v>
      </c>
      <c r="M297" t="s">
        <v>1861</v>
      </c>
      <c r="N297">
        <v>78201</v>
      </c>
      <c r="O297" t="s">
        <v>1862</v>
      </c>
      <c r="Q297" t="s">
        <v>4283</v>
      </c>
      <c r="R297">
        <v>192</v>
      </c>
      <c r="S297">
        <v>41</v>
      </c>
      <c r="T297">
        <v>41</v>
      </c>
      <c r="V297" t="s">
        <v>414</v>
      </c>
      <c r="W297">
        <f>COUNTIFS('Clinical Trials HCO'!$A:$A, K297, 'Clinical Trials HCO'!$D:$D, "&lt;&gt;")</f>
        <v>0</v>
      </c>
      <c r="AG297" t="s">
        <v>414</v>
      </c>
    </row>
    <row r="298" spans="2:33" hidden="1">
      <c r="B298">
        <v>254</v>
      </c>
      <c r="C298" t="s">
        <v>11156</v>
      </c>
      <c r="F298">
        <f>COUNTIF(HCPs!W:W,HCO_Data!K298)</f>
        <v>1</v>
      </c>
      <c r="G298" t="str">
        <f>IF(COUNTIF('Testing Referrals'!B:B,HCO_Data!K298)&gt;0,"Yes","")</f>
        <v/>
      </c>
      <c r="H298">
        <f>COUNTIF('HCO referrals'!B:B,HCO_Data!K298)+COUNTIF('HCO referrals'!C:C,HCO_Data!K298)</f>
        <v>1</v>
      </c>
      <c r="I298">
        <v>950000323</v>
      </c>
      <c r="K298" t="s">
        <v>10305</v>
      </c>
      <c r="L298" s="74" t="s">
        <v>1547</v>
      </c>
      <c r="M298" t="s">
        <v>2131</v>
      </c>
      <c r="N298">
        <v>95602</v>
      </c>
      <c r="O298" t="s">
        <v>2132</v>
      </c>
      <c r="Q298" t="s">
        <v>4283</v>
      </c>
      <c r="R298">
        <v>338</v>
      </c>
      <c r="S298">
        <v>41</v>
      </c>
      <c r="T298">
        <v>41</v>
      </c>
      <c r="V298" t="s">
        <v>414</v>
      </c>
      <c r="W298">
        <f>COUNTIFS('Clinical Trials HCO'!$A:$A, K298, 'Clinical Trials HCO'!$D:$D, "&lt;&gt;")</f>
        <v>0</v>
      </c>
      <c r="AF298" t="s">
        <v>414</v>
      </c>
    </row>
    <row r="299" spans="2:33" hidden="1">
      <c r="B299">
        <v>560</v>
      </c>
      <c r="C299" t="s">
        <v>8058</v>
      </c>
      <c r="F299">
        <f>COUNTIF(HCPs!W:W,HCO_Data!K299)</f>
        <v>0</v>
      </c>
      <c r="G299" t="str">
        <f>IF(COUNTIF('Testing Referrals'!B:B,HCO_Data!K299)&gt;0,"Yes","")</f>
        <v>Yes</v>
      </c>
      <c r="H299">
        <f>COUNTIF('HCO referrals'!B:B,HCO_Data!K299)+COUNTIF('HCO referrals'!C:C,HCO_Data!K299)</f>
        <v>3</v>
      </c>
      <c r="I299">
        <v>750100273</v>
      </c>
      <c r="K299" t="s">
        <v>4562</v>
      </c>
      <c r="L299" t="s">
        <v>240</v>
      </c>
      <c r="M299" t="s">
        <v>2285</v>
      </c>
      <c r="N299">
        <v>75970</v>
      </c>
      <c r="O299" t="s">
        <v>700</v>
      </c>
      <c r="Q299" t="s">
        <v>4283</v>
      </c>
      <c r="R299">
        <v>223</v>
      </c>
      <c r="S299">
        <v>40</v>
      </c>
      <c r="T299">
        <v>40</v>
      </c>
      <c r="W299">
        <f>COUNTIFS('Clinical Trials HCO'!$A:$A, K299, 'Clinical Trials HCO'!$D:$D, "&lt;&gt;")</f>
        <v>17</v>
      </c>
      <c r="AF299" t="s">
        <v>414</v>
      </c>
      <c r="AG299" t="s">
        <v>414</v>
      </c>
    </row>
    <row r="300" spans="2:33" hidden="1">
      <c r="B300">
        <v>262</v>
      </c>
      <c r="F300">
        <f>COUNTIF(HCPs!W:W,HCO_Data!K300)</f>
        <v>0</v>
      </c>
      <c r="G300" t="str">
        <f>IF(COUNTIF('Testing Referrals'!B:B,HCO_Data!K300)&gt;0,"Yes","")</f>
        <v/>
      </c>
      <c r="H300">
        <f>COUNTIF('HCO referrals'!B:B,HCO_Data!K300)+COUNTIF('HCO referrals'!C:C,HCO_Data!K300)</f>
        <v>0</v>
      </c>
      <c r="I300">
        <v>60000510</v>
      </c>
      <c r="K300" t="s">
        <v>10306</v>
      </c>
      <c r="L300" t="s">
        <v>1387</v>
      </c>
      <c r="M300" t="s">
        <v>1812</v>
      </c>
      <c r="N300">
        <v>6606</v>
      </c>
      <c r="O300" t="s">
        <v>1813</v>
      </c>
      <c r="Q300" t="s">
        <v>4283</v>
      </c>
      <c r="R300">
        <v>348</v>
      </c>
      <c r="S300">
        <v>40</v>
      </c>
      <c r="T300">
        <v>40</v>
      </c>
      <c r="W300">
        <f>COUNTIFS('Clinical Trials HCO'!$A:$A, K300, 'Clinical Trials HCO'!$D:$D, "&lt;&gt;")</f>
        <v>0</v>
      </c>
      <c r="AF300" t="s">
        <v>414</v>
      </c>
      <c r="AG300" t="s">
        <v>414</v>
      </c>
    </row>
    <row r="301" spans="2:33" hidden="1">
      <c r="B301">
        <v>486</v>
      </c>
      <c r="F301">
        <f>COUNTIF(HCPs!W:W,HCO_Data!K301)</f>
        <v>0</v>
      </c>
      <c r="G301" t="str">
        <f>IF(COUNTIF('Testing Referrals'!B:B,HCO_Data!K301)&gt;0,"Yes","")</f>
        <v/>
      </c>
      <c r="H301">
        <f>COUNTIF('HCO referrals'!B:B,HCO_Data!K301)+COUNTIF('HCO referrals'!C:C,HCO_Data!K301)</f>
        <v>0</v>
      </c>
      <c r="I301">
        <v>250011848</v>
      </c>
      <c r="K301" t="s">
        <v>10307</v>
      </c>
      <c r="L301" t="s">
        <v>2610</v>
      </c>
      <c r="M301" t="s">
        <v>2888</v>
      </c>
      <c r="N301">
        <v>25052</v>
      </c>
      <c r="O301" t="s">
        <v>874</v>
      </c>
      <c r="Q301" t="s">
        <v>4283</v>
      </c>
      <c r="R301">
        <v>308</v>
      </c>
      <c r="S301">
        <v>40</v>
      </c>
      <c r="T301">
        <v>40</v>
      </c>
      <c r="W301">
        <f>COUNTIFS('Clinical Trials HCO'!$A:$A, K301, 'Clinical Trials HCO'!$D:$D, "&lt;&gt;")</f>
        <v>0</v>
      </c>
      <c r="AG301" t="s">
        <v>414</v>
      </c>
    </row>
    <row r="302" spans="2:33" hidden="1">
      <c r="F302">
        <f>COUNTIF(HCPs!W:W,HCO_Data!K302)</f>
        <v>0</v>
      </c>
      <c r="G302" t="str">
        <f>IF(COUNTIF('Testing Referrals'!B:B,HCO_Data!K302)&gt;0,"Yes","")</f>
        <v/>
      </c>
      <c r="H302">
        <f>COUNTIF('HCO referrals'!B:B,HCO_Data!K302)+COUNTIF('HCO referrals'!C:C,HCO_Data!K302)</f>
        <v>0</v>
      </c>
      <c r="I302">
        <v>330000555</v>
      </c>
      <c r="K302" t="s">
        <v>10308</v>
      </c>
      <c r="L302" t="s">
        <v>8683</v>
      </c>
      <c r="M302" t="s">
        <v>8684</v>
      </c>
      <c r="O302" t="s">
        <v>8685</v>
      </c>
      <c r="P302" t="s">
        <v>716</v>
      </c>
      <c r="Q302" t="s">
        <v>4283</v>
      </c>
      <c r="R302">
        <v>229</v>
      </c>
      <c r="S302">
        <v>40</v>
      </c>
      <c r="T302">
        <v>40</v>
      </c>
      <c r="W302">
        <f>COUNTIFS('Clinical Trials HCO'!$A:$A, K302, 'Clinical Trials HCO'!$D:$D, "&lt;&gt;")</f>
        <v>0</v>
      </c>
    </row>
    <row r="303" spans="2:33" hidden="1">
      <c r="F303">
        <f>COUNTIF(HCPs!W:W,HCO_Data!K303)</f>
        <v>0</v>
      </c>
      <c r="G303" t="str">
        <f>IF(COUNTIF('Testing Referrals'!B:B,HCO_Data!K303)&gt;0,"Yes","")</f>
        <v/>
      </c>
      <c r="H303">
        <f>COUNTIF('HCO referrals'!B:B,HCO_Data!K303)+COUNTIF('HCO referrals'!C:C,HCO_Data!K303)</f>
        <v>0</v>
      </c>
      <c r="I303">
        <v>220000095</v>
      </c>
      <c r="K303" t="s">
        <v>10309</v>
      </c>
      <c r="L303" t="s">
        <v>8700</v>
      </c>
      <c r="M303" t="s">
        <v>8701</v>
      </c>
      <c r="O303" t="s">
        <v>8702</v>
      </c>
      <c r="P303" t="s">
        <v>738</v>
      </c>
      <c r="Q303" t="s">
        <v>4283</v>
      </c>
      <c r="R303">
        <v>284</v>
      </c>
      <c r="S303">
        <v>39</v>
      </c>
      <c r="T303">
        <v>39</v>
      </c>
      <c r="W303">
        <f>COUNTIFS('Clinical Trials HCO'!$A:$A, K303, 'Clinical Trials HCO'!$D:$D, "&lt;&gt;")</f>
        <v>0</v>
      </c>
    </row>
    <row r="304" spans="2:33" hidden="1">
      <c r="F304">
        <f>COUNTIF(HCPs!W:W,HCO_Data!K304)</f>
        <v>0</v>
      </c>
      <c r="G304" t="str">
        <f>IF(COUNTIF('Testing Referrals'!B:B,HCO_Data!K304)&gt;0,"Yes","")</f>
        <v/>
      </c>
      <c r="H304">
        <f>COUNTIF('HCO referrals'!B:B,HCO_Data!K304)+COUNTIF('HCO referrals'!C:C,HCO_Data!K304)</f>
        <v>0</v>
      </c>
      <c r="I304">
        <v>560000143</v>
      </c>
      <c r="K304" t="s">
        <v>10310</v>
      </c>
      <c r="L304" t="s">
        <v>1447</v>
      </c>
      <c r="M304" t="s">
        <v>1946</v>
      </c>
      <c r="O304" t="s">
        <v>1947</v>
      </c>
      <c r="P304" t="s">
        <v>734</v>
      </c>
      <c r="Q304" t="s">
        <v>4283</v>
      </c>
      <c r="R304">
        <v>342</v>
      </c>
      <c r="S304">
        <v>39</v>
      </c>
      <c r="T304">
        <v>39</v>
      </c>
      <c r="W304">
        <f>COUNTIFS('Clinical Trials HCO'!$A:$A, K304, 'Clinical Trials HCO'!$D:$D, "&lt;&gt;")</f>
        <v>0</v>
      </c>
    </row>
    <row r="305" spans="2:33" hidden="1">
      <c r="B305">
        <v>687</v>
      </c>
      <c r="F305">
        <f>COUNTIF(HCPs!W:W,HCO_Data!K305)</f>
        <v>0</v>
      </c>
      <c r="G305" t="str">
        <f>IF(COUNTIF('Testing Referrals'!B:B,HCO_Data!K305)&gt;0,"Yes","")</f>
        <v/>
      </c>
      <c r="H305">
        <f>COUNTIF('HCO referrals'!B:B,HCO_Data!K305)+COUNTIF('HCO referrals'!C:C,HCO_Data!K305)</f>
        <v>0</v>
      </c>
      <c r="I305">
        <v>570000216</v>
      </c>
      <c r="K305" t="s">
        <v>10311</v>
      </c>
      <c r="L305" t="s">
        <v>1567</v>
      </c>
      <c r="M305" t="s">
        <v>2157</v>
      </c>
      <c r="N305">
        <v>57502</v>
      </c>
      <c r="O305" t="s">
        <v>2158</v>
      </c>
      <c r="Q305" t="s">
        <v>4283</v>
      </c>
      <c r="R305">
        <v>245</v>
      </c>
      <c r="S305">
        <v>39</v>
      </c>
      <c r="T305">
        <v>39</v>
      </c>
      <c r="W305">
        <f>COUNTIFS('Clinical Trials HCO'!$A:$A, K305, 'Clinical Trials HCO'!$D:$D, "&lt;&gt;")</f>
        <v>0</v>
      </c>
      <c r="AF305" t="s">
        <v>414</v>
      </c>
      <c r="AG305" t="s">
        <v>414</v>
      </c>
    </row>
    <row r="306" spans="2:33" hidden="1">
      <c r="B306">
        <v>595</v>
      </c>
      <c r="F306">
        <f>COUNTIF(HCPs!W:W,HCO_Data!K306)</f>
        <v>0</v>
      </c>
      <c r="G306" t="str">
        <f>IF(COUNTIF('Testing Referrals'!B:B,HCO_Data!K306)&gt;0,"Yes","")</f>
        <v/>
      </c>
      <c r="H306">
        <f>COUNTIF('HCO referrals'!B:B,HCO_Data!K306)+COUNTIF('HCO referrals'!C:C,HCO_Data!K306)</f>
        <v>0</v>
      </c>
      <c r="I306">
        <v>690784186</v>
      </c>
      <c r="K306" t="s">
        <v>10312</v>
      </c>
      <c r="L306" t="s">
        <v>1585</v>
      </c>
      <c r="M306" t="s">
        <v>2184</v>
      </c>
      <c r="N306">
        <v>69677</v>
      </c>
      <c r="O306" t="s">
        <v>2169</v>
      </c>
      <c r="Q306" t="s">
        <v>4283</v>
      </c>
      <c r="R306">
        <v>487</v>
      </c>
      <c r="S306">
        <v>39</v>
      </c>
      <c r="T306">
        <v>39</v>
      </c>
      <c r="W306">
        <f>COUNTIFS('Clinical Trials HCO'!$A:$A, K306, 'Clinical Trials HCO'!$D:$D, "&lt;&gt;")</f>
        <v>0</v>
      </c>
      <c r="AG306" t="s">
        <v>414</v>
      </c>
    </row>
    <row r="307" spans="2:33" hidden="1">
      <c r="B307">
        <v>146</v>
      </c>
      <c r="F307">
        <f>COUNTIF(HCPs!W:W,HCO_Data!K307)</f>
        <v>1</v>
      </c>
      <c r="G307" t="str">
        <f>IF(COUNTIF('Testing Referrals'!B:B,HCO_Data!K307)&gt;0,"Yes","")</f>
        <v/>
      </c>
      <c r="H307">
        <f>COUNTIF('HCO referrals'!B:B,HCO_Data!K307)+COUNTIF('HCO referrals'!C:C,HCO_Data!K307)</f>
        <v>0</v>
      </c>
      <c r="I307">
        <v>770000446</v>
      </c>
      <c r="K307" t="s">
        <v>10313</v>
      </c>
      <c r="L307" s="13" t="s">
        <v>1394</v>
      </c>
      <c r="M307" t="s">
        <v>1825</v>
      </c>
      <c r="N307">
        <v>77100</v>
      </c>
      <c r="O307" t="s">
        <v>978</v>
      </c>
      <c r="Q307" t="s">
        <v>4283</v>
      </c>
      <c r="R307">
        <v>257</v>
      </c>
      <c r="S307">
        <v>39</v>
      </c>
      <c r="T307">
        <v>39</v>
      </c>
      <c r="W307">
        <f>COUNTIFS('Clinical Trials HCO'!$A:$A, K307, 'Clinical Trials HCO'!$D:$D, "&lt;&gt;")</f>
        <v>0</v>
      </c>
      <c r="AF307" t="s">
        <v>414</v>
      </c>
      <c r="AG307" t="s">
        <v>414</v>
      </c>
    </row>
    <row r="308" spans="2:33" hidden="1">
      <c r="B308">
        <v>139</v>
      </c>
      <c r="F308">
        <f>COUNTIF(HCPs!W:W,HCO_Data!K308)</f>
        <v>0</v>
      </c>
      <c r="G308" t="str">
        <f>IF(COUNTIF('Testing Referrals'!B:B,HCO_Data!K308)&gt;0,"Yes","")</f>
        <v/>
      </c>
      <c r="H308">
        <f>COUNTIF('HCO referrals'!B:B,HCO_Data!K308)+COUNTIF('HCO referrals'!C:C,HCO_Data!K308)</f>
        <v>0</v>
      </c>
      <c r="I308">
        <v>80000425</v>
      </c>
      <c r="K308" t="s">
        <v>10314</v>
      </c>
      <c r="L308" t="s">
        <v>1381</v>
      </c>
      <c r="M308" t="s">
        <v>1798</v>
      </c>
      <c r="N308">
        <v>8011</v>
      </c>
      <c r="O308" t="s">
        <v>1799</v>
      </c>
      <c r="Q308" t="s">
        <v>4283</v>
      </c>
      <c r="R308">
        <v>295</v>
      </c>
      <c r="S308">
        <v>38</v>
      </c>
      <c r="T308">
        <v>38</v>
      </c>
      <c r="W308">
        <f>COUNTIFS('Clinical Trials HCO'!$A:$A, K308, 'Clinical Trials HCO'!$D:$D, "&lt;&gt;")</f>
        <v>0</v>
      </c>
      <c r="AF308" t="s">
        <v>414</v>
      </c>
      <c r="AG308" t="s">
        <v>414</v>
      </c>
    </row>
    <row r="309" spans="2:33" hidden="1">
      <c r="B309">
        <v>423</v>
      </c>
      <c r="F309">
        <f>COUNTIF(HCPs!W:W,HCO_Data!K309)</f>
        <v>0</v>
      </c>
      <c r="G309" t="str">
        <f>IF(COUNTIF('Testing Referrals'!B:B,HCO_Data!K309)&gt;0,"Yes","")</f>
        <v/>
      </c>
      <c r="H309">
        <f>COUNTIF('HCO referrals'!B:B,HCO_Data!K309)+COUNTIF('HCO referrals'!C:C,HCO_Data!K309)</f>
        <v>0</v>
      </c>
      <c r="I309">
        <v>340024314</v>
      </c>
      <c r="K309" t="s">
        <v>10315</v>
      </c>
      <c r="L309" t="s">
        <v>2433</v>
      </c>
      <c r="M309" t="s">
        <v>2725</v>
      </c>
      <c r="N309">
        <v>34433</v>
      </c>
      <c r="O309" t="s">
        <v>2726</v>
      </c>
      <c r="Q309" t="s">
        <v>4283</v>
      </c>
      <c r="R309">
        <v>339</v>
      </c>
      <c r="S309">
        <v>38</v>
      </c>
      <c r="T309">
        <v>38</v>
      </c>
      <c r="W309">
        <f>COUNTIFS('Clinical Trials HCO'!$A:$A, K309, 'Clinical Trials HCO'!$D:$D, "&lt;&gt;")</f>
        <v>0</v>
      </c>
      <c r="AG309" t="s">
        <v>414</v>
      </c>
    </row>
    <row r="310" spans="2:33" hidden="1">
      <c r="B310">
        <v>476</v>
      </c>
      <c r="F310">
        <f>COUNTIF(HCPs!W:W,HCO_Data!K310)</f>
        <v>0</v>
      </c>
      <c r="G310" t="str">
        <f>IF(COUNTIF('Testing Referrals'!B:B,HCO_Data!K310)&gt;0,"Yes","")</f>
        <v/>
      </c>
      <c r="H310">
        <f>COUNTIF('HCO referrals'!B:B,HCO_Data!K310)+COUNTIF('HCO referrals'!C:C,HCO_Data!K310)</f>
        <v>0</v>
      </c>
      <c r="I310">
        <v>590782553</v>
      </c>
      <c r="K310" t="s">
        <v>10316</v>
      </c>
      <c r="L310" t="s">
        <v>1606</v>
      </c>
      <c r="M310" t="s">
        <v>2216</v>
      </c>
      <c r="N310">
        <v>59650</v>
      </c>
      <c r="O310" t="s">
        <v>2217</v>
      </c>
      <c r="Q310" t="s">
        <v>4283</v>
      </c>
      <c r="R310">
        <v>392</v>
      </c>
      <c r="S310">
        <v>38</v>
      </c>
      <c r="T310">
        <v>38</v>
      </c>
      <c r="W310">
        <f>COUNTIFS('Clinical Trials HCO'!$A:$A, K310, 'Clinical Trials HCO'!$D:$D, "&lt;&gt;")</f>
        <v>0</v>
      </c>
      <c r="AF310" t="s">
        <v>414</v>
      </c>
      <c r="AG310" t="s">
        <v>414</v>
      </c>
    </row>
    <row r="311" spans="2:33" hidden="1">
      <c r="B311">
        <v>200</v>
      </c>
      <c r="F311">
        <f>COUNTIF(HCPs!W:W,HCO_Data!K311)</f>
        <v>0</v>
      </c>
      <c r="G311" t="str">
        <f>IF(COUNTIF('Testing Referrals'!B:B,HCO_Data!K311)&gt;0,"Yes","")</f>
        <v/>
      </c>
      <c r="H311">
        <f>COUNTIF('HCO referrals'!B:B,HCO_Data!K311)+COUNTIF('HCO referrals'!C:C,HCO_Data!K311)</f>
        <v>0</v>
      </c>
      <c r="I311">
        <v>880000021</v>
      </c>
      <c r="K311" t="s">
        <v>10317</v>
      </c>
      <c r="L311" t="s">
        <v>1452</v>
      </c>
      <c r="M311" t="s">
        <v>1955</v>
      </c>
      <c r="N311">
        <v>88021</v>
      </c>
      <c r="O311" t="s">
        <v>1956</v>
      </c>
      <c r="Q311" t="s">
        <v>4283</v>
      </c>
      <c r="R311">
        <v>322</v>
      </c>
      <c r="S311">
        <v>38</v>
      </c>
      <c r="T311">
        <v>38</v>
      </c>
      <c r="W311">
        <f>COUNTIFS('Clinical Trials HCO'!$A:$A, K311, 'Clinical Trials HCO'!$D:$D, "&lt;&gt;")</f>
        <v>0</v>
      </c>
      <c r="AF311" t="s">
        <v>414</v>
      </c>
      <c r="AG311" t="s">
        <v>414</v>
      </c>
    </row>
    <row r="312" spans="2:33" hidden="1">
      <c r="B312">
        <v>277</v>
      </c>
      <c r="F312">
        <f>COUNTIF(HCPs!W:W,HCO_Data!K312)</f>
        <v>0</v>
      </c>
      <c r="G312" t="str">
        <f>IF(COUNTIF('Testing Referrals'!B:B,HCO_Data!K312)&gt;0,"Yes","")</f>
        <v/>
      </c>
      <c r="H312">
        <f>COUNTIF('HCO referrals'!B:B,HCO_Data!K312)+COUNTIF('HCO referrals'!C:C,HCO_Data!K312)</f>
        <v>0</v>
      </c>
      <c r="I312">
        <v>920100021</v>
      </c>
      <c r="K312" t="s">
        <v>10318</v>
      </c>
      <c r="L312" t="s">
        <v>1656</v>
      </c>
      <c r="M312" t="s">
        <v>2296</v>
      </c>
      <c r="N312">
        <v>92140</v>
      </c>
      <c r="O312" t="s">
        <v>2297</v>
      </c>
      <c r="Q312" t="s">
        <v>4283</v>
      </c>
      <c r="R312">
        <v>317</v>
      </c>
      <c r="S312">
        <v>38</v>
      </c>
      <c r="T312">
        <v>38</v>
      </c>
      <c r="W312">
        <f>COUNTIFS('Clinical Trials HCO'!$A:$A, K312, 'Clinical Trials HCO'!$D:$D, "&lt;&gt;")</f>
        <v>0</v>
      </c>
      <c r="AF312" t="s">
        <v>414</v>
      </c>
    </row>
    <row r="313" spans="2:33" hidden="1">
      <c r="B313">
        <v>236</v>
      </c>
      <c r="F313">
        <f>COUNTIF(HCPs!W:W,HCO_Data!K313)</f>
        <v>0</v>
      </c>
      <c r="G313" t="str">
        <f>IF(COUNTIF('Testing Referrals'!B:B,HCO_Data!K313)&gt;0,"Yes","")</f>
        <v/>
      </c>
      <c r="H313">
        <f>COUNTIF('HCO referrals'!B:B,HCO_Data!K313)+COUNTIF('HCO referrals'!C:C,HCO_Data!K313)</f>
        <v>0</v>
      </c>
      <c r="I313">
        <v>920300597</v>
      </c>
      <c r="K313" t="s">
        <v>10319</v>
      </c>
      <c r="L313" t="s">
        <v>696</v>
      </c>
      <c r="M313" t="s">
        <v>2060</v>
      </c>
      <c r="N313">
        <v>92360</v>
      </c>
      <c r="O313" t="s">
        <v>2061</v>
      </c>
      <c r="Q313" t="s">
        <v>4283</v>
      </c>
      <c r="R313">
        <v>275</v>
      </c>
      <c r="S313">
        <v>38</v>
      </c>
      <c r="T313">
        <v>38</v>
      </c>
      <c r="W313">
        <f>COUNTIFS('Clinical Trials HCO'!$A:$A, K313, 'Clinical Trials HCO'!$D:$D, "&lt;&gt;")</f>
        <v>0</v>
      </c>
      <c r="AF313" t="s">
        <v>414</v>
      </c>
      <c r="AG313" t="s">
        <v>414</v>
      </c>
    </row>
    <row r="314" spans="2:33" hidden="1">
      <c r="F314">
        <f>COUNTIF(HCPs!W:W,HCO_Data!K314)</f>
        <v>0</v>
      </c>
      <c r="G314" t="str">
        <f>IF(COUNTIF('Testing Referrals'!B:B,HCO_Data!K314)&gt;0,"Yes","")</f>
        <v/>
      </c>
      <c r="H314">
        <f>COUNTIF('HCO referrals'!B:B,HCO_Data!K314)+COUNTIF('HCO referrals'!C:C,HCO_Data!K314)</f>
        <v>0</v>
      </c>
      <c r="I314">
        <v>920300845</v>
      </c>
      <c r="K314" t="s">
        <v>10320</v>
      </c>
      <c r="L314" s="90" t="s">
        <v>8885</v>
      </c>
      <c r="M314" t="s">
        <v>8886</v>
      </c>
      <c r="O314" t="s">
        <v>8887</v>
      </c>
      <c r="P314" t="s">
        <v>722</v>
      </c>
      <c r="Q314" t="s">
        <v>4283</v>
      </c>
      <c r="R314">
        <v>533</v>
      </c>
      <c r="S314">
        <v>38</v>
      </c>
      <c r="T314">
        <v>38</v>
      </c>
      <c r="W314">
        <f>COUNTIFS('Clinical Trials HCO'!$A:$A, K314, 'Clinical Trials HCO'!$D:$D, "&lt;&gt;")</f>
        <v>0</v>
      </c>
    </row>
    <row r="315" spans="2:33" hidden="1">
      <c r="B315">
        <v>148</v>
      </c>
      <c r="F315">
        <f>COUNTIF(HCPs!W:W,HCO_Data!K315)</f>
        <v>0</v>
      </c>
      <c r="G315" t="str">
        <f>IF(COUNTIF('Testing Referrals'!B:B,HCO_Data!K315)&gt;0,"Yes","")</f>
        <v/>
      </c>
      <c r="H315">
        <f>COUNTIF('HCO referrals'!B:B,HCO_Data!K315)+COUNTIF('HCO referrals'!C:C,HCO_Data!K315)</f>
        <v>0</v>
      </c>
      <c r="I315">
        <v>30000061</v>
      </c>
      <c r="K315" t="s">
        <v>10321</v>
      </c>
      <c r="L315" t="s">
        <v>1397</v>
      </c>
      <c r="M315" t="s">
        <v>1830</v>
      </c>
      <c r="N315">
        <v>3006</v>
      </c>
      <c r="O315" t="s">
        <v>1831</v>
      </c>
      <c r="Q315" t="s">
        <v>4283</v>
      </c>
      <c r="R315">
        <v>381</v>
      </c>
      <c r="S315">
        <v>37</v>
      </c>
      <c r="T315">
        <v>37</v>
      </c>
      <c r="W315">
        <f>COUNTIFS('Clinical Trials HCO'!$A:$A, K315, 'Clinical Trials HCO'!$D:$D, "&lt;&gt;")</f>
        <v>0</v>
      </c>
      <c r="AF315" t="s">
        <v>414</v>
      </c>
    </row>
    <row r="316" spans="2:33" hidden="1">
      <c r="B316">
        <v>116</v>
      </c>
      <c r="F316">
        <f>COUNTIF(HCPs!W:W,HCO_Data!K316)</f>
        <v>0</v>
      </c>
      <c r="G316" t="str">
        <f>IF(COUNTIF('Testing Referrals'!B:B,HCO_Data!K316)&gt;0,"Yes","")</f>
        <v/>
      </c>
      <c r="H316">
        <f>COUNTIF('HCO referrals'!B:B,HCO_Data!K316)+COUNTIF('HCO referrals'!C:C,HCO_Data!K316)</f>
        <v>0</v>
      </c>
      <c r="I316">
        <v>290000033</v>
      </c>
      <c r="K316" t="s">
        <v>10322</v>
      </c>
      <c r="L316" t="s">
        <v>1335</v>
      </c>
      <c r="M316" t="s">
        <v>1699</v>
      </c>
      <c r="N316">
        <v>29672</v>
      </c>
      <c r="O316" t="s">
        <v>1700</v>
      </c>
      <c r="Q316" t="s">
        <v>4283</v>
      </c>
      <c r="R316">
        <v>263</v>
      </c>
      <c r="S316">
        <v>37</v>
      </c>
      <c r="T316">
        <v>37</v>
      </c>
      <c r="W316">
        <f>COUNTIFS('Clinical Trials HCO'!$A:$A, K316, 'Clinical Trials HCO'!$D:$D, "&lt;&gt;")</f>
        <v>0</v>
      </c>
      <c r="AG316" t="s">
        <v>414</v>
      </c>
    </row>
    <row r="317" spans="2:33" hidden="1">
      <c r="B317">
        <v>672</v>
      </c>
      <c r="F317">
        <f>COUNTIF(HCPs!W:W,HCO_Data!K317)</f>
        <v>0</v>
      </c>
      <c r="G317" t="str">
        <f>IF(COUNTIF('Testing Referrals'!B:B,HCO_Data!K317)&gt;0,"Yes","")</f>
        <v/>
      </c>
      <c r="H317">
        <f>COUNTIF('HCO referrals'!B:B,HCO_Data!K317)+COUNTIF('HCO referrals'!C:C,HCO_Data!K317)</f>
        <v>0</v>
      </c>
      <c r="I317">
        <v>340000223</v>
      </c>
      <c r="K317" t="s">
        <v>10323</v>
      </c>
      <c r="L317" t="s">
        <v>1635</v>
      </c>
      <c r="M317" t="s">
        <v>2265</v>
      </c>
      <c r="N317">
        <v>34207</v>
      </c>
      <c r="O317" t="s">
        <v>2266</v>
      </c>
      <c r="Q317" t="s">
        <v>4283</v>
      </c>
      <c r="R317">
        <v>311</v>
      </c>
      <c r="S317">
        <v>37</v>
      </c>
      <c r="T317">
        <v>37</v>
      </c>
      <c r="W317">
        <f>COUNTIFS('Clinical Trials HCO'!$A:$A, K317, 'Clinical Trials HCO'!$D:$D, "&lt;&gt;")</f>
        <v>0</v>
      </c>
      <c r="AG317" t="s">
        <v>414</v>
      </c>
    </row>
    <row r="318" spans="2:33" hidden="1">
      <c r="B318">
        <v>173</v>
      </c>
      <c r="F318">
        <f>COUNTIF(HCPs!W:W,HCO_Data!K318)</f>
        <v>0</v>
      </c>
      <c r="G318" t="str">
        <f>IF(COUNTIF('Testing Referrals'!B:B,HCO_Data!K318)&gt;0,"Yes","")</f>
        <v/>
      </c>
      <c r="H318">
        <f>COUNTIF('HCO referrals'!B:B,HCO_Data!K318)+COUNTIF('HCO referrals'!C:C,HCO_Data!K318)</f>
        <v>0</v>
      </c>
      <c r="I318">
        <v>500000450</v>
      </c>
      <c r="K318" t="s">
        <v>10324</v>
      </c>
      <c r="L318" t="s">
        <v>1428</v>
      </c>
      <c r="M318" t="s">
        <v>1896</v>
      </c>
      <c r="N318">
        <v>50009</v>
      </c>
      <c r="O318" t="s">
        <v>1897</v>
      </c>
      <c r="Q318" t="s">
        <v>4283</v>
      </c>
      <c r="R318">
        <v>269</v>
      </c>
      <c r="S318">
        <v>37</v>
      </c>
      <c r="T318">
        <v>37</v>
      </c>
      <c r="W318">
        <f>COUNTIFS('Clinical Trials HCO'!$A:$A, K318, 'Clinical Trials HCO'!$D:$D, "&lt;&gt;")</f>
        <v>0</v>
      </c>
      <c r="AF318" t="s">
        <v>414</v>
      </c>
      <c r="AG318" t="s">
        <v>414</v>
      </c>
    </row>
    <row r="319" spans="2:33" hidden="1">
      <c r="B319">
        <v>641</v>
      </c>
      <c r="F319">
        <f>COUNTIF(HCPs!W:W,HCO_Data!K319)</f>
        <v>0</v>
      </c>
      <c r="G319" t="str">
        <f>IF(COUNTIF('Testing Referrals'!B:B,HCO_Data!K319)&gt;0,"Yes","")</f>
        <v/>
      </c>
      <c r="H319">
        <f>COUNTIF('HCO referrals'!B:B,HCO_Data!K319)+COUNTIF('HCO referrals'!C:C,HCO_Data!K319)</f>
        <v>0</v>
      </c>
      <c r="I319">
        <v>580780138</v>
      </c>
      <c r="K319" t="s">
        <v>10325</v>
      </c>
      <c r="L319" t="s">
        <v>657</v>
      </c>
      <c r="M319" t="s">
        <v>2349</v>
      </c>
      <c r="N319">
        <v>58004</v>
      </c>
      <c r="O319" t="s">
        <v>915</v>
      </c>
      <c r="Q319" t="s">
        <v>4283</v>
      </c>
      <c r="R319">
        <v>113</v>
      </c>
      <c r="S319">
        <v>37</v>
      </c>
      <c r="T319">
        <v>37</v>
      </c>
      <c r="W319">
        <f>COUNTIFS('Clinical Trials HCO'!$A:$A, K319, 'Clinical Trials HCO'!$D:$D, "&lt;&gt;")</f>
        <v>0</v>
      </c>
      <c r="AF319" t="s">
        <v>414</v>
      </c>
      <c r="AG319" t="s">
        <v>414</v>
      </c>
    </row>
    <row r="320" spans="2:33" hidden="1">
      <c r="B320">
        <v>327</v>
      </c>
      <c r="F320">
        <f>COUNTIF(HCPs!W:W,HCO_Data!K320)</f>
        <v>0</v>
      </c>
      <c r="G320" t="str">
        <f>IF(COUNTIF('Testing Referrals'!B:B,HCO_Data!K320)&gt;0,"Yes","")</f>
        <v/>
      </c>
      <c r="H320">
        <f>COUNTIF('HCO referrals'!B:B,HCO_Data!K320)+COUNTIF('HCO referrals'!C:C,HCO_Data!K320)</f>
        <v>0</v>
      </c>
      <c r="I320">
        <v>590804696</v>
      </c>
      <c r="K320" t="s">
        <v>10326</v>
      </c>
      <c r="L320" t="s">
        <v>1350</v>
      </c>
      <c r="M320" t="s">
        <v>1730</v>
      </c>
      <c r="N320">
        <v>59208</v>
      </c>
      <c r="O320" t="s">
        <v>1731</v>
      </c>
      <c r="Q320" t="s">
        <v>4283</v>
      </c>
      <c r="R320">
        <v>299</v>
      </c>
      <c r="S320">
        <v>37</v>
      </c>
      <c r="T320">
        <v>37</v>
      </c>
      <c r="W320">
        <f>COUNTIFS('Clinical Trials HCO'!$A:$A, K320, 'Clinical Trials HCO'!$D:$D, "&lt;&gt;")</f>
        <v>0</v>
      </c>
      <c r="AF320" t="s">
        <v>414</v>
      </c>
      <c r="AG320" t="s">
        <v>414</v>
      </c>
    </row>
    <row r="321" spans="2:33" hidden="1">
      <c r="B321">
        <v>161</v>
      </c>
      <c r="F321">
        <f>COUNTIF(HCPs!W:W,HCO_Data!K321)</f>
        <v>0</v>
      </c>
      <c r="G321" t="str">
        <f>IF(COUNTIF('Testing Referrals'!B:B,HCO_Data!K321)&gt;0,"Yes","")</f>
        <v/>
      </c>
      <c r="H321">
        <f>COUNTIF('HCO referrals'!B:B,HCO_Data!K321)+COUNTIF('HCO referrals'!C:C,HCO_Data!K321)</f>
        <v>0</v>
      </c>
      <c r="I321">
        <v>600000467</v>
      </c>
      <c r="K321" t="s">
        <v>10327</v>
      </c>
      <c r="L321" t="s">
        <v>1413</v>
      </c>
      <c r="M321" t="s">
        <v>1867</v>
      </c>
      <c r="N321">
        <v>60109</v>
      </c>
      <c r="O321" t="s">
        <v>1868</v>
      </c>
      <c r="Q321" t="s">
        <v>4283</v>
      </c>
      <c r="R321">
        <v>237</v>
      </c>
      <c r="S321">
        <v>37</v>
      </c>
      <c r="T321">
        <v>37</v>
      </c>
      <c r="W321">
        <f>COUNTIFS('Clinical Trials HCO'!$A:$A, K321, 'Clinical Trials HCO'!$D:$D, "&lt;&gt;")</f>
        <v>0</v>
      </c>
      <c r="AF321" t="s">
        <v>414</v>
      </c>
      <c r="AG321" t="s">
        <v>414</v>
      </c>
    </row>
    <row r="322" spans="2:33" hidden="1">
      <c r="B322">
        <v>444</v>
      </c>
      <c r="F322">
        <f>COUNTIF(HCPs!W:W,HCO_Data!K322)</f>
        <v>0</v>
      </c>
      <c r="G322" t="str">
        <f>IF(COUNTIF('Testing Referrals'!B:B,HCO_Data!K322)&gt;0,"Yes","")</f>
        <v/>
      </c>
      <c r="H322">
        <f>COUNTIF('HCO referrals'!B:B,HCO_Data!K322)+COUNTIF('HCO referrals'!C:C,HCO_Data!K322)</f>
        <v>0</v>
      </c>
      <c r="I322">
        <v>60780590</v>
      </c>
      <c r="K322" t="s">
        <v>10328</v>
      </c>
      <c r="L322" t="s">
        <v>627</v>
      </c>
      <c r="M322" t="s">
        <v>2767</v>
      </c>
      <c r="N322">
        <v>6130</v>
      </c>
      <c r="O322" t="s">
        <v>2768</v>
      </c>
      <c r="Q322" t="s">
        <v>4283</v>
      </c>
      <c r="R322">
        <v>527</v>
      </c>
      <c r="S322">
        <v>36</v>
      </c>
      <c r="T322">
        <v>36</v>
      </c>
      <c r="W322">
        <f>COUNTIFS('Clinical Trials HCO'!$A:$A, K322, 'Clinical Trials HCO'!$D:$D, "&lt;&gt;")</f>
        <v>0</v>
      </c>
      <c r="AF322" t="s">
        <v>414</v>
      </c>
    </row>
    <row r="323" spans="2:33" hidden="1">
      <c r="B323">
        <v>267</v>
      </c>
      <c r="F323">
        <f>COUNTIF(HCPs!W:W,HCO_Data!K323)</f>
        <v>0</v>
      </c>
      <c r="G323" t="str">
        <f>IF(COUNTIF('Testing Referrals'!B:B,HCO_Data!K323)&gt;0,"Yes","")</f>
        <v/>
      </c>
      <c r="H323">
        <f>COUNTIF('HCO referrals'!B:B,HCO_Data!K323)+COUNTIF('HCO referrals'!C:C,HCO_Data!K323)</f>
        <v>0</v>
      </c>
      <c r="I323">
        <v>130784713</v>
      </c>
      <c r="K323" t="s">
        <v>10329</v>
      </c>
      <c r="L323" t="s">
        <v>1643</v>
      </c>
      <c r="M323" t="s">
        <v>2282</v>
      </c>
      <c r="N323">
        <v>13012</v>
      </c>
      <c r="O323" t="s">
        <v>822</v>
      </c>
      <c r="Q323" t="s">
        <v>4283</v>
      </c>
      <c r="R323">
        <v>264</v>
      </c>
      <c r="S323">
        <v>36</v>
      </c>
      <c r="T323">
        <v>36</v>
      </c>
      <c r="W323">
        <f>COUNTIFS('Clinical Trials HCO'!$A:$A, K323, 'Clinical Trials HCO'!$D:$D, "&lt;&gt;")</f>
        <v>0</v>
      </c>
      <c r="AF323" t="s">
        <v>414</v>
      </c>
      <c r="AG323" t="s">
        <v>414</v>
      </c>
    </row>
    <row r="324" spans="2:33" hidden="1">
      <c r="F324">
        <f>COUNTIF(HCPs!W:W,HCO_Data!K324)</f>
        <v>0</v>
      </c>
      <c r="G324" t="str">
        <f>IF(COUNTIF('Testing Referrals'!B:B,HCO_Data!K324)&gt;0,"Yes","")</f>
        <v/>
      </c>
      <c r="H324">
        <f>COUNTIF('HCO referrals'!B:B,HCO_Data!K324)+COUNTIF('HCO referrals'!C:C,HCO_Data!K324)</f>
        <v>0</v>
      </c>
      <c r="I324">
        <v>620000349</v>
      </c>
      <c r="K324" t="s">
        <v>10330</v>
      </c>
      <c r="L324" t="s">
        <v>8692</v>
      </c>
      <c r="M324" t="s">
        <v>8693</v>
      </c>
      <c r="O324" t="s">
        <v>8694</v>
      </c>
      <c r="P324" t="s">
        <v>721</v>
      </c>
      <c r="Q324" t="s">
        <v>4283</v>
      </c>
      <c r="R324">
        <v>266</v>
      </c>
      <c r="S324">
        <v>36</v>
      </c>
      <c r="T324">
        <v>36</v>
      </c>
      <c r="W324">
        <f>COUNTIFS('Clinical Trials HCO'!$A:$A, K324, 'Clinical Trials HCO'!$D:$D, "&lt;&gt;")</f>
        <v>0</v>
      </c>
    </row>
    <row r="325" spans="2:33" hidden="1">
      <c r="B325">
        <v>406</v>
      </c>
      <c r="F325">
        <f>COUNTIF(HCPs!W:W,HCO_Data!K325)</f>
        <v>0</v>
      </c>
      <c r="G325" t="str">
        <f>IF(COUNTIF('Testing Referrals'!B:B,HCO_Data!K325)&gt;0,"Yes","")</f>
        <v/>
      </c>
      <c r="H325">
        <f>COUNTIF('HCO referrals'!B:B,HCO_Data!K325)+COUNTIF('HCO referrals'!C:C,HCO_Data!K325)</f>
        <v>0</v>
      </c>
      <c r="I325">
        <v>630780211</v>
      </c>
      <c r="K325" t="s">
        <v>10331</v>
      </c>
      <c r="L325" t="s">
        <v>1675</v>
      </c>
      <c r="M325" t="s">
        <v>2327</v>
      </c>
      <c r="N325">
        <v>63050</v>
      </c>
      <c r="O325" t="s">
        <v>896</v>
      </c>
      <c r="Q325" t="s">
        <v>4283</v>
      </c>
      <c r="R325">
        <v>281</v>
      </c>
      <c r="S325">
        <v>36</v>
      </c>
      <c r="T325">
        <v>36</v>
      </c>
      <c r="W325">
        <f>COUNTIFS('Clinical Trials HCO'!$A:$A, K325, 'Clinical Trials HCO'!$D:$D, "&lt;&gt;")</f>
        <v>0</v>
      </c>
      <c r="AG325" t="s">
        <v>414</v>
      </c>
    </row>
    <row r="326" spans="2:33" hidden="1">
      <c r="B326">
        <v>559</v>
      </c>
      <c r="F326">
        <f>COUNTIF(HCPs!W:W,HCO_Data!K326)</f>
        <v>0</v>
      </c>
      <c r="G326" t="str">
        <f>IF(COUNTIF('Testing Referrals'!B:B,HCO_Data!K326)&gt;0,"Yes","")</f>
        <v/>
      </c>
      <c r="H326">
        <f>COUNTIF('HCO referrals'!B:B,HCO_Data!K326)+COUNTIF('HCO referrals'!C:C,HCO_Data!K326)</f>
        <v>0</v>
      </c>
      <c r="I326">
        <v>710978347</v>
      </c>
      <c r="K326" t="s">
        <v>10332</v>
      </c>
      <c r="L326" t="s">
        <v>2592</v>
      </c>
      <c r="M326" t="s">
        <v>2870</v>
      </c>
      <c r="N326">
        <v>71206</v>
      </c>
      <c r="O326" t="s">
        <v>2871</v>
      </c>
      <c r="Q326" t="s">
        <v>4283</v>
      </c>
      <c r="R326">
        <v>335</v>
      </c>
      <c r="S326">
        <v>36</v>
      </c>
      <c r="T326">
        <v>36</v>
      </c>
      <c r="W326">
        <f>COUNTIFS('Clinical Trials HCO'!$A:$A, K326, 'Clinical Trials HCO'!$D:$D, "&lt;&gt;")</f>
        <v>0</v>
      </c>
      <c r="AF326" t="s">
        <v>414</v>
      </c>
      <c r="AG326" t="s">
        <v>414</v>
      </c>
    </row>
    <row r="327" spans="2:33" hidden="1">
      <c r="F327">
        <f>COUNTIF(HCPs!W:W,HCO_Data!K327)</f>
        <v>0</v>
      </c>
      <c r="G327" t="str">
        <f>IF(COUNTIF('Testing Referrals'!B:B,HCO_Data!K327)&gt;0,"Yes","")</f>
        <v/>
      </c>
      <c r="H327">
        <f>COUNTIF('HCO referrals'!B:B,HCO_Data!K327)+COUNTIF('HCO referrals'!C:C,HCO_Data!K327)</f>
        <v>0</v>
      </c>
      <c r="I327">
        <v>750300014</v>
      </c>
      <c r="K327" t="s">
        <v>10333</v>
      </c>
      <c r="L327" t="s">
        <v>8890</v>
      </c>
      <c r="M327" t="s">
        <v>8891</v>
      </c>
      <c r="O327" t="s">
        <v>700</v>
      </c>
      <c r="P327" t="s">
        <v>700</v>
      </c>
      <c r="Q327" t="s">
        <v>4283</v>
      </c>
      <c r="R327">
        <v>537</v>
      </c>
      <c r="S327">
        <v>36</v>
      </c>
      <c r="T327">
        <v>36</v>
      </c>
      <c r="W327">
        <f>COUNTIFS('Clinical Trials HCO'!$A:$A, K327, 'Clinical Trials HCO'!$D:$D, "&lt;&gt;")</f>
        <v>0</v>
      </c>
    </row>
    <row r="328" spans="2:33" hidden="1">
      <c r="B328">
        <v>298</v>
      </c>
      <c r="F328">
        <f>COUNTIF(HCPs!W:W,HCO_Data!K328)</f>
        <v>0</v>
      </c>
      <c r="G328" t="str">
        <f>IF(COUNTIF('Testing Referrals'!B:B,HCO_Data!K328)&gt;0,"Yes","")</f>
        <v/>
      </c>
      <c r="H328">
        <f>COUNTIF('HCO referrals'!B:B,HCO_Data!K328)+COUNTIF('HCO referrals'!C:C,HCO_Data!K328)</f>
        <v>0</v>
      </c>
      <c r="I328">
        <v>910026780</v>
      </c>
      <c r="K328" t="s">
        <v>10334</v>
      </c>
      <c r="L328" t="s">
        <v>1591</v>
      </c>
      <c r="M328" t="s">
        <v>2193</v>
      </c>
      <c r="N328">
        <v>91400</v>
      </c>
      <c r="O328" t="s">
        <v>2194</v>
      </c>
      <c r="Q328" t="s">
        <v>4283</v>
      </c>
      <c r="R328">
        <v>310</v>
      </c>
      <c r="S328">
        <v>36</v>
      </c>
      <c r="T328">
        <v>36</v>
      </c>
      <c r="W328">
        <f>COUNTIFS('Clinical Trials HCO'!$A:$A, K328, 'Clinical Trials HCO'!$D:$D, "&lt;&gt;")</f>
        <v>0</v>
      </c>
      <c r="AF328" t="s">
        <v>414</v>
      </c>
      <c r="AG328" t="s">
        <v>414</v>
      </c>
    </row>
    <row r="329" spans="2:33" hidden="1">
      <c r="B329">
        <v>470</v>
      </c>
      <c r="F329">
        <f>COUNTIF(HCPs!W:W,HCO_Data!K329)</f>
        <v>0</v>
      </c>
      <c r="G329" t="str">
        <f>IF(COUNTIF('Testing Referrals'!B:B,HCO_Data!K329)&gt;0,"Yes","")</f>
        <v/>
      </c>
      <c r="H329">
        <f>COUNTIF('HCO referrals'!B:B,HCO_Data!K329)+COUNTIF('HCO referrals'!C:C,HCO_Data!K329)</f>
        <v>0</v>
      </c>
      <c r="I329">
        <v>280505777</v>
      </c>
      <c r="K329" t="s">
        <v>10335</v>
      </c>
      <c r="L329" t="s">
        <v>1599</v>
      </c>
      <c r="M329" t="s">
        <v>2203</v>
      </c>
      <c r="N329">
        <v>28300</v>
      </c>
      <c r="O329" t="s">
        <v>2204</v>
      </c>
      <c r="Q329" t="s">
        <v>4283</v>
      </c>
      <c r="R329">
        <v>313</v>
      </c>
      <c r="S329">
        <v>35</v>
      </c>
      <c r="T329">
        <v>35</v>
      </c>
      <c r="W329">
        <f>COUNTIFS('Clinical Trials HCO'!$A:$A, K329, 'Clinical Trials HCO'!$D:$D, "&lt;&gt;")</f>
        <v>0</v>
      </c>
      <c r="AF329" t="s">
        <v>414</v>
      </c>
      <c r="AG329" t="s">
        <v>414</v>
      </c>
    </row>
    <row r="330" spans="2:33" hidden="1">
      <c r="B330">
        <v>339</v>
      </c>
      <c r="F330">
        <f>COUNTIF(HCPs!W:W,HCO_Data!K330)</f>
        <v>0</v>
      </c>
      <c r="G330" t="str">
        <f>IF(COUNTIF('Testing Referrals'!B:B,HCO_Data!K330)&gt;0,"Yes","")</f>
        <v/>
      </c>
      <c r="H330">
        <f>COUNTIF('HCO referrals'!B:B,HCO_Data!K330)+COUNTIF('HCO referrals'!C:C,HCO_Data!K330)</f>
        <v>0</v>
      </c>
      <c r="I330" s="106">
        <v>330780206</v>
      </c>
      <c r="K330" t="s">
        <v>10336</v>
      </c>
      <c r="L330" t="s">
        <v>1508</v>
      </c>
      <c r="M330" t="s">
        <v>2048</v>
      </c>
      <c r="N330">
        <v>33164</v>
      </c>
      <c r="O330" t="s">
        <v>2049</v>
      </c>
      <c r="Q330" t="s">
        <v>4283</v>
      </c>
      <c r="R330">
        <v>312</v>
      </c>
      <c r="S330">
        <v>35</v>
      </c>
      <c r="T330">
        <v>35</v>
      </c>
      <c r="W330">
        <f>COUNTIFS('Clinical Trials HCO'!$A:$A, K330, 'Clinical Trials HCO'!$D:$D, "&lt;&gt;")</f>
        <v>0</v>
      </c>
      <c r="AF330" t="s">
        <v>414</v>
      </c>
      <c r="AG330" t="s">
        <v>414</v>
      </c>
    </row>
    <row r="331" spans="2:33" hidden="1">
      <c r="F331">
        <f>COUNTIF(HCPs!W:W,HCO_Data!K331)</f>
        <v>0</v>
      </c>
      <c r="G331" t="str">
        <f>IF(COUNTIF('Testing Referrals'!B:B,HCO_Data!K331)&gt;0,"Yes","")</f>
        <v/>
      </c>
      <c r="H331">
        <f>COUNTIF('HCO referrals'!B:B,HCO_Data!K331)+COUNTIF('HCO referrals'!C:C,HCO_Data!K331)</f>
        <v>0</v>
      </c>
      <c r="I331" s="106">
        <v>440000016</v>
      </c>
      <c r="K331" t="s">
        <v>10337</v>
      </c>
      <c r="L331" t="s">
        <v>8881</v>
      </c>
      <c r="M331" t="s">
        <v>8657</v>
      </c>
      <c r="O331" t="s">
        <v>8658</v>
      </c>
      <c r="P331" t="s">
        <v>711</v>
      </c>
      <c r="Q331" t="s">
        <v>4283</v>
      </c>
      <c r="R331">
        <v>531</v>
      </c>
      <c r="S331">
        <v>35</v>
      </c>
      <c r="T331">
        <v>35</v>
      </c>
      <c r="W331">
        <f>COUNTIFS('Clinical Trials HCO'!$A:$A, K331, 'Clinical Trials HCO'!$D:$D, "&lt;&gt;")</f>
        <v>0</v>
      </c>
    </row>
    <row r="332" spans="2:33" hidden="1">
      <c r="B332">
        <v>447</v>
      </c>
      <c r="C332" t="s">
        <v>8439</v>
      </c>
      <c r="F332">
        <f>COUNTIF(HCPs!W:W,HCO_Data!K332)</f>
        <v>0</v>
      </c>
      <c r="G332" t="str">
        <f>IF(COUNTIF('Testing Referrals'!B:B,HCO_Data!K332)&gt;0,"Yes","")</f>
        <v/>
      </c>
      <c r="H332">
        <f>COUNTIF('HCO referrals'!B:B,HCO_Data!K332)+COUNTIF('HCO referrals'!C:C,HCO_Data!K332)</f>
        <v>0</v>
      </c>
      <c r="I332">
        <v>720000199</v>
      </c>
      <c r="K332" t="s">
        <v>10338</v>
      </c>
      <c r="L332" t="s">
        <v>675</v>
      </c>
      <c r="M332" t="s">
        <v>2771</v>
      </c>
      <c r="N332">
        <v>72018</v>
      </c>
      <c r="O332" t="s">
        <v>1883</v>
      </c>
      <c r="Q332" t="s">
        <v>4283</v>
      </c>
      <c r="R332">
        <v>507</v>
      </c>
      <c r="S332">
        <v>35</v>
      </c>
      <c r="T332">
        <v>35</v>
      </c>
      <c r="W332">
        <f>COUNTIFS('Clinical Trials HCO'!$A:$A, K332, 'Clinical Trials HCO'!$D:$D, "&lt;&gt;")</f>
        <v>0</v>
      </c>
      <c r="AF332" t="s">
        <v>414</v>
      </c>
      <c r="AG332" t="s">
        <v>414</v>
      </c>
    </row>
    <row r="333" spans="2:33" hidden="1">
      <c r="F333">
        <f>COUNTIF(HCPs!W:W,HCO_Data!K333)</f>
        <v>0</v>
      </c>
      <c r="G333" t="str">
        <f>IF(COUNTIF('Testing Referrals'!B:B,HCO_Data!K333)&gt;0,"Yes","")</f>
        <v/>
      </c>
      <c r="H333">
        <f>COUNTIF('HCO referrals'!B:B,HCO_Data!K333)+COUNTIF('HCO referrals'!C:C,HCO_Data!K333)</f>
        <v>0</v>
      </c>
      <c r="I333">
        <v>920120011</v>
      </c>
      <c r="K333" t="s">
        <v>10339</v>
      </c>
      <c r="L333" t="s">
        <v>8703</v>
      </c>
      <c r="M333" t="s">
        <v>8704</v>
      </c>
      <c r="O333" t="s">
        <v>2297</v>
      </c>
      <c r="P333" t="s">
        <v>722</v>
      </c>
      <c r="Q333" t="s">
        <v>4283</v>
      </c>
      <c r="R333">
        <v>285</v>
      </c>
      <c r="S333">
        <v>35</v>
      </c>
      <c r="T333">
        <v>35</v>
      </c>
      <c r="W333">
        <f>COUNTIFS('Clinical Trials HCO'!$A:$A, K333, 'Clinical Trials HCO'!$D:$D, "&lt;&gt;")</f>
        <v>0</v>
      </c>
    </row>
    <row r="334" spans="2:33" hidden="1">
      <c r="B334">
        <v>250</v>
      </c>
      <c r="F334">
        <f>COUNTIF(HCPs!W:W,HCO_Data!K334)</f>
        <v>0</v>
      </c>
      <c r="G334" t="str">
        <f>IF(COUNTIF('Testing Referrals'!B:B,HCO_Data!K334)&gt;0,"Yes","")</f>
        <v/>
      </c>
      <c r="H334">
        <f>COUNTIF('HCO referrals'!B:B,HCO_Data!K334)+COUNTIF('HCO referrals'!C:C,HCO_Data!K334)</f>
        <v>0</v>
      </c>
      <c r="I334">
        <v>950000331</v>
      </c>
      <c r="K334" t="s">
        <v>10340</v>
      </c>
      <c r="L334" t="s">
        <v>1411</v>
      </c>
      <c r="M334" t="s">
        <v>1863</v>
      </c>
      <c r="N334">
        <v>95503</v>
      </c>
      <c r="O334" t="s">
        <v>1864</v>
      </c>
      <c r="Q334" t="s">
        <v>4283</v>
      </c>
      <c r="R334">
        <v>279</v>
      </c>
      <c r="S334">
        <v>35</v>
      </c>
      <c r="T334">
        <v>35</v>
      </c>
      <c r="W334">
        <f>COUNTIFS('Clinical Trials HCO'!$A:$A, K334, 'Clinical Trials HCO'!$D:$D, "&lt;&gt;")</f>
        <v>0</v>
      </c>
      <c r="AF334" t="s">
        <v>414</v>
      </c>
      <c r="AG334" t="s">
        <v>414</v>
      </c>
    </row>
    <row r="335" spans="2:33" hidden="1">
      <c r="B335">
        <v>453</v>
      </c>
      <c r="F335">
        <f>COUNTIF(HCPs!W:W,HCO_Data!K335)</f>
        <v>2</v>
      </c>
      <c r="G335" t="str">
        <f>IF(COUNTIF('Testing Referrals'!B:B,HCO_Data!K335)&gt;0,"Yes","")</f>
        <v/>
      </c>
      <c r="H335">
        <f>COUNTIF('HCO referrals'!B:B,HCO_Data!K335)+COUNTIF('HCO referrals'!C:C,HCO_Data!K335)</f>
        <v>0</v>
      </c>
      <c r="I335">
        <v>260006267</v>
      </c>
      <c r="K335" t="s">
        <v>3801</v>
      </c>
      <c r="L335" s="13" t="s">
        <v>7815</v>
      </c>
      <c r="M335" t="s">
        <v>2075</v>
      </c>
      <c r="N335">
        <v>26000</v>
      </c>
      <c r="O335" t="s">
        <v>1842</v>
      </c>
      <c r="Q335" t="s">
        <v>4283</v>
      </c>
      <c r="R335">
        <v>225</v>
      </c>
      <c r="S335">
        <v>34</v>
      </c>
      <c r="T335">
        <v>34</v>
      </c>
      <c r="W335">
        <f>COUNTIFS('Clinical Trials HCO'!$A:$A, K335, 'Clinical Trials HCO'!$D:$D, "&lt;&gt;")</f>
        <v>0</v>
      </c>
      <c r="AG335" t="s">
        <v>414</v>
      </c>
    </row>
    <row r="336" spans="2:33" hidden="1">
      <c r="B336">
        <v>221</v>
      </c>
      <c r="F336">
        <f>COUNTIF(HCPs!W:W,HCO_Data!K336)</f>
        <v>0</v>
      </c>
      <c r="G336" t="str">
        <f>IF(COUNTIF('Testing Referrals'!B:B,HCO_Data!K336)&gt;0,"Yes","")</f>
        <v/>
      </c>
      <c r="H336">
        <f>COUNTIF('HCO referrals'!B:B,HCO_Data!K336)+COUNTIF('HCO referrals'!C:C,HCO_Data!K336)</f>
        <v>0</v>
      </c>
      <c r="I336">
        <v>210987657</v>
      </c>
      <c r="K336" t="s">
        <v>10341</v>
      </c>
      <c r="L336" t="s">
        <v>1642</v>
      </c>
      <c r="M336" t="s">
        <v>2278</v>
      </c>
      <c r="N336">
        <v>21203</v>
      </c>
      <c r="O336" t="s">
        <v>2279</v>
      </c>
      <c r="Q336" t="s">
        <v>4283</v>
      </c>
      <c r="R336">
        <v>306</v>
      </c>
      <c r="S336">
        <v>34</v>
      </c>
      <c r="T336">
        <v>34</v>
      </c>
      <c r="W336">
        <f>COUNTIFS('Clinical Trials HCO'!$A:$A, K336, 'Clinical Trials HCO'!$D:$D, "&lt;&gt;")</f>
        <v>0</v>
      </c>
      <c r="AD336" s="12" t="s">
        <v>414</v>
      </c>
      <c r="AE336" t="s">
        <v>3927</v>
      </c>
      <c r="AF336" t="s">
        <v>414</v>
      </c>
      <c r="AG336" t="s">
        <v>414</v>
      </c>
    </row>
    <row r="337" spans="2:33" hidden="1">
      <c r="B337">
        <v>479</v>
      </c>
      <c r="F337">
        <f>COUNTIF(HCPs!W:W,HCO_Data!K337)</f>
        <v>0</v>
      </c>
      <c r="G337" t="str">
        <f>IF(COUNTIF('Testing Referrals'!B:B,HCO_Data!K337)&gt;0,"Yes","")</f>
        <v/>
      </c>
      <c r="H337">
        <f>COUNTIF('HCO referrals'!B:B,HCO_Data!K337)+COUNTIF('HCO referrals'!C:C,HCO_Data!K337)</f>
        <v>0</v>
      </c>
      <c r="I337">
        <v>470000027</v>
      </c>
      <c r="K337" t="s">
        <v>10342</v>
      </c>
      <c r="L337" t="s">
        <v>2462</v>
      </c>
      <c r="M337" t="s">
        <v>2776</v>
      </c>
      <c r="N337">
        <v>47002</v>
      </c>
      <c r="O337" t="s">
        <v>1767</v>
      </c>
      <c r="Q337" t="s">
        <v>4283</v>
      </c>
      <c r="R337">
        <v>540</v>
      </c>
      <c r="S337">
        <v>34</v>
      </c>
      <c r="T337">
        <v>34</v>
      </c>
      <c r="W337">
        <f>COUNTIFS('Clinical Trials HCO'!$A:$A, K337, 'Clinical Trials HCO'!$D:$D, "&lt;&gt;")</f>
        <v>0</v>
      </c>
      <c r="AF337" t="s">
        <v>414</v>
      </c>
      <c r="AG337" t="s">
        <v>414</v>
      </c>
    </row>
    <row r="338" spans="2:33" hidden="1">
      <c r="B338">
        <v>550</v>
      </c>
      <c r="F338">
        <f>COUNTIF(HCPs!W:W,HCO_Data!K338)</f>
        <v>0</v>
      </c>
      <c r="G338" t="str">
        <f>IF(COUNTIF('Testing Referrals'!B:B,HCO_Data!K338)&gt;0,"Yes","")</f>
        <v/>
      </c>
      <c r="H338">
        <f>COUNTIF('HCO referrals'!B:B,HCO_Data!K338)+COUNTIF('HCO referrals'!C:C,HCO_Data!K338)</f>
        <v>0</v>
      </c>
      <c r="I338">
        <v>570000901</v>
      </c>
      <c r="K338" t="s">
        <v>10343</v>
      </c>
      <c r="L338" t="s">
        <v>1630</v>
      </c>
      <c r="M338" t="s">
        <v>2257</v>
      </c>
      <c r="N338">
        <v>57211</v>
      </c>
      <c r="O338" t="s">
        <v>2258</v>
      </c>
      <c r="Q338" t="s">
        <v>4283</v>
      </c>
      <c r="R338">
        <v>344</v>
      </c>
      <c r="S338">
        <v>34</v>
      </c>
      <c r="T338">
        <v>34</v>
      </c>
      <c r="W338">
        <f>COUNTIFS('Clinical Trials HCO'!$A:$A, K338, 'Clinical Trials HCO'!$D:$D, "&lt;&gt;")</f>
        <v>0</v>
      </c>
      <c r="AF338" t="s">
        <v>414</v>
      </c>
      <c r="AG338" t="s">
        <v>414</v>
      </c>
    </row>
    <row r="339" spans="2:33" hidden="1">
      <c r="B339">
        <v>540</v>
      </c>
      <c r="F339">
        <f>COUNTIF(HCPs!W:W,HCO_Data!K339)</f>
        <v>0</v>
      </c>
      <c r="G339" t="str">
        <f>IF(COUNTIF('Testing Referrals'!B:B,HCO_Data!K339)&gt;0,"Yes","")</f>
        <v/>
      </c>
      <c r="H339">
        <f>COUNTIF('HCO referrals'!B:B,HCO_Data!K339)+COUNTIF('HCO referrals'!C:C,HCO_Data!K339)</f>
        <v>0</v>
      </c>
      <c r="I339">
        <v>590780383</v>
      </c>
      <c r="K339" t="s">
        <v>10344</v>
      </c>
      <c r="L339" t="s">
        <v>1617</v>
      </c>
      <c r="M339" t="s">
        <v>2234</v>
      </c>
      <c r="N339">
        <v>59042</v>
      </c>
      <c r="O339" t="s">
        <v>871</v>
      </c>
      <c r="Q339" t="s">
        <v>4283</v>
      </c>
      <c r="R339">
        <v>376</v>
      </c>
      <c r="S339">
        <v>34</v>
      </c>
      <c r="T339">
        <v>34</v>
      </c>
      <c r="W339">
        <f>COUNTIFS('Clinical Trials HCO'!$A:$A, K339, 'Clinical Trials HCO'!$D:$D, "&lt;&gt;")</f>
        <v>0</v>
      </c>
      <c r="AF339" t="s">
        <v>414</v>
      </c>
      <c r="AG339" t="s">
        <v>414</v>
      </c>
    </row>
    <row r="340" spans="2:33" hidden="1">
      <c r="B340">
        <v>593</v>
      </c>
      <c r="F340">
        <f>COUNTIF(HCPs!W:W,HCO_Data!K340)</f>
        <v>1</v>
      </c>
      <c r="G340" t="str">
        <f>IF(COUNTIF('Testing Referrals'!B:B,HCO_Data!K340)&gt;0,"Yes","")</f>
        <v/>
      </c>
      <c r="H340">
        <f>COUNTIF('HCO referrals'!B:B,HCO_Data!K340)+COUNTIF('HCO referrals'!C:C,HCO_Data!K340)</f>
        <v>0</v>
      </c>
      <c r="I340">
        <v>740014691</v>
      </c>
      <c r="K340" t="s">
        <v>10345</v>
      </c>
      <c r="L340" s="13" t="s">
        <v>1337</v>
      </c>
      <c r="M340" t="s">
        <v>1706</v>
      </c>
      <c r="N340">
        <v>74700</v>
      </c>
      <c r="O340" t="s">
        <v>1707</v>
      </c>
      <c r="Q340" t="s">
        <v>4283</v>
      </c>
      <c r="R340">
        <v>249</v>
      </c>
      <c r="S340">
        <v>34</v>
      </c>
      <c r="T340">
        <v>34</v>
      </c>
      <c r="W340">
        <f>COUNTIFS('Clinical Trials HCO'!$A:$A, K340, 'Clinical Trials HCO'!$D:$D, "&lt;&gt;")</f>
        <v>0</v>
      </c>
      <c r="AF340" t="s">
        <v>414</v>
      </c>
      <c r="AG340" t="s">
        <v>414</v>
      </c>
    </row>
    <row r="341" spans="2:33" hidden="1">
      <c r="B341">
        <v>193</v>
      </c>
      <c r="F341">
        <f>COUNTIF(HCPs!W:W,HCO_Data!K341)</f>
        <v>0</v>
      </c>
      <c r="G341" t="str">
        <f>IF(COUNTIF('Testing Referrals'!B:B,HCO_Data!K341)&gt;0,"Yes","")</f>
        <v/>
      </c>
      <c r="H341">
        <f>COUNTIF('HCO referrals'!B:B,HCO_Data!K341)+COUNTIF('HCO referrals'!C:C,HCO_Data!K341)</f>
        <v>0</v>
      </c>
      <c r="I341">
        <v>120000054</v>
      </c>
      <c r="K341" t="s">
        <v>10346</v>
      </c>
      <c r="L341" t="s">
        <v>1444</v>
      </c>
      <c r="M341" t="s">
        <v>1939</v>
      </c>
      <c r="N341">
        <v>12200</v>
      </c>
      <c r="O341" t="s">
        <v>1940</v>
      </c>
      <c r="Q341" t="s">
        <v>4283</v>
      </c>
      <c r="R341">
        <v>398</v>
      </c>
      <c r="S341">
        <v>33</v>
      </c>
      <c r="T341">
        <v>33</v>
      </c>
      <c r="W341">
        <f>COUNTIFS('Clinical Trials HCO'!$A:$A, K341, 'Clinical Trials HCO'!$D:$D, "&lt;&gt;")</f>
        <v>0</v>
      </c>
      <c r="AF341" t="s">
        <v>414</v>
      </c>
      <c r="AG341" t="s">
        <v>414</v>
      </c>
    </row>
    <row r="342" spans="2:33" hidden="1">
      <c r="F342">
        <f>COUNTIF(HCPs!W:W,HCO_Data!K342)</f>
        <v>0</v>
      </c>
      <c r="G342" t="str">
        <f>IF(COUNTIF('Testing Referrals'!B:B,HCO_Data!K342)&gt;0,"Yes","")</f>
        <v/>
      </c>
      <c r="H342">
        <f>COUNTIF('HCO referrals'!B:B,HCO_Data!K342)+COUNTIF('HCO referrals'!C:C,HCO_Data!K342)</f>
        <v>0</v>
      </c>
      <c r="I342">
        <v>130784234</v>
      </c>
      <c r="K342" t="s">
        <v>10347</v>
      </c>
      <c r="L342" t="s">
        <v>8897</v>
      </c>
      <c r="M342" t="s">
        <v>8898</v>
      </c>
      <c r="O342" t="s">
        <v>8899</v>
      </c>
      <c r="P342" t="s">
        <v>703</v>
      </c>
      <c r="Q342" t="s">
        <v>4283</v>
      </c>
      <c r="R342">
        <v>544</v>
      </c>
      <c r="S342">
        <v>33</v>
      </c>
      <c r="T342">
        <v>33</v>
      </c>
      <c r="W342">
        <f>COUNTIFS('Clinical Trials HCO'!$A:$A, K342, 'Clinical Trials HCO'!$D:$D, "&lt;&gt;")</f>
        <v>0</v>
      </c>
    </row>
    <row r="343" spans="2:33" hidden="1">
      <c r="F343">
        <f>COUNTIF(HCPs!W:W,HCO_Data!K343)</f>
        <v>0</v>
      </c>
      <c r="G343" t="str">
        <f>IF(COUNTIF('Testing Referrals'!B:B,HCO_Data!K343)&gt;0,"Yes","")</f>
        <v/>
      </c>
      <c r="H343">
        <f>COUNTIF('HCO referrals'!B:B,HCO_Data!K343)+COUNTIF('HCO referrals'!C:C,HCO_Data!K343)</f>
        <v>0</v>
      </c>
      <c r="I343">
        <v>240000372</v>
      </c>
      <c r="K343" t="s">
        <v>10348</v>
      </c>
      <c r="L343" t="s">
        <v>8756</v>
      </c>
      <c r="M343" t="s">
        <v>8757</v>
      </c>
      <c r="O343" t="s">
        <v>8758</v>
      </c>
      <c r="P343" t="s">
        <v>762</v>
      </c>
      <c r="Q343" t="s">
        <v>4283</v>
      </c>
      <c r="R343">
        <v>396</v>
      </c>
      <c r="S343">
        <v>33</v>
      </c>
      <c r="T343">
        <v>33</v>
      </c>
      <c r="W343">
        <f>COUNTIFS('Clinical Trials HCO'!$A:$A, K343, 'Clinical Trials HCO'!$D:$D, "&lt;&gt;")</f>
        <v>0</v>
      </c>
    </row>
    <row r="344" spans="2:33" hidden="1">
      <c r="F344">
        <f>COUNTIF(HCPs!W:W,HCO_Data!K344)</f>
        <v>0</v>
      </c>
      <c r="G344" t="str">
        <f>IF(COUNTIF('Testing Referrals'!B:B,HCO_Data!K344)&gt;0,"Yes","")</f>
        <v/>
      </c>
      <c r="H344">
        <f>COUNTIF('HCO referrals'!B:B,HCO_Data!K344)+COUNTIF('HCO referrals'!C:C,HCO_Data!K344)</f>
        <v>0</v>
      </c>
      <c r="I344">
        <v>440055945</v>
      </c>
      <c r="K344" t="s">
        <v>10349</v>
      </c>
      <c r="L344" s="90" t="s">
        <v>8900</v>
      </c>
      <c r="M344" t="s">
        <v>8901</v>
      </c>
      <c r="O344" t="s">
        <v>2003</v>
      </c>
      <c r="P344" t="s">
        <v>711</v>
      </c>
      <c r="Q344" t="s">
        <v>4283</v>
      </c>
      <c r="R344">
        <v>545</v>
      </c>
      <c r="S344">
        <v>33</v>
      </c>
      <c r="T344">
        <v>33</v>
      </c>
      <c r="W344">
        <f>COUNTIFS('Clinical Trials HCO'!$A:$A, K344, 'Clinical Trials HCO'!$D:$D, "&lt;&gt;")</f>
        <v>0</v>
      </c>
    </row>
    <row r="345" spans="2:33" hidden="1">
      <c r="B345">
        <v>471</v>
      </c>
      <c r="F345">
        <f>COUNTIF(HCPs!W:W,HCO_Data!K345)</f>
        <v>0</v>
      </c>
      <c r="G345" t="str">
        <f>IF(COUNTIF('Testing Referrals'!B:B,HCO_Data!K345)&gt;0,"Yes","")</f>
        <v/>
      </c>
      <c r="H345">
        <f>COUNTIF('HCO referrals'!B:B,HCO_Data!K345)+COUNTIF('HCO referrals'!C:C,HCO_Data!K345)</f>
        <v>0</v>
      </c>
      <c r="I345">
        <v>490000262</v>
      </c>
      <c r="K345" t="s">
        <v>10350</v>
      </c>
      <c r="L345" t="s">
        <v>1528</v>
      </c>
      <c r="M345" t="s">
        <v>2097</v>
      </c>
      <c r="N345">
        <v>49804</v>
      </c>
      <c r="O345" t="s">
        <v>2098</v>
      </c>
      <c r="Q345" t="s">
        <v>4283</v>
      </c>
      <c r="R345">
        <v>227</v>
      </c>
      <c r="S345">
        <v>33</v>
      </c>
      <c r="T345">
        <v>33</v>
      </c>
      <c r="W345">
        <f>COUNTIFS('Clinical Trials HCO'!$A:$A, K345, 'Clinical Trials HCO'!$D:$D, "&lt;&gt;")</f>
        <v>0</v>
      </c>
      <c r="AF345" t="s">
        <v>414</v>
      </c>
      <c r="AG345" t="s">
        <v>414</v>
      </c>
    </row>
    <row r="346" spans="2:33" hidden="1">
      <c r="B346">
        <v>242</v>
      </c>
      <c r="F346">
        <f>COUNTIF(HCPs!W:W,HCO_Data!K346)</f>
        <v>0</v>
      </c>
      <c r="G346" t="str">
        <f>IF(COUNTIF('Testing Referrals'!B:B,HCO_Data!K346)&gt;0,"Yes","")</f>
        <v/>
      </c>
      <c r="H346">
        <f>COUNTIF('HCO referrals'!B:B,HCO_Data!K346)+COUNTIF('HCO referrals'!C:C,HCO_Data!K346)</f>
        <v>0</v>
      </c>
      <c r="I346">
        <v>10780195</v>
      </c>
      <c r="K346" t="s">
        <v>10351</v>
      </c>
      <c r="L346" t="s">
        <v>1507</v>
      </c>
      <c r="M346" t="s">
        <v>2047</v>
      </c>
      <c r="N346">
        <v>1000</v>
      </c>
      <c r="O346" t="s">
        <v>893</v>
      </c>
      <c r="Q346" t="s">
        <v>4283</v>
      </c>
      <c r="R346">
        <v>274</v>
      </c>
      <c r="S346">
        <v>32</v>
      </c>
      <c r="T346">
        <v>32</v>
      </c>
      <c r="W346">
        <f>COUNTIFS('Clinical Trials HCO'!$A:$A, K346, 'Clinical Trials HCO'!$D:$D, "&lt;&gt;")</f>
        <v>0</v>
      </c>
      <c r="AG346" t="s">
        <v>414</v>
      </c>
    </row>
    <row r="347" spans="2:33" hidden="1">
      <c r="B347">
        <v>290</v>
      </c>
      <c r="F347">
        <f>COUNTIF(HCPs!W:W,HCO_Data!K347)</f>
        <v>0</v>
      </c>
      <c r="G347" t="str">
        <f>IF(COUNTIF('Testing Referrals'!B:B,HCO_Data!K347)&gt;0,"Yes","")</f>
        <v/>
      </c>
      <c r="H347">
        <f>COUNTIF('HCO referrals'!B:B,HCO_Data!K347)+COUNTIF('HCO referrals'!C:C,HCO_Data!K347)</f>
        <v>0</v>
      </c>
      <c r="I347">
        <v>130002835</v>
      </c>
      <c r="K347" t="s">
        <v>10352</v>
      </c>
      <c r="L347" t="s">
        <v>1393</v>
      </c>
      <c r="M347" t="s">
        <v>1823</v>
      </c>
      <c r="N347">
        <v>13698</v>
      </c>
      <c r="O347" t="s">
        <v>1824</v>
      </c>
      <c r="Q347" t="s">
        <v>4283</v>
      </c>
      <c r="R347">
        <v>340</v>
      </c>
      <c r="S347">
        <v>32</v>
      </c>
      <c r="T347">
        <v>32</v>
      </c>
      <c r="W347">
        <f>COUNTIFS('Clinical Trials HCO'!$A:$A, K347, 'Clinical Trials HCO'!$D:$D, "&lt;&gt;")</f>
        <v>0</v>
      </c>
      <c r="AF347" t="s">
        <v>414</v>
      </c>
      <c r="AG347" t="s">
        <v>414</v>
      </c>
    </row>
    <row r="348" spans="2:33" hidden="1">
      <c r="B348">
        <v>396</v>
      </c>
      <c r="F348">
        <f>COUNTIF(HCPs!W:W,HCO_Data!K348)</f>
        <v>0</v>
      </c>
      <c r="G348" t="str">
        <f>IF(COUNTIF('Testing Referrals'!B:B,HCO_Data!K348)&gt;0,"Yes","")</f>
        <v/>
      </c>
      <c r="H348">
        <f>COUNTIF('HCO referrals'!B:B,HCO_Data!K348)+COUNTIF('HCO referrals'!C:C,HCO_Data!K348)</f>
        <v>0</v>
      </c>
      <c r="I348">
        <v>410000202</v>
      </c>
      <c r="K348" t="s">
        <v>10353</v>
      </c>
      <c r="L348" t="s">
        <v>1682</v>
      </c>
      <c r="M348" t="s">
        <v>2336</v>
      </c>
      <c r="N348">
        <v>41260</v>
      </c>
      <c r="O348" t="s">
        <v>2337</v>
      </c>
      <c r="Q348" t="s">
        <v>4283</v>
      </c>
      <c r="R348">
        <v>226</v>
      </c>
      <c r="S348">
        <v>32</v>
      </c>
      <c r="T348">
        <v>32</v>
      </c>
      <c r="W348">
        <f>COUNTIFS('Clinical Trials HCO'!$A:$A, K348, 'Clinical Trials HCO'!$D:$D, "&lt;&gt;")</f>
        <v>0</v>
      </c>
      <c r="AF348" t="s">
        <v>414</v>
      </c>
    </row>
    <row r="349" spans="2:33" hidden="1">
      <c r="F349">
        <f>COUNTIF(HCPs!W:W,HCO_Data!K349)</f>
        <v>0</v>
      </c>
      <c r="G349" t="str">
        <f>IF(COUNTIF('Testing Referrals'!B:B,HCO_Data!K349)&gt;0,"Yes","")</f>
        <v/>
      </c>
      <c r="H349">
        <f>COUNTIF('HCO referrals'!B:B,HCO_Data!K349)+COUNTIF('HCO referrals'!C:C,HCO_Data!K349)</f>
        <v>0</v>
      </c>
      <c r="I349">
        <v>540000155</v>
      </c>
      <c r="K349" t="s">
        <v>10354</v>
      </c>
      <c r="L349" t="s">
        <v>8720</v>
      </c>
      <c r="M349" t="s">
        <v>8721</v>
      </c>
      <c r="O349" t="s">
        <v>8722</v>
      </c>
      <c r="P349" t="s">
        <v>742</v>
      </c>
      <c r="Q349" t="s">
        <v>4283</v>
      </c>
      <c r="R349">
        <v>326</v>
      </c>
      <c r="S349">
        <v>32</v>
      </c>
      <c r="T349">
        <v>32</v>
      </c>
      <c r="W349">
        <f>COUNTIFS('Clinical Trials HCO'!$A:$A, K349, 'Clinical Trials HCO'!$D:$D, "&lt;&gt;")</f>
        <v>0</v>
      </c>
    </row>
    <row r="350" spans="2:33" hidden="1">
      <c r="B350">
        <v>668</v>
      </c>
      <c r="F350">
        <f>COUNTIF(HCPs!W:W,HCO_Data!K350)</f>
        <v>0</v>
      </c>
      <c r="G350" t="str">
        <f>IF(COUNTIF('Testing Referrals'!B:B,HCO_Data!K350)&gt;0,"Yes","")</f>
        <v/>
      </c>
      <c r="H350">
        <f>COUNTIF('HCO referrals'!B:B,HCO_Data!K350)+COUNTIF('HCO referrals'!C:C,HCO_Data!K350)</f>
        <v>0</v>
      </c>
      <c r="I350">
        <v>690780655</v>
      </c>
      <c r="K350" t="s">
        <v>10355</v>
      </c>
      <c r="L350" t="s">
        <v>2541</v>
      </c>
      <c r="M350" t="s">
        <v>2846</v>
      </c>
      <c r="N350">
        <v>69800</v>
      </c>
      <c r="O350" t="s">
        <v>2847</v>
      </c>
      <c r="Q350" t="s">
        <v>4283</v>
      </c>
      <c r="R350">
        <v>389</v>
      </c>
      <c r="S350">
        <v>32</v>
      </c>
      <c r="T350">
        <v>32</v>
      </c>
      <c r="W350">
        <f>COUNTIFS('Clinical Trials HCO'!$A:$A, K350, 'Clinical Trials HCO'!$D:$D, "&lt;&gt;")</f>
        <v>0</v>
      </c>
      <c r="AG350" t="s">
        <v>414</v>
      </c>
    </row>
    <row r="351" spans="2:33" hidden="1">
      <c r="B351">
        <v>186</v>
      </c>
      <c r="F351">
        <f>COUNTIF(HCPs!W:W,HCO_Data!K351)</f>
        <v>0</v>
      </c>
      <c r="G351" t="str">
        <f>IF(COUNTIF('Testing Referrals'!B:B,HCO_Data!K351)&gt;0,"Yes","")</f>
        <v/>
      </c>
      <c r="H351">
        <f>COUNTIF('HCO referrals'!B:B,HCO_Data!K351)+COUNTIF('HCO referrals'!C:C,HCO_Data!K351)</f>
        <v>0</v>
      </c>
      <c r="I351">
        <v>690805361</v>
      </c>
      <c r="K351" t="s">
        <v>10356</v>
      </c>
      <c r="L351" t="s">
        <v>669</v>
      </c>
      <c r="M351" t="s">
        <v>1924</v>
      </c>
      <c r="N351">
        <v>69365</v>
      </c>
      <c r="O351" t="s">
        <v>903</v>
      </c>
      <c r="Q351" t="s">
        <v>4283</v>
      </c>
      <c r="R351">
        <v>336</v>
      </c>
      <c r="S351">
        <v>32</v>
      </c>
      <c r="T351">
        <v>32</v>
      </c>
      <c r="W351">
        <f>COUNTIFS('Clinical Trials HCO'!$A:$A, K351, 'Clinical Trials HCO'!$D:$D, "&lt;&gt;")</f>
        <v>0</v>
      </c>
      <c r="AF351" t="s">
        <v>414</v>
      </c>
    </row>
    <row r="352" spans="2:33" hidden="1">
      <c r="B352">
        <v>310</v>
      </c>
      <c r="F352">
        <f>COUNTIF(HCPs!W:W,HCO_Data!K352)</f>
        <v>0</v>
      </c>
      <c r="G352" t="str">
        <f>IF(COUNTIF('Testing Referrals'!B:B,HCO_Data!K352)&gt;0,"Yes","")</f>
        <v/>
      </c>
      <c r="H352">
        <f>COUNTIF('HCO referrals'!B:B,HCO_Data!K352)+COUNTIF('HCO referrals'!C:C,HCO_Data!K352)</f>
        <v>0</v>
      </c>
      <c r="I352">
        <v>690807367</v>
      </c>
      <c r="K352" t="s">
        <v>10357</v>
      </c>
      <c r="L352" t="s">
        <v>670</v>
      </c>
      <c r="M352" t="s">
        <v>2344</v>
      </c>
      <c r="N352">
        <v>69400</v>
      </c>
      <c r="O352" t="s">
        <v>2345</v>
      </c>
      <c r="Q352" t="s">
        <v>4283</v>
      </c>
      <c r="R352">
        <v>291</v>
      </c>
      <c r="S352">
        <v>32</v>
      </c>
      <c r="T352">
        <v>32</v>
      </c>
      <c r="W352">
        <f>COUNTIFS('Clinical Trials HCO'!$A:$A, K352, 'Clinical Trials HCO'!$D:$D, "&lt;&gt;")</f>
        <v>0</v>
      </c>
      <c r="AF352" t="s">
        <v>414</v>
      </c>
      <c r="AG352" t="s">
        <v>414</v>
      </c>
    </row>
    <row r="353" spans="2:33" hidden="1">
      <c r="B353">
        <v>467</v>
      </c>
      <c r="F353">
        <f>COUNTIF(HCPs!W:W,HCO_Data!K353)</f>
        <v>0</v>
      </c>
      <c r="G353" t="str">
        <f>IF(COUNTIF('Testing Referrals'!B:B,HCO_Data!K353)&gt;0,"Yes","")</f>
        <v/>
      </c>
      <c r="H353">
        <f>COUNTIF('HCO referrals'!B:B,HCO_Data!K353)+COUNTIF('HCO referrals'!C:C,HCO_Data!K353)</f>
        <v>0</v>
      </c>
      <c r="I353">
        <v>910300326</v>
      </c>
      <c r="K353" t="s">
        <v>10358</v>
      </c>
      <c r="L353" t="s">
        <v>630</v>
      </c>
      <c r="M353" t="s">
        <v>2090</v>
      </c>
      <c r="N353">
        <v>91130</v>
      </c>
      <c r="O353" t="s">
        <v>2091</v>
      </c>
      <c r="Q353" t="s">
        <v>4283</v>
      </c>
      <c r="R353">
        <v>241</v>
      </c>
      <c r="S353">
        <v>32</v>
      </c>
      <c r="T353">
        <v>32</v>
      </c>
      <c r="W353">
        <f>COUNTIFS('Clinical Trials HCO'!$A:$A, K353, 'Clinical Trials HCO'!$D:$D, "&lt;&gt;")</f>
        <v>0</v>
      </c>
      <c r="AF353" t="s">
        <v>414</v>
      </c>
      <c r="AG353" t="s">
        <v>414</v>
      </c>
    </row>
    <row r="354" spans="2:33" hidden="1">
      <c r="B354">
        <v>120</v>
      </c>
      <c r="F354">
        <f>COUNTIF(HCPs!W:W,HCO_Data!K354)</f>
        <v>1</v>
      </c>
      <c r="G354" t="str">
        <f>IF(COUNTIF('Testing Referrals'!B:B,HCO_Data!K354)&gt;0,"Yes","")</f>
        <v/>
      </c>
      <c r="H354">
        <f>COUNTIF('HCO referrals'!B:B,HCO_Data!K354)+COUNTIF('HCO referrals'!C:C,HCO_Data!K354)</f>
        <v>0</v>
      </c>
      <c r="I354">
        <v>610000119</v>
      </c>
      <c r="K354" t="s">
        <v>3806</v>
      </c>
      <c r="L354" t="s">
        <v>7973</v>
      </c>
      <c r="M354" t="s">
        <v>1760</v>
      </c>
      <c r="N354">
        <v>61104</v>
      </c>
      <c r="O354" t="s">
        <v>1761</v>
      </c>
      <c r="Q354" t="s">
        <v>4283</v>
      </c>
      <c r="R354">
        <v>352</v>
      </c>
      <c r="S354">
        <v>31</v>
      </c>
      <c r="T354">
        <v>31</v>
      </c>
      <c r="W354">
        <f>COUNTIFS('Clinical Trials HCO'!$A:$A, K354, 'Clinical Trials HCO'!$D:$D, "&lt;&gt;")</f>
        <v>0</v>
      </c>
      <c r="AF354" t="s">
        <v>414</v>
      </c>
      <c r="AG354" t="s">
        <v>414</v>
      </c>
    </row>
    <row r="355" spans="2:33" hidden="1">
      <c r="B355">
        <v>436</v>
      </c>
      <c r="F355">
        <f>COUNTIF(HCPs!W:W,HCO_Data!K355)</f>
        <v>0</v>
      </c>
      <c r="G355" t="str">
        <f>IF(COUNTIF('Testing Referrals'!B:B,HCO_Data!K355)&gt;0,"Yes","")</f>
        <v/>
      </c>
      <c r="H355">
        <f>COUNTIF('HCO referrals'!B:B,HCO_Data!K355)+COUNTIF('HCO referrals'!C:C,HCO_Data!K355)</f>
        <v>0</v>
      </c>
      <c r="I355">
        <v>170780662</v>
      </c>
      <c r="K355" t="s">
        <v>10359</v>
      </c>
      <c r="L355" t="s">
        <v>634</v>
      </c>
      <c r="M355" t="s">
        <v>2750</v>
      </c>
      <c r="N355">
        <v>17138</v>
      </c>
      <c r="O355" t="s">
        <v>2751</v>
      </c>
      <c r="Q355" t="s">
        <v>4283</v>
      </c>
      <c r="R355">
        <v>554</v>
      </c>
      <c r="S355">
        <v>31</v>
      </c>
      <c r="T355">
        <v>31</v>
      </c>
      <c r="W355">
        <f>COUNTIFS('Clinical Trials HCO'!$A:$A, K355, 'Clinical Trials HCO'!$D:$D, "&lt;&gt;")</f>
        <v>0</v>
      </c>
      <c r="AF355" t="s">
        <v>414</v>
      </c>
      <c r="AG355" t="s">
        <v>414</v>
      </c>
    </row>
    <row r="356" spans="2:33" hidden="1">
      <c r="B356">
        <v>171</v>
      </c>
      <c r="F356">
        <f>COUNTIF(HCPs!W:W,HCO_Data!K356)</f>
        <v>0</v>
      </c>
      <c r="G356" t="str">
        <f>IF(COUNTIF('Testing Referrals'!B:B,HCO_Data!K356)&gt;0,"Yes","")</f>
        <v/>
      </c>
      <c r="H356">
        <f>COUNTIF('HCO referrals'!B:B,HCO_Data!K356)+COUNTIF('HCO referrals'!C:C,HCO_Data!K356)</f>
        <v>0</v>
      </c>
      <c r="I356">
        <v>300000031</v>
      </c>
      <c r="K356" t="s">
        <v>10360</v>
      </c>
      <c r="L356" t="s">
        <v>1425</v>
      </c>
      <c r="M356" t="s">
        <v>1891</v>
      </c>
      <c r="N356">
        <v>30205</v>
      </c>
      <c r="O356" t="s">
        <v>1892</v>
      </c>
      <c r="Q356" t="s">
        <v>4283</v>
      </c>
      <c r="R356">
        <v>305</v>
      </c>
      <c r="S356">
        <v>31</v>
      </c>
      <c r="T356">
        <v>31</v>
      </c>
      <c r="W356">
        <f>COUNTIFS('Clinical Trials HCO'!$A:$A, K356, 'Clinical Trials HCO'!$D:$D, "&lt;&gt;")</f>
        <v>0</v>
      </c>
      <c r="AF356" t="s">
        <v>414</v>
      </c>
    </row>
    <row r="357" spans="2:33" hidden="1">
      <c r="B357">
        <v>576</v>
      </c>
      <c r="F357">
        <f>COUNTIF(HCPs!W:W,HCO_Data!K357)</f>
        <v>0</v>
      </c>
      <c r="G357" t="str">
        <f>IF(COUNTIF('Testing Referrals'!B:B,HCO_Data!K357)&gt;0,"Yes","")</f>
        <v/>
      </c>
      <c r="H357">
        <f>COUNTIF('HCO referrals'!B:B,HCO_Data!K357)+COUNTIF('HCO referrals'!C:C,HCO_Data!K357)</f>
        <v>0</v>
      </c>
      <c r="I357">
        <v>310781067</v>
      </c>
      <c r="K357" t="s">
        <v>10361</v>
      </c>
      <c r="L357" t="s">
        <v>2530</v>
      </c>
      <c r="M357" t="s">
        <v>2839</v>
      </c>
      <c r="N357">
        <v>31076</v>
      </c>
      <c r="O357" t="s">
        <v>833</v>
      </c>
      <c r="Q357" t="s">
        <v>4283</v>
      </c>
      <c r="R357">
        <v>525</v>
      </c>
      <c r="S357">
        <v>31</v>
      </c>
      <c r="T357">
        <v>31</v>
      </c>
      <c r="W357">
        <f>COUNTIFS('Clinical Trials HCO'!$A:$A, K357, 'Clinical Trials HCO'!$D:$D, "&lt;&gt;")</f>
        <v>0</v>
      </c>
      <c r="AG357" t="s">
        <v>414</v>
      </c>
    </row>
    <row r="358" spans="2:33" hidden="1">
      <c r="B358">
        <v>308</v>
      </c>
      <c r="F358">
        <f>COUNTIF(HCPs!W:W,HCO_Data!K358)</f>
        <v>0</v>
      </c>
      <c r="G358" t="str">
        <f>IF(COUNTIF('Testing Referrals'!B:B,HCO_Data!K358)&gt;0,"Yes","")</f>
        <v/>
      </c>
      <c r="H358">
        <f>COUNTIF('HCO referrals'!B:B,HCO_Data!K358)+COUNTIF('HCO referrals'!C:C,HCO_Data!K358)</f>
        <v>0</v>
      </c>
      <c r="I358">
        <v>330780263</v>
      </c>
      <c r="K358" t="s">
        <v>10362</v>
      </c>
      <c r="L358" t="s">
        <v>643</v>
      </c>
      <c r="M358" t="s">
        <v>2338</v>
      </c>
      <c r="N358">
        <v>33310</v>
      </c>
      <c r="O358" t="s">
        <v>2339</v>
      </c>
      <c r="Q358" t="s">
        <v>4283</v>
      </c>
      <c r="R358">
        <v>501</v>
      </c>
      <c r="S358">
        <v>31</v>
      </c>
      <c r="T358">
        <v>31</v>
      </c>
      <c r="W358">
        <f>COUNTIFS('Clinical Trials HCO'!$A:$A, K358, 'Clinical Trials HCO'!$D:$D, "&lt;&gt;")</f>
        <v>0</v>
      </c>
      <c r="AF358" t="s">
        <v>414</v>
      </c>
      <c r="AG358" t="s">
        <v>414</v>
      </c>
    </row>
    <row r="359" spans="2:33" hidden="1">
      <c r="B359">
        <v>150</v>
      </c>
      <c r="F359">
        <f>COUNTIF(HCPs!W:W,HCO_Data!K359)</f>
        <v>0</v>
      </c>
      <c r="G359" t="str">
        <f>IF(COUNTIF('Testing Referrals'!B:B,HCO_Data!K359)&gt;0,"Yes","")</f>
        <v/>
      </c>
      <c r="H359">
        <f>COUNTIF('HCO referrals'!B:B,HCO_Data!K359)+COUNTIF('HCO referrals'!C:C,HCO_Data!K359)</f>
        <v>0</v>
      </c>
      <c r="I359">
        <v>420000010</v>
      </c>
      <c r="K359" t="s">
        <v>10363</v>
      </c>
      <c r="L359" t="s">
        <v>647</v>
      </c>
      <c r="M359" t="s">
        <v>1836</v>
      </c>
      <c r="N359">
        <v>42328</v>
      </c>
      <c r="O359" t="s">
        <v>1837</v>
      </c>
      <c r="Q359" t="s">
        <v>4283</v>
      </c>
      <c r="R359">
        <v>489</v>
      </c>
      <c r="S359">
        <v>31</v>
      </c>
      <c r="T359">
        <v>31</v>
      </c>
      <c r="W359">
        <f>COUNTIFS('Clinical Trials HCO'!$A:$A, K359, 'Clinical Trials HCO'!$D:$D, "&lt;&gt;")</f>
        <v>0</v>
      </c>
      <c r="AF359" t="s">
        <v>414</v>
      </c>
      <c r="AG359" t="s">
        <v>414</v>
      </c>
    </row>
    <row r="360" spans="2:33" hidden="1">
      <c r="F360">
        <f>COUNTIF(HCPs!W:W,HCO_Data!K360)</f>
        <v>0</v>
      </c>
      <c r="G360" t="str">
        <f>IF(COUNTIF('Testing Referrals'!B:B,HCO_Data!K360)&gt;0,"Yes","")</f>
        <v/>
      </c>
      <c r="H360">
        <f>COUNTIF('HCO referrals'!B:B,HCO_Data!K360)+COUNTIF('HCO referrals'!C:C,HCO_Data!K360)</f>
        <v>0</v>
      </c>
      <c r="I360">
        <v>440029338</v>
      </c>
      <c r="K360" t="s">
        <v>10364</v>
      </c>
      <c r="L360" t="s">
        <v>8882</v>
      </c>
      <c r="M360" t="s">
        <v>8883</v>
      </c>
      <c r="O360" t="s">
        <v>8884</v>
      </c>
      <c r="P360" t="s">
        <v>711</v>
      </c>
      <c r="Q360" t="s">
        <v>4283</v>
      </c>
      <c r="R360">
        <v>532</v>
      </c>
      <c r="S360">
        <v>31</v>
      </c>
      <c r="T360">
        <v>31</v>
      </c>
      <c r="W360">
        <f>COUNTIFS('Clinical Trials HCO'!$A:$A, K360, 'Clinical Trials HCO'!$D:$D, "&lt;&gt;")</f>
        <v>0</v>
      </c>
    </row>
    <row r="361" spans="2:33" hidden="1">
      <c r="B361">
        <v>288</v>
      </c>
      <c r="F361">
        <f>COUNTIF(HCPs!W:W,HCO_Data!K361)</f>
        <v>0</v>
      </c>
      <c r="G361" t="str">
        <f>IF(COUNTIF('Testing Referrals'!B:B,HCO_Data!K361)&gt;0,"Yes","")</f>
        <v/>
      </c>
      <c r="H361">
        <f>COUNTIF('HCO referrals'!B:B,HCO_Data!K361)+COUNTIF('HCO referrals'!C:C,HCO_Data!K361)</f>
        <v>0</v>
      </c>
      <c r="I361">
        <v>480000017</v>
      </c>
      <c r="K361" t="s">
        <v>10365</v>
      </c>
      <c r="L361" t="s">
        <v>1586</v>
      </c>
      <c r="M361" t="s">
        <v>2185</v>
      </c>
      <c r="N361">
        <v>48000</v>
      </c>
      <c r="O361" t="s">
        <v>2186</v>
      </c>
      <c r="Q361" t="s">
        <v>4283</v>
      </c>
      <c r="R361">
        <v>298</v>
      </c>
      <c r="S361">
        <v>31</v>
      </c>
      <c r="T361">
        <v>31</v>
      </c>
      <c r="W361">
        <f>COUNTIFS('Clinical Trials HCO'!$A:$A, K361, 'Clinical Trials HCO'!$D:$D, "&lt;&gt;")</f>
        <v>0</v>
      </c>
      <c r="AG361" t="s">
        <v>414</v>
      </c>
    </row>
    <row r="362" spans="2:33" hidden="1">
      <c r="B362">
        <v>348</v>
      </c>
      <c r="F362">
        <f>COUNTIF(HCPs!W:W,HCO_Data!K362)</f>
        <v>0</v>
      </c>
      <c r="G362" t="str">
        <f>IF(COUNTIF('Testing Referrals'!B:B,HCO_Data!K362)&gt;0,"Yes","")</f>
        <v/>
      </c>
      <c r="H362">
        <f>COUNTIF('HCO referrals'!B:B,HCO_Data!K362)+COUNTIF('HCO referrals'!C:C,HCO_Data!K362)</f>
        <v>2</v>
      </c>
      <c r="I362">
        <v>570000349</v>
      </c>
      <c r="K362" t="s">
        <v>10366</v>
      </c>
      <c r="L362" t="s">
        <v>1559</v>
      </c>
      <c r="M362" t="s">
        <v>2148</v>
      </c>
      <c r="N362">
        <v>57126</v>
      </c>
      <c r="O362" t="s">
        <v>2149</v>
      </c>
      <c r="Q362" t="s">
        <v>4283</v>
      </c>
      <c r="R362">
        <v>273</v>
      </c>
      <c r="S362">
        <v>31</v>
      </c>
      <c r="T362">
        <v>31</v>
      </c>
      <c r="W362">
        <f>COUNTIFS('Clinical Trials HCO'!$A:$A, K362, 'Clinical Trials HCO'!$D:$D, "&lt;&gt;")</f>
        <v>0</v>
      </c>
      <c r="AF362" t="s">
        <v>414</v>
      </c>
    </row>
    <row r="363" spans="2:33" hidden="1">
      <c r="F363">
        <f>COUNTIF(HCPs!W:W,HCO_Data!K363)</f>
        <v>0</v>
      </c>
      <c r="G363" t="str">
        <f>IF(COUNTIF('Testing Referrals'!B:B,HCO_Data!K363)&gt;0,"Yes","")</f>
        <v/>
      </c>
      <c r="H363">
        <f>COUNTIF('HCO referrals'!B:B,HCO_Data!K363)+COUNTIF('HCO referrals'!C:C,HCO_Data!K363)</f>
        <v>0</v>
      </c>
      <c r="I363">
        <v>690000427</v>
      </c>
      <c r="K363" t="s">
        <v>10367</v>
      </c>
      <c r="L363" t="s">
        <v>8747</v>
      </c>
      <c r="M363" t="s">
        <v>8748</v>
      </c>
      <c r="O363" t="s">
        <v>8749</v>
      </c>
      <c r="P363" t="s">
        <v>701</v>
      </c>
      <c r="Q363" t="s">
        <v>4283</v>
      </c>
      <c r="R363">
        <v>391</v>
      </c>
      <c r="S363">
        <v>31</v>
      </c>
      <c r="T363">
        <v>31</v>
      </c>
      <c r="W363">
        <f>COUNTIFS('Clinical Trials HCO'!$A:$A, K363, 'Clinical Trials HCO'!$D:$D, "&lt;&gt;")</f>
        <v>0</v>
      </c>
    </row>
    <row r="364" spans="2:33" hidden="1">
      <c r="F364">
        <f>COUNTIF(HCPs!W:W,HCO_Data!K364)</f>
        <v>0</v>
      </c>
      <c r="G364" t="str">
        <f>IF(COUNTIF('Testing Referrals'!B:B,HCO_Data!K364)&gt;0,"Yes","")</f>
        <v/>
      </c>
      <c r="H364">
        <f>COUNTIF('HCO referrals'!B:B,HCO_Data!K364)+COUNTIF('HCO referrals'!C:C,HCO_Data!K364)</f>
        <v>0</v>
      </c>
      <c r="I364">
        <v>750150286</v>
      </c>
      <c r="K364" t="s">
        <v>10368</v>
      </c>
      <c r="L364" t="s">
        <v>8888</v>
      </c>
      <c r="M364" t="s">
        <v>8889</v>
      </c>
      <c r="O364" t="s">
        <v>700</v>
      </c>
      <c r="P364" t="s">
        <v>700</v>
      </c>
      <c r="Q364" t="s">
        <v>4283</v>
      </c>
      <c r="R364">
        <v>536</v>
      </c>
      <c r="S364">
        <v>31</v>
      </c>
      <c r="T364">
        <v>31</v>
      </c>
      <c r="W364">
        <f>COUNTIFS('Clinical Trials HCO'!$A:$A, K364, 'Clinical Trials HCO'!$D:$D, "&lt;&gt;")</f>
        <v>0</v>
      </c>
    </row>
    <row r="365" spans="2:33" hidden="1">
      <c r="B365">
        <v>410</v>
      </c>
      <c r="F365">
        <f>COUNTIF(HCPs!W:W,HCO_Data!K365)</f>
        <v>0</v>
      </c>
      <c r="G365" t="str">
        <f>IF(COUNTIF('Testing Referrals'!B:B,HCO_Data!K365)&gt;0,"Yes","")</f>
        <v/>
      </c>
      <c r="H365">
        <f>COUNTIF('HCO referrals'!B:B,HCO_Data!K365)+COUNTIF('HCO referrals'!C:C,HCO_Data!K365)</f>
        <v>0</v>
      </c>
      <c r="I365">
        <v>860000025</v>
      </c>
      <c r="K365" t="s">
        <v>10369</v>
      </c>
      <c r="L365" t="s">
        <v>1484</v>
      </c>
      <c r="M365" t="s">
        <v>2007</v>
      </c>
      <c r="N365">
        <v>86106</v>
      </c>
      <c r="O365" t="s">
        <v>2008</v>
      </c>
      <c r="Q365" t="s">
        <v>4283</v>
      </c>
      <c r="R365">
        <v>319</v>
      </c>
      <c r="S365">
        <v>31</v>
      </c>
      <c r="T365">
        <v>31</v>
      </c>
      <c r="W365">
        <f>COUNTIFS('Clinical Trials HCO'!$A:$A, K365, 'Clinical Trials HCO'!$D:$D, "&lt;&gt;")</f>
        <v>0</v>
      </c>
      <c r="AF365" t="s">
        <v>414</v>
      </c>
      <c r="AG365" t="s">
        <v>414</v>
      </c>
    </row>
    <row r="366" spans="2:33" hidden="1">
      <c r="B366">
        <v>461</v>
      </c>
      <c r="F366">
        <f>COUNTIF(HCPs!W:W,HCO_Data!K366)</f>
        <v>0</v>
      </c>
      <c r="G366" t="str">
        <f>IF(COUNTIF('Testing Referrals'!B:B,HCO_Data!K366)&gt;0,"Yes","")</f>
        <v/>
      </c>
      <c r="H366">
        <f>COUNTIF('HCO referrals'!B:B,HCO_Data!K366)+COUNTIF('HCO referrals'!C:C,HCO_Data!K366)</f>
        <v>0</v>
      </c>
      <c r="I366">
        <v>940000649</v>
      </c>
      <c r="K366" t="s">
        <v>10370</v>
      </c>
      <c r="L366" t="s">
        <v>1631</v>
      </c>
      <c r="M366" t="s">
        <v>2259</v>
      </c>
      <c r="N366">
        <v>94366</v>
      </c>
      <c r="O366" t="s">
        <v>2260</v>
      </c>
      <c r="Q366" t="s">
        <v>4283</v>
      </c>
      <c r="R366">
        <v>384</v>
      </c>
      <c r="S366">
        <v>31</v>
      </c>
      <c r="T366">
        <v>31</v>
      </c>
      <c r="W366">
        <f>COUNTIFS('Clinical Trials HCO'!$A:$A, K366, 'Clinical Trials HCO'!$D:$D, "&lt;&gt;")</f>
        <v>0</v>
      </c>
      <c r="AF366" t="s">
        <v>414</v>
      </c>
    </row>
    <row r="367" spans="2:33" hidden="1">
      <c r="B367">
        <v>357</v>
      </c>
      <c r="F367">
        <f>COUNTIF(HCPs!W:W,HCO_Data!K367)</f>
        <v>0</v>
      </c>
      <c r="G367" t="str">
        <f>IF(COUNTIF('Testing Referrals'!B:B,HCO_Data!K367)&gt;0,"Yes","")</f>
        <v/>
      </c>
      <c r="H367">
        <f>COUNTIF('HCO referrals'!B:B,HCO_Data!K367)+COUNTIF('HCO referrals'!C:C,HCO_Data!K367)</f>
        <v>0</v>
      </c>
      <c r="I367">
        <v>70000179</v>
      </c>
      <c r="K367" t="s">
        <v>10371</v>
      </c>
      <c r="L367" t="s">
        <v>2389</v>
      </c>
      <c r="M367" t="s">
        <v>2669</v>
      </c>
      <c r="N367">
        <v>7103</v>
      </c>
      <c r="O367" t="s">
        <v>2670</v>
      </c>
      <c r="Q367" t="s">
        <v>4283</v>
      </c>
      <c r="R367">
        <v>528</v>
      </c>
      <c r="S367">
        <v>30</v>
      </c>
      <c r="T367">
        <v>30</v>
      </c>
      <c r="W367">
        <f>COUNTIFS('Clinical Trials HCO'!$A:$A, K367, 'Clinical Trials HCO'!$D:$D, "&lt;&gt;")</f>
        <v>0</v>
      </c>
      <c r="AF367" t="s">
        <v>414</v>
      </c>
      <c r="AG367" t="s">
        <v>414</v>
      </c>
    </row>
    <row r="368" spans="2:33" hidden="1">
      <c r="B368">
        <v>325</v>
      </c>
      <c r="F368">
        <f>COUNTIF(HCPs!W:W,HCO_Data!K368)</f>
        <v>0</v>
      </c>
      <c r="G368" t="str">
        <f>IF(COUNTIF('Testing Referrals'!B:B,HCO_Data!K368)&gt;0,"Yes","")</f>
        <v/>
      </c>
      <c r="H368">
        <f>COUNTIF('HCO referrals'!B:B,HCO_Data!K368)+COUNTIF('HCO referrals'!C:C,HCO_Data!K368)</f>
        <v>0</v>
      </c>
      <c r="I368">
        <v>70000609</v>
      </c>
      <c r="K368" t="s">
        <v>10372</v>
      </c>
      <c r="L368" t="s">
        <v>1372</v>
      </c>
      <c r="M368" t="s">
        <v>1778</v>
      </c>
      <c r="N368">
        <v>7205</v>
      </c>
      <c r="O368" t="s">
        <v>1779</v>
      </c>
      <c r="Q368" t="s">
        <v>4283</v>
      </c>
      <c r="R368">
        <v>304</v>
      </c>
      <c r="S368">
        <v>30</v>
      </c>
      <c r="T368">
        <v>30</v>
      </c>
      <c r="W368">
        <f>COUNTIFS('Clinical Trials HCO'!$A:$A, K368, 'Clinical Trials HCO'!$D:$D, "&lt;&gt;")</f>
        <v>0</v>
      </c>
      <c r="AG368" t="s">
        <v>414</v>
      </c>
    </row>
    <row r="369" spans="2:33" hidden="1">
      <c r="B369">
        <v>372</v>
      </c>
      <c r="F369">
        <f>COUNTIF(HCPs!W:W,HCO_Data!K369)</f>
        <v>0</v>
      </c>
      <c r="G369" t="str">
        <f>IF(COUNTIF('Testing Referrals'!B:B,HCO_Data!K369)&gt;0,"Yes","")</f>
        <v/>
      </c>
      <c r="H369">
        <f>COUNTIF('HCO referrals'!B:B,HCO_Data!K369)+COUNTIF('HCO referrals'!C:C,HCO_Data!K369)</f>
        <v>0</v>
      </c>
      <c r="I369">
        <v>390000222</v>
      </c>
      <c r="K369" t="s">
        <v>10373</v>
      </c>
      <c r="L369" t="s">
        <v>2399</v>
      </c>
      <c r="M369" t="s">
        <v>2693</v>
      </c>
      <c r="N369">
        <v>39108</v>
      </c>
      <c r="O369" t="s">
        <v>2694</v>
      </c>
      <c r="Q369" t="s">
        <v>4283</v>
      </c>
      <c r="R369">
        <v>366</v>
      </c>
      <c r="S369">
        <v>30</v>
      </c>
      <c r="T369">
        <v>30</v>
      </c>
      <c r="W369">
        <f>COUNTIFS('Clinical Trials HCO'!$A:$A, K369, 'Clinical Trials HCO'!$D:$D, "&lt;&gt;")</f>
        <v>0</v>
      </c>
      <c r="AF369" t="s">
        <v>414</v>
      </c>
      <c r="AG369" t="s">
        <v>414</v>
      </c>
    </row>
    <row r="370" spans="2:33" hidden="1">
      <c r="B370">
        <v>677</v>
      </c>
      <c r="F370">
        <f>COUNTIF(HCPs!W:W,HCO_Data!K370)</f>
        <v>0</v>
      </c>
      <c r="G370" t="str">
        <f>IF(COUNTIF('Testing Referrals'!B:B,HCO_Data!K370)&gt;0,"Yes","")</f>
        <v/>
      </c>
      <c r="H370">
        <f>COUNTIF('HCO referrals'!B:B,HCO_Data!K370)+COUNTIF('HCO referrals'!C:C,HCO_Data!K370)</f>
        <v>0</v>
      </c>
      <c r="I370">
        <v>420782310</v>
      </c>
      <c r="K370" t="s">
        <v>10374</v>
      </c>
      <c r="L370" t="s">
        <v>2458</v>
      </c>
      <c r="M370" t="s">
        <v>2772</v>
      </c>
      <c r="N370">
        <v>42300</v>
      </c>
      <c r="O370" t="s">
        <v>1837</v>
      </c>
      <c r="Q370" t="s">
        <v>4283</v>
      </c>
      <c r="R370">
        <v>546</v>
      </c>
      <c r="S370">
        <v>30</v>
      </c>
      <c r="T370">
        <v>30</v>
      </c>
      <c r="W370">
        <f>COUNTIFS('Clinical Trials HCO'!$A:$A, K370, 'Clinical Trials HCO'!$D:$D, "&lt;&gt;")</f>
        <v>0</v>
      </c>
      <c r="AF370" t="s">
        <v>414</v>
      </c>
      <c r="AG370" t="s">
        <v>414</v>
      </c>
    </row>
    <row r="371" spans="2:33" hidden="1">
      <c r="F371">
        <f>COUNTIF(HCPs!W:W,HCO_Data!K371)</f>
        <v>0</v>
      </c>
      <c r="G371" t="str">
        <f>IF(COUNTIF('Testing Referrals'!B:B,HCO_Data!K371)&gt;0,"Yes","")</f>
        <v/>
      </c>
      <c r="H371">
        <f>COUNTIF('HCO referrals'!B:B,HCO_Data!K371)+COUNTIF('HCO referrals'!C:C,HCO_Data!K371)</f>
        <v>0</v>
      </c>
      <c r="I371">
        <v>450000294</v>
      </c>
      <c r="K371" t="s">
        <v>10375</v>
      </c>
      <c r="L371" t="s">
        <v>8871</v>
      </c>
      <c r="M371" t="s">
        <v>8872</v>
      </c>
      <c r="O371" t="s">
        <v>2326</v>
      </c>
      <c r="P371" t="s">
        <v>747</v>
      </c>
      <c r="Q371" t="s">
        <v>4283</v>
      </c>
      <c r="R371">
        <v>520</v>
      </c>
      <c r="S371">
        <v>30</v>
      </c>
      <c r="T371">
        <v>30</v>
      </c>
      <c r="W371">
        <f>COUNTIFS('Clinical Trials HCO'!$A:$A, K371, 'Clinical Trials HCO'!$D:$D, "&lt;&gt;")</f>
        <v>0</v>
      </c>
    </row>
    <row r="372" spans="2:33" hidden="1">
      <c r="B372">
        <v>144</v>
      </c>
      <c r="F372">
        <f>COUNTIF(HCPs!W:W,HCO_Data!K372)</f>
        <v>0</v>
      </c>
      <c r="G372" t="str">
        <f>IF(COUNTIF('Testing Referrals'!B:B,HCO_Data!K372)&gt;0,"Yes","")</f>
        <v/>
      </c>
      <c r="H372">
        <f>COUNTIF('HCO referrals'!B:B,HCO_Data!K372)+COUNTIF('HCO referrals'!C:C,HCO_Data!K372)</f>
        <v>0</v>
      </c>
      <c r="I372">
        <v>770000131</v>
      </c>
      <c r="K372" t="s">
        <v>10376</v>
      </c>
      <c r="L372" t="s">
        <v>1391</v>
      </c>
      <c r="M372" t="s">
        <v>1819</v>
      </c>
      <c r="N372">
        <v>77527</v>
      </c>
      <c r="O372" t="s">
        <v>1820</v>
      </c>
      <c r="Q372" t="s">
        <v>4283</v>
      </c>
      <c r="R372">
        <v>325</v>
      </c>
      <c r="S372">
        <v>30</v>
      </c>
      <c r="T372">
        <v>30</v>
      </c>
      <c r="W372">
        <f>COUNTIFS('Clinical Trials HCO'!$A:$A, K372, 'Clinical Trials HCO'!$D:$D, "&lt;&gt;")</f>
        <v>0</v>
      </c>
      <c r="AF372" t="s">
        <v>414</v>
      </c>
      <c r="AG372" t="s">
        <v>414</v>
      </c>
    </row>
    <row r="373" spans="2:33" hidden="1">
      <c r="B373">
        <v>166</v>
      </c>
      <c r="F373">
        <f>COUNTIF(HCPs!W:W,HCO_Data!K373)</f>
        <v>1</v>
      </c>
      <c r="G373" t="str">
        <f>IF(COUNTIF('Testing Referrals'!B:B,HCO_Data!K373)&gt;0,"Yes","")</f>
        <v/>
      </c>
      <c r="H373">
        <f>COUNTIF('HCO referrals'!B:B,HCO_Data!K373)+COUNTIF('HCO referrals'!C:C,HCO_Data!K373)</f>
        <v>0</v>
      </c>
      <c r="I373">
        <v>830000287</v>
      </c>
      <c r="K373" t="s">
        <v>10377</v>
      </c>
      <c r="L373" s="13" t="s">
        <v>1419</v>
      </c>
      <c r="M373" t="s">
        <v>1878</v>
      </c>
      <c r="N373">
        <v>83007</v>
      </c>
      <c r="O373" t="s">
        <v>1879</v>
      </c>
      <c r="Q373" t="s">
        <v>4283</v>
      </c>
      <c r="R373">
        <v>341</v>
      </c>
      <c r="S373">
        <v>30</v>
      </c>
      <c r="T373">
        <v>30</v>
      </c>
      <c r="W373">
        <f>COUNTIFS('Clinical Trials HCO'!$A:$A, K373, 'Clinical Trials HCO'!$D:$D, "&lt;&gt;")</f>
        <v>0</v>
      </c>
      <c r="AF373" t="s">
        <v>414</v>
      </c>
      <c r="AG373" t="s">
        <v>414</v>
      </c>
    </row>
    <row r="374" spans="2:33" hidden="1">
      <c r="B374">
        <v>647</v>
      </c>
      <c r="F374">
        <f>COUNTIF(HCPs!W:W,HCO_Data!K374)</f>
        <v>0</v>
      </c>
      <c r="G374" t="str">
        <f>IF(COUNTIF('Testing Referrals'!B:B,HCO_Data!K374)&gt;0,"Yes","")</f>
        <v/>
      </c>
      <c r="H374">
        <f>COUNTIF('HCO referrals'!B:B,HCO_Data!K374)+COUNTIF('HCO referrals'!C:C,HCO_Data!K374)</f>
        <v>0</v>
      </c>
      <c r="I374">
        <v>830100319</v>
      </c>
      <c r="K374" t="s">
        <v>10378</v>
      </c>
      <c r="L374" t="s">
        <v>685</v>
      </c>
      <c r="M374" t="s">
        <v>2912</v>
      </c>
      <c r="N374">
        <v>83196</v>
      </c>
      <c r="O374" t="s">
        <v>2913</v>
      </c>
      <c r="Q374" t="s">
        <v>4283</v>
      </c>
      <c r="R374">
        <v>538</v>
      </c>
      <c r="S374">
        <v>30</v>
      </c>
      <c r="T374">
        <v>30</v>
      </c>
      <c r="W374">
        <f>COUNTIFS('Clinical Trials HCO'!$A:$A, K374, 'Clinical Trials HCO'!$D:$D, "&lt;&gt;")</f>
        <v>0</v>
      </c>
      <c r="AG374" t="s">
        <v>414</v>
      </c>
    </row>
    <row r="375" spans="2:33" hidden="1">
      <c r="B375">
        <v>160</v>
      </c>
      <c r="F375">
        <f>COUNTIF(HCPs!W:W,HCO_Data!K375)</f>
        <v>0</v>
      </c>
      <c r="G375" t="str">
        <f>IF(COUNTIF('Testing Referrals'!B:B,HCO_Data!K375)&gt;0,"Yes","")</f>
        <v/>
      </c>
      <c r="H375">
        <f>COUNTIF('HCO referrals'!B:B,HCO_Data!K375)+COUNTIF('HCO referrals'!C:C,HCO_Data!K375)</f>
        <v>0</v>
      </c>
      <c r="I375">
        <v>930000328</v>
      </c>
      <c r="K375" t="s">
        <v>10379</v>
      </c>
      <c r="L375" t="s">
        <v>1412</v>
      </c>
      <c r="M375" t="s">
        <v>1865</v>
      </c>
      <c r="N375">
        <v>93205</v>
      </c>
      <c r="O375" t="s">
        <v>1866</v>
      </c>
      <c r="Q375" t="s">
        <v>4283</v>
      </c>
      <c r="R375">
        <v>364</v>
      </c>
      <c r="S375">
        <v>30</v>
      </c>
      <c r="T375">
        <v>30</v>
      </c>
      <c r="W375">
        <f>COUNTIFS('Clinical Trials HCO'!$A:$A, K375, 'Clinical Trials HCO'!$D:$D, "&lt;&gt;")</f>
        <v>0</v>
      </c>
      <c r="AF375" t="s">
        <v>414</v>
      </c>
      <c r="AG375" t="s">
        <v>414</v>
      </c>
    </row>
    <row r="376" spans="2:33" hidden="1">
      <c r="B376">
        <v>346</v>
      </c>
      <c r="F376">
        <f>COUNTIF(HCPs!W:W,HCO_Data!K376)</f>
        <v>0</v>
      </c>
      <c r="G376" t="str">
        <f>IF(COUNTIF('Testing Referrals'!B:B,HCO_Data!K376)&gt;0,"Yes","")</f>
        <v/>
      </c>
      <c r="H376">
        <f>COUNTIF('HCO referrals'!B:B,HCO_Data!K376)+COUNTIF('HCO referrals'!C:C,HCO_Data!K376)</f>
        <v>0</v>
      </c>
      <c r="I376">
        <v>940813033</v>
      </c>
      <c r="K376" t="s">
        <v>10380</v>
      </c>
      <c r="L376" t="s">
        <v>2449</v>
      </c>
      <c r="M376" t="s">
        <v>2746</v>
      </c>
      <c r="N376">
        <v>94220</v>
      </c>
      <c r="O376" t="s">
        <v>2747</v>
      </c>
      <c r="Q376" t="s">
        <v>4283</v>
      </c>
      <c r="R376">
        <v>550</v>
      </c>
      <c r="S376">
        <v>30</v>
      </c>
      <c r="T376">
        <v>30</v>
      </c>
      <c r="W376">
        <f>COUNTIFS('Clinical Trials HCO'!$A:$A, K376, 'Clinical Trials HCO'!$D:$D, "&lt;&gt;")</f>
        <v>0</v>
      </c>
      <c r="AF376" t="s">
        <v>414</v>
      </c>
      <c r="AG376" t="s">
        <v>414</v>
      </c>
    </row>
    <row r="377" spans="2:33" hidden="1">
      <c r="B377">
        <v>551</v>
      </c>
      <c r="F377">
        <f>COUNTIF(HCPs!W:W,HCO_Data!K377)</f>
        <v>1</v>
      </c>
      <c r="G377" t="str">
        <f>IF(COUNTIF('Testing Referrals'!B:B,HCO_Data!K377)&gt;0,"Yes","")</f>
        <v/>
      </c>
      <c r="H377">
        <f>COUNTIF('HCO referrals'!B:B,HCO_Data!K377)+COUNTIF('HCO referrals'!C:C,HCO_Data!K377)</f>
        <v>0</v>
      </c>
      <c r="I377">
        <v>330781352</v>
      </c>
      <c r="K377" t="s">
        <v>3753</v>
      </c>
      <c r="L377" t="s">
        <v>4296</v>
      </c>
      <c r="M377" t="s">
        <v>2262</v>
      </c>
      <c r="N377">
        <v>33075</v>
      </c>
      <c r="O377" t="s">
        <v>942</v>
      </c>
      <c r="Q377" t="s">
        <v>4283</v>
      </c>
      <c r="R377">
        <v>472</v>
      </c>
      <c r="S377">
        <v>29</v>
      </c>
      <c r="T377">
        <v>29</v>
      </c>
      <c r="W377">
        <f>COUNTIFS('Clinical Trials HCO'!$A:$A, K377, 'Clinical Trials HCO'!$D:$D, "&lt;&gt;")</f>
        <v>13</v>
      </c>
      <c r="AF377" t="s">
        <v>414</v>
      </c>
      <c r="AG377" t="s">
        <v>414</v>
      </c>
    </row>
    <row r="378" spans="2:33" hidden="1">
      <c r="B378">
        <v>261</v>
      </c>
      <c r="F378">
        <f>COUNTIF(HCPs!W:W,HCO_Data!K378)</f>
        <v>0</v>
      </c>
      <c r="G378" t="str">
        <f>IF(COUNTIF('Testing Referrals'!B:B,HCO_Data!K378)&gt;0,"Yes","")</f>
        <v/>
      </c>
      <c r="H378">
        <f>COUNTIF('HCO referrals'!B:B,HCO_Data!K378)+COUNTIF('HCO referrals'!C:C,HCO_Data!K378)</f>
        <v>0</v>
      </c>
      <c r="I378">
        <v>140024886</v>
      </c>
      <c r="K378" t="s">
        <v>10381</v>
      </c>
      <c r="L378" t="s">
        <v>1339</v>
      </c>
      <c r="M378" t="s">
        <v>1710</v>
      </c>
      <c r="N378">
        <v>14400</v>
      </c>
      <c r="O378" t="s">
        <v>1711</v>
      </c>
      <c r="Q378" t="s">
        <v>4283</v>
      </c>
      <c r="R378">
        <v>316</v>
      </c>
      <c r="S378">
        <v>29</v>
      </c>
      <c r="T378">
        <v>29</v>
      </c>
      <c r="W378">
        <f>COUNTIFS('Clinical Trials HCO'!$A:$A, K378, 'Clinical Trials HCO'!$D:$D, "&lt;&gt;")</f>
        <v>0</v>
      </c>
      <c r="AF378" t="s">
        <v>414</v>
      </c>
    </row>
    <row r="379" spans="2:33" hidden="1">
      <c r="B379">
        <v>313</v>
      </c>
      <c r="F379">
        <f>COUNTIF(HCPs!W:W,HCO_Data!K379)</f>
        <v>0</v>
      </c>
      <c r="G379" t="str">
        <f>IF(COUNTIF('Testing Referrals'!B:B,HCO_Data!K379)&gt;0,"Yes","")</f>
        <v/>
      </c>
      <c r="H379">
        <f>COUNTIF('HCO referrals'!B:B,HCO_Data!K379)+COUNTIF('HCO referrals'!C:C,HCO_Data!K379)</f>
        <v>0</v>
      </c>
      <c r="I379">
        <v>210011847</v>
      </c>
      <c r="K379" t="s">
        <v>10382</v>
      </c>
      <c r="L379" t="s">
        <v>635</v>
      </c>
      <c r="M379" t="s">
        <v>2348</v>
      </c>
      <c r="N379">
        <v>21076</v>
      </c>
      <c r="O379" t="s">
        <v>844</v>
      </c>
      <c r="Q379" t="s">
        <v>4283</v>
      </c>
      <c r="R379">
        <v>353</v>
      </c>
      <c r="S379">
        <v>29</v>
      </c>
      <c r="T379">
        <v>29</v>
      </c>
      <c r="W379">
        <f>COUNTIFS('Clinical Trials HCO'!$A:$A, K379, 'Clinical Trials HCO'!$D:$D, "&lt;&gt;")</f>
        <v>0</v>
      </c>
      <c r="AF379" t="s">
        <v>414</v>
      </c>
      <c r="AG379" t="s">
        <v>414</v>
      </c>
    </row>
    <row r="380" spans="2:33" hidden="1">
      <c r="B380">
        <v>400</v>
      </c>
      <c r="F380">
        <f>COUNTIF(HCPs!W:W,HCO_Data!K380)</f>
        <v>2</v>
      </c>
      <c r="G380" t="str">
        <f>IF(COUNTIF('Testing Referrals'!B:B,HCO_Data!K380)&gt;0,"Yes","")</f>
        <v/>
      </c>
      <c r="H380">
        <f>COUNTIF('HCO referrals'!B:B,HCO_Data!K380)+COUNTIF('HCO referrals'!C:C,HCO_Data!K380)</f>
        <v>0</v>
      </c>
      <c r="I380">
        <v>220022800</v>
      </c>
      <c r="K380" t="s">
        <v>10383</v>
      </c>
      <c r="L380" s="13" t="s">
        <v>2251</v>
      </c>
      <c r="M380" t="s">
        <v>2252</v>
      </c>
      <c r="N380">
        <v>22190</v>
      </c>
      <c r="O380" t="s">
        <v>1000</v>
      </c>
      <c r="Q380" t="s">
        <v>4283</v>
      </c>
      <c r="R380">
        <v>252</v>
      </c>
      <c r="S380">
        <v>29</v>
      </c>
      <c r="T380">
        <v>29</v>
      </c>
      <c r="W380">
        <f>COUNTIFS('Clinical Trials HCO'!$A:$A, K380, 'Clinical Trials HCO'!$D:$D, "&lt;&gt;")</f>
        <v>0</v>
      </c>
      <c r="AF380" t="s">
        <v>414</v>
      </c>
      <c r="AG380" t="s">
        <v>414</v>
      </c>
    </row>
    <row r="381" spans="2:33" hidden="1">
      <c r="F381">
        <f>COUNTIF(HCPs!W:W,HCO_Data!K381)</f>
        <v>0</v>
      </c>
      <c r="G381" t="str">
        <f>IF(COUNTIF('Testing Referrals'!B:B,HCO_Data!K381)&gt;0,"Yes","")</f>
        <v/>
      </c>
      <c r="H381">
        <f>COUNTIF('HCO referrals'!B:B,HCO_Data!K381)+COUNTIF('HCO referrals'!C:C,HCO_Data!K381)</f>
        <v>0</v>
      </c>
      <c r="I381">
        <v>230780082</v>
      </c>
      <c r="K381" t="s">
        <v>10384</v>
      </c>
      <c r="L381" t="s">
        <v>8708</v>
      </c>
      <c r="M381" t="s">
        <v>8709</v>
      </c>
      <c r="O381" t="s">
        <v>8710</v>
      </c>
      <c r="P381" t="s">
        <v>770</v>
      </c>
      <c r="Q381" t="s">
        <v>4283</v>
      </c>
      <c r="R381">
        <v>315</v>
      </c>
      <c r="S381">
        <v>29</v>
      </c>
      <c r="T381">
        <v>29</v>
      </c>
      <c r="W381">
        <f>COUNTIFS('Clinical Trials HCO'!$A:$A, K381, 'Clinical Trials HCO'!$D:$D, "&lt;&gt;")</f>
        <v>0</v>
      </c>
    </row>
    <row r="382" spans="2:33" hidden="1">
      <c r="B382">
        <v>538</v>
      </c>
      <c r="F382">
        <f>COUNTIF(HCPs!W:W,HCO_Data!K382)</f>
        <v>0</v>
      </c>
      <c r="G382" t="str">
        <f>IF(COUNTIF('Testing Referrals'!B:B,HCO_Data!K382)&gt;0,"Yes","")</f>
        <v/>
      </c>
      <c r="H382">
        <f>COUNTIF('HCO referrals'!B:B,HCO_Data!K382)+COUNTIF('HCO referrals'!C:C,HCO_Data!K382)</f>
        <v>0</v>
      </c>
      <c r="I382">
        <v>240000190</v>
      </c>
      <c r="K382" t="s">
        <v>10385</v>
      </c>
      <c r="L382" t="s">
        <v>638</v>
      </c>
      <c r="M382" t="s">
        <v>2351</v>
      </c>
      <c r="N382">
        <v>24004</v>
      </c>
      <c r="O382" t="s">
        <v>2352</v>
      </c>
      <c r="Q382" t="s">
        <v>4283</v>
      </c>
      <c r="R382">
        <v>282</v>
      </c>
      <c r="S382">
        <v>29</v>
      </c>
      <c r="T382">
        <v>29</v>
      </c>
      <c r="W382">
        <f>COUNTIFS('Clinical Trials HCO'!$A:$A, K382, 'Clinical Trials HCO'!$D:$D, "&lt;&gt;")</f>
        <v>0</v>
      </c>
      <c r="AF382" t="s">
        <v>414</v>
      </c>
      <c r="AG382" t="s">
        <v>414</v>
      </c>
    </row>
    <row r="383" spans="2:33" hidden="1">
      <c r="F383">
        <f>COUNTIF(HCPs!W:W,HCO_Data!K383)</f>
        <v>0</v>
      </c>
      <c r="G383" t="str">
        <f>IF(COUNTIF('Testing Referrals'!B:B,HCO_Data!K383)&gt;0,"Yes","")</f>
        <v/>
      </c>
      <c r="H383">
        <f>COUNTIF('HCO referrals'!B:B,HCO_Data!K383)+COUNTIF('HCO referrals'!C:C,HCO_Data!K383)</f>
        <v>0</v>
      </c>
      <c r="I383">
        <v>370000531</v>
      </c>
      <c r="K383" t="s">
        <v>10386</v>
      </c>
      <c r="L383" t="s">
        <v>8714</v>
      </c>
      <c r="M383" t="s">
        <v>8715</v>
      </c>
      <c r="O383" t="s">
        <v>8716</v>
      </c>
      <c r="P383" t="s">
        <v>726</v>
      </c>
      <c r="Q383" t="s">
        <v>4283</v>
      </c>
      <c r="R383">
        <v>320</v>
      </c>
      <c r="S383">
        <v>29</v>
      </c>
      <c r="T383">
        <v>29</v>
      </c>
      <c r="W383">
        <f>COUNTIFS('Clinical Trials HCO'!$A:$A, K383, 'Clinical Trials HCO'!$D:$D, "&lt;&gt;")</f>
        <v>0</v>
      </c>
    </row>
    <row r="384" spans="2:33" hidden="1">
      <c r="B384">
        <v>607</v>
      </c>
      <c r="F384">
        <f>COUNTIF(HCPs!W:W,HCO_Data!K384)</f>
        <v>0</v>
      </c>
      <c r="G384" t="str">
        <f>IF(COUNTIF('Testing Referrals'!B:B,HCO_Data!K384)&gt;0,"Yes","")</f>
        <v/>
      </c>
      <c r="H384">
        <f>COUNTIF('HCO referrals'!B:B,HCO_Data!K384)+COUNTIF('HCO referrals'!C:C,HCO_Data!K384)</f>
        <v>0</v>
      </c>
      <c r="I384">
        <v>420010050</v>
      </c>
      <c r="K384" t="s">
        <v>10387</v>
      </c>
      <c r="L384" t="s">
        <v>2483</v>
      </c>
      <c r="M384" t="s">
        <v>2796</v>
      </c>
      <c r="N384">
        <v>42013</v>
      </c>
      <c r="O384" t="s">
        <v>2211</v>
      </c>
      <c r="Q384" t="s">
        <v>4283</v>
      </c>
      <c r="R384">
        <v>512</v>
      </c>
      <c r="S384">
        <v>29</v>
      </c>
      <c r="T384">
        <v>29</v>
      </c>
      <c r="W384">
        <f>COUNTIFS('Clinical Trials HCO'!$A:$A, K384, 'Clinical Trials HCO'!$D:$D, "&lt;&gt;")</f>
        <v>0</v>
      </c>
      <c r="AF384" t="s">
        <v>414</v>
      </c>
      <c r="AG384" t="s">
        <v>414</v>
      </c>
    </row>
    <row r="385" spans="2:33" hidden="1">
      <c r="B385">
        <v>569</v>
      </c>
      <c r="F385">
        <f>COUNTIF(HCPs!W:W,HCO_Data!K385)</f>
        <v>0</v>
      </c>
      <c r="G385" t="str">
        <f>IF(COUNTIF('Testing Referrals'!B:B,HCO_Data!K385)&gt;0,"Yes","")</f>
        <v/>
      </c>
      <c r="H385">
        <f>COUNTIF('HCO referrals'!B:B,HCO_Data!K385)+COUNTIF('HCO referrals'!C:C,HCO_Data!K385)</f>
        <v>0</v>
      </c>
      <c r="I385">
        <v>420010241</v>
      </c>
      <c r="K385" t="s">
        <v>10388</v>
      </c>
      <c r="L385" t="s">
        <v>1666</v>
      </c>
      <c r="M385" t="s">
        <v>2312</v>
      </c>
      <c r="N385">
        <v>42271</v>
      </c>
      <c r="O385" t="s">
        <v>877</v>
      </c>
      <c r="Q385" t="s">
        <v>4283</v>
      </c>
      <c r="R385">
        <v>183</v>
      </c>
      <c r="S385">
        <v>29</v>
      </c>
      <c r="T385">
        <v>29</v>
      </c>
      <c r="W385">
        <f>COUNTIFS('Clinical Trials HCO'!$A:$A, K385, 'Clinical Trials HCO'!$D:$D, "&lt;&gt;")</f>
        <v>0</v>
      </c>
      <c r="AD385" s="12" t="s">
        <v>414</v>
      </c>
      <c r="AE385" s="12"/>
      <c r="AF385" s="12"/>
      <c r="AG385" s="12"/>
    </row>
    <row r="386" spans="2:33" hidden="1">
      <c r="B386">
        <v>623</v>
      </c>
      <c r="F386">
        <f>COUNTIF(HCPs!W:W,HCO_Data!K386)</f>
        <v>0</v>
      </c>
      <c r="G386" t="str">
        <f>IF(COUNTIF('Testing Referrals'!B:B,HCO_Data!K386)&gt;0,"Yes","")</f>
        <v/>
      </c>
      <c r="H386">
        <f>COUNTIF('HCO referrals'!B:B,HCO_Data!K386)+COUNTIF('HCO referrals'!C:C,HCO_Data!K386)</f>
        <v>0</v>
      </c>
      <c r="I386">
        <v>650780679</v>
      </c>
      <c r="K386" t="s">
        <v>10389</v>
      </c>
      <c r="L386" t="s">
        <v>1677</v>
      </c>
      <c r="M386" t="s">
        <v>2329</v>
      </c>
      <c r="N386">
        <v>65000</v>
      </c>
      <c r="O386" t="s">
        <v>1930</v>
      </c>
      <c r="Q386" t="s">
        <v>4283</v>
      </c>
      <c r="R386">
        <v>370</v>
      </c>
      <c r="S386">
        <v>29</v>
      </c>
      <c r="T386">
        <v>29</v>
      </c>
      <c r="W386">
        <f>COUNTIFS('Clinical Trials HCO'!$A:$A, K386, 'Clinical Trials HCO'!$D:$D, "&lt;&gt;")</f>
        <v>0</v>
      </c>
      <c r="AF386" t="s">
        <v>414</v>
      </c>
      <c r="AG386" t="s">
        <v>414</v>
      </c>
    </row>
    <row r="387" spans="2:33" hidden="1">
      <c r="B387">
        <v>362</v>
      </c>
      <c r="F387">
        <f>COUNTIF(HCPs!W:W,HCO_Data!K387)</f>
        <v>0</v>
      </c>
      <c r="G387" t="str">
        <f>IF(COUNTIF('Testing Referrals'!B:B,HCO_Data!K387)&gt;0,"Yes","")</f>
        <v/>
      </c>
      <c r="H387">
        <f>COUNTIF('HCO referrals'!B:B,HCO_Data!K387)+COUNTIF('HCO referrals'!C:C,HCO_Data!K387)</f>
        <v>0</v>
      </c>
      <c r="I387">
        <v>730000262</v>
      </c>
      <c r="K387" t="s">
        <v>10390</v>
      </c>
      <c r="L387" t="s">
        <v>2391</v>
      </c>
      <c r="M387" t="s">
        <v>2675</v>
      </c>
      <c r="N387">
        <v>73208</v>
      </c>
      <c r="O387" t="s">
        <v>2676</v>
      </c>
      <c r="Q387" t="s">
        <v>4283</v>
      </c>
      <c r="R387">
        <v>303</v>
      </c>
      <c r="S387">
        <v>29</v>
      </c>
      <c r="T387">
        <v>29</v>
      </c>
      <c r="W387">
        <f>COUNTIFS('Clinical Trials HCO'!$A:$A, K387, 'Clinical Trials HCO'!$D:$D, "&lt;&gt;")</f>
        <v>0</v>
      </c>
      <c r="AG387" t="s">
        <v>414</v>
      </c>
    </row>
    <row r="388" spans="2:33" hidden="1">
      <c r="B388">
        <v>318</v>
      </c>
      <c r="F388">
        <f>COUNTIF(HCPs!W:W,HCO_Data!K388)</f>
        <v>0</v>
      </c>
      <c r="G388" t="str">
        <f>IF(COUNTIF('Testing Referrals'!B:B,HCO_Data!K388)&gt;0,"Yes","")</f>
        <v/>
      </c>
      <c r="H388">
        <f>COUNTIF('HCO referrals'!B:B,HCO_Data!K388)+COUNTIF('HCO referrals'!C:C,HCO_Data!K388)</f>
        <v>0</v>
      </c>
      <c r="I388">
        <v>770000172</v>
      </c>
      <c r="K388" t="s">
        <v>10391</v>
      </c>
      <c r="L388" t="s">
        <v>1398</v>
      </c>
      <c r="M388" t="s">
        <v>1832</v>
      </c>
      <c r="N388">
        <v>77488</v>
      </c>
      <c r="O388" t="s">
        <v>1833</v>
      </c>
      <c r="Q388" t="s">
        <v>4283</v>
      </c>
      <c r="R388">
        <v>329</v>
      </c>
      <c r="S388">
        <v>29</v>
      </c>
      <c r="T388">
        <v>29</v>
      </c>
      <c r="W388">
        <f>COUNTIFS('Clinical Trials HCO'!$A:$A, K388, 'Clinical Trials HCO'!$D:$D, "&lt;&gt;")</f>
        <v>0</v>
      </c>
      <c r="AG388" t="s">
        <v>414</v>
      </c>
    </row>
    <row r="389" spans="2:33" hidden="1">
      <c r="B389">
        <v>241</v>
      </c>
      <c r="F389">
        <f>COUNTIF(HCPs!W:W,HCO_Data!K389)</f>
        <v>0</v>
      </c>
      <c r="G389" t="str">
        <f>IF(COUNTIF('Testing Referrals'!B:B,HCO_Data!K389)&gt;0,"Yes","")</f>
        <v/>
      </c>
      <c r="H389">
        <f>COUNTIF('HCO referrals'!B:B,HCO_Data!K389)+COUNTIF('HCO referrals'!C:C,HCO_Data!K389)</f>
        <v>0</v>
      </c>
      <c r="I389">
        <v>910300144</v>
      </c>
      <c r="K389" t="s">
        <v>10392</v>
      </c>
      <c r="L389" t="s">
        <v>1537</v>
      </c>
      <c r="M389" t="s">
        <v>2109</v>
      </c>
      <c r="N389">
        <v>91035</v>
      </c>
      <c r="O389" t="s">
        <v>2110</v>
      </c>
      <c r="Q389" t="s">
        <v>4283</v>
      </c>
      <c r="R389">
        <v>347</v>
      </c>
      <c r="S389">
        <v>29</v>
      </c>
      <c r="T389">
        <v>29</v>
      </c>
      <c r="W389">
        <f>COUNTIFS('Clinical Trials HCO'!$A:$A, K389, 'Clinical Trials HCO'!$D:$D, "&lt;&gt;")</f>
        <v>0</v>
      </c>
      <c r="AG389" t="s">
        <v>414</v>
      </c>
    </row>
    <row r="390" spans="2:33" hidden="1">
      <c r="B390">
        <v>167</v>
      </c>
      <c r="F390">
        <f>COUNTIF(HCPs!W:W,HCO_Data!K390)</f>
        <v>0</v>
      </c>
      <c r="G390" t="str">
        <f>IF(COUNTIF('Testing Referrals'!B:B,HCO_Data!K390)&gt;0,"Yes","")</f>
        <v/>
      </c>
      <c r="H390">
        <f>COUNTIF('HCO referrals'!B:B,HCO_Data!K390)+COUNTIF('HCO referrals'!C:C,HCO_Data!K390)</f>
        <v>0</v>
      </c>
      <c r="I390">
        <v>20000394</v>
      </c>
      <c r="K390" t="s">
        <v>10393</v>
      </c>
      <c r="L390" t="s">
        <v>1420</v>
      </c>
      <c r="M390" t="s">
        <v>1880</v>
      </c>
      <c r="N390">
        <v>2001</v>
      </c>
      <c r="O390" t="s">
        <v>1881</v>
      </c>
      <c r="Q390" t="s">
        <v>4283</v>
      </c>
      <c r="R390">
        <v>355</v>
      </c>
      <c r="S390">
        <v>28</v>
      </c>
      <c r="T390">
        <v>28</v>
      </c>
      <c r="W390">
        <f>COUNTIFS('Clinical Trials HCO'!$A:$A, K390, 'Clinical Trials HCO'!$D:$D, "&lt;&gt;")</f>
        <v>0</v>
      </c>
      <c r="AF390" t="s">
        <v>414</v>
      </c>
    </row>
    <row r="391" spans="2:33" hidden="1">
      <c r="B391">
        <v>583</v>
      </c>
      <c r="F391">
        <f>COUNTIF(HCPs!W:W,HCO_Data!K391)</f>
        <v>0</v>
      </c>
      <c r="G391" t="str">
        <f>IF(COUNTIF('Testing Referrals'!B:B,HCO_Data!K391)&gt;0,"Yes","")</f>
        <v/>
      </c>
      <c r="H391">
        <f>COUNTIF('HCO referrals'!B:B,HCO_Data!K391)+COUNTIF('HCO referrals'!C:C,HCO_Data!K391)</f>
        <v>0</v>
      </c>
      <c r="I391">
        <v>220000368</v>
      </c>
      <c r="K391" t="s">
        <v>10394</v>
      </c>
      <c r="L391" t="s">
        <v>1353</v>
      </c>
      <c r="M391" t="s">
        <v>1736</v>
      </c>
      <c r="N391">
        <v>22303</v>
      </c>
      <c r="O391" t="s">
        <v>1737</v>
      </c>
      <c r="Q391" t="s">
        <v>4283</v>
      </c>
      <c r="R391">
        <v>293</v>
      </c>
      <c r="S391">
        <v>28</v>
      </c>
      <c r="T391">
        <v>28</v>
      </c>
      <c r="W391">
        <f>COUNTIFS('Clinical Trials HCO'!$A:$A, K391, 'Clinical Trials HCO'!$D:$D, "&lt;&gt;")</f>
        <v>0</v>
      </c>
      <c r="AF391" t="s">
        <v>414</v>
      </c>
    </row>
    <row r="392" spans="2:33" hidden="1">
      <c r="B392">
        <v>682</v>
      </c>
      <c r="F392">
        <f>COUNTIF(HCPs!W:W,HCO_Data!K392)</f>
        <v>0</v>
      </c>
      <c r="G392" t="str">
        <f>IF(COUNTIF('Testing Referrals'!B:B,HCO_Data!K392)&gt;0,"Yes","")</f>
        <v/>
      </c>
      <c r="H392">
        <f>COUNTIF('HCO referrals'!B:B,HCO_Data!K392)+COUNTIF('HCO referrals'!C:C,HCO_Data!K392)</f>
        <v>0</v>
      </c>
      <c r="I392">
        <v>310783048</v>
      </c>
      <c r="K392" t="s">
        <v>10395</v>
      </c>
      <c r="L392" t="s">
        <v>1628</v>
      </c>
      <c r="M392" t="s">
        <v>2255</v>
      </c>
      <c r="N392">
        <v>31059</v>
      </c>
      <c r="O392" t="s">
        <v>833</v>
      </c>
      <c r="Q392" t="s">
        <v>4283</v>
      </c>
      <c r="R392">
        <v>556</v>
      </c>
      <c r="S392">
        <v>28</v>
      </c>
      <c r="T392">
        <v>28</v>
      </c>
      <c r="W392">
        <f>COUNTIFS('Clinical Trials HCO'!$A:$A, K392, 'Clinical Trials HCO'!$D:$D, "&lt;&gt;")</f>
        <v>0</v>
      </c>
    </row>
    <row r="393" spans="2:33" hidden="1">
      <c r="F393">
        <f>COUNTIF(HCPs!W:W,HCO_Data!K393)</f>
        <v>0</v>
      </c>
      <c r="G393" t="str">
        <f>IF(COUNTIF('Testing Referrals'!B:B,HCO_Data!K393)&gt;0,"Yes","")</f>
        <v/>
      </c>
      <c r="H393">
        <f>COUNTIF('HCO referrals'!B:B,HCO_Data!K393)+COUNTIF('HCO referrals'!C:C,HCO_Data!K393)</f>
        <v>0</v>
      </c>
      <c r="I393">
        <v>330000589</v>
      </c>
      <c r="K393" t="s">
        <v>10396</v>
      </c>
      <c r="L393" t="s">
        <v>8735</v>
      </c>
      <c r="M393" t="s">
        <v>8736</v>
      </c>
      <c r="O393" t="s">
        <v>8737</v>
      </c>
      <c r="P393" t="s">
        <v>716</v>
      </c>
      <c r="Q393" t="s">
        <v>4283</v>
      </c>
      <c r="R393">
        <v>357</v>
      </c>
      <c r="S393">
        <v>28</v>
      </c>
      <c r="T393">
        <v>28</v>
      </c>
      <c r="W393">
        <f>COUNTIFS('Clinical Trials HCO'!$A:$A, K393, 'Clinical Trials HCO'!$D:$D, "&lt;&gt;")</f>
        <v>0</v>
      </c>
    </row>
    <row r="394" spans="2:33" hidden="1">
      <c r="F394">
        <f>COUNTIF(HCPs!W:W,HCO_Data!K394)</f>
        <v>0</v>
      </c>
      <c r="G394" t="str">
        <f>IF(COUNTIF('Testing Referrals'!B:B,HCO_Data!K394)&gt;0,"Yes","")</f>
        <v/>
      </c>
      <c r="H394">
        <f>COUNTIF('HCO referrals'!B:B,HCO_Data!K394)+COUNTIF('HCO referrals'!C:C,HCO_Data!K394)</f>
        <v>0</v>
      </c>
      <c r="I394">
        <v>330781402</v>
      </c>
      <c r="K394" t="s">
        <v>10397</v>
      </c>
      <c r="L394" t="s">
        <v>8729</v>
      </c>
      <c r="M394" t="s">
        <v>8730</v>
      </c>
      <c r="O394" t="s">
        <v>8731</v>
      </c>
      <c r="P394" t="s">
        <v>716</v>
      </c>
      <c r="Q394" t="s">
        <v>4283</v>
      </c>
      <c r="R394">
        <v>346</v>
      </c>
      <c r="S394">
        <v>28</v>
      </c>
      <c r="T394">
        <v>28</v>
      </c>
      <c r="W394">
        <f>COUNTIFS('Clinical Trials HCO'!$A:$A, K394, 'Clinical Trials HCO'!$D:$D, "&lt;&gt;")</f>
        <v>0</v>
      </c>
    </row>
    <row r="395" spans="2:33" hidden="1">
      <c r="F395">
        <f>COUNTIF(HCPs!W:W,HCO_Data!K395)</f>
        <v>0</v>
      </c>
      <c r="G395" t="str">
        <f>IF(COUNTIF('Testing Referrals'!B:B,HCO_Data!K395)&gt;0,"Yes","")</f>
        <v/>
      </c>
      <c r="H395">
        <f>COUNTIF('HCO referrals'!B:B,HCO_Data!K395)+COUNTIF('HCO referrals'!C:C,HCO_Data!K395)</f>
        <v>0</v>
      </c>
      <c r="I395">
        <v>430000190</v>
      </c>
      <c r="K395" t="s">
        <v>10398</v>
      </c>
      <c r="L395" t="s">
        <v>8695</v>
      </c>
      <c r="M395" t="s">
        <v>8696</v>
      </c>
      <c r="O395" t="s">
        <v>8697</v>
      </c>
      <c r="P395" t="s">
        <v>787</v>
      </c>
      <c r="Q395" t="s">
        <v>4283</v>
      </c>
      <c r="R395">
        <v>271</v>
      </c>
      <c r="S395">
        <v>28</v>
      </c>
      <c r="T395">
        <v>28</v>
      </c>
      <c r="W395">
        <f>COUNTIFS('Clinical Trials HCO'!$A:$A, K395, 'Clinical Trials HCO'!$D:$D, "&lt;&gt;")</f>
        <v>0</v>
      </c>
    </row>
    <row r="396" spans="2:33" hidden="1">
      <c r="B396">
        <v>129</v>
      </c>
      <c r="F396">
        <f>COUNTIF(HCPs!W:W,HCO_Data!K396)</f>
        <v>0</v>
      </c>
      <c r="G396" t="str">
        <f>IF(COUNTIF('Testing Referrals'!B:B,HCO_Data!K396)&gt;0,"Yes","")</f>
        <v/>
      </c>
      <c r="H396">
        <f>COUNTIF('HCO referrals'!B:B,HCO_Data!K396)+COUNTIF('HCO referrals'!C:C,HCO_Data!K396)</f>
        <v>0</v>
      </c>
      <c r="I396">
        <v>620003202</v>
      </c>
      <c r="K396" t="s">
        <v>10399</v>
      </c>
      <c r="L396" t="s">
        <v>1374</v>
      </c>
      <c r="M396" t="s">
        <v>1781</v>
      </c>
      <c r="N396">
        <v>62180</v>
      </c>
      <c r="O396" t="s">
        <v>1782</v>
      </c>
      <c r="Q396" t="s">
        <v>4283</v>
      </c>
      <c r="R396">
        <v>367</v>
      </c>
      <c r="S396">
        <v>28</v>
      </c>
      <c r="T396">
        <v>28</v>
      </c>
      <c r="W396">
        <f>COUNTIFS('Clinical Trials HCO'!$A:$A, K396, 'Clinical Trials HCO'!$D:$D, "&lt;&gt;")</f>
        <v>0</v>
      </c>
      <c r="AF396" t="s">
        <v>414</v>
      </c>
      <c r="AG396" t="s">
        <v>414</v>
      </c>
    </row>
    <row r="397" spans="2:33" hidden="1">
      <c r="B397">
        <v>309</v>
      </c>
      <c r="F397">
        <f>COUNTIF(HCPs!W:W,HCO_Data!K397)</f>
        <v>0</v>
      </c>
      <c r="G397" t="str">
        <f>IF(COUNTIF('Testing Referrals'!B:B,HCO_Data!K397)&gt;0,"Yes","")</f>
        <v/>
      </c>
      <c r="H397">
        <f>COUNTIF('HCO referrals'!B:B,HCO_Data!K397)+COUNTIF('HCO referrals'!C:C,HCO_Data!K397)</f>
        <v>0</v>
      </c>
      <c r="I397">
        <v>640780748</v>
      </c>
      <c r="K397" t="s">
        <v>10400</v>
      </c>
      <c r="L397" t="s">
        <v>2340</v>
      </c>
      <c r="M397" t="s">
        <v>2341</v>
      </c>
      <c r="N397">
        <v>64501</v>
      </c>
      <c r="O397" t="s">
        <v>2342</v>
      </c>
      <c r="Q397" t="s">
        <v>4283</v>
      </c>
      <c r="R397">
        <v>300</v>
      </c>
      <c r="S397">
        <v>28</v>
      </c>
      <c r="T397">
        <v>28</v>
      </c>
      <c r="W397">
        <f>COUNTIFS('Clinical Trials HCO'!$A:$A, K397, 'Clinical Trials HCO'!$D:$D, "&lt;&gt;")</f>
        <v>0</v>
      </c>
      <c r="AF397" t="s">
        <v>414</v>
      </c>
      <c r="AG397" t="s">
        <v>414</v>
      </c>
    </row>
    <row r="398" spans="2:33" hidden="1">
      <c r="B398">
        <v>174</v>
      </c>
      <c r="F398">
        <f>COUNTIF(HCPs!W:W,HCO_Data!K398)</f>
        <v>0</v>
      </c>
      <c r="G398" t="str">
        <f>IF(COUNTIF('Testing Referrals'!B:B,HCO_Data!K398)&gt;0,"Yes","")</f>
        <v/>
      </c>
      <c r="H398">
        <f>COUNTIF('HCO referrals'!B:B,HCO_Data!K398)+COUNTIF('HCO referrals'!C:C,HCO_Data!K398)</f>
        <v>0</v>
      </c>
      <c r="I398">
        <v>820000032</v>
      </c>
      <c r="K398" t="s">
        <v>10401</v>
      </c>
      <c r="L398" t="s">
        <v>683</v>
      </c>
      <c r="M398" t="s">
        <v>1898</v>
      </c>
      <c r="N398">
        <v>82013</v>
      </c>
      <c r="O398" t="s">
        <v>1899</v>
      </c>
      <c r="Q398" t="s">
        <v>4283</v>
      </c>
      <c r="R398">
        <v>248</v>
      </c>
      <c r="S398">
        <v>28</v>
      </c>
      <c r="T398">
        <v>28</v>
      </c>
      <c r="W398">
        <f>COUNTIFS('Clinical Trials HCO'!$A:$A, K398, 'Clinical Trials HCO'!$D:$D, "&lt;&gt;")</f>
        <v>0</v>
      </c>
      <c r="AF398" t="s">
        <v>414</v>
      </c>
      <c r="AG398" t="s">
        <v>414</v>
      </c>
    </row>
    <row r="399" spans="2:33" hidden="1">
      <c r="B399">
        <v>275</v>
      </c>
      <c r="F399">
        <f>COUNTIF(HCPs!W:W,HCO_Data!K399)</f>
        <v>0</v>
      </c>
      <c r="G399" t="str">
        <f>IF(COUNTIF('Testing Referrals'!B:B,HCO_Data!K399)&gt;0,"Yes","")</f>
        <v/>
      </c>
      <c r="H399">
        <f>COUNTIF('HCO referrals'!B:B,HCO_Data!K399)+COUNTIF('HCO referrals'!C:C,HCO_Data!K399)</f>
        <v>0</v>
      </c>
      <c r="I399">
        <v>920100047</v>
      </c>
      <c r="K399" t="s">
        <v>10402</v>
      </c>
      <c r="L399" t="s">
        <v>1654</v>
      </c>
      <c r="M399" t="s">
        <v>2293</v>
      </c>
      <c r="N399">
        <v>92701</v>
      </c>
      <c r="O399" t="s">
        <v>2294</v>
      </c>
      <c r="Q399" t="s">
        <v>4283</v>
      </c>
      <c r="R399">
        <v>373</v>
      </c>
      <c r="S399">
        <v>28</v>
      </c>
      <c r="T399">
        <v>28</v>
      </c>
      <c r="W399">
        <f>COUNTIFS('Clinical Trials HCO'!$A:$A, K399, 'Clinical Trials HCO'!$D:$D, "&lt;&gt;")</f>
        <v>0</v>
      </c>
      <c r="AF399" t="s">
        <v>414</v>
      </c>
      <c r="AG399" t="s">
        <v>414</v>
      </c>
    </row>
    <row r="400" spans="2:33" hidden="1">
      <c r="B400">
        <v>673</v>
      </c>
      <c r="C400" t="s">
        <v>8413</v>
      </c>
      <c r="F400">
        <f>COUNTIF(HCPs!W:W,HCO_Data!K400)</f>
        <v>0</v>
      </c>
      <c r="G400" t="str">
        <f>IF(COUNTIF('Testing Referrals'!B:B,HCO_Data!K400)&gt;0,"Yes","")</f>
        <v/>
      </c>
      <c r="H400">
        <f>COUNTIF('HCO referrals'!B:B,HCO_Data!K400)+COUNTIF('HCO referrals'!C:C,HCO_Data!K400)</f>
        <v>0</v>
      </c>
      <c r="I400">
        <v>140017237</v>
      </c>
      <c r="J400" s="72" t="s">
        <v>8410</v>
      </c>
      <c r="K400" t="s">
        <v>8409</v>
      </c>
      <c r="L400" t="s">
        <v>8411</v>
      </c>
      <c r="M400" t="s">
        <v>2864</v>
      </c>
      <c r="N400">
        <v>14050</v>
      </c>
      <c r="O400" t="s">
        <v>808</v>
      </c>
      <c r="Q400" t="s">
        <v>4283</v>
      </c>
      <c r="R400">
        <v>572</v>
      </c>
      <c r="S400">
        <v>27</v>
      </c>
      <c r="T400">
        <v>27</v>
      </c>
      <c r="W400">
        <f>COUNTIFS('Clinical Trials HCO'!$A:$A, K400, 'Clinical Trials HCO'!$D:$D, "&lt;&gt;")</f>
        <v>1</v>
      </c>
      <c r="AG400" t="s">
        <v>414</v>
      </c>
    </row>
    <row r="401" spans="2:33" hidden="1">
      <c r="B401">
        <v>375</v>
      </c>
      <c r="F401">
        <f>COUNTIF(HCPs!W:W,HCO_Data!K401)</f>
        <v>0</v>
      </c>
      <c r="G401" t="str">
        <f>IF(COUNTIF('Testing Referrals'!B:B,HCO_Data!K401)&gt;0,"Yes","")</f>
        <v/>
      </c>
      <c r="H401">
        <f>COUNTIF('HCO referrals'!B:B,HCO_Data!K401)+COUNTIF('HCO referrals'!C:C,HCO_Data!K401)</f>
        <v>0</v>
      </c>
      <c r="I401">
        <v>120004569</v>
      </c>
      <c r="K401" t="s">
        <v>10403</v>
      </c>
      <c r="L401" t="s">
        <v>2401</v>
      </c>
      <c r="M401" t="s">
        <v>2697</v>
      </c>
      <c r="N401">
        <v>12101</v>
      </c>
      <c r="O401" t="s">
        <v>2698</v>
      </c>
      <c r="Q401" t="s">
        <v>4283</v>
      </c>
      <c r="R401">
        <v>331</v>
      </c>
      <c r="S401">
        <v>27</v>
      </c>
      <c r="T401">
        <v>27</v>
      </c>
      <c r="W401">
        <f>COUNTIFS('Clinical Trials HCO'!$A:$A, K401, 'Clinical Trials HCO'!$D:$D, "&lt;&gt;")</f>
        <v>0</v>
      </c>
      <c r="AF401" t="s">
        <v>414</v>
      </c>
      <c r="AG401" t="s">
        <v>414</v>
      </c>
    </row>
    <row r="402" spans="2:33" hidden="1">
      <c r="B402">
        <v>143</v>
      </c>
      <c r="F402">
        <f>COUNTIF(HCPs!W:W,HCO_Data!K402)</f>
        <v>0</v>
      </c>
      <c r="G402" t="str">
        <f>IF(COUNTIF('Testing Referrals'!B:B,HCO_Data!K402)&gt;0,"Yes","")</f>
        <v/>
      </c>
      <c r="H402">
        <f>COUNTIF('HCO referrals'!B:B,HCO_Data!K402)+COUNTIF('HCO referrals'!C:C,HCO_Data!K402)</f>
        <v>0</v>
      </c>
      <c r="I402">
        <v>310000310</v>
      </c>
      <c r="K402" t="s">
        <v>10404</v>
      </c>
      <c r="L402" t="s">
        <v>1385</v>
      </c>
      <c r="M402" t="s">
        <v>1809</v>
      </c>
      <c r="N402">
        <v>31806</v>
      </c>
      <c r="O402" t="s">
        <v>1810</v>
      </c>
      <c r="Q402" t="s">
        <v>4283</v>
      </c>
      <c r="R402">
        <v>412</v>
      </c>
      <c r="S402">
        <v>27</v>
      </c>
      <c r="T402">
        <v>27</v>
      </c>
      <c r="W402">
        <f>COUNTIFS('Clinical Trials HCO'!$A:$A, K402, 'Clinical Trials HCO'!$D:$D, "&lt;&gt;")</f>
        <v>0</v>
      </c>
      <c r="AF402" t="s">
        <v>414</v>
      </c>
      <c r="AG402" t="s">
        <v>414</v>
      </c>
    </row>
    <row r="403" spans="2:33" hidden="1">
      <c r="B403">
        <v>130</v>
      </c>
      <c r="F403">
        <f>COUNTIF(HCPs!W:W,HCO_Data!K403)</f>
        <v>0</v>
      </c>
      <c r="G403" t="str">
        <f>IF(COUNTIF('Testing Referrals'!B:B,HCO_Data!K403)&gt;0,"Yes","")</f>
        <v/>
      </c>
      <c r="H403">
        <f>COUNTIF('HCO referrals'!B:B,HCO_Data!K403)+COUNTIF('HCO referrals'!C:C,HCO_Data!K403)</f>
        <v>0</v>
      </c>
      <c r="I403">
        <v>320000086</v>
      </c>
      <c r="K403" t="s">
        <v>10405</v>
      </c>
      <c r="L403" t="s">
        <v>1375</v>
      </c>
      <c r="M403" t="s">
        <v>1783</v>
      </c>
      <c r="N403">
        <v>32008</v>
      </c>
      <c r="O403" t="s">
        <v>1784</v>
      </c>
      <c r="Q403" t="s">
        <v>4283</v>
      </c>
      <c r="R403">
        <v>424</v>
      </c>
      <c r="S403">
        <v>27</v>
      </c>
      <c r="T403">
        <v>27</v>
      </c>
      <c r="W403">
        <f>COUNTIFS('Clinical Trials HCO'!$A:$A, K403, 'Clinical Trials HCO'!$D:$D, "&lt;&gt;")</f>
        <v>0</v>
      </c>
      <c r="AF403" t="s">
        <v>414</v>
      </c>
      <c r="AG403" t="s">
        <v>414</v>
      </c>
    </row>
    <row r="404" spans="2:33" hidden="1">
      <c r="F404">
        <f>COUNTIF(HCPs!W:W,HCO_Data!K404)</f>
        <v>0</v>
      </c>
      <c r="G404" t="str">
        <f>IF(COUNTIF('Testing Referrals'!B:B,HCO_Data!K404)&gt;0,"Yes","")</f>
        <v/>
      </c>
      <c r="H404">
        <f>COUNTIF('HCO referrals'!B:B,HCO_Data!K404)+COUNTIF('HCO referrals'!C:C,HCO_Data!K404)</f>
        <v>0</v>
      </c>
      <c r="I404">
        <v>370000903</v>
      </c>
      <c r="K404" t="s">
        <v>10406</v>
      </c>
      <c r="L404" t="s">
        <v>8686</v>
      </c>
      <c r="M404" t="s">
        <v>8687</v>
      </c>
      <c r="O404" t="s">
        <v>8688</v>
      </c>
      <c r="P404" t="s">
        <v>726</v>
      </c>
      <c r="Q404" t="s">
        <v>4283</v>
      </c>
      <c r="R404">
        <v>247</v>
      </c>
      <c r="S404">
        <v>27</v>
      </c>
      <c r="T404">
        <v>27</v>
      </c>
      <c r="W404">
        <f>COUNTIFS('Clinical Trials HCO'!$A:$A, K404, 'Clinical Trials HCO'!$D:$D, "&lt;&gt;")</f>
        <v>0</v>
      </c>
    </row>
    <row r="405" spans="2:33" hidden="1">
      <c r="B405">
        <v>675</v>
      </c>
      <c r="F405">
        <f>COUNTIF(HCPs!W:W,HCO_Data!K405)</f>
        <v>0</v>
      </c>
      <c r="G405" t="str">
        <f>IF(COUNTIF('Testing Referrals'!B:B,HCO_Data!K405)&gt;0,"Yes","")</f>
        <v/>
      </c>
      <c r="H405">
        <f>COUNTIF('HCO referrals'!B:B,HCO_Data!K405)+COUNTIF('HCO referrals'!C:C,HCO_Data!K405)</f>
        <v>0</v>
      </c>
      <c r="I405">
        <v>440017598</v>
      </c>
      <c r="K405" t="s">
        <v>10407</v>
      </c>
      <c r="L405" t="s">
        <v>1482</v>
      </c>
      <c r="M405" t="s">
        <v>2004</v>
      </c>
      <c r="N405">
        <v>44800</v>
      </c>
      <c r="O405" t="s">
        <v>2005</v>
      </c>
      <c r="Q405" t="s">
        <v>4283</v>
      </c>
      <c r="R405">
        <v>561</v>
      </c>
      <c r="S405">
        <v>27</v>
      </c>
      <c r="T405">
        <v>27</v>
      </c>
      <c r="W405">
        <f>COUNTIFS('Clinical Trials HCO'!$A:$A, K405, 'Clinical Trials HCO'!$D:$D, "&lt;&gt;")</f>
        <v>0</v>
      </c>
      <c r="AG405" t="s">
        <v>414</v>
      </c>
    </row>
    <row r="406" spans="2:33" hidden="1">
      <c r="B406">
        <v>164</v>
      </c>
      <c r="F406">
        <f>COUNTIF(HCPs!W:W,HCO_Data!K406)</f>
        <v>0</v>
      </c>
      <c r="G406" t="str">
        <f>IF(COUNTIF('Testing Referrals'!B:B,HCO_Data!K406)&gt;0,"Yes","")</f>
        <v/>
      </c>
      <c r="H406">
        <f>COUNTIF('HCO referrals'!B:B,HCO_Data!K406)+COUNTIF('HCO referrals'!C:C,HCO_Data!K406)</f>
        <v>0</v>
      </c>
      <c r="I406">
        <v>460000110</v>
      </c>
      <c r="K406" t="s">
        <v>10408</v>
      </c>
      <c r="L406" t="s">
        <v>1417</v>
      </c>
      <c r="M406" t="s">
        <v>1874</v>
      </c>
      <c r="N406">
        <v>46005</v>
      </c>
      <c r="O406" t="s">
        <v>1875</v>
      </c>
      <c r="Q406" t="s">
        <v>4283</v>
      </c>
      <c r="R406">
        <v>307</v>
      </c>
      <c r="S406">
        <v>27</v>
      </c>
      <c r="T406">
        <v>27</v>
      </c>
      <c r="W406">
        <f>COUNTIFS('Clinical Trials HCO'!$A:$A, K406, 'Clinical Trials HCO'!$D:$D, "&lt;&gt;")</f>
        <v>0</v>
      </c>
      <c r="AF406" t="s">
        <v>414</v>
      </c>
      <c r="AG406" t="s">
        <v>414</v>
      </c>
    </row>
    <row r="407" spans="2:33" hidden="1">
      <c r="F407">
        <f>COUNTIF(HCPs!W:W,HCO_Data!K407)</f>
        <v>0</v>
      </c>
      <c r="G407" t="str">
        <f>IF(COUNTIF('Testing Referrals'!B:B,HCO_Data!K407)&gt;0,"Yes","")</f>
        <v/>
      </c>
      <c r="H407">
        <f>COUNTIF('HCO referrals'!B:B,HCO_Data!K407)+COUNTIF('HCO referrals'!C:C,HCO_Data!K407)</f>
        <v>0</v>
      </c>
      <c r="I407">
        <v>520000068</v>
      </c>
      <c r="K407" t="s">
        <v>10409</v>
      </c>
      <c r="L407" t="s">
        <v>8773</v>
      </c>
      <c r="M407" t="s">
        <v>8774</v>
      </c>
      <c r="O407" t="s">
        <v>8775</v>
      </c>
      <c r="P407" t="s">
        <v>779</v>
      </c>
      <c r="Q407" t="s">
        <v>4283</v>
      </c>
      <c r="R407">
        <v>418</v>
      </c>
      <c r="S407">
        <v>27</v>
      </c>
      <c r="T407">
        <v>27</v>
      </c>
      <c r="W407">
        <f>COUNTIFS('Clinical Trials HCO'!$A:$A, K407, 'Clinical Trials HCO'!$D:$D, "&lt;&gt;")</f>
        <v>0</v>
      </c>
    </row>
    <row r="408" spans="2:33" hidden="1">
      <c r="B408">
        <v>537</v>
      </c>
      <c r="F408">
        <f>COUNTIF(HCPs!W:W,HCO_Data!K408)</f>
        <v>0</v>
      </c>
      <c r="G408" t="str">
        <f>IF(COUNTIF('Testing Referrals'!B:B,HCO_Data!K408)&gt;0,"Yes","")</f>
        <v/>
      </c>
      <c r="H408">
        <f>COUNTIF('HCO referrals'!B:B,HCO_Data!K408)+COUNTIF('HCO referrals'!C:C,HCO_Data!K408)</f>
        <v>0</v>
      </c>
      <c r="I408">
        <v>740780424</v>
      </c>
      <c r="K408" t="s">
        <v>10410</v>
      </c>
      <c r="L408" t="s">
        <v>1518</v>
      </c>
      <c r="M408" t="s">
        <v>2073</v>
      </c>
      <c r="N408">
        <v>74000</v>
      </c>
      <c r="O408" t="s">
        <v>2074</v>
      </c>
      <c r="Q408" t="s">
        <v>4283</v>
      </c>
      <c r="R408">
        <v>302</v>
      </c>
      <c r="S408">
        <v>27</v>
      </c>
      <c r="T408">
        <v>27</v>
      </c>
      <c r="W408">
        <f>COUNTIFS('Clinical Trials HCO'!$A:$A, K408, 'Clinical Trials HCO'!$D:$D, "&lt;&gt;")</f>
        <v>0</v>
      </c>
      <c r="AF408" t="s">
        <v>414</v>
      </c>
      <c r="AG408" t="s">
        <v>414</v>
      </c>
    </row>
    <row r="409" spans="2:33" hidden="1">
      <c r="B409">
        <v>426</v>
      </c>
      <c r="F409">
        <f>COUNTIF(HCPs!W:W,HCO_Data!K409)</f>
        <v>0</v>
      </c>
      <c r="G409" t="str">
        <f>IF(COUNTIF('Testing Referrals'!B:B,HCO_Data!K409)&gt;0,"Yes","")</f>
        <v/>
      </c>
      <c r="H409">
        <f>COUNTIF('HCO referrals'!B:B,HCO_Data!K409)+COUNTIF('HCO referrals'!C:C,HCO_Data!K409)</f>
        <v>0</v>
      </c>
      <c r="I409">
        <v>780300422</v>
      </c>
      <c r="K409" t="s">
        <v>10411</v>
      </c>
      <c r="L409" t="s">
        <v>1600</v>
      </c>
      <c r="M409" t="s">
        <v>2205</v>
      </c>
      <c r="N409">
        <v>78190</v>
      </c>
      <c r="O409" t="s">
        <v>2206</v>
      </c>
      <c r="Q409" t="s">
        <v>4283</v>
      </c>
      <c r="R409">
        <v>402</v>
      </c>
      <c r="S409">
        <v>27</v>
      </c>
      <c r="T409">
        <v>27</v>
      </c>
      <c r="W409">
        <f>COUNTIFS('Clinical Trials HCO'!$A:$A, K409, 'Clinical Trials HCO'!$D:$D, "&lt;&gt;")</f>
        <v>0</v>
      </c>
      <c r="AF409" t="s">
        <v>414</v>
      </c>
      <c r="AG409" t="s">
        <v>414</v>
      </c>
    </row>
    <row r="410" spans="2:33" hidden="1">
      <c r="F410">
        <f>COUNTIF(HCPs!W:W,HCO_Data!K410)</f>
        <v>0</v>
      </c>
      <c r="G410" t="str">
        <f>IF(COUNTIF('Testing Referrals'!B:B,HCO_Data!K410)&gt;0,"Yes","")</f>
        <v/>
      </c>
      <c r="H410">
        <f>COUNTIF('HCO referrals'!B:B,HCO_Data!K410)+COUNTIF('HCO referrals'!C:C,HCO_Data!K410)</f>
        <v>0</v>
      </c>
      <c r="I410">
        <v>830100608</v>
      </c>
      <c r="K410" t="s">
        <v>10412</v>
      </c>
      <c r="L410" t="s">
        <v>8911</v>
      </c>
      <c r="M410" t="s">
        <v>8912</v>
      </c>
      <c r="O410" t="s">
        <v>8913</v>
      </c>
      <c r="P410" t="s">
        <v>715</v>
      </c>
      <c r="Q410" t="s">
        <v>4283</v>
      </c>
      <c r="R410">
        <v>562</v>
      </c>
      <c r="S410">
        <v>27</v>
      </c>
      <c r="T410">
        <v>27</v>
      </c>
      <c r="W410">
        <f>COUNTIFS('Clinical Trials HCO'!$A:$A, K410, 'Clinical Trials HCO'!$D:$D, "&lt;&gt;")</f>
        <v>0</v>
      </c>
    </row>
    <row r="411" spans="2:33" hidden="1">
      <c r="B411">
        <v>235</v>
      </c>
      <c r="F411">
        <f>COUNTIF(HCPs!W:W,HCO_Data!K411)</f>
        <v>0</v>
      </c>
      <c r="G411" t="str">
        <f>IF(COUNTIF('Testing Referrals'!B:B,HCO_Data!K411)&gt;0,"Yes","")</f>
        <v/>
      </c>
      <c r="H411">
        <f>COUNTIF('HCO referrals'!B:B,HCO_Data!K411)+COUNTIF('HCO referrals'!C:C,HCO_Data!K411)</f>
        <v>0</v>
      </c>
      <c r="I411">
        <v>930300553</v>
      </c>
      <c r="K411" t="s">
        <v>10413</v>
      </c>
      <c r="L411" t="s">
        <v>1510</v>
      </c>
      <c r="M411" t="s">
        <v>2052</v>
      </c>
      <c r="N411">
        <v>93245</v>
      </c>
      <c r="O411" t="s">
        <v>2053</v>
      </c>
      <c r="Q411" t="s">
        <v>4283</v>
      </c>
      <c r="R411">
        <v>406</v>
      </c>
      <c r="S411">
        <v>27</v>
      </c>
      <c r="T411">
        <v>27</v>
      </c>
      <c r="W411">
        <f>COUNTIFS('Clinical Trials HCO'!$A:$A, K411, 'Clinical Trials HCO'!$D:$D, "&lt;&gt;")</f>
        <v>0</v>
      </c>
      <c r="AF411" t="s">
        <v>414</v>
      </c>
    </row>
    <row r="412" spans="2:33" hidden="1">
      <c r="B412">
        <v>412</v>
      </c>
      <c r="F412">
        <f>COUNTIF(HCPs!W:W,HCO_Data!K412)</f>
        <v>0</v>
      </c>
      <c r="G412" t="str">
        <f>IF(COUNTIF('Testing Referrals'!B:B,HCO_Data!K412)&gt;0,"Yes","")</f>
        <v/>
      </c>
      <c r="H412">
        <f>COUNTIF('HCO referrals'!B:B,HCO_Data!K412)+COUNTIF('HCO referrals'!C:C,HCO_Data!K412)</f>
        <v>0</v>
      </c>
      <c r="I412">
        <v>970400024</v>
      </c>
      <c r="K412" t="s">
        <v>10414</v>
      </c>
      <c r="L412" t="s">
        <v>1488</v>
      </c>
      <c r="M412" t="s">
        <v>2012</v>
      </c>
      <c r="N412">
        <v>97405</v>
      </c>
      <c r="O412" t="s">
        <v>1866</v>
      </c>
      <c r="Q412" t="s">
        <v>4283</v>
      </c>
      <c r="R412">
        <v>557</v>
      </c>
      <c r="S412">
        <v>27</v>
      </c>
      <c r="T412">
        <v>27</v>
      </c>
      <c r="W412">
        <f>COUNTIFS('Clinical Trials HCO'!$A:$A, K412, 'Clinical Trials HCO'!$D:$D, "&lt;&gt;")</f>
        <v>0</v>
      </c>
      <c r="AF412" t="s">
        <v>414</v>
      </c>
      <c r="AG412" t="s">
        <v>414</v>
      </c>
    </row>
    <row r="413" spans="2:33" hidden="1">
      <c r="B413">
        <v>691</v>
      </c>
      <c r="F413">
        <f>COUNTIF(HCPs!W:W,HCO_Data!K413)</f>
        <v>1</v>
      </c>
      <c r="G413" t="str">
        <f>IF(COUNTIF('Testing Referrals'!B:B,HCO_Data!K413)&gt;0,"Yes","")</f>
        <v/>
      </c>
      <c r="H413">
        <f>COUNTIF('HCO referrals'!B:B,HCO_Data!K413)+COUNTIF('HCO referrals'!C:C,HCO_Data!K413)</f>
        <v>0</v>
      </c>
      <c r="I413">
        <v>870000098</v>
      </c>
      <c r="J413" s="72" t="s">
        <v>8525</v>
      </c>
      <c r="K413" t="s">
        <v>3825</v>
      </c>
      <c r="L413" t="s">
        <v>8524</v>
      </c>
      <c r="M413" t="s">
        <v>2666</v>
      </c>
      <c r="N413">
        <v>87205</v>
      </c>
      <c r="O413" t="s">
        <v>2667</v>
      </c>
      <c r="Q413" t="s">
        <v>4283</v>
      </c>
      <c r="R413">
        <v>539</v>
      </c>
      <c r="S413">
        <v>26</v>
      </c>
      <c r="T413">
        <v>26</v>
      </c>
      <c r="W413">
        <f>COUNTIFS('Clinical Trials HCO'!$A:$A, K413, 'Clinical Trials HCO'!$D:$D, "&lt;&gt;")</f>
        <v>0</v>
      </c>
      <c r="AG413" t="s">
        <v>414</v>
      </c>
    </row>
    <row r="414" spans="2:33" hidden="1">
      <c r="B414">
        <v>304</v>
      </c>
      <c r="F414">
        <f>COUNTIF(HCPs!W:W,HCO_Data!K414)</f>
        <v>0</v>
      </c>
      <c r="G414" t="str">
        <f>IF(COUNTIF('Testing Referrals'!B:B,HCO_Data!K414)&gt;0,"Yes","")</f>
        <v/>
      </c>
      <c r="H414">
        <f>COUNTIF('HCO referrals'!B:B,HCO_Data!K414)+COUNTIF('HCO referrals'!C:C,HCO_Data!K414)</f>
        <v>0</v>
      </c>
      <c r="I414">
        <v>110780483</v>
      </c>
      <c r="K414" t="s">
        <v>10415</v>
      </c>
      <c r="L414" t="s">
        <v>1678</v>
      </c>
      <c r="M414" t="s">
        <v>2330</v>
      </c>
      <c r="N414">
        <v>11890</v>
      </c>
      <c r="O414" t="s">
        <v>2331</v>
      </c>
      <c r="Q414" t="s">
        <v>4283</v>
      </c>
      <c r="R414">
        <v>453</v>
      </c>
      <c r="S414">
        <v>26</v>
      </c>
      <c r="T414">
        <v>26</v>
      </c>
      <c r="W414">
        <f>COUNTIFS('Clinical Trials HCO'!$A:$A, K414, 'Clinical Trials HCO'!$D:$D, "&lt;&gt;")</f>
        <v>0</v>
      </c>
      <c r="AF414" t="s">
        <v>414</v>
      </c>
      <c r="AG414" t="s">
        <v>414</v>
      </c>
    </row>
    <row r="415" spans="2:33" hidden="1">
      <c r="B415">
        <v>165</v>
      </c>
      <c r="F415">
        <f>COUNTIF(HCPs!W:W,HCO_Data!K415)</f>
        <v>0</v>
      </c>
      <c r="G415" t="str">
        <f>IF(COUNTIF('Testing Referrals'!B:B,HCO_Data!K415)&gt;0,"Yes","")</f>
        <v/>
      </c>
      <c r="H415">
        <f>COUNTIF('HCO referrals'!B:B,HCO_Data!K415)+COUNTIF('HCO referrals'!C:C,HCO_Data!K415)</f>
        <v>0</v>
      </c>
      <c r="I415">
        <v>130002827</v>
      </c>
      <c r="K415" t="s">
        <v>10416</v>
      </c>
      <c r="L415" t="s">
        <v>1418</v>
      </c>
      <c r="M415" t="s">
        <v>1876</v>
      </c>
      <c r="N415">
        <v>13637</v>
      </c>
      <c r="O415" t="s">
        <v>1877</v>
      </c>
      <c r="Q415" t="s">
        <v>4283</v>
      </c>
      <c r="R415">
        <v>451</v>
      </c>
      <c r="S415">
        <v>26</v>
      </c>
      <c r="T415">
        <v>26</v>
      </c>
      <c r="W415">
        <f>COUNTIFS('Clinical Trials HCO'!$A:$A, K415, 'Clinical Trials HCO'!$D:$D, "&lt;&gt;")</f>
        <v>0</v>
      </c>
      <c r="AG415" t="s">
        <v>414</v>
      </c>
    </row>
    <row r="416" spans="2:33" hidden="1">
      <c r="F416">
        <f>COUNTIF(HCPs!W:W,HCO_Data!K416)</f>
        <v>0</v>
      </c>
      <c r="G416" t="str">
        <f>IF(COUNTIF('Testing Referrals'!B:B,HCO_Data!K416)&gt;0,"Yes","")</f>
        <v/>
      </c>
      <c r="H416">
        <f>COUNTIF('HCO referrals'!B:B,HCO_Data!K416)+COUNTIF('HCO referrals'!C:C,HCO_Data!K416)</f>
        <v>0</v>
      </c>
      <c r="I416">
        <v>130781255</v>
      </c>
      <c r="K416" t="s">
        <v>10417</v>
      </c>
      <c r="L416" t="s">
        <v>8933</v>
      </c>
      <c r="M416" t="s">
        <v>8934</v>
      </c>
      <c r="O416" t="s">
        <v>1970</v>
      </c>
      <c r="P416" t="s">
        <v>703</v>
      </c>
      <c r="Q416" t="s">
        <v>4283</v>
      </c>
      <c r="R416">
        <v>580</v>
      </c>
      <c r="S416">
        <v>26</v>
      </c>
      <c r="T416">
        <v>26</v>
      </c>
      <c r="W416">
        <f>COUNTIFS('Clinical Trials HCO'!$A:$A, K416, 'Clinical Trials HCO'!$D:$D, "&lt;&gt;")</f>
        <v>0</v>
      </c>
    </row>
    <row r="417" spans="2:33" hidden="1">
      <c r="F417">
        <f>COUNTIF(HCPs!W:W,HCO_Data!K417)</f>
        <v>0</v>
      </c>
      <c r="G417" t="str">
        <f>IF(COUNTIF('Testing Referrals'!B:B,HCO_Data!K417)&gt;0,"Yes","")</f>
        <v/>
      </c>
      <c r="H417">
        <f>COUNTIF('HCO referrals'!B:B,HCO_Data!K417)+COUNTIF('HCO referrals'!C:C,HCO_Data!K417)</f>
        <v>0</v>
      </c>
      <c r="I417">
        <v>170000129</v>
      </c>
      <c r="K417" t="s">
        <v>10418</v>
      </c>
      <c r="L417" t="s">
        <v>8741</v>
      </c>
      <c r="M417" t="s">
        <v>8742</v>
      </c>
      <c r="O417" t="s">
        <v>8743</v>
      </c>
      <c r="P417" t="s">
        <v>774</v>
      </c>
      <c r="Q417" t="s">
        <v>4283</v>
      </c>
      <c r="R417">
        <v>378</v>
      </c>
      <c r="S417">
        <v>26</v>
      </c>
      <c r="T417">
        <v>26</v>
      </c>
      <c r="W417">
        <f>COUNTIFS('Clinical Trials HCO'!$A:$A, K417, 'Clinical Trials HCO'!$D:$D, "&lt;&gt;")</f>
        <v>0</v>
      </c>
    </row>
    <row r="418" spans="2:33" hidden="1">
      <c r="F418">
        <f>COUNTIF(HCPs!W:W,HCO_Data!K418)</f>
        <v>0</v>
      </c>
      <c r="G418" t="str">
        <f>IF(COUNTIF('Testing Referrals'!B:B,HCO_Data!K418)&gt;0,"Yes","")</f>
        <v/>
      </c>
      <c r="H418">
        <f>COUNTIF('HCO referrals'!B:B,HCO_Data!K418)+COUNTIF('HCO referrals'!C:C,HCO_Data!K418)</f>
        <v>0</v>
      </c>
      <c r="I418">
        <v>210986840</v>
      </c>
      <c r="K418" t="s">
        <v>10419</v>
      </c>
      <c r="L418" t="s">
        <v>8927</v>
      </c>
      <c r="M418" t="s">
        <v>8928</v>
      </c>
      <c r="O418" t="s">
        <v>8929</v>
      </c>
      <c r="P418" t="s">
        <v>709</v>
      </c>
      <c r="Q418" t="s">
        <v>4283</v>
      </c>
      <c r="R418">
        <v>576</v>
      </c>
      <c r="S418">
        <v>26</v>
      </c>
      <c r="T418">
        <v>26</v>
      </c>
      <c r="W418">
        <f>COUNTIFS('Clinical Trials HCO'!$A:$A, K418, 'Clinical Trials HCO'!$D:$D, "&lt;&gt;")</f>
        <v>0</v>
      </c>
    </row>
    <row r="419" spans="2:33" hidden="1">
      <c r="B419">
        <v>286</v>
      </c>
      <c r="F419">
        <f>COUNTIF(HCPs!W:W,HCO_Data!K419)</f>
        <v>0</v>
      </c>
      <c r="G419" t="str">
        <f>IF(COUNTIF('Testing Referrals'!B:B,HCO_Data!K419)&gt;0,"Yes","")</f>
        <v/>
      </c>
      <c r="H419">
        <f>COUNTIF('HCO referrals'!B:B,HCO_Data!K419)+COUNTIF('HCO referrals'!C:C,HCO_Data!K419)</f>
        <v>0</v>
      </c>
      <c r="I419">
        <v>510000169</v>
      </c>
      <c r="K419" t="s">
        <v>10420</v>
      </c>
      <c r="L419" t="s">
        <v>1354</v>
      </c>
      <c r="M419" t="s">
        <v>1738</v>
      </c>
      <c r="N419">
        <v>51005</v>
      </c>
      <c r="O419" t="s">
        <v>1739</v>
      </c>
      <c r="Q419" t="s">
        <v>4283</v>
      </c>
      <c r="R419">
        <v>334</v>
      </c>
      <c r="S419">
        <v>26</v>
      </c>
      <c r="T419">
        <v>26</v>
      </c>
      <c r="W419">
        <f>COUNTIFS('Clinical Trials HCO'!$A:$A, K419, 'Clinical Trials HCO'!$D:$D, "&lt;&gt;")</f>
        <v>0</v>
      </c>
      <c r="AG419" t="s">
        <v>414</v>
      </c>
    </row>
    <row r="420" spans="2:33" hidden="1">
      <c r="B420">
        <v>191</v>
      </c>
      <c r="F420">
        <f>COUNTIF(HCPs!W:W,HCO_Data!K420)</f>
        <v>0</v>
      </c>
      <c r="G420" t="str">
        <f>IF(COUNTIF('Testing Referrals'!B:B,HCO_Data!K420)&gt;0,"Yes","")</f>
        <v/>
      </c>
      <c r="H420">
        <f>COUNTIF('HCO referrals'!B:B,HCO_Data!K420)+COUNTIF('HCO referrals'!C:C,HCO_Data!K420)</f>
        <v>0</v>
      </c>
      <c r="I420">
        <v>550000012</v>
      </c>
      <c r="K420" t="s">
        <v>10421</v>
      </c>
      <c r="L420" t="s">
        <v>1442</v>
      </c>
      <c r="M420" t="s">
        <v>1935</v>
      </c>
      <c r="N420">
        <v>55107</v>
      </c>
      <c r="O420" t="s">
        <v>1936</v>
      </c>
      <c r="Q420" t="s">
        <v>4283</v>
      </c>
      <c r="R420">
        <v>461</v>
      </c>
      <c r="S420">
        <v>26</v>
      </c>
      <c r="T420">
        <v>26</v>
      </c>
      <c r="W420">
        <f>COUNTIFS('Clinical Trials HCO'!$A:$A, K420, 'Clinical Trials HCO'!$D:$D, "&lt;&gt;")</f>
        <v>0</v>
      </c>
      <c r="AF420" t="s">
        <v>414</v>
      </c>
      <c r="AG420" t="s">
        <v>414</v>
      </c>
    </row>
    <row r="421" spans="2:33" hidden="1">
      <c r="B421">
        <v>264</v>
      </c>
      <c r="F421">
        <f>COUNTIF(HCPs!W:W,HCO_Data!K421)</f>
        <v>0</v>
      </c>
      <c r="G421" t="str">
        <f>IF(COUNTIF('Testing Referrals'!B:B,HCO_Data!K421)&gt;0,"Yes","")</f>
        <v/>
      </c>
      <c r="H421">
        <f>COUNTIF('HCO referrals'!B:B,HCO_Data!K421)+COUNTIF('HCO referrals'!C:C,HCO_Data!K421)</f>
        <v>0</v>
      </c>
      <c r="I421">
        <v>740000328</v>
      </c>
      <c r="K421" t="s">
        <v>10422</v>
      </c>
      <c r="L421" t="s">
        <v>1641</v>
      </c>
      <c r="M421" t="s">
        <v>2276</v>
      </c>
      <c r="N421">
        <v>74203</v>
      </c>
      <c r="O421" t="s">
        <v>2277</v>
      </c>
      <c r="Q421" t="s">
        <v>4283</v>
      </c>
      <c r="R421">
        <v>400</v>
      </c>
      <c r="S421">
        <v>26</v>
      </c>
      <c r="T421">
        <v>26</v>
      </c>
      <c r="W421">
        <f>COUNTIFS('Clinical Trials HCO'!$A:$A, K421, 'Clinical Trials HCO'!$D:$D, "&lt;&gt;")</f>
        <v>0</v>
      </c>
      <c r="AF421" t="s">
        <v>414</v>
      </c>
      <c r="AG421" t="s">
        <v>414</v>
      </c>
    </row>
    <row r="422" spans="2:33" hidden="1">
      <c r="B422">
        <v>122</v>
      </c>
      <c r="F422">
        <f>COUNTIF(HCPs!W:W,HCO_Data!K422)</f>
        <v>0</v>
      </c>
      <c r="G422" t="str">
        <f>IF(COUNTIF('Testing Referrals'!B:B,HCO_Data!K422)&gt;0,"Yes","")</f>
        <v/>
      </c>
      <c r="H422">
        <f>COUNTIF('HCO referrals'!B:B,HCO_Data!K422)+COUNTIF('HCO referrals'!C:C,HCO_Data!K422)</f>
        <v>0</v>
      </c>
      <c r="I422">
        <v>800000143</v>
      </c>
      <c r="K422" t="s">
        <v>10423</v>
      </c>
      <c r="L422" t="s">
        <v>1367</v>
      </c>
      <c r="M422" t="s">
        <v>1764</v>
      </c>
      <c r="N422">
        <v>80142</v>
      </c>
      <c r="O422" t="s">
        <v>1765</v>
      </c>
      <c r="Q422" t="s">
        <v>4283</v>
      </c>
      <c r="R422">
        <v>555</v>
      </c>
      <c r="S422">
        <v>26</v>
      </c>
      <c r="T422">
        <v>26</v>
      </c>
      <c r="W422">
        <f>COUNTIFS('Clinical Trials HCO'!$A:$A, K422, 'Clinical Trials HCO'!$D:$D, "&lt;&gt;")</f>
        <v>0</v>
      </c>
      <c r="AF422" t="s">
        <v>414</v>
      </c>
      <c r="AG422" t="s">
        <v>414</v>
      </c>
    </row>
    <row r="423" spans="2:33" hidden="1">
      <c r="F423">
        <f>COUNTIF(HCPs!W:W,HCO_Data!K423)</f>
        <v>0</v>
      </c>
      <c r="G423" t="str">
        <f>IF(COUNTIF('Testing Referrals'!B:B,HCO_Data!K423)&gt;0,"Yes","")</f>
        <v/>
      </c>
      <c r="H423">
        <f>COUNTIF('HCO referrals'!B:B,HCO_Data!K423)+COUNTIF('HCO referrals'!C:C,HCO_Data!K423)</f>
        <v>0</v>
      </c>
      <c r="I423">
        <v>920300787</v>
      </c>
      <c r="K423" t="s">
        <v>10424</v>
      </c>
      <c r="L423" t="s">
        <v>8810</v>
      </c>
      <c r="M423" t="s">
        <v>8811</v>
      </c>
      <c r="O423" t="s">
        <v>8812</v>
      </c>
      <c r="P423" t="s">
        <v>722</v>
      </c>
      <c r="Q423" t="s">
        <v>4283</v>
      </c>
      <c r="R423">
        <v>468</v>
      </c>
      <c r="S423">
        <v>26</v>
      </c>
      <c r="T423">
        <v>26</v>
      </c>
      <c r="W423">
        <f>COUNTIFS('Clinical Trials HCO'!$A:$A, K423, 'Clinical Trials HCO'!$D:$D, "&lt;&gt;")</f>
        <v>0</v>
      </c>
    </row>
    <row r="424" spans="2:33" hidden="1">
      <c r="B424">
        <v>391</v>
      </c>
      <c r="F424">
        <f>COUNTIF(HCPs!W:W,HCO_Data!K424)</f>
        <v>0</v>
      </c>
      <c r="G424" t="str">
        <f>IF(COUNTIF('Testing Referrals'!B:B,HCO_Data!K424)&gt;0,"Yes","")</f>
        <v/>
      </c>
      <c r="H424">
        <f>COUNTIF('HCO referrals'!B:B,HCO_Data!K424)+COUNTIF('HCO referrals'!C:C,HCO_Data!K424)</f>
        <v>2</v>
      </c>
      <c r="I424">
        <v>40000093</v>
      </c>
      <c r="K424" t="s">
        <v>10425</v>
      </c>
      <c r="L424" t="s">
        <v>2410</v>
      </c>
      <c r="M424" t="s">
        <v>2709</v>
      </c>
      <c r="N424">
        <v>4101</v>
      </c>
      <c r="O424" t="s">
        <v>2710</v>
      </c>
      <c r="Q424" t="s">
        <v>4283</v>
      </c>
      <c r="R424">
        <v>351</v>
      </c>
      <c r="S424">
        <v>25</v>
      </c>
      <c r="T424">
        <v>25</v>
      </c>
      <c r="W424">
        <f>COUNTIFS('Clinical Trials HCO'!$A:$A, K424, 'Clinical Trials HCO'!$D:$D, "&lt;&gt;")</f>
        <v>0</v>
      </c>
      <c r="AF424" t="s">
        <v>414</v>
      </c>
      <c r="AG424" t="s">
        <v>414</v>
      </c>
    </row>
    <row r="425" spans="2:33" hidden="1">
      <c r="F425">
        <f>COUNTIF(HCPs!W:W,HCO_Data!K425)</f>
        <v>0</v>
      </c>
      <c r="G425" t="str">
        <f>IF(COUNTIF('Testing Referrals'!B:B,HCO_Data!K425)&gt;0,"Yes","")</f>
        <v/>
      </c>
      <c r="H425">
        <f>COUNTIF('HCO referrals'!B:B,HCO_Data!K425)+COUNTIF('HCO referrals'!C:C,HCO_Data!K425)</f>
        <v>0</v>
      </c>
      <c r="I425">
        <v>60000478</v>
      </c>
      <c r="K425" t="s">
        <v>10426</v>
      </c>
      <c r="L425" t="s">
        <v>8753</v>
      </c>
      <c r="M425" t="s">
        <v>8754</v>
      </c>
      <c r="O425" t="s">
        <v>8755</v>
      </c>
      <c r="P425" t="s">
        <v>714</v>
      </c>
      <c r="Q425" t="s">
        <v>4283</v>
      </c>
      <c r="R425">
        <v>395</v>
      </c>
      <c r="S425">
        <v>25</v>
      </c>
      <c r="T425">
        <v>25</v>
      </c>
      <c r="W425">
        <f>COUNTIFS('Clinical Trials HCO'!$A:$A, K425, 'Clinical Trials HCO'!$D:$D, "&lt;&gt;")</f>
        <v>0</v>
      </c>
    </row>
    <row r="426" spans="2:33" hidden="1">
      <c r="B426">
        <v>175</v>
      </c>
      <c r="F426">
        <f>COUNTIF(HCPs!W:W,HCO_Data!K426)</f>
        <v>0</v>
      </c>
      <c r="G426" t="str">
        <f>IF(COUNTIF('Testing Referrals'!B:B,HCO_Data!K426)&gt;0,"Yes","")</f>
        <v/>
      </c>
      <c r="H426">
        <f>COUNTIF('HCO referrals'!B:B,HCO_Data!K426)+COUNTIF('HCO referrals'!C:C,HCO_Data!K426)</f>
        <v>0</v>
      </c>
      <c r="I426">
        <v>110000056</v>
      </c>
      <c r="K426" t="s">
        <v>10427</v>
      </c>
      <c r="L426" t="s">
        <v>632</v>
      </c>
      <c r="M426" t="s">
        <v>1900</v>
      </c>
      <c r="N426">
        <v>11108</v>
      </c>
      <c r="O426" t="s">
        <v>1901</v>
      </c>
      <c r="Q426" t="s">
        <v>4283</v>
      </c>
      <c r="R426">
        <v>408</v>
      </c>
      <c r="S426">
        <v>25</v>
      </c>
      <c r="T426">
        <v>25</v>
      </c>
      <c r="W426">
        <f>COUNTIFS('Clinical Trials HCO'!$A:$A, K426, 'Clinical Trials HCO'!$D:$D, "&lt;&gt;")</f>
        <v>0</v>
      </c>
      <c r="AF426" t="s">
        <v>414</v>
      </c>
      <c r="AG426" t="s">
        <v>414</v>
      </c>
    </row>
    <row r="427" spans="2:33" hidden="1">
      <c r="B427">
        <v>359</v>
      </c>
      <c r="F427">
        <f>COUNTIF(HCPs!W:W,HCO_Data!K427)</f>
        <v>0</v>
      </c>
      <c r="G427" t="str">
        <f>IF(COUNTIF('Testing Referrals'!B:B,HCO_Data!K427)&gt;0,"Yes","")</f>
        <v/>
      </c>
      <c r="H427">
        <f>COUNTIF('HCO referrals'!B:B,HCO_Data!K427)+COUNTIF('HCO referrals'!C:C,HCO_Data!K427)</f>
        <v>0</v>
      </c>
      <c r="I427">
        <v>550000434</v>
      </c>
      <c r="K427" t="s">
        <v>10428</v>
      </c>
      <c r="L427" t="s">
        <v>1377</v>
      </c>
      <c r="M427" t="s">
        <v>1791</v>
      </c>
      <c r="N427">
        <v>55012</v>
      </c>
      <c r="O427" t="s">
        <v>1792</v>
      </c>
      <c r="Q427" t="s">
        <v>4283</v>
      </c>
      <c r="R427">
        <v>327</v>
      </c>
      <c r="S427">
        <v>25</v>
      </c>
      <c r="T427">
        <v>25</v>
      </c>
      <c r="W427">
        <f>COUNTIFS('Clinical Trials HCO'!$A:$A, K427, 'Clinical Trials HCO'!$D:$D, "&lt;&gt;")</f>
        <v>0</v>
      </c>
      <c r="AF427" t="s">
        <v>414</v>
      </c>
      <c r="AG427" t="s">
        <v>414</v>
      </c>
    </row>
    <row r="428" spans="2:33" hidden="1">
      <c r="F428">
        <f>COUNTIF(HCPs!W:W,HCO_Data!K428)</f>
        <v>0</v>
      </c>
      <c r="G428" t="str">
        <f>IF(COUNTIF('Testing Referrals'!B:B,HCO_Data!K428)&gt;0,"Yes","")</f>
        <v/>
      </c>
      <c r="H428">
        <f>COUNTIF('HCO referrals'!B:B,HCO_Data!K428)+COUNTIF('HCO referrals'!C:C,HCO_Data!K428)</f>
        <v>0</v>
      </c>
      <c r="I428">
        <v>590796975</v>
      </c>
      <c r="K428" t="s">
        <v>10429</v>
      </c>
      <c r="L428" t="s">
        <v>8876</v>
      </c>
      <c r="M428" t="s">
        <v>8877</v>
      </c>
      <c r="O428" t="s">
        <v>8878</v>
      </c>
      <c r="P428" t="s">
        <v>704</v>
      </c>
      <c r="Q428" t="s">
        <v>4283</v>
      </c>
      <c r="R428">
        <v>524</v>
      </c>
      <c r="S428">
        <v>25</v>
      </c>
      <c r="T428">
        <v>25</v>
      </c>
      <c r="W428">
        <f>COUNTIFS('Clinical Trials HCO'!$A:$A, K428, 'Clinical Trials HCO'!$D:$D, "&lt;&gt;")</f>
        <v>0</v>
      </c>
    </row>
    <row r="429" spans="2:33" hidden="1">
      <c r="B429">
        <v>522</v>
      </c>
      <c r="F429">
        <f>COUNTIF(HCPs!W:W,HCO_Data!K429)</f>
        <v>0</v>
      </c>
      <c r="G429" t="str">
        <f>IF(COUNTIF('Testing Referrals'!B:B,HCO_Data!K429)&gt;0,"Yes","")</f>
        <v/>
      </c>
      <c r="H429">
        <f>COUNTIF('HCO referrals'!B:B,HCO_Data!K429)+COUNTIF('HCO referrals'!C:C,HCO_Data!K429)</f>
        <v>0</v>
      </c>
      <c r="I429">
        <v>30785430</v>
      </c>
      <c r="K429" t="s">
        <v>10430</v>
      </c>
      <c r="L429" t="s">
        <v>1689</v>
      </c>
      <c r="M429" t="s">
        <v>2365</v>
      </c>
      <c r="N429">
        <v>3000</v>
      </c>
      <c r="O429" t="s">
        <v>1831</v>
      </c>
      <c r="Q429" t="s">
        <v>4283</v>
      </c>
      <c r="R429">
        <v>321</v>
      </c>
      <c r="S429">
        <v>24</v>
      </c>
      <c r="T429">
        <v>24</v>
      </c>
      <c r="W429">
        <f>COUNTIFS('Clinical Trials HCO'!$A:$A, K429, 'Clinical Trials HCO'!$D:$D, "&lt;&gt;")</f>
        <v>0</v>
      </c>
      <c r="AG429" t="s">
        <v>414</v>
      </c>
    </row>
    <row r="430" spans="2:33" hidden="1">
      <c r="F430">
        <f>COUNTIF(HCPs!W:W,HCO_Data!K430)</f>
        <v>0</v>
      </c>
      <c r="G430" t="str">
        <f>IF(COUNTIF('Testing Referrals'!B:B,HCO_Data!K430)&gt;0,"Yes","")</f>
        <v/>
      </c>
      <c r="H430">
        <f>COUNTIF('HCO referrals'!B:B,HCO_Data!K430)+COUNTIF('HCO referrals'!C:C,HCO_Data!K430)</f>
        <v>0</v>
      </c>
      <c r="I430">
        <v>180000200</v>
      </c>
      <c r="K430" t="s">
        <v>10431</v>
      </c>
      <c r="L430" t="s">
        <v>8765</v>
      </c>
      <c r="M430" t="s">
        <v>8766</v>
      </c>
      <c r="O430" t="s">
        <v>8767</v>
      </c>
      <c r="P430" t="s">
        <v>765</v>
      </c>
      <c r="Q430" t="s">
        <v>4283</v>
      </c>
      <c r="R430">
        <v>407</v>
      </c>
      <c r="S430">
        <v>24</v>
      </c>
      <c r="T430">
        <v>24</v>
      </c>
      <c r="W430">
        <f>COUNTIFS('Clinical Trials HCO'!$A:$A, K430, 'Clinical Trials HCO'!$D:$D, "&lt;&gt;")</f>
        <v>0</v>
      </c>
    </row>
    <row r="431" spans="2:33" hidden="1">
      <c r="B431">
        <v>384</v>
      </c>
      <c r="F431">
        <f>COUNTIF(HCPs!W:W,HCO_Data!K431)</f>
        <v>0</v>
      </c>
      <c r="G431" t="str">
        <f>IF(COUNTIF('Testing Referrals'!B:B,HCO_Data!K431)&gt;0,"Yes","")</f>
        <v/>
      </c>
      <c r="H431">
        <f>COUNTIF('HCO referrals'!B:B,HCO_Data!K431)+COUNTIF('HCO referrals'!C:C,HCO_Data!K431)</f>
        <v>0</v>
      </c>
      <c r="I431">
        <v>500000260</v>
      </c>
      <c r="K431" t="s">
        <v>10432</v>
      </c>
      <c r="L431" t="s">
        <v>1445</v>
      </c>
      <c r="M431" t="s">
        <v>1942</v>
      </c>
      <c r="N431">
        <v>50406</v>
      </c>
      <c r="O431" t="s">
        <v>1943</v>
      </c>
      <c r="Q431" t="s">
        <v>4283</v>
      </c>
      <c r="R431">
        <v>368</v>
      </c>
      <c r="S431">
        <v>24</v>
      </c>
      <c r="T431">
        <v>24</v>
      </c>
      <c r="W431">
        <f>COUNTIFS('Clinical Trials HCO'!$A:$A, K431, 'Clinical Trials HCO'!$D:$D, "&lt;&gt;")</f>
        <v>0</v>
      </c>
      <c r="AF431" t="s">
        <v>414</v>
      </c>
      <c r="AG431" t="s">
        <v>414</v>
      </c>
    </row>
    <row r="432" spans="2:33" hidden="1">
      <c r="B432">
        <v>621</v>
      </c>
      <c r="F432">
        <f>COUNTIF(HCPs!W:W,HCO_Data!K432)</f>
        <v>0</v>
      </c>
      <c r="G432" t="str">
        <f>IF(COUNTIF('Testing Referrals'!B:B,HCO_Data!K432)&gt;0,"Yes","")</f>
        <v/>
      </c>
      <c r="H432">
        <f>COUNTIF('HCO referrals'!B:B,HCO_Data!K432)+COUNTIF('HCO referrals'!C:C,HCO_Data!K432)</f>
        <v>0</v>
      </c>
      <c r="I432">
        <v>560000192</v>
      </c>
      <c r="K432" t="s">
        <v>10433</v>
      </c>
      <c r="L432" t="s">
        <v>2380</v>
      </c>
      <c r="M432" t="s">
        <v>2653</v>
      </c>
      <c r="N432">
        <v>56800</v>
      </c>
      <c r="O432" t="s">
        <v>2654</v>
      </c>
      <c r="Q432" t="s">
        <v>4283</v>
      </c>
      <c r="R432">
        <v>323</v>
      </c>
      <c r="S432">
        <v>24</v>
      </c>
      <c r="T432">
        <v>24</v>
      </c>
      <c r="W432">
        <f>COUNTIFS('Clinical Trials HCO'!$A:$A, K432, 'Clinical Trials HCO'!$D:$D, "&lt;&gt;")</f>
        <v>0</v>
      </c>
      <c r="AF432" t="s">
        <v>414</v>
      </c>
      <c r="AG432" t="s">
        <v>414</v>
      </c>
    </row>
    <row r="433" spans="2:33" hidden="1">
      <c r="B433">
        <v>296</v>
      </c>
      <c r="F433">
        <f>COUNTIF(HCPs!W:W,HCO_Data!K433)</f>
        <v>0</v>
      </c>
      <c r="G433" t="str">
        <f>IF(COUNTIF('Testing Referrals'!B:B,HCO_Data!K433)&gt;0,"Yes","")</f>
        <v/>
      </c>
      <c r="H433">
        <f>COUNTIF('HCO referrals'!B:B,HCO_Data!K433)+COUNTIF('HCO referrals'!C:C,HCO_Data!K433)</f>
        <v>0</v>
      </c>
      <c r="I433">
        <v>620118513</v>
      </c>
      <c r="K433" t="s">
        <v>10434</v>
      </c>
      <c r="L433" t="s">
        <v>1359</v>
      </c>
      <c r="M433" t="s">
        <v>1747</v>
      </c>
      <c r="N433">
        <v>62280</v>
      </c>
      <c r="O433" t="s">
        <v>1748</v>
      </c>
      <c r="Q433" t="s">
        <v>4283</v>
      </c>
      <c r="R433">
        <v>296</v>
      </c>
      <c r="S433">
        <v>24</v>
      </c>
      <c r="T433">
        <v>24</v>
      </c>
      <c r="W433">
        <f>COUNTIFS('Clinical Trials HCO'!$A:$A, K433, 'Clinical Trials HCO'!$D:$D, "&lt;&gt;")</f>
        <v>0</v>
      </c>
    </row>
    <row r="434" spans="2:33" hidden="1">
      <c r="F434">
        <f>COUNTIF(HCPs!W:W,HCO_Data!K434)</f>
        <v>0</v>
      </c>
      <c r="G434" t="str">
        <f>IF(COUNTIF('Testing Referrals'!B:B,HCO_Data!K434)&gt;0,"Yes","")</f>
        <v/>
      </c>
      <c r="H434">
        <f>COUNTIF('HCO referrals'!B:B,HCO_Data!K434)+COUNTIF('HCO referrals'!C:C,HCO_Data!K434)</f>
        <v>0</v>
      </c>
      <c r="I434">
        <v>640780623</v>
      </c>
      <c r="K434" t="s">
        <v>10435</v>
      </c>
      <c r="L434" t="s">
        <v>8947</v>
      </c>
      <c r="M434" t="s">
        <v>8948</v>
      </c>
      <c r="O434" t="s">
        <v>8949</v>
      </c>
      <c r="P434" t="s">
        <v>730</v>
      </c>
      <c r="Q434" t="s">
        <v>4283</v>
      </c>
      <c r="R434">
        <v>586</v>
      </c>
      <c r="S434">
        <v>24</v>
      </c>
      <c r="T434">
        <v>24</v>
      </c>
      <c r="W434">
        <f>COUNTIFS('Clinical Trials HCO'!$A:$A, K434, 'Clinical Trials HCO'!$D:$D, "&lt;&gt;")</f>
        <v>0</v>
      </c>
    </row>
    <row r="435" spans="2:33" hidden="1">
      <c r="B435">
        <v>646</v>
      </c>
      <c r="F435">
        <f>COUNTIF(HCPs!W:W,HCO_Data!K435)</f>
        <v>0</v>
      </c>
      <c r="G435" t="str">
        <f>IF(COUNTIF('Testing Referrals'!B:B,HCO_Data!K435)&gt;0,"Yes","")</f>
        <v/>
      </c>
      <c r="H435">
        <f>COUNTIF('HCO referrals'!B:B,HCO_Data!K435)+COUNTIF('HCO referrals'!C:C,HCO_Data!K435)</f>
        <v>0</v>
      </c>
      <c r="I435">
        <v>780300323</v>
      </c>
      <c r="K435" t="s">
        <v>10436</v>
      </c>
      <c r="L435" t="s">
        <v>1612</v>
      </c>
      <c r="M435" t="s">
        <v>2226</v>
      </c>
      <c r="N435">
        <v>78009</v>
      </c>
      <c r="O435" t="s">
        <v>2178</v>
      </c>
      <c r="Q435" t="s">
        <v>4283</v>
      </c>
      <c r="R435">
        <v>563</v>
      </c>
      <c r="S435">
        <v>24</v>
      </c>
      <c r="T435">
        <v>24</v>
      </c>
      <c r="W435">
        <f>COUNTIFS('Clinical Trials HCO'!$A:$A, K435, 'Clinical Trials HCO'!$D:$D, "&lt;&gt;")</f>
        <v>0</v>
      </c>
      <c r="AF435" t="s">
        <v>414</v>
      </c>
      <c r="AG435" t="s">
        <v>414</v>
      </c>
    </row>
    <row r="436" spans="2:33" hidden="1">
      <c r="B436">
        <v>371</v>
      </c>
      <c r="F436">
        <f>COUNTIF(HCPs!W:W,HCO_Data!K436)</f>
        <v>0</v>
      </c>
      <c r="G436" t="str">
        <f>IF(COUNTIF('Testing Referrals'!B:B,HCO_Data!K436)&gt;0,"Yes","")</f>
        <v/>
      </c>
      <c r="H436">
        <f>COUNTIF('HCO referrals'!B:B,HCO_Data!K436)+COUNTIF('HCO referrals'!C:C,HCO_Data!K436)</f>
        <v>0</v>
      </c>
      <c r="I436">
        <v>840000483</v>
      </c>
      <c r="K436" t="s">
        <v>10437</v>
      </c>
      <c r="L436" t="s">
        <v>687</v>
      </c>
      <c r="M436" t="s">
        <v>2691</v>
      </c>
      <c r="N436">
        <v>84106</v>
      </c>
      <c r="O436" t="s">
        <v>2692</v>
      </c>
      <c r="Q436" t="s">
        <v>4283</v>
      </c>
      <c r="R436">
        <v>382</v>
      </c>
      <c r="S436">
        <v>24</v>
      </c>
      <c r="T436">
        <v>24</v>
      </c>
      <c r="W436">
        <f>COUNTIFS('Clinical Trials HCO'!$A:$A, K436, 'Clinical Trials HCO'!$D:$D, "&lt;&gt;")</f>
        <v>0</v>
      </c>
      <c r="AF436" t="s">
        <v>414</v>
      </c>
      <c r="AG436" t="s">
        <v>414</v>
      </c>
    </row>
    <row r="437" spans="2:33" hidden="1">
      <c r="B437">
        <v>201</v>
      </c>
      <c r="F437">
        <f>COUNTIF(HCPs!W:W,HCO_Data!K437)</f>
        <v>0</v>
      </c>
      <c r="G437" t="str">
        <f>IF(COUNTIF('Testing Referrals'!B:B,HCO_Data!K437)&gt;0,"Yes","")</f>
        <v/>
      </c>
      <c r="H437">
        <f>COUNTIF('HCO referrals'!B:B,HCO_Data!K437)+COUNTIF('HCO referrals'!C:C,HCO_Data!K437)</f>
        <v>0</v>
      </c>
      <c r="I437">
        <v>880000047</v>
      </c>
      <c r="K437" t="s">
        <v>10438</v>
      </c>
      <c r="L437" t="s">
        <v>1454</v>
      </c>
      <c r="M437" t="s">
        <v>1959</v>
      </c>
      <c r="N437">
        <v>88100</v>
      </c>
      <c r="O437" t="s">
        <v>1960</v>
      </c>
      <c r="Q437" t="s">
        <v>4283</v>
      </c>
      <c r="R437">
        <v>404</v>
      </c>
      <c r="S437">
        <v>24</v>
      </c>
      <c r="T437">
        <v>24</v>
      </c>
      <c r="W437">
        <f>COUNTIFS('Clinical Trials HCO'!$A:$A, K437, 'Clinical Trials HCO'!$D:$D, "&lt;&gt;")</f>
        <v>0</v>
      </c>
      <c r="AF437" t="s">
        <v>414</v>
      </c>
      <c r="AG437" t="s">
        <v>414</v>
      </c>
    </row>
    <row r="438" spans="2:33" hidden="1">
      <c r="B438">
        <v>571</v>
      </c>
      <c r="F438">
        <f>COUNTIF(HCPs!W:W,HCO_Data!K438)</f>
        <v>0</v>
      </c>
      <c r="G438" t="str">
        <f>IF(COUNTIF('Testing Referrals'!B:B,HCO_Data!K438)&gt;0,"Yes","")</f>
        <v/>
      </c>
      <c r="H438">
        <f>COUNTIF('HCO referrals'!B:B,HCO_Data!K438)+COUNTIF('HCO referrals'!C:C,HCO_Data!K438)</f>
        <v>0</v>
      </c>
      <c r="I438">
        <v>930300025</v>
      </c>
      <c r="K438" t="s">
        <v>10439</v>
      </c>
      <c r="L438" t="s">
        <v>1573</v>
      </c>
      <c r="M438" t="s">
        <v>2166</v>
      </c>
      <c r="N438">
        <v>93308</v>
      </c>
      <c r="O438" t="s">
        <v>2167</v>
      </c>
      <c r="Q438" t="s">
        <v>4283</v>
      </c>
      <c r="R438">
        <v>394</v>
      </c>
      <c r="S438">
        <v>24</v>
      </c>
      <c r="T438">
        <v>24</v>
      </c>
      <c r="W438">
        <f>COUNTIFS('Clinical Trials HCO'!$A:$A, K438, 'Clinical Trials HCO'!$D:$D, "&lt;&gt;")</f>
        <v>0</v>
      </c>
      <c r="AF438" t="s">
        <v>414</v>
      </c>
      <c r="AG438" t="s">
        <v>414</v>
      </c>
    </row>
    <row r="439" spans="2:33" hidden="1">
      <c r="B439">
        <v>536</v>
      </c>
      <c r="F439">
        <f>COUNTIF(HCPs!W:W,HCO_Data!K439)</f>
        <v>0</v>
      </c>
      <c r="G439" t="str">
        <f>IF(COUNTIF('Testing Referrals'!B:B,HCO_Data!K439)&gt;0,"Yes","")</f>
        <v/>
      </c>
      <c r="H439">
        <f>COUNTIF('HCO referrals'!B:B,HCO_Data!K439)+COUNTIF('HCO referrals'!C:C,HCO_Data!K439)</f>
        <v>0</v>
      </c>
      <c r="I439">
        <v>940300031</v>
      </c>
      <c r="K439" t="s">
        <v>10440</v>
      </c>
      <c r="L439" t="s">
        <v>1623</v>
      </c>
      <c r="M439" t="s">
        <v>2243</v>
      </c>
      <c r="N439">
        <v>94500</v>
      </c>
      <c r="O439" t="s">
        <v>2244</v>
      </c>
      <c r="Q439" t="s">
        <v>4283</v>
      </c>
      <c r="R439">
        <v>287</v>
      </c>
      <c r="S439">
        <v>24</v>
      </c>
      <c r="T439">
        <v>24</v>
      </c>
      <c r="W439">
        <f>COUNTIFS('Clinical Trials HCO'!$A:$A, K439, 'Clinical Trials HCO'!$D:$D, "&lt;&gt;")</f>
        <v>0</v>
      </c>
      <c r="AF439" t="s">
        <v>414</v>
      </c>
    </row>
    <row r="440" spans="2:33" hidden="1">
      <c r="F440">
        <f>COUNTIF(HCPs!W:W,HCO_Data!K440)</f>
        <v>0</v>
      </c>
      <c r="G440" t="str">
        <f>IF(COUNTIF('Testing Referrals'!B:B,HCO_Data!K440)&gt;0,"Yes","")</f>
        <v/>
      </c>
      <c r="H440">
        <f>COUNTIF('HCO referrals'!B:B,HCO_Data!K440)+COUNTIF('HCO referrals'!C:C,HCO_Data!K440)</f>
        <v>0</v>
      </c>
      <c r="I440" t="s">
        <v>8649</v>
      </c>
      <c r="K440" t="s">
        <v>10441</v>
      </c>
      <c r="L440" t="s">
        <v>8909</v>
      </c>
      <c r="M440" t="s">
        <v>8910</v>
      </c>
      <c r="O440" t="s">
        <v>2700</v>
      </c>
      <c r="P440" t="s">
        <v>741</v>
      </c>
      <c r="Q440" t="s">
        <v>4283</v>
      </c>
      <c r="R440">
        <v>558</v>
      </c>
      <c r="S440">
        <v>24</v>
      </c>
      <c r="T440">
        <v>24</v>
      </c>
      <c r="W440">
        <f>COUNTIFS('Clinical Trials HCO'!$A:$A, K440, 'Clinical Trials HCO'!$D:$D, "&lt;&gt;")</f>
        <v>0</v>
      </c>
    </row>
    <row r="441" spans="2:33" hidden="1">
      <c r="B441">
        <v>602</v>
      </c>
      <c r="C441" t="s">
        <v>7805</v>
      </c>
      <c r="F441">
        <f>COUNTIF(HCPs!W:W,HCO_Data!K441)</f>
        <v>0</v>
      </c>
      <c r="G441" t="str">
        <f>IF(COUNTIF('Testing Referrals'!B:B,HCO_Data!K441)&gt;0,"Yes","")</f>
        <v>Yes</v>
      </c>
      <c r="H441">
        <f>COUNTIF('HCO referrals'!B:B,HCO_Data!K441)+COUNTIF('HCO referrals'!C:C,HCO_Data!K441)</f>
        <v>3</v>
      </c>
      <c r="I441">
        <v>630000404</v>
      </c>
      <c r="K441" t="s">
        <v>3769</v>
      </c>
      <c r="L441" t="s">
        <v>7803</v>
      </c>
      <c r="M441" t="s">
        <v>1746</v>
      </c>
      <c r="N441">
        <v>63003</v>
      </c>
      <c r="O441" t="s">
        <v>896</v>
      </c>
      <c r="Q441" t="s">
        <v>4283</v>
      </c>
      <c r="R441">
        <v>500</v>
      </c>
      <c r="S441">
        <v>23</v>
      </c>
      <c r="T441">
        <v>23</v>
      </c>
      <c r="W441">
        <f>COUNTIFS('Clinical Trials HCO'!$A:$A, K441, 'Clinical Trials HCO'!$D:$D, "&lt;&gt;")</f>
        <v>2</v>
      </c>
      <c r="AF441" t="s">
        <v>414</v>
      </c>
      <c r="AG441" t="s">
        <v>414</v>
      </c>
    </row>
    <row r="442" spans="2:33" hidden="1">
      <c r="F442">
        <f>COUNTIF(HCPs!W:W,HCO_Data!K442)</f>
        <v>0</v>
      </c>
      <c r="G442" t="str">
        <f>IF(COUNTIF('Testing Referrals'!B:B,HCO_Data!K442)&gt;0,"Yes","")</f>
        <v/>
      </c>
      <c r="H442">
        <f>COUNTIF('HCO referrals'!B:B,HCO_Data!K442)+COUNTIF('HCO referrals'!C:C,HCO_Data!K442)</f>
        <v>0</v>
      </c>
      <c r="I442">
        <v>100009364</v>
      </c>
      <c r="K442" t="s">
        <v>10442</v>
      </c>
      <c r="L442" t="s">
        <v>8950</v>
      </c>
      <c r="M442" t="s">
        <v>8951</v>
      </c>
      <c r="O442" t="s">
        <v>1733</v>
      </c>
      <c r="P442" t="s">
        <v>772</v>
      </c>
      <c r="Q442" t="s">
        <v>4283</v>
      </c>
      <c r="R442">
        <v>589</v>
      </c>
      <c r="S442">
        <v>23</v>
      </c>
      <c r="T442">
        <v>23</v>
      </c>
      <c r="W442">
        <f>COUNTIFS('Clinical Trials HCO'!$A:$A, K442, 'Clinical Trials HCO'!$D:$D, "&lt;&gt;")</f>
        <v>0</v>
      </c>
    </row>
    <row r="443" spans="2:33" hidden="1">
      <c r="B443">
        <v>232</v>
      </c>
      <c r="F443">
        <f>COUNTIF(HCPs!W:W,HCO_Data!K443)</f>
        <v>0</v>
      </c>
      <c r="G443" t="str">
        <f>IF(COUNTIF('Testing Referrals'!B:B,HCO_Data!K443)&gt;0,"Yes","")</f>
        <v/>
      </c>
      <c r="H443">
        <f>COUNTIF('HCO referrals'!B:B,HCO_Data!K443)+COUNTIF('HCO referrals'!C:C,HCO_Data!K443)</f>
        <v>0</v>
      </c>
      <c r="I443">
        <v>290036540</v>
      </c>
      <c r="K443" t="s">
        <v>10443</v>
      </c>
      <c r="L443" t="s">
        <v>1501</v>
      </c>
      <c r="M443" t="s">
        <v>2037</v>
      </c>
      <c r="N443">
        <v>29000</v>
      </c>
      <c r="O443" t="s">
        <v>918</v>
      </c>
      <c r="Q443" t="s">
        <v>4283</v>
      </c>
      <c r="R443">
        <v>328</v>
      </c>
      <c r="S443">
        <v>23</v>
      </c>
      <c r="T443">
        <v>23</v>
      </c>
      <c r="W443">
        <f>COUNTIFS('Clinical Trials HCO'!$A:$A, K443, 'Clinical Trials HCO'!$D:$D, "&lt;&gt;")</f>
        <v>0</v>
      </c>
      <c r="AG443" t="s">
        <v>414</v>
      </c>
    </row>
    <row r="444" spans="2:33" hidden="1">
      <c r="B444">
        <v>383</v>
      </c>
      <c r="F444">
        <f>COUNTIF(HCPs!W:W,HCO_Data!K444)</f>
        <v>0</v>
      </c>
      <c r="G444" t="str">
        <f>IF(COUNTIF('Testing Referrals'!B:B,HCO_Data!K444)&gt;0,"Yes","")</f>
        <v/>
      </c>
      <c r="H444">
        <f>COUNTIF('HCO referrals'!B:B,HCO_Data!K444)+COUNTIF('HCO referrals'!C:C,HCO_Data!K444)</f>
        <v>0</v>
      </c>
      <c r="I444">
        <v>500000021</v>
      </c>
      <c r="K444" t="s">
        <v>10444</v>
      </c>
      <c r="L444" t="s">
        <v>2406</v>
      </c>
      <c r="M444" t="s">
        <v>2707</v>
      </c>
      <c r="N444">
        <v>50303</v>
      </c>
      <c r="O444" t="s">
        <v>2209</v>
      </c>
      <c r="Q444" t="s">
        <v>4283</v>
      </c>
      <c r="R444">
        <v>548</v>
      </c>
      <c r="S444">
        <v>23</v>
      </c>
      <c r="T444">
        <v>23</v>
      </c>
      <c r="W444">
        <f>COUNTIFS('Clinical Trials HCO'!$A:$A, K444, 'Clinical Trials HCO'!$D:$D, "&lt;&gt;")</f>
        <v>0</v>
      </c>
      <c r="AF444" t="s">
        <v>414</v>
      </c>
      <c r="AG444" t="s">
        <v>414</v>
      </c>
    </row>
    <row r="445" spans="2:33" hidden="1">
      <c r="B445">
        <v>324</v>
      </c>
      <c r="F445">
        <f>COUNTIF(HCPs!W:W,HCO_Data!K445)</f>
        <v>0</v>
      </c>
      <c r="G445" t="str">
        <f>IF(COUNTIF('Testing Referrals'!B:B,HCO_Data!K445)&gt;0,"Yes","")</f>
        <v/>
      </c>
      <c r="H445">
        <f>COUNTIF('HCO referrals'!B:B,HCO_Data!K445)+COUNTIF('HCO referrals'!C:C,HCO_Data!K445)</f>
        <v>0</v>
      </c>
      <c r="I445">
        <v>670000397</v>
      </c>
      <c r="K445" t="s">
        <v>10445</v>
      </c>
      <c r="L445" t="s">
        <v>1349</v>
      </c>
      <c r="M445" t="s">
        <v>1728</v>
      </c>
      <c r="N445">
        <v>67606</v>
      </c>
      <c r="O445" t="s">
        <v>1729</v>
      </c>
      <c r="Q445" t="s">
        <v>4283</v>
      </c>
      <c r="R445">
        <v>380</v>
      </c>
      <c r="S445">
        <v>23</v>
      </c>
      <c r="T445">
        <v>23</v>
      </c>
      <c r="W445">
        <f>COUNTIFS('Clinical Trials HCO'!$A:$A, K445, 'Clinical Trials HCO'!$D:$D, "&lt;&gt;")</f>
        <v>0</v>
      </c>
      <c r="AG445" t="s">
        <v>414</v>
      </c>
    </row>
    <row r="446" spans="2:33" hidden="1">
      <c r="B446">
        <v>155</v>
      </c>
      <c r="F446">
        <f>COUNTIF(HCPs!W:W,HCO_Data!K446)</f>
        <v>0</v>
      </c>
      <c r="G446" t="str">
        <f>IF(COUNTIF('Testing Referrals'!B:B,HCO_Data!K446)&gt;0,"Yes","")</f>
        <v/>
      </c>
      <c r="H446">
        <f>COUNTIF('HCO referrals'!B:B,HCO_Data!K446)+COUNTIF('HCO referrals'!C:C,HCO_Data!K446)</f>
        <v>0</v>
      </c>
      <c r="I446">
        <v>710010067</v>
      </c>
      <c r="K446" t="s">
        <v>10446</v>
      </c>
      <c r="L446" t="s">
        <v>673</v>
      </c>
      <c r="M446" t="s">
        <v>1854</v>
      </c>
      <c r="N446">
        <v>71604</v>
      </c>
      <c r="O446" t="s">
        <v>1855</v>
      </c>
      <c r="Q446" t="s">
        <v>4283</v>
      </c>
      <c r="R446">
        <v>455</v>
      </c>
      <c r="S446">
        <v>23</v>
      </c>
      <c r="T446">
        <v>23</v>
      </c>
      <c r="W446">
        <f>COUNTIFS('Clinical Trials HCO'!$A:$A, K446, 'Clinical Trials HCO'!$D:$D, "&lt;&gt;")</f>
        <v>0</v>
      </c>
      <c r="AF446" t="s">
        <v>414</v>
      </c>
      <c r="AG446" t="s">
        <v>414</v>
      </c>
    </row>
    <row r="447" spans="2:33" hidden="1">
      <c r="B447">
        <v>609</v>
      </c>
      <c r="F447">
        <f>COUNTIF(HCPs!W:W,HCO_Data!K447)</f>
        <v>0</v>
      </c>
      <c r="G447" t="str">
        <f>IF(COUNTIF('Testing Referrals'!B:B,HCO_Data!K447)&gt;0,"Yes","")</f>
        <v/>
      </c>
      <c r="H447">
        <f>COUNTIF('HCO referrals'!B:B,HCO_Data!K447)+COUNTIF('HCO referrals'!C:C,HCO_Data!K447)</f>
        <v>0</v>
      </c>
      <c r="I447">
        <v>740781224</v>
      </c>
      <c r="K447" t="s">
        <v>10447</v>
      </c>
      <c r="L447" t="s">
        <v>2591</v>
      </c>
      <c r="M447" t="s">
        <v>2869</v>
      </c>
      <c r="N447">
        <v>74700</v>
      </c>
      <c r="O447" t="s">
        <v>1707</v>
      </c>
      <c r="Q447" t="s">
        <v>4283</v>
      </c>
      <c r="R447">
        <v>587</v>
      </c>
      <c r="S447">
        <v>23</v>
      </c>
      <c r="T447">
        <v>23</v>
      </c>
      <c r="W447">
        <f>COUNTIFS('Clinical Trials HCO'!$A:$A, K447, 'Clinical Trials HCO'!$D:$D, "&lt;&gt;")</f>
        <v>0</v>
      </c>
      <c r="AG447" t="s">
        <v>414</v>
      </c>
    </row>
    <row r="448" spans="2:33" hidden="1">
      <c r="B448">
        <v>650</v>
      </c>
      <c r="F448">
        <f>COUNTIF(HCPs!W:W,HCO_Data!K448)</f>
        <v>0</v>
      </c>
      <c r="G448" t="str">
        <f>IF(COUNTIF('Testing Referrals'!B:B,HCO_Data!K448)&gt;0,"Yes","")</f>
        <v/>
      </c>
      <c r="H448">
        <f>COUNTIF('HCO referrals'!B:B,HCO_Data!K448)+COUNTIF('HCO referrals'!C:C,HCO_Data!K448)</f>
        <v>0</v>
      </c>
      <c r="I448">
        <v>830100392</v>
      </c>
      <c r="K448" t="s">
        <v>10448</v>
      </c>
      <c r="L448" t="s">
        <v>686</v>
      </c>
      <c r="M448" t="s">
        <v>2917</v>
      </c>
      <c r="N448">
        <v>83300</v>
      </c>
      <c r="O448" t="s">
        <v>1879</v>
      </c>
      <c r="Q448" t="s">
        <v>4283</v>
      </c>
      <c r="R448">
        <v>560</v>
      </c>
      <c r="S448">
        <v>23</v>
      </c>
      <c r="T448">
        <v>23</v>
      </c>
      <c r="W448">
        <f>COUNTIFS('Clinical Trials HCO'!$A:$A, K448, 'Clinical Trials HCO'!$D:$D, "&lt;&gt;")</f>
        <v>0</v>
      </c>
      <c r="AG448" t="s">
        <v>414</v>
      </c>
    </row>
    <row r="449" spans="2:33" hidden="1">
      <c r="B449">
        <v>373</v>
      </c>
      <c r="F449">
        <f>COUNTIF(HCPs!W:W,HCO_Data!K449)</f>
        <v>0</v>
      </c>
      <c r="G449" t="str">
        <f>IF(COUNTIF('Testing Referrals'!B:B,HCO_Data!K449)&gt;0,"Yes","")</f>
        <v/>
      </c>
      <c r="H449">
        <f>COUNTIF('HCO referrals'!B:B,HCO_Data!K449)+COUNTIF('HCO referrals'!C:C,HCO_Data!K449)</f>
        <v>0</v>
      </c>
      <c r="I449">
        <v>850000175</v>
      </c>
      <c r="K449" t="s">
        <v>10449</v>
      </c>
      <c r="L449" t="s">
        <v>2400</v>
      </c>
      <c r="M449" t="s">
        <v>2695</v>
      </c>
      <c r="N449">
        <v>85302</v>
      </c>
      <c r="O449" t="s">
        <v>2696</v>
      </c>
      <c r="Q449" t="s">
        <v>4283</v>
      </c>
      <c r="R449">
        <v>337</v>
      </c>
      <c r="S449">
        <v>23</v>
      </c>
      <c r="T449">
        <v>23</v>
      </c>
      <c r="W449">
        <f>COUNTIFS('Clinical Trials HCO'!$A:$A, K449, 'Clinical Trials HCO'!$D:$D, "&lt;&gt;")</f>
        <v>0</v>
      </c>
      <c r="AF449" t="s">
        <v>414</v>
      </c>
      <c r="AG449" t="s">
        <v>414</v>
      </c>
    </row>
    <row r="450" spans="2:33" hidden="1">
      <c r="F450">
        <f>COUNTIF(HCPs!W:W,HCO_Data!K450)</f>
        <v>0</v>
      </c>
      <c r="G450" t="str">
        <f>IF(COUNTIF('Testing Referrals'!B:B,HCO_Data!K450)&gt;0,"Yes","")</f>
        <v/>
      </c>
      <c r="H450">
        <f>COUNTIF('HCO referrals'!B:B,HCO_Data!K450)+COUNTIF('HCO referrals'!C:C,HCO_Data!K450)</f>
        <v>0</v>
      </c>
      <c r="I450">
        <v>860000058</v>
      </c>
      <c r="K450" t="s">
        <v>10450</v>
      </c>
      <c r="L450" t="s">
        <v>8732</v>
      </c>
      <c r="M450" t="s">
        <v>8733</v>
      </c>
      <c r="O450" t="s">
        <v>8734</v>
      </c>
      <c r="P450" t="s">
        <v>766</v>
      </c>
      <c r="Q450" t="s">
        <v>4283</v>
      </c>
      <c r="R450">
        <v>356</v>
      </c>
      <c r="S450">
        <v>23</v>
      </c>
      <c r="T450">
        <v>23</v>
      </c>
      <c r="W450">
        <f>COUNTIFS('Clinical Trials HCO'!$A:$A, K450, 'Clinical Trials HCO'!$D:$D, "&lt;&gt;")</f>
        <v>0</v>
      </c>
    </row>
    <row r="451" spans="2:33" hidden="1">
      <c r="F451">
        <f>COUNTIF(HCPs!W:W,HCO_Data!K451)</f>
        <v>0</v>
      </c>
      <c r="G451" t="str">
        <f>IF(COUNTIF('Testing Referrals'!B:B,HCO_Data!K451)&gt;0,"Yes","")</f>
        <v/>
      </c>
      <c r="H451">
        <f>COUNTIF('HCO referrals'!B:B,HCO_Data!K451)+COUNTIF('HCO referrals'!C:C,HCO_Data!K451)</f>
        <v>0</v>
      </c>
      <c r="I451" t="s">
        <v>8646</v>
      </c>
      <c r="K451" t="s">
        <v>10451</v>
      </c>
      <c r="L451" t="s">
        <v>8768</v>
      </c>
      <c r="M451">
        <v>0</v>
      </c>
      <c r="O451" t="s">
        <v>8769</v>
      </c>
      <c r="P451" t="s">
        <v>776</v>
      </c>
      <c r="Q451" t="s">
        <v>4283</v>
      </c>
      <c r="R451">
        <v>409</v>
      </c>
      <c r="S451">
        <v>23</v>
      </c>
      <c r="T451">
        <v>23</v>
      </c>
      <c r="W451">
        <f>COUNTIFS('Clinical Trials HCO'!$A:$A, K451, 'Clinical Trials HCO'!$D:$D, "&lt;&gt;")</f>
        <v>0</v>
      </c>
    </row>
    <row r="452" spans="2:33" hidden="1">
      <c r="F452">
        <f>COUNTIF(HCPs!W:W,HCO_Data!K452)</f>
        <v>1</v>
      </c>
      <c r="G452" t="str">
        <f>IF(COUNTIF('Testing Referrals'!B:B,HCO_Data!K452)&gt;0,"Yes","")</f>
        <v/>
      </c>
      <c r="H452">
        <f>COUNTIF('HCO referrals'!B:B,HCO_Data!K452)+COUNTIF('HCO referrals'!C:C,HCO_Data!K452)</f>
        <v>0</v>
      </c>
      <c r="I452">
        <v>330000332</v>
      </c>
      <c r="J452" s="72" t="s">
        <v>8406</v>
      </c>
      <c r="K452" t="s">
        <v>8088</v>
      </c>
      <c r="L452" t="s">
        <v>8087</v>
      </c>
      <c r="M452" t="s">
        <v>8089</v>
      </c>
      <c r="O452" t="s">
        <v>8090</v>
      </c>
      <c r="Q452" t="s">
        <v>4283</v>
      </c>
      <c r="R452">
        <v>359</v>
      </c>
      <c r="S452">
        <v>22</v>
      </c>
      <c r="T452">
        <v>22</v>
      </c>
      <c r="W452">
        <f>COUNTIFS('Clinical Trials HCO'!$A:$A, K452, 'Clinical Trials HCO'!$D:$D, "&lt;&gt;")</f>
        <v>0</v>
      </c>
    </row>
    <row r="453" spans="2:33" hidden="1">
      <c r="B453">
        <v>654</v>
      </c>
      <c r="F453">
        <f>COUNTIF(HCPs!W:W,HCO_Data!K453)</f>
        <v>0</v>
      </c>
      <c r="G453" t="str">
        <f>IF(COUNTIF('Testing Referrals'!B:B,HCO_Data!K453)&gt;0,"Yes","")</f>
        <v/>
      </c>
      <c r="H453">
        <f>COUNTIF('HCO referrals'!B:B,HCO_Data!K453)+COUNTIF('HCO referrals'!C:C,HCO_Data!K453)</f>
        <v>0</v>
      </c>
      <c r="I453">
        <v>30781116</v>
      </c>
      <c r="K453" t="s">
        <v>10452</v>
      </c>
      <c r="L453" t="s">
        <v>1625</v>
      </c>
      <c r="M453" t="s">
        <v>2246</v>
      </c>
      <c r="N453">
        <v>3630</v>
      </c>
      <c r="O453" t="s">
        <v>2247</v>
      </c>
      <c r="Q453" t="s">
        <v>4283</v>
      </c>
      <c r="R453">
        <v>358</v>
      </c>
      <c r="S453">
        <v>22</v>
      </c>
      <c r="T453">
        <v>22</v>
      </c>
      <c r="W453">
        <f>COUNTIFS('Clinical Trials HCO'!$A:$A, K453, 'Clinical Trials HCO'!$D:$D, "&lt;&gt;")</f>
        <v>0</v>
      </c>
      <c r="AF453" t="s">
        <v>414</v>
      </c>
    </row>
    <row r="454" spans="2:33" hidden="1">
      <c r="B454">
        <v>630</v>
      </c>
      <c r="F454">
        <f>COUNTIF(HCPs!W:W,HCO_Data!K454)</f>
        <v>0</v>
      </c>
      <c r="G454" t="str">
        <f>IF(COUNTIF('Testing Referrals'!B:B,HCO_Data!K454)&gt;0,"Yes","")</f>
        <v/>
      </c>
      <c r="H454">
        <f>COUNTIF('HCO referrals'!B:B,HCO_Data!K454)+COUNTIF('HCO referrals'!C:C,HCO_Data!K454)</f>
        <v>0</v>
      </c>
      <c r="I454">
        <v>140000027</v>
      </c>
      <c r="K454" t="s">
        <v>10453</v>
      </c>
      <c r="L454" t="s">
        <v>2614</v>
      </c>
      <c r="M454" t="s">
        <v>2898</v>
      </c>
      <c r="N454">
        <v>14100</v>
      </c>
      <c r="O454" t="s">
        <v>2899</v>
      </c>
      <c r="Q454" t="s">
        <v>4283</v>
      </c>
      <c r="R454">
        <v>469</v>
      </c>
      <c r="S454">
        <v>22</v>
      </c>
      <c r="T454">
        <v>22</v>
      </c>
      <c r="W454">
        <f>COUNTIFS('Clinical Trials HCO'!$A:$A, K454, 'Clinical Trials HCO'!$D:$D, "&lt;&gt;")</f>
        <v>0</v>
      </c>
      <c r="AG454" t="s">
        <v>414</v>
      </c>
    </row>
    <row r="455" spans="2:33" hidden="1">
      <c r="B455">
        <v>455</v>
      </c>
      <c r="F455">
        <f>COUNTIF(HCPs!W:W,HCO_Data!K455)</f>
        <v>0</v>
      </c>
      <c r="G455" t="str">
        <f>IF(COUNTIF('Testing Referrals'!B:B,HCO_Data!K455)&gt;0,"Yes","")</f>
        <v/>
      </c>
      <c r="H455">
        <f>COUNTIF('HCO referrals'!B:B,HCO_Data!K455)+COUNTIF('HCO referrals'!C:C,HCO_Data!K455)</f>
        <v>0</v>
      </c>
      <c r="I455">
        <v>190000224</v>
      </c>
      <c r="K455" t="s">
        <v>10454</v>
      </c>
      <c r="L455" t="s">
        <v>2470</v>
      </c>
      <c r="M455" t="s">
        <v>2787</v>
      </c>
      <c r="N455">
        <v>19316</v>
      </c>
      <c r="O455" t="s">
        <v>1735</v>
      </c>
      <c r="Q455" t="s">
        <v>4283</v>
      </c>
      <c r="R455">
        <v>590</v>
      </c>
      <c r="S455">
        <v>22</v>
      </c>
      <c r="T455">
        <v>22</v>
      </c>
      <c r="W455">
        <f>COUNTIFS('Clinical Trials HCO'!$A:$A, K455, 'Clinical Trials HCO'!$D:$D, "&lt;&gt;")</f>
        <v>0</v>
      </c>
      <c r="AF455" t="s">
        <v>414</v>
      </c>
      <c r="AG455" t="s">
        <v>414</v>
      </c>
    </row>
    <row r="456" spans="2:33" hidden="1">
      <c r="B456">
        <v>694</v>
      </c>
      <c r="F456">
        <f>COUNTIF(HCPs!W:W,HCO_Data!K456)</f>
        <v>0</v>
      </c>
      <c r="G456" t="str">
        <f>IF(COUNTIF('Testing Referrals'!B:B,HCO_Data!K456)&gt;0,"Yes","")</f>
        <v/>
      </c>
      <c r="H456">
        <f>COUNTIF('HCO referrals'!B:B,HCO_Data!K456)+COUNTIF('HCO referrals'!C:C,HCO_Data!K456)</f>
        <v>0</v>
      </c>
      <c r="I456">
        <v>250000270</v>
      </c>
      <c r="K456" t="s">
        <v>10455</v>
      </c>
      <c r="L456" t="s">
        <v>2497</v>
      </c>
      <c r="M456" t="s">
        <v>2810</v>
      </c>
      <c r="N456">
        <v>25044</v>
      </c>
      <c r="O456" t="s">
        <v>874</v>
      </c>
      <c r="Q456" t="s">
        <v>4283</v>
      </c>
      <c r="R456">
        <v>579</v>
      </c>
      <c r="S456">
        <v>22</v>
      </c>
      <c r="T456">
        <v>22</v>
      </c>
      <c r="W456">
        <f>COUNTIFS('Clinical Trials HCO'!$A:$A, K456, 'Clinical Trials HCO'!$D:$D, "&lt;&gt;")</f>
        <v>0</v>
      </c>
      <c r="AG456" t="s">
        <v>414</v>
      </c>
    </row>
    <row r="457" spans="2:33" hidden="1">
      <c r="F457">
        <f>COUNTIF(HCPs!W:W,HCO_Data!K457)</f>
        <v>0</v>
      </c>
      <c r="G457" t="str">
        <f>IF(COUNTIF('Testing Referrals'!B:B,HCO_Data!K457)&gt;0,"Yes","")</f>
        <v/>
      </c>
      <c r="H457">
        <f>COUNTIF('HCO referrals'!B:B,HCO_Data!K457)+COUNTIF('HCO referrals'!C:C,HCO_Data!K457)</f>
        <v>0</v>
      </c>
      <c r="I457">
        <v>340008275</v>
      </c>
      <c r="K457" t="s">
        <v>10456</v>
      </c>
      <c r="L457" t="s">
        <v>8959</v>
      </c>
      <c r="M457" t="s">
        <v>8960</v>
      </c>
      <c r="O457" t="s">
        <v>8961</v>
      </c>
      <c r="P457" t="s">
        <v>733</v>
      </c>
      <c r="Q457" t="s">
        <v>4283</v>
      </c>
      <c r="R457">
        <v>597</v>
      </c>
      <c r="S457">
        <v>22</v>
      </c>
      <c r="T457">
        <v>22</v>
      </c>
      <c r="W457">
        <f>COUNTIFS('Clinical Trials HCO'!$A:$A, K457, 'Clinical Trials HCO'!$D:$D, "&lt;&gt;")</f>
        <v>0</v>
      </c>
    </row>
    <row r="458" spans="2:33" hidden="1">
      <c r="B458">
        <v>380</v>
      </c>
      <c r="F458">
        <f>COUNTIF(HCPs!W:W,HCO_Data!K458)</f>
        <v>0</v>
      </c>
      <c r="G458" t="str">
        <f>IF(COUNTIF('Testing Referrals'!B:B,HCO_Data!K458)&gt;0,"Yes","")</f>
        <v/>
      </c>
      <c r="H458">
        <f>COUNTIF('HCO referrals'!B:B,HCO_Data!K458)+COUNTIF('HCO referrals'!C:C,HCO_Data!K458)</f>
        <v>0</v>
      </c>
      <c r="I458">
        <v>570000117</v>
      </c>
      <c r="K458" t="s">
        <v>10457</v>
      </c>
      <c r="L458" t="s">
        <v>1434</v>
      </c>
      <c r="M458" t="s">
        <v>1914</v>
      </c>
      <c r="N458">
        <v>57402</v>
      </c>
      <c r="O458" t="s">
        <v>1915</v>
      </c>
      <c r="Q458" t="s">
        <v>4283</v>
      </c>
      <c r="R458">
        <v>415</v>
      </c>
      <c r="S458">
        <v>22</v>
      </c>
      <c r="T458">
        <v>22</v>
      </c>
      <c r="W458">
        <f>COUNTIFS('Clinical Trials HCO'!$A:$A, K458, 'Clinical Trials HCO'!$D:$D, "&lt;&gt;")</f>
        <v>0</v>
      </c>
      <c r="AF458" t="s">
        <v>414</v>
      </c>
      <c r="AG458" t="s">
        <v>414</v>
      </c>
    </row>
    <row r="459" spans="2:33" hidden="1">
      <c r="F459">
        <f>COUNTIF(HCPs!W:W,HCO_Data!K459)</f>
        <v>0</v>
      </c>
      <c r="G459" t="str">
        <f>IF(COUNTIF('Testing Referrals'!B:B,HCO_Data!K459)&gt;0,"Yes","")</f>
        <v/>
      </c>
      <c r="H459">
        <f>COUNTIF('HCO referrals'!B:B,HCO_Data!K459)+COUNTIF('HCO referrals'!C:C,HCO_Data!K459)</f>
        <v>0</v>
      </c>
      <c r="I459">
        <v>590000428</v>
      </c>
      <c r="K459" t="s">
        <v>10458</v>
      </c>
      <c r="L459" t="s">
        <v>8930</v>
      </c>
      <c r="M459" t="s">
        <v>8931</v>
      </c>
      <c r="O459" t="s">
        <v>8932</v>
      </c>
      <c r="P459" t="s">
        <v>704</v>
      </c>
      <c r="Q459" t="s">
        <v>4283</v>
      </c>
      <c r="R459">
        <v>577</v>
      </c>
      <c r="S459">
        <v>22</v>
      </c>
      <c r="T459">
        <v>22</v>
      </c>
      <c r="W459">
        <f>COUNTIFS('Clinical Trials HCO'!$A:$A, K459, 'Clinical Trials HCO'!$D:$D, "&lt;&gt;")</f>
        <v>0</v>
      </c>
    </row>
    <row r="460" spans="2:33" hidden="1">
      <c r="B460">
        <v>233</v>
      </c>
      <c r="F460">
        <f>COUNTIF(HCPs!W:W,HCO_Data!K460)</f>
        <v>0</v>
      </c>
      <c r="G460" t="str">
        <f>IF(COUNTIF('Testing Referrals'!B:B,HCO_Data!K460)&gt;0,"Yes","")</f>
        <v/>
      </c>
      <c r="H460">
        <f>COUNTIF('HCO referrals'!B:B,HCO_Data!K460)+COUNTIF('HCO referrals'!C:C,HCO_Data!K460)</f>
        <v>0</v>
      </c>
      <c r="I460">
        <v>590815056</v>
      </c>
      <c r="K460" t="s">
        <v>10459</v>
      </c>
      <c r="L460" t="s">
        <v>1509</v>
      </c>
      <c r="M460" t="s">
        <v>2050</v>
      </c>
      <c r="N460">
        <v>59210</v>
      </c>
      <c r="O460" t="s">
        <v>2051</v>
      </c>
      <c r="Q460" t="s">
        <v>4283</v>
      </c>
      <c r="R460">
        <v>388</v>
      </c>
      <c r="S460">
        <v>22</v>
      </c>
      <c r="T460">
        <v>22</v>
      </c>
      <c r="W460">
        <f>COUNTIFS('Clinical Trials HCO'!$A:$A, K460, 'Clinical Trials HCO'!$D:$D, "&lt;&gt;")</f>
        <v>0</v>
      </c>
      <c r="AG460" t="s">
        <v>414</v>
      </c>
    </row>
    <row r="461" spans="2:33" hidden="1">
      <c r="B461">
        <v>108</v>
      </c>
      <c r="F461">
        <f>COUNTIF(HCPs!W:W,HCO_Data!K461)</f>
        <v>0</v>
      </c>
      <c r="G461" t="str">
        <f>IF(COUNTIF('Testing Referrals'!B:B,HCO_Data!K461)&gt;0,"Yes","")</f>
        <v/>
      </c>
      <c r="H461">
        <f>COUNTIF('HCO referrals'!B:B,HCO_Data!K461)+COUNTIF('HCO referrals'!C:C,HCO_Data!K461)</f>
        <v>0</v>
      </c>
      <c r="I461">
        <v>620100735</v>
      </c>
      <c r="K461" t="s">
        <v>10460</v>
      </c>
      <c r="L461" t="s">
        <v>1502</v>
      </c>
      <c r="M461" t="s">
        <v>2040</v>
      </c>
      <c r="N461">
        <v>62404</v>
      </c>
      <c r="O461" t="s">
        <v>2041</v>
      </c>
      <c r="Q461" t="s">
        <v>4283</v>
      </c>
      <c r="R461">
        <v>425</v>
      </c>
      <c r="S461">
        <v>22</v>
      </c>
      <c r="T461">
        <v>22</v>
      </c>
      <c r="W461">
        <f>COUNTIFS('Clinical Trials HCO'!$A:$A, K461, 'Clinical Trials HCO'!$D:$D, "&lt;&gt;")</f>
        <v>0</v>
      </c>
      <c r="AE461" t="s">
        <v>3927</v>
      </c>
    </row>
    <row r="462" spans="2:33" hidden="1">
      <c r="F462">
        <f>COUNTIF(HCPs!W:W,HCO_Data!K462)</f>
        <v>0</v>
      </c>
      <c r="G462" t="str">
        <f>IF(COUNTIF('Testing Referrals'!B:B,HCO_Data!K462)&gt;0,"Yes","")</f>
        <v/>
      </c>
      <c r="H462">
        <f>COUNTIF('HCO referrals'!B:B,HCO_Data!K462)+COUNTIF('HCO referrals'!C:C,HCO_Data!K462)</f>
        <v>0</v>
      </c>
      <c r="I462">
        <v>630783538</v>
      </c>
      <c r="K462" t="s">
        <v>10461</v>
      </c>
      <c r="L462" t="s">
        <v>8944</v>
      </c>
      <c r="M462" t="s">
        <v>8945</v>
      </c>
      <c r="O462" t="s">
        <v>8946</v>
      </c>
      <c r="P462" t="s">
        <v>735</v>
      </c>
      <c r="Q462" t="s">
        <v>4283</v>
      </c>
      <c r="R462">
        <v>585</v>
      </c>
      <c r="S462">
        <v>22</v>
      </c>
      <c r="T462">
        <v>22</v>
      </c>
      <c r="W462">
        <f>COUNTIFS('Clinical Trials HCO'!$A:$A, K462, 'Clinical Trials HCO'!$D:$D, "&lt;&gt;")</f>
        <v>0</v>
      </c>
    </row>
    <row r="463" spans="2:33" hidden="1">
      <c r="B463">
        <v>652</v>
      </c>
      <c r="F463">
        <f>COUNTIF(HCPs!W:W,HCO_Data!K463)</f>
        <v>0</v>
      </c>
      <c r="G463" t="str">
        <f>IF(COUNTIF('Testing Referrals'!B:B,HCO_Data!K463)&gt;0,"Yes","")</f>
        <v/>
      </c>
      <c r="H463">
        <f>COUNTIF('HCO referrals'!B:B,HCO_Data!K463)+COUNTIF('HCO referrals'!C:C,HCO_Data!K463)</f>
        <v>0</v>
      </c>
      <c r="I463">
        <v>640780946</v>
      </c>
      <c r="K463" t="s">
        <v>10462</v>
      </c>
      <c r="L463" t="s">
        <v>666</v>
      </c>
      <c r="M463" t="s">
        <v>2918</v>
      </c>
      <c r="N463">
        <v>64000</v>
      </c>
      <c r="O463" t="s">
        <v>1006</v>
      </c>
      <c r="Q463" t="s">
        <v>4283</v>
      </c>
      <c r="R463">
        <v>549</v>
      </c>
      <c r="S463">
        <v>22</v>
      </c>
      <c r="T463">
        <v>22</v>
      </c>
      <c r="W463">
        <f>COUNTIFS('Clinical Trials HCO'!$A:$A, K463, 'Clinical Trials HCO'!$D:$D, "&lt;&gt;")</f>
        <v>0</v>
      </c>
      <c r="AF463" t="s">
        <v>414</v>
      </c>
      <c r="AG463" t="s">
        <v>414</v>
      </c>
    </row>
    <row r="464" spans="2:33" hidden="1">
      <c r="B464">
        <v>458</v>
      </c>
      <c r="F464">
        <f>COUNTIF(HCPs!W:W,HCO_Data!K464)</f>
        <v>2</v>
      </c>
      <c r="G464" t="str">
        <f>IF(COUNTIF('Testing Referrals'!B:B,HCO_Data!K464)&gt;0,"Yes","")</f>
        <v/>
      </c>
      <c r="H464">
        <f>COUNTIF('HCO referrals'!B:B,HCO_Data!K464)+COUNTIF('HCO referrals'!C:C,HCO_Data!K464)</f>
        <v>0</v>
      </c>
      <c r="I464">
        <v>690054713</v>
      </c>
      <c r="K464" t="s">
        <v>10463</v>
      </c>
      <c r="L464" s="13" t="s">
        <v>699</v>
      </c>
      <c r="M464" t="s">
        <v>2181</v>
      </c>
      <c r="N464">
        <v>69200</v>
      </c>
      <c r="O464" t="s">
        <v>2182</v>
      </c>
      <c r="Q464" t="s">
        <v>4283</v>
      </c>
      <c r="R464">
        <v>574</v>
      </c>
      <c r="S464">
        <v>22</v>
      </c>
      <c r="T464">
        <v>22</v>
      </c>
      <c r="W464">
        <f>COUNTIFS('Clinical Trials HCO'!$A:$A, K464, 'Clinical Trials HCO'!$D:$D, "&lt;&gt;")</f>
        <v>0</v>
      </c>
      <c r="AF464" t="s">
        <v>414</v>
      </c>
      <c r="AG464" t="s">
        <v>414</v>
      </c>
    </row>
    <row r="465" spans="2:33" hidden="1">
      <c r="F465">
        <f>COUNTIF(HCPs!W:W,HCO_Data!K465)</f>
        <v>0</v>
      </c>
      <c r="G465" t="str">
        <f>IF(COUNTIF('Testing Referrals'!B:B,HCO_Data!K465)&gt;0,"Yes","")</f>
        <v/>
      </c>
      <c r="H465">
        <f>COUNTIF('HCO referrals'!B:B,HCO_Data!K465)+COUNTIF('HCO referrals'!C:C,HCO_Data!K465)</f>
        <v>0</v>
      </c>
      <c r="I465">
        <v>690054721</v>
      </c>
      <c r="K465" t="s">
        <v>10464</v>
      </c>
      <c r="L465" t="s">
        <v>8711</v>
      </c>
      <c r="M465" t="s">
        <v>8712</v>
      </c>
      <c r="O465" t="s">
        <v>8713</v>
      </c>
      <c r="P465" t="s">
        <v>701</v>
      </c>
      <c r="Q465" t="s">
        <v>4283</v>
      </c>
      <c r="R465">
        <v>318</v>
      </c>
      <c r="S465">
        <v>22</v>
      </c>
      <c r="T465">
        <v>22</v>
      </c>
      <c r="W465">
        <f>COUNTIFS('Clinical Trials HCO'!$A:$A, K465, 'Clinical Trials HCO'!$D:$D, "&lt;&gt;")</f>
        <v>0</v>
      </c>
    </row>
    <row r="466" spans="2:33" hidden="1">
      <c r="F466">
        <f>COUNTIF(HCPs!W:W,HCO_Data!K466)</f>
        <v>0</v>
      </c>
      <c r="G466" t="str">
        <f>IF(COUNTIF('Testing Referrals'!B:B,HCO_Data!K466)&gt;0,"Yes","")</f>
        <v/>
      </c>
      <c r="H466">
        <f>COUNTIF('HCO referrals'!B:B,HCO_Data!K466)+COUNTIF('HCO referrals'!C:C,HCO_Data!K466)</f>
        <v>0</v>
      </c>
      <c r="I466">
        <v>750100299</v>
      </c>
      <c r="K466" t="s">
        <v>10465</v>
      </c>
      <c r="L466" t="s">
        <v>8957</v>
      </c>
      <c r="M466" t="s">
        <v>8958</v>
      </c>
      <c r="O466" t="s">
        <v>700</v>
      </c>
      <c r="P466" t="s">
        <v>700</v>
      </c>
      <c r="Q466" t="s">
        <v>4283</v>
      </c>
      <c r="R466">
        <v>596</v>
      </c>
      <c r="S466">
        <v>22</v>
      </c>
      <c r="T466">
        <v>22</v>
      </c>
      <c r="W466">
        <f>COUNTIFS('Clinical Trials HCO'!$A:$A, K466, 'Clinical Trials HCO'!$D:$D, "&lt;&gt;")</f>
        <v>0</v>
      </c>
    </row>
    <row r="467" spans="2:33" hidden="1">
      <c r="B467">
        <v>438</v>
      </c>
      <c r="F467">
        <f>COUNTIF(HCPs!W:W,HCO_Data!K467)</f>
        <v>0</v>
      </c>
      <c r="G467" t="str">
        <f>IF(COUNTIF('Testing Referrals'!B:B,HCO_Data!K467)&gt;0,"Yes","")</f>
        <v/>
      </c>
      <c r="H467">
        <f>COUNTIF('HCO referrals'!B:B,HCO_Data!K467)+COUNTIF('HCO referrals'!C:C,HCO_Data!K467)</f>
        <v>0</v>
      </c>
      <c r="I467">
        <v>770790707</v>
      </c>
      <c r="K467" t="s">
        <v>10466</v>
      </c>
      <c r="L467" t="s">
        <v>680</v>
      </c>
      <c r="M467" t="s">
        <v>2756</v>
      </c>
      <c r="N467">
        <v>77220</v>
      </c>
      <c r="O467" t="s">
        <v>2757</v>
      </c>
      <c r="Q467" t="s">
        <v>4283</v>
      </c>
      <c r="R467">
        <v>571</v>
      </c>
      <c r="S467">
        <v>22</v>
      </c>
      <c r="T467">
        <v>22</v>
      </c>
      <c r="W467">
        <f>COUNTIFS('Clinical Trials HCO'!$A:$A, K467, 'Clinical Trials HCO'!$D:$D, "&lt;&gt;")</f>
        <v>0</v>
      </c>
      <c r="AG467" t="s">
        <v>414</v>
      </c>
    </row>
    <row r="468" spans="2:33" hidden="1">
      <c r="B468">
        <v>355</v>
      </c>
      <c r="F468">
        <f>COUNTIF(HCPs!W:W,HCO_Data!K468)</f>
        <v>0</v>
      </c>
      <c r="G468" t="str">
        <f>IF(COUNTIF('Testing Referrals'!B:B,HCO_Data!K468)&gt;0,"Yes","")</f>
        <v/>
      </c>
      <c r="H468">
        <f>COUNTIF('HCO referrals'!B:B,HCO_Data!K468)+COUNTIF('HCO referrals'!C:C,HCO_Data!K468)</f>
        <v>0</v>
      </c>
      <c r="I468">
        <v>920301033</v>
      </c>
      <c r="K468" t="s">
        <v>10467</v>
      </c>
      <c r="L468" t="s">
        <v>1541</v>
      </c>
      <c r="M468" t="s">
        <v>2114</v>
      </c>
      <c r="N468">
        <v>92100</v>
      </c>
      <c r="O468" t="s">
        <v>2115</v>
      </c>
      <c r="Q468" t="s">
        <v>4283</v>
      </c>
      <c r="R468">
        <v>333</v>
      </c>
      <c r="S468">
        <v>22</v>
      </c>
      <c r="T468">
        <v>22</v>
      </c>
      <c r="W468">
        <f>COUNTIFS('Clinical Trials HCO'!$A:$A, K468, 'Clinical Trials HCO'!$D:$D, "&lt;&gt;")</f>
        <v>0</v>
      </c>
      <c r="AF468" t="s">
        <v>414</v>
      </c>
      <c r="AG468" t="s">
        <v>414</v>
      </c>
    </row>
    <row r="469" spans="2:33" hidden="1">
      <c r="B469">
        <v>202</v>
      </c>
      <c r="F469">
        <f>COUNTIF(HCPs!W:W,HCO_Data!K469)</f>
        <v>0</v>
      </c>
      <c r="G469" t="str">
        <f>IF(COUNTIF('Testing Referrals'!B:B,HCO_Data!K469)&gt;0,"Yes","")</f>
        <v/>
      </c>
      <c r="H469">
        <f>COUNTIF('HCO referrals'!B:B,HCO_Data!K469)+COUNTIF('HCO referrals'!C:C,HCO_Data!K469)</f>
        <v>0</v>
      </c>
      <c r="I469">
        <v>930000336</v>
      </c>
      <c r="K469" t="s">
        <v>10468</v>
      </c>
      <c r="L469" t="s">
        <v>1458</v>
      </c>
      <c r="M469" t="s">
        <v>1967</v>
      </c>
      <c r="N469">
        <v>93602</v>
      </c>
      <c r="O469" t="s">
        <v>1968</v>
      </c>
      <c r="Q469" t="s">
        <v>4283</v>
      </c>
      <c r="R469">
        <v>431</v>
      </c>
      <c r="S469">
        <v>22</v>
      </c>
      <c r="T469">
        <v>22</v>
      </c>
      <c r="W469">
        <f>COUNTIFS('Clinical Trials HCO'!$A:$A, K469, 'Clinical Trials HCO'!$D:$D, "&lt;&gt;")</f>
        <v>0</v>
      </c>
      <c r="AF469" t="s">
        <v>414</v>
      </c>
      <c r="AG469" t="s">
        <v>414</v>
      </c>
    </row>
    <row r="470" spans="2:33" hidden="1">
      <c r="B470">
        <v>601</v>
      </c>
      <c r="F470">
        <f>COUNTIF(HCPs!W:W,HCO_Data!K470)</f>
        <v>0</v>
      </c>
      <c r="G470" t="str">
        <f>IF(COUNTIF('Testing Referrals'!B:B,HCO_Data!K470)&gt;0,"Yes","")</f>
        <v/>
      </c>
      <c r="H470">
        <f>COUNTIF('HCO referrals'!B:B,HCO_Data!K470)+COUNTIF('HCO referrals'!C:C,HCO_Data!K470)</f>
        <v>0</v>
      </c>
      <c r="I470">
        <v>970100020</v>
      </c>
      <c r="K470" t="s">
        <v>10469</v>
      </c>
      <c r="L470" t="s">
        <v>1362</v>
      </c>
      <c r="M470" t="s">
        <v>1753</v>
      </c>
      <c r="N470">
        <v>97100</v>
      </c>
      <c r="O470" t="s">
        <v>1723</v>
      </c>
      <c r="Q470" t="s">
        <v>4283</v>
      </c>
      <c r="R470">
        <v>486</v>
      </c>
      <c r="S470">
        <v>22</v>
      </c>
      <c r="T470">
        <v>22</v>
      </c>
      <c r="W470">
        <f>COUNTIFS('Clinical Trials HCO'!$A:$A, K470, 'Clinical Trials HCO'!$D:$D, "&lt;&gt;")</f>
        <v>0</v>
      </c>
      <c r="AG470" t="s">
        <v>414</v>
      </c>
    </row>
    <row r="471" spans="2:33" hidden="1">
      <c r="B471">
        <v>111</v>
      </c>
      <c r="F471">
        <f>COUNTIF(HCPs!W:W,HCO_Data!K471)</f>
        <v>0</v>
      </c>
      <c r="G471" t="str">
        <f>IF(COUNTIF('Testing Referrals'!B:B,HCO_Data!K471)&gt;0,"Yes","")</f>
        <v/>
      </c>
      <c r="H471">
        <f>COUNTIF('HCO referrals'!B:B,HCO_Data!K471)+COUNTIF('HCO referrals'!C:C,HCO_Data!K471)</f>
        <v>0</v>
      </c>
      <c r="I471">
        <v>970100392</v>
      </c>
      <c r="K471" t="s">
        <v>10470</v>
      </c>
      <c r="L471" t="s">
        <v>1345</v>
      </c>
      <c r="M471" t="s">
        <v>1722</v>
      </c>
      <c r="N471">
        <v>97100</v>
      </c>
      <c r="O471" t="s">
        <v>1723</v>
      </c>
      <c r="Q471" t="s">
        <v>4283</v>
      </c>
      <c r="R471">
        <v>377</v>
      </c>
      <c r="S471">
        <v>22</v>
      </c>
      <c r="T471">
        <v>22</v>
      </c>
      <c r="W471">
        <f>COUNTIFS('Clinical Trials HCO'!$A:$A, K471, 'Clinical Trials HCO'!$D:$D, "&lt;&gt;")</f>
        <v>0</v>
      </c>
      <c r="AD471" s="12" t="s">
        <v>414</v>
      </c>
      <c r="AE471" t="s">
        <v>3927</v>
      </c>
      <c r="AF471" s="12"/>
      <c r="AG471" s="12"/>
    </row>
    <row r="472" spans="2:33" hidden="1">
      <c r="B472">
        <v>415</v>
      </c>
      <c r="F472">
        <f>COUNTIF(HCPs!W:W,HCO_Data!K472)</f>
        <v>1</v>
      </c>
      <c r="G472" t="str">
        <f>IF(COUNTIF('Testing Referrals'!B:B,HCO_Data!K472)&gt;0,"Yes","")</f>
        <v/>
      </c>
      <c r="H472">
        <f>COUNTIF('HCO referrals'!B:B,HCO_Data!K472)+COUNTIF('HCO referrals'!C:C,HCO_Data!K472)</f>
        <v>0</v>
      </c>
      <c r="I472">
        <v>310780382</v>
      </c>
      <c r="J472" s="72" t="s">
        <v>8303</v>
      </c>
      <c r="K472" t="s">
        <v>8305</v>
      </c>
      <c r="L472" t="s">
        <v>8304</v>
      </c>
      <c r="M472" t="s">
        <v>2720</v>
      </c>
      <c r="N472">
        <v>31082</v>
      </c>
      <c r="O472" t="s">
        <v>833</v>
      </c>
      <c r="Q472" t="s">
        <v>4283</v>
      </c>
      <c r="R472">
        <v>583</v>
      </c>
      <c r="S472">
        <v>21</v>
      </c>
      <c r="T472">
        <v>21</v>
      </c>
      <c r="W472">
        <f>COUNTIFS('Clinical Trials HCO'!$A:$A, K472, 'Clinical Trials HCO'!$D:$D, "&lt;&gt;")</f>
        <v>0</v>
      </c>
      <c r="AF472" t="s">
        <v>414</v>
      </c>
      <c r="AG472" t="s">
        <v>414</v>
      </c>
    </row>
    <row r="473" spans="2:33" hidden="1">
      <c r="B473">
        <v>494</v>
      </c>
      <c r="F473">
        <f>COUNTIF(HCPs!W:W,HCO_Data!K473)</f>
        <v>0</v>
      </c>
      <c r="G473" t="str">
        <f>IF(COUNTIF('Testing Referrals'!B:B,HCO_Data!K473)&gt;0,"Yes","")</f>
        <v/>
      </c>
      <c r="H473">
        <f>COUNTIF('HCO referrals'!B:B,HCO_Data!K473)+COUNTIF('HCO referrals'!C:C,HCO_Data!K473)</f>
        <v>0</v>
      </c>
      <c r="I473">
        <v>610000051</v>
      </c>
      <c r="K473" t="s">
        <v>10471</v>
      </c>
      <c r="L473" t="s">
        <v>2416</v>
      </c>
      <c r="M473" t="s">
        <v>1974</v>
      </c>
      <c r="N473">
        <v>61014</v>
      </c>
      <c r="O473" t="s">
        <v>2716</v>
      </c>
      <c r="Q473" t="s">
        <v>4283</v>
      </c>
      <c r="R473">
        <v>568</v>
      </c>
      <c r="S473">
        <v>21</v>
      </c>
      <c r="T473">
        <v>21</v>
      </c>
      <c r="W473">
        <f>COUNTIFS('Clinical Trials HCO'!$A:$A, K473, 'Clinical Trials HCO'!$D:$D, "&lt;&gt;")</f>
        <v>0</v>
      </c>
      <c r="AF473" t="s">
        <v>414</v>
      </c>
      <c r="AG473" t="s">
        <v>414</v>
      </c>
    </row>
    <row r="474" spans="2:33" hidden="1">
      <c r="F474">
        <f>COUNTIF(HCPs!W:W,HCO_Data!K474)</f>
        <v>0</v>
      </c>
      <c r="G474" t="str">
        <f>IF(COUNTIF('Testing Referrals'!B:B,HCO_Data!K474)&gt;0,"Yes","")</f>
        <v/>
      </c>
      <c r="H474">
        <f>COUNTIF('HCO referrals'!B:B,HCO_Data!K474)+COUNTIF('HCO referrals'!C:C,HCO_Data!K474)</f>
        <v>0</v>
      </c>
      <c r="I474">
        <v>630000446</v>
      </c>
      <c r="K474" t="s">
        <v>10472</v>
      </c>
      <c r="L474" t="s">
        <v>8816</v>
      </c>
      <c r="M474" t="s">
        <v>8817</v>
      </c>
      <c r="O474" t="s">
        <v>8818</v>
      </c>
      <c r="P474" t="s">
        <v>735</v>
      </c>
      <c r="Q474" t="s">
        <v>4283</v>
      </c>
      <c r="R474">
        <v>471</v>
      </c>
      <c r="S474">
        <v>21</v>
      </c>
      <c r="T474">
        <v>21</v>
      </c>
      <c r="W474">
        <f>COUNTIFS('Clinical Trials HCO'!$A:$A, K474, 'Clinical Trials HCO'!$D:$D, "&lt;&gt;")</f>
        <v>0</v>
      </c>
    </row>
    <row r="475" spans="2:33" hidden="1">
      <c r="B475">
        <v>433</v>
      </c>
      <c r="F475">
        <f>COUNTIF(HCPs!W:W,HCO_Data!K475)</f>
        <v>0</v>
      </c>
      <c r="G475" t="str">
        <f>IF(COUNTIF('Testing Referrals'!B:B,HCO_Data!K475)&gt;0,"Yes","")</f>
        <v/>
      </c>
      <c r="H475">
        <f>COUNTIF('HCO referrals'!B:B,HCO_Data!K475)+COUNTIF('HCO referrals'!C:C,HCO_Data!K475)</f>
        <v>0</v>
      </c>
      <c r="I475">
        <v>630780369</v>
      </c>
      <c r="K475" t="s">
        <v>10473</v>
      </c>
      <c r="L475" t="s">
        <v>2453</v>
      </c>
      <c r="M475" t="s">
        <v>2754</v>
      </c>
      <c r="N475">
        <v>63100</v>
      </c>
      <c r="O475" t="s">
        <v>896</v>
      </c>
      <c r="Q475" t="s">
        <v>4283</v>
      </c>
      <c r="R475">
        <v>603</v>
      </c>
      <c r="S475">
        <v>21</v>
      </c>
      <c r="T475">
        <v>21</v>
      </c>
      <c r="W475">
        <f>COUNTIFS('Clinical Trials HCO'!$A:$A, K475, 'Clinical Trials HCO'!$D:$D, "&lt;&gt;")</f>
        <v>0</v>
      </c>
      <c r="AF475" t="s">
        <v>414</v>
      </c>
    </row>
    <row r="476" spans="2:33" hidden="1">
      <c r="B476">
        <v>651</v>
      </c>
      <c r="F476">
        <f>COUNTIF(HCPs!W:W,HCO_Data!K476)</f>
        <v>0</v>
      </c>
      <c r="G476" t="str">
        <f>IF(COUNTIF('Testing Referrals'!B:B,HCO_Data!K476)&gt;0,"Yes","")</f>
        <v/>
      </c>
      <c r="H476">
        <f>COUNTIF('HCO referrals'!B:B,HCO_Data!K476)+COUNTIF('HCO referrals'!C:C,HCO_Data!K476)</f>
        <v>0</v>
      </c>
      <c r="I476">
        <v>640780938</v>
      </c>
      <c r="K476" t="s">
        <v>10474</v>
      </c>
      <c r="L476" t="s">
        <v>665</v>
      </c>
      <c r="M476" t="s">
        <v>2359</v>
      </c>
      <c r="N476">
        <v>64000</v>
      </c>
      <c r="O476" t="s">
        <v>1006</v>
      </c>
      <c r="Q476" t="s">
        <v>4283</v>
      </c>
      <c r="R476">
        <v>365</v>
      </c>
      <c r="S476">
        <v>21</v>
      </c>
      <c r="T476">
        <v>21</v>
      </c>
      <c r="W476">
        <f>COUNTIFS('Clinical Trials HCO'!$A:$A, K476, 'Clinical Trials HCO'!$D:$D, "&lt;&gt;")</f>
        <v>0</v>
      </c>
      <c r="AF476" t="s">
        <v>414</v>
      </c>
      <c r="AG476" t="s">
        <v>414</v>
      </c>
    </row>
    <row r="477" spans="2:33" hidden="1">
      <c r="F477">
        <f>COUNTIF(HCPs!W:W,HCO_Data!K477)</f>
        <v>0</v>
      </c>
      <c r="G477" t="str">
        <f>IF(COUNTIF('Testing Referrals'!B:B,HCO_Data!K477)&gt;0,"Yes","")</f>
        <v/>
      </c>
      <c r="H477">
        <f>COUNTIF('HCO referrals'!B:B,HCO_Data!K477)+COUNTIF('HCO referrals'!C:C,HCO_Data!K477)</f>
        <v>0</v>
      </c>
      <c r="I477">
        <v>710978313</v>
      </c>
      <c r="K477" t="s">
        <v>10475</v>
      </c>
      <c r="L477" t="s">
        <v>8779</v>
      </c>
      <c r="M477">
        <v>0</v>
      </c>
      <c r="O477" t="s">
        <v>8780</v>
      </c>
      <c r="P477" t="s">
        <v>727</v>
      </c>
      <c r="Q477" t="s">
        <v>4283</v>
      </c>
      <c r="R477">
        <v>420</v>
      </c>
      <c r="S477">
        <v>21</v>
      </c>
      <c r="T477">
        <v>21</v>
      </c>
      <c r="W477">
        <f>COUNTIFS('Clinical Trials HCO'!$A:$A, K477, 'Clinical Trials HCO'!$D:$D, "&lt;&gt;")</f>
        <v>0</v>
      </c>
    </row>
    <row r="478" spans="2:33" hidden="1">
      <c r="F478">
        <f>COUNTIF(HCPs!W:W,HCO_Data!K478)</f>
        <v>0</v>
      </c>
      <c r="G478" t="str">
        <f>IF(COUNTIF('Testing Referrals'!B:B,HCO_Data!K478)&gt;0,"Yes","")</f>
        <v/>
      </c>
      <c r="H478">
        <f>COUNTIF('HCO referrals'!B:B,HCO_Data!K478)+COUNTIF('HCO referrals'!C:C,HCO_Data!K478)</f>
        <v>0</v>
      </c>
      <c r="I478">
        <v>880000054</v>
      </c>
      <c r="K478" t="s">
        <v>10476</v>
      </c>
      <c r="L478" t="s">
        <v>8789</v>
      </c>
      <c r="M478" t="s">
        <v>8790</v>
      </c>
      <c r="O478" t="s">
        <v>8791</v>
      </c>
      <c r="P478" t="s">
        <v>783</v>
      </c>
      <c r="Q478" t="s">
        <v>4283</v>
      </c>
      <c r="R478">
        <v>435</v>
      </c>
      <c r="S478">
        <v>21</v>
      </c>
      <c r="T478">
        <v>21</v>
      </c>
      <c r="W478">
        <f>COUNTIFS('Clinical Trials HCO'!$A:$A, K478, 'Clinical Trials HCO'!$D:$D, "&lt;&gt;")</f>
        <v>0</v>
      </c>
    </row>
    <row r="479" spans="2:33" hidden="1">
      <c r="F479">
        <f>COUNTIF(HCPs!W:W,HCO_Data!K479)</f>
        <v>0</v>
      </c>
      <c r="G479" t="str">
        <f>IF(COUNTIF('Testing Referrals'!B:B,HCO_Data!K479)&gt;0,"Yes","")</f>
        <v/>
      </c>
      <c r="H479">
        <f>COUNTIF('HCO referrals'!B:B,HCO_Data!K479)+COUNTIF('HCO referrals'!C:C,HCO_Data!K479)</f>
        <v>0</v>
      </c>
      <c r="I479">
        <v>910000272</v>
      </c>
      <c r="K479" t="s">
        <v>10477</v>
      </c>
      <c r="L479" t="s">
        <v>8868</v>
      </c>
      <c r="M479" t="s">
        <v>8869</v>
      </c>
      <c r="O479" t="s">
        <v>8870</v>
      </c>
      <c r="P479" t="s">
        <v>745</v>
      </c>
      <c r="Q479" t="s">
        <v>4283</v>
      </c>
      <c r="R479">
        <v>518</v>
      </c>
      <c r="S479">
        <v>21</v>
      </c>
      <c r="T479">
        <v>21</v>
      </c>
      <c r="W479">
        <f>COUNTIFS('Clinical Trials HCO'!$A:$A, K479, 'Clinical Trials HCO'!$D:$D, "&lt;&gt;")</f>
        <v>0</v>
      </c>
    </row>
    <row r="480" spans="2:33" hidden="1">
      <c r="F480">
        <f>COUNTIF(HCPs!W:W,HCO_Data!K480)</f>
        <v>0</v>
      </c>
      <c r="G480" t="str">
        <f>IF(COUNTIF('Testing Referrals'!B:B,HCO_Data!K480)&gt;0,"Yes","")</f>
        <v/>
      </c>
      <c r="H480">
        <f>COUNTIF('HCO referrals'!B:B,HCO_Data!K480)+COUNTIF('HCO referrals'!C:C,HCO_Data!K480)</f>
        <v>0</v>
      </c>
      <c r="I480">
        <v>20001061</v>
      </c>
      <c r="K480" t="s">
        <v>10478</v>
      </c>
      <c r="L480" t="s">
        <v>8906</v>
      </c>
      <c r="M480" t="s">
        <v>8907</v>
      </c>
      <c r="O480" t="s">
        <v>8908</v>
      </c>
      <c r="P480" t="s">
        <v>740</v>
      </c>
      <c r="Q480" t="s">
        <v>4283</v>
      </c>
      <c r="R480">
        <v>553</v>
      </c>
      <c r="S480">
        <v>20</v>
      </c>
      <c r="T480">
        <v>20</v>
      </c>
      <c r="W480">
        <f>COUNTIFS('Clinical Trials HCO'!$A:$A, K480, 'Clinical Trials HCO'!$D:$D, "&lt;&gt;")</f>
        <v>0</v>
      </c>
    </row>
    <row r="481" spans="2:33" hidden="1">
      <c r="F481">
        <f>COUNTIF(HCPs!W:W,HCO_Data!K481)</f>
        <v>0</v>
      </c>
      <c r="G481" t="str">
        <f>IF(COUNTIF('Testing Referrals'!B:B,HCO_Data!K481)&gt;0,"Yes","")</f>
        <v/>
      </c>
      <c r="H481">
        <f>COUNTIF('HCO referrals'!B:B,HCO_Data!K481)+COUNTIF('HCO referrals'!C:C,HCO_Data!K481)</f>
        <v>0</v>
      </c>
      <c r="I481">
        <v>130783152</v>
      </c>
      <c r="K481" t="s">
        <v>10479</v>
      </c>
      <c r="L481" t="s">
        <v>8894</v>
      </c>
      <c r="M481" t="s">
        <v>8895</v>
      </c>
      <c r="O481" t="s">
        <v>8896</v>
      </c>
      <c r="P481" t="s">
        <v>703</v>
      </c>
      <c r="Q481" t="s">
        <v>4283</v>
      </c>
      <c r="R481">
        <v>542</v>
      </c>
      <c r="S481">
        <v>20</v>
      </c>
      <c r="T481">
        <v>20</v>
      </c>
      <c r="W481">
        <f>COUNTIFS('Clinical Trials HCO'!$A:$A, K481, 'Clinical Trials HCO'!$D:$D, "&lt;&gt;")</f>
        <v>0</v>
      </c>
    </row>
    <row r="482" spans="2:33" hidden="1">
      <c r="F482">
        <f>COUNTIF(HCPs!W:W,HCO_Data!K482)</f>
        <v>0</v>
      </c>
      <c r="G482" t="str">
        <f>IF(COUNTIF('Testing Referrals'!B:B,HCO_Data!K482)&gt;0,"Yes","")</f>
        <v/>
      </c>
      <c r="H482">
        <f>COUNTIF('HCO referrals'!B:B,HCO_Data!K482)+COUNTIF('HCO referrals'!C:C,HCO_Data!K482)</f>
        <v>0</v>
      </c>
      <c r="I482">
        <v>140000340</v>
      </c>
      <c r="K482" t="s">
        <v>10480</v>
      </c>
      <c r="L482" t="s">
        <v>8967</v>
      </c>
      <c r="M482" t="s">
        <v>8968</v>
      </c>
      <c r="O482" t="s">
        <v>8969</v>
      </c>
      <c r="P482" t="s">
        <v>712</v>
      </c>
      <c r="Q482" t="s">
        <v>4283</v>
      </c>
      <c r="R482">
        <v>606</v>
      </c>
      <c r="S482">
        <v>20</v>
      </c>
      <c r="T482">
        <v>20</v>
      </c>
      <c r="W482">
        <f>COUNTIFS('Clinical Trials HCO'!$A:$A, K482, 'Clinical Trials HCO'!$D:$D, "&lt;&gt;")</f>
        <v>0</v>
      </c>
    </row>
    <row r="483" spans="2:33" hidden="1">
      <c r="F483">
        <f>COUNTIF(HCPs!W:W,HCO_Data!K483)</f>
        <v>0</v>
      </c>
      <c r="G483" t="str">
        <f>IF(COUNTIF('Testing Referrals'!B:B,HCO_Data!K483)&gt;0,"Yes","")</f>
        <v/>
      </c>
      <c r="H483">
        <f>COUNTIF('HCO referrals'!B:B,HCO_Data!K483)+COUNTIF('HCO referrals'!C:C,HCO_Data!K483)</f>
        <v>0</v>
      </c>
      <c r="I483">
        <v>290000066</v>
      </c>
      <c r="K483" t="s">
        <v>10481</v>
      </c>
      <c r="L483" t="s">
        <v>8750</v>
      </c>
      <c r="M483" t="s">
        <v>8751</v>
      </c>
      <c r="O483" t="s">
        <v>8752</v>
      </c>
      <c r="P483" t="s">
        <v>753</v>
      </c>
      <c r="Q483" t="s">
        <v>4283</v>
      </c>
      <c r="R483">
        <v>393</v>
      </c>
      <c r="S483">
        <v>20</v>
      </c>
      <c r="T483">
        <v>20</v>
      </c>
      <c r="W483">
        <f>COUNTIFS('Clinical Trials HCO'!$A:$A, K483, 'Clinical Trials HCO'!$D:$D, "&lt;&gt;")</f>
        <v>0</v>
      </c>
    </row>
    <row r="484" spans="2:33" hidden="1">
      <c r="B484">
        <v>507</v>
      </c>
      <c r="F484">
        <f>COUNTIF(HCPs!W:W,HCO_Data!K484)</f>
        <v>0</v>
      </c>
      <c r="G484" t="str">
        <f>IF(COUNTIF('Testing Referrals'!B:B,HCO_Data!K484)&gt;0,"Yes","")</f>
        <v/>
      </c>
      <c r="H484">
        <f>COUNTIF('HCO referrals'!B:B,HCO_Data!K484)+COUNTIF('HCO referrals'!C:C,HCO_Data!K484)</f>
        <v>0</v>
      </c>
      <c r="I484">
        <v>330058702</v>
      </c>
      <c r="K484" t="s">
        <v>10482</v>
      </c>
      <c r="L484" t="s">
        <v>1553</v>
      </c>
      <c r="M484" t="s">
        <v>2139</v>
      </c>
      <c r="N484">
        <v>33882</v>
      </c>
      <c r="O484" t="s">
        <v>2140</v>
      </c>
      <c r="Q484" t="s">
        <v>4283</v>
      </c>
      <c r="R484">
        <v>600</v>
      </c>
      <c r="S484">
        <v>20</v>
      </c>
      <c r="T484">
        <v>20</v>
      </c>
      <c r="W484">
        <f>COUNTIFS('Clinical Trials HCO'!$A:$A, K484, 'Clinical Trials HCO'!$D:$D, "&lt;&gt;")</f>
        <v>0</v>
      </c>
      <c r="AF484" t="s">
        <v>414</v>
      </c>
    </row>
    <row r="485" spans="2:33" hidden="1">
      <c r="B485">
        <v>352</v>
      </c>
      <c r="F485">
        <f>COUNTIF(HCPs!W:W,HCO_Data!K485)</f>
        <v>0</v>
      </c>
      <c r="G485" t="str">
        <f>IF(COUNTIF('Testing Referrals'!B:B,HCO_Data!K485)&gt;0,"Yes","")</f>
        <v/>
      </c>
      <c r="H485">
        <f>COUNTIF('HCO referrals'!B:B,HCO_Data!K485)+COUNTIF('HCO referrals'!C:C,HCO_Data!K485)</f>
        <v>0</v>
      </c>
      <c r="I485">
        <v>350000154</v>
      </c>
      <c r="K485" t="s">
        <v>10483</v>
      </c>
      <c r="L485" t="s">
        <v>2374</v>
      </c>
      <c r="M485" t="s">
        <v>2642</v>
      </c>
      <c r="N485">
        <v>35305</v>
      </c>
      <c r="O485" t="s">
        <v>2643</v>
      </c>
      <c r="Q485" t="s">
        <v>4283</v>
      </c>
      <c r="R485">
        <v>504</v>
      </c>
      <c r="S485">
        <v>20</v>
      </c>
      <c r="T485">
        <v>20</v>
      </c>
      <c r="W485">
        <f>COUNTIFS('Clinical Trials HCO'!$A:$A, K485, 'Clinical Trials HCO'!$D:$D, "&lt;&gt;")</f>
        <v>0</v>
      </c>
      <c r="AG485" t="s">
        <v>414</v>
      </c>
    </row>
    <row r="486" spans="2:33" hidden="1">
      <c r="F486">
        <f>COUNTIF(HCPs!W:W,HCO_Data!K486)</f>
        <v>0</v>
      </c>
      <c r="G486" t="str">
        <f>IF(COUNTIF('Testing Referrals'!B:B,HCO_Data!K486)&gt;0,"Yes","")</f>
        <v/>
      </c>
      <c r="H486">
        <f>COUNTIF('HCO referrals'!B:B,HCO_Data!K486)+COUNTIF('HCO referrals'!C:C,HCO_Data!K486)</f>
        <v>0</v>
      </c>
      <c r="I486">
        <v>490001765</v>
      </c>
      <c r="K486" t="s">
        <v>10484</v>
      </c>
      <c r="L486" t="s">
        <v>8744</v>
      </c>
      <c r="M486" t="s">
        <v>8745</v>
      </c>
      <c r="O486" t="s">
        <v>8746</v>
      </c>
      <c r="P486" t="s">
        <v>708</v>
      </c>
      <c r="Q486" t="s">
        <v>4283</v>
      </c>
      <c r="R486">
        <v>387</v>
      </c>
      <c r="S486">
        <v>20</v>
      </c>
      <c r="T486">
        <v>20</v>
      </c>
      <c r="W486">
        <f>COUNTIFS('Clinical Trials HCO'!$A:$A, K486, 'Clinical Trials HCO'!$D:$D, "&lt;&gt;")</f>
        <v>0</v>
      </c>
    </row>
    <row r="487" spans="2:33" hidden="1">
      <c r="B487">
        <v>78</v>
      </c>
      <c r="F487">
        <f>COUNTIF(HCPs!W:W,HCO_Data!K487)</f>
        <v>0</v>
      </c>
      <c r="G487" t="str">
        <f>IF(COUNTIF('Testing Referrals'!B:B,HCO_Data!K487)&gt;0,"Yes","")</f>
        <v/>
      </c>
      <c r="H487">
        <f>COUNTIF('HCO referrals'!B:B,HCO_Data!K487)+COUNTIF('HCO referrals'!C:C,HCO_Data!K487)</f>
        <v>0</v>
      </c>
      <c r="I487">
        <v>500000146</v>
      </c>
      <c r="K487" t="s">
        <v>10485</v>
      </c>
      <c r="L487" t="s">
        <v>1602</v>
      </c>
      <c r="M487" t="s">
        <v>2208</v>
      </c>
      <c r="N487">
        <v>50300</v>
      </c>
      <c r="O487" t="s">
        <v>2209</v>
      </c>
      <c r="Q487" t="s">
        <v>4283</v>
      </c>
      <c r="R487">
        <v>379</v>
      </c>
      <c r="S487">
        <v>20</v>
      </c>
      <c r="T487">
        <v>20</v>
      </c>
      <c r="W487">
        <f>COUNTIFS('Clinical Trials HCO'!$A:$A, K487, 'Clinical Trials HCO'!$D:$D, "&lt;&gt;")</f>
        <v>0</v>
      </c>
      <c r="AF487" t="s">
        <v>414</v>
      </c>
    </row>
    <row r="488" spans="2:33" hidden="1">
      <c r="F488">
        <f>COUNTIF(HCPs!W:W,HCO_Data!K488)</f>
        <v>0</v>
      </c>
      <c r="G488" t="str">
        <f>IF(COUNTIF('Testing Referrals'!B:B,HCO_Data!K488)&gt;0,"Yes","")</f>
        <v/>
      </c>
      <c r="H488">
        <f>COUNTIF('HCO referrals'!B:B,HCO_Data!K488)+COUNTIF('HCO referrals'!C:C,HCO_Data!K488)</f>
        <v>0</v>
      </c>
      <c r="I488">
        <v>590001749</v>
      </c>
      <c r="K488" t="s">
        <v>10486</v>
      </c>
      <c r="L488" t="s">
        <v>8962</v>
      </c>
      <c r="M488" t="s">
        <v>8963</v>
      </c>
      <c r="O488" t="s">
        <v>8964</v>
      </c>
      <c r="P488" t="s">
        <v>704</v>
      </c>
      <c r="Q488" t="s">
        <v>4283</v>
      </c>
      <c r="R488">
        <v>604</v>
      </c>
      <c r="S488">
        <v>20</v>
      </c>
      <c r="T488">
        <v>20</v>
      </c>
      <c r="W488">
        <f>COUNTIFS('Clinical Trials HCO'!$A:$A, K488, 'Clinical Trials HCO'!$D:$D, "&lt;&gt;")</f>
        <v>0</v>
      </c>
    </row>
    <row r="489" spans="2:33" hidden="1">
      <c r="B489">
        <v>249</v>
      </c>
      <c r="F489">
        <f>COUNTIF(HCPs!W:W,HCO_Data!K489)</f>
        <v>0</v>
      </c>
      <c r="G489" t="str">
        <f>IF(COUNTIF('Testing Referrals'!B:B,HCO_Data!K489)&gt;0,"Yes","")</f>
        <v/>
      </c>
      <c r="H489">
        <f>COUNTIF('HCO referrals'!B:B,HCO_Data!K489)+COUNTIF('HCO referrals'!C:C,HCO_Data!K489)</f>
        <v>0</v>
      </c>
      <c r="I489">
        <v>590052056</v>
      </c>
      <c r="K489" t="s">
        <v>10487</v>
      </c>
      <c r="L489" t="s">
        <v>659</v>
      </c>
      <c r="M489" t="s">
        <v>2118</v>
      </c>
      <c r="N489">
        <v>59400</v>
      </c>
      <c r="O489" t="s">
        <v>2119</v>
      </c>
      <c r="Q489" t="s">
        <v>4283</v>
      </c>
      <c r="R489">
        <v>454</v>
      </c>
      <c r="S489">
        <v>20</v>
      </c>
      <c r="T489">
        <v>20</v>
      </c>
      <c r="W489">
        <f>COUNTIFS('Clinical Trials HCO'!$A:$A, K489, 'Clinical Trials HCO'!$D:$D, "&lt;&gt;")</f>
        <v>0</v>
      </c>
    </row>
    <row r="490" spans="2:33" hidden="1">
      <c r="F490">
        <f>COUNTIF(HCPs!W:W,HCO_Data!K490)</f>
        <v>0</v>
      </c>
      <c r="G490" t="str">
        <f>IF(COUNTIF('Testing Referrals'!B:B,HCO_Data!K490)&gt;0,"Yes","")</f>
        <v/>
      </c>
      <c r="H490">
        <f>COUNTIF('HCO referrals'!B:B,HCO_Data!K490)+COUNTIF('HCO referrals'!C:C,HCO_Data!K490)</f>
        <v>0</v>
      </c>
      <c r="I490">
        <v>590787586</v>
      </c>
      <c r="K490" t="s">
        <v>10488</v>
      </c>
      <c r="L490" t="s">
        <v>8922</v>
      </c>
      <c r="M490" t="s">
        <v>8923</v>
      </c>
      <c r="O490" t="s">
        <v>8878</v>
      </c>
      <c r="P490" t="s">
        <v>704</v>
      </c>
      <c r="Q490" t="s">
        <v>4283</v>
      </c>
      <c r="R490">
        <v>573</v>
      </c>
      <c r="S490">
        <v>20</v>
      </c>
      <c r="T490">
        <v>20</v>
      </c>
      <c r="W490">
        <f>COUNTIFS('Clinical Trials HCO'!$A:$A, K490, 'Clinical Trials HCO'!$D:$D, "&lt;&gt;")</f>
        <v>0</v>
      </c>
    </row>
    <row r="491" spans="2:33" hidden="1">
      <c r="F491">
        <f>COUNTIF(HCPs!W:W,HCO_Data!K491)</f>
        <v>0</v>
      </c>
      <c r="G491" t="str">
        <f>IF(COUNTIF('Testing Referrals'!B:B,HCO_Data!K491)&gt;0,"Yes","")</f>
        <v/>
      </c>
      <c r="H491">
        <f>COUNTIF('HCO referrals'!B:B,HCO_Data!K491)+COUNTIF('HCO referrals'!C:C,HCO_Data!K491)</f>
        <v>0</v>
      </c>
      <c r="I491">
        <v>630000412</v>
      </c>
      <c r="K491" t="s">
        <v>10489</v>
      </c>
      <c r="L491" t="s">
        <v>8717</v>
      </c>
      <c r="M491" t="s">
        <v>8718</v>
      </c>
      <c r="O491" t="s">
        <v>8719</v>
      </c>
      <c r="P491" t="s">
        <v>735</v>
      </c>
      <c r="Q491" t="s">
        <v>4283</v>
      </c>
      <c r="R491">
        <v>324</v>
      </c>
      <c r="S491">
        <v>20</v>
      </c>
      <c r="T491">
        <v>20</v>
      </c>
      <c r="W491">
        <f>COUNTIFS('Clinical Trials HCO'!$A:$A, K491, 'Clinical Trials HCO'!$D:$D, "&lt;&gt;")</f>
        <v>0</v>
      </c>
    </row>
    <row r="492" spans="2:33" hidden="1">
      <c r="B492">
        <v>378</v>
      </c>
      <c r="F492">
        <f>COUNTIF(HCPs!W:W,HCO_Data!K492)</f>
        <v>0</v>
      </c>
      <c r="G492" t="str">
        <f>IF(COUNTIF('Testing Referrals'!B:B,HCO_Data!K492)&gt;0,"Yes","")</f>
        <v/>
      </c>
      <c r="H492">
        <f>COUNTIF('HCO referrals'!B:B,HCO_Data!K492)+COUNTIF('HCO referrals'!C:C,HCO_Data!K492)</f>
        <v>0</v>
      </c>
      <c r="I492">
        <v>630000420</v>
      </c>
      <c r="K492" t="s">
        <v>10490</v>
      </c>
      <c r="L492" t="s">
        <v>2403</v>
      </c>
      <c r="M492" t="s">
        <v>2701</v>
      </c>
      <c r="N492">
        <v>63503</v>
      </c>
      <c r="O492" t="s">
        <v>2702</v>
      </c>
      <c r="Q492" t="s">
        <v>4283</v>
      </c>
      <c r="R492">
        <v>594</v>
      </c>
      <c r="S492">
        <v>20</v>
      </c>
      <c r="T492">
        <v>20</v>
      </c>
      <c r="W492">
        <f>COUNTIFS('Clinical Trials HCO'!$A:$A, K492, 'Clinical Trials HCO'!$D:$D, "&lt;&gt;")</f>
        <v>0</v>
      </c>
      <c r="AG492" t="s">
        <v>414</v>
      </c>
    </row>
    <row r="493" spans="2:33" hidden="1">
      <c r="B493">
        <v>699</v>
      </c>
      <c r="F493">
        <f>COUNTIF(HCPs!W:W,HCO_Data!K493)</f>
        <v>0</v>
      </c>
      <c r="G493" t="str">
        <f>IF(COUNTIF('Testing Referrals'!B:B,HCO_Data!K493)&gt;0,"Yes","")</f>
        <v/>
      </c>
      <c r="H493">
        <f>COUNTIF('HCO referrals'!B:B,HCO_Data!K493)+COUNTIF('HCO referrals'!C:C,HCO_Data!K493)</f>
        <v>0</v>
      </c>
      <c r="I493">
        <v>670780378</v>
      </c>
      <c r="K493" t="s">
        <v>10491</v>
      </c>
      <c r="L493" t="s">
        <v>2811</v>
      </c>
      <c r="M493" t="s">
        <v>2812</v>
      </c>
      <c r="N493">
        <v>67502</v>
      </c>
      <c r="O493" t="s">
        <v>1721</v>
      </c>
      <c r="Q493" t="s">
        <v>4283</v>
      </c>
      <c r="R493">
        <v>426</v>
      </c>
      <c r="S493">
        <v>20</v>
      </c>
      <c r="T493">
        <v>20</v>
      </c>
      <c r="W493">
        <f>COUNTIFS('Clinical Trials HCO'!$A:$A, K493, 'Clinical Trials HCO'!$D:$D, "&lt;&gt;")</f>
        <v>0</v>
      </c>
      <c r="AG493" t="s">
        <v>414</v>
      </c>
    </row>
    <row r="494" spans="2:33" hidden="1">
      <c r="B494">
        <v>720</v>
      </c>
      <c r="F494">
        <f>COUNTIF(HCPs!W:W,HCO_Data!K494)</f>
        <v>0</v>
      </c>
      <c r="G494" t="str">
        <f>IF(COUNTIF('Testing Referrals'!B:B,HCO_Data!K494)&gt;0,"Yes","")</f>
        <v/>
      </c>
      <c r="H494">
        <f>COUNTIF('HCO referrals'!B:B,HCO_Data!K494)+COUNTIF('HCO referrals'!C:C,HCO_Data!K494)</f>
        <v>0</v>
      </c>
      <c r="I494">
        <v>800009920</v>
      </c>
      <c r="K494" t="s">
        <v>10492</v>
      </c>
      <c r="L494" t="s">
        <v>2502</v>
      </c>
      <c r="M494" t="s">
        <v>2819</v>
      </c>
      <c r="N494">
        <v>80094</v>
      </c>
      <c r="O494" t="s">
        <v>840</v>
      </c>
      <c r="Q494" t="s">
        <v>4283</v>
      </c>
      <c r="R494">
        <v>599</v>
      </c>
      <c r="S494">
        <v>20</v>
      </c>
      <c r="T494">
        <v>20</v>
      </c>
      <c r="W494">
        <f>COUNTIFS('Clinical Trials HCO'!$A:$A, K494, 'Clinical Trials HCO'!$D:$D, "&lt;&gt;")</f>
        <v>0</v>
      </c>
      <c r="AG494" t="s">
        <v>414</v>
      </c>
    </row>
    <row r="495" spans="2:33" hidden="1">
      <c r="F495">
        <f>COUNTIF(HCPs!W:W,HCO_Data!K495)</f>
        <v>0</v>
      </c>
      <c r="G495" t="str">
        <f>IF(COUNTIF('Testing Referrals'!B:B,HCO_Data!K495)&gt;0,"Yes","")</f>
        <v/>
      </c>
      <c r="H495">
        <f>COUNTIF('HCO referrals'!B:B,HCO_Data!K495)+COUNTIF('HCO referrals'!C:C,HCO_Data!K495)</f>
        <v>0</v>
      </c>
      <c r="I495">
        <v>840000418</v>
      </c>
      <c r="K495" t="s">
        <v>10493</v>
      </c>
      <c r="L495" t="s">
        <v>8762</v>
      </c>
      <c r="M495" t="s">
        <v>8763</v>
      </c>
      <c r="O495" t="s">
        <v>8764</v>
      </c>
      <c r="P495" t="s">
        <v>760</v>
      </c>
      <c r="Q495" t="s">
        <v>4283</v>
      </c>
      <c r="R495">
        <v>405</v>
      </c>
      <c r="S495">
        <v>20</v>
      </c>
      <c r="T495">
        <v>20</v>
      </c>
      <c r="W495">
        <f>COUNTIFS('Clinical Trials HCO'!$A:$A, K495, 'Clinical Trials HCO'!$D:$D, "&lt;&gt;")</f>
        <v>0</v>
      </c>
    </row>
    <row r="496" spans="2:33" hidden="1">
      <c r="B496">
        <v>659</v>
      </c>
      <c r="F496">
        <f>COUNTIF(HCPs!W:W,HCO_Data!K496)</f>
        <v>1</v>
      </c>
      <c r="G496" t="str">
        <f>IF(COUNTIF('Testing Referrals'!B:B,HCO_Data!K496)&gt;0,"Yes","")</f>
        <v/>
      </c>
      <c r="H496">
        <f>COUNTIF('HCO referrals'!B:B,HCO_Data!K496)+COUNTIF('HCO referrals'!C:C,HCO_Data!K496)</f>
        <v>0</v>
      </c>
      <c r="I496">
        <v>570000646</v>
      </c>
      <c r="K496" t="s">
        <v>3807</v>
      </c>
      <c r="L496" t="s">
        <v>7977</v>
      </c>
      <c r="M496" t="s">
        <v>2270</v>
      </c>
      <c r="N496">
        <v>57000</v>
      </c>
      <c r="O496" t="s">
        <v>2271</v>
      </c>
      <c r="Q496" t="s">
        <v>4283</v>
      </c>
      <c r="R496">
        <v>232</v>
      </c>
      <c r="S496">
        <v>19</v>
      </c>
      <c r="T496">
        <v>19</v>
      </c>
      <c r="W496">
        <f>COUNTIFS('Clinical Trials HCO'!$A:$A, K496, 'Clinical Trials HCO'!$D:$D, "&lt;&gt;")</f>
        <v>0</v>
      </c>
      <c r="AF496" t="s">
        <v>414</v>
      </c>
      <c r="AG496" t="s">
        <v>414</v>
      </c>
    </row>
    <row r="497" spans="2:33" hidden="1">
      <c r="B497">
        <v>502</v>
      </c>
      <c r="F497">
        <f>COUNTIF(HCPs!W:W,HCO_Data!K497)</f>
        <v>0</v>
      </c>
      <c r="G497" t="str">
        <f>IF(COUNTIF('Testing Referrals'!B:B,HCO_Data!K497)&gt;0,"Yes","")</f>
        <v/>
      </c>
      <c r="H497">
        <f>COUNTIF('HCO referrals'!B:B,HCO_Data!K497)+COUNTIF('HCO referrals'!C:C,HCO_Data!K497)</f>
        <v>0</v>
      </c>
      <c r="I497">
        <v>230000820</v>
      </c>
      <c r="K497" t="s">
        <v>10494</v>
      </c>
      <c r="L497" t="s">
        <v>2383</v>
      </c>
      <c r="M497" t="s">
        <v>2658</v>
      </c>
      <c r="N497">
        <v>23011</v>
      </c>
      <c r="O497" t="s">
        <v>2659</v>
      </c>
      <c r="Q497" t="s">
        <v>4283</v>
      </c>
      <c r="R497">
        <v>491</v>
      </c>
      <c r="S497">
        <v>19</v>
      </c>
      <c r="T497">
        <v>19</v>
      </c>
      <c r="W497">
        <f>COUNTIFS('Clinical Trials HCO'!$A:$A, K497, 'Clinical Trials HCO'!$D:$D, "&lt;&gt;")</f>
        <v>0</v>
      </c>
      <c r="AF497" t="s">
        <v>414</v>
      </c>
      <c r="AG497" t="s">
        <v>414</v>
      </c>
    </row>
    <row r="498" spans="2:33" hidden="1">
      <c r="F498">
        <f>COUNTIF(HCPs!W:W,HCO_Data!K498)</f>
        <v>0</v>
      </c>
      <c r="G498" t="str">
        <f>IF(COUNTIF('Testing Referrals'!B:B,HCO_Data!K498)&gt;0,"Yes","")</f>
        <v/>
      </c>
      <c r="H498">
        <f>COUNTIF('HCO referrals'!B:B,HCO_Data!K498)+COUNTIF('HCO referrals'!C:C,HCO_Data!K498)</f>
        <v>0</v>
      </c>
      <c r="I498">
        <v>590000535</v>
      </c>
      <c r="K498" t="s">
        <v>10495</v>
      </c>
      <c r="L498" t="s">
        <v>8935</v>
      </c>
      <c r="M498" t="s">
        <v>8936</v>
      </c>
      <c r="O498" t="s">
        <v>8937</v>
      </c>
      <c r="P498" t="s">
        <v>704</v>
      </c>
      <c r="Q498" t="s">
        <v>4283</v>
      </c>
      <c r="R498">
        <v>581</v>
      </c>
      <c r="S498">
        <v>19</v>
      </c>
      <c r="T498">
        <v>19</v>
      </c>
      <c r="W498">
        <f>COUNTIFS('Clinical Trials HCO'!$A:$A, K498, 'Clinical Trials HCO'!$D:$D, "&lt;&gt;")</f>
        <v>0</v>
      </c>
    </row>
    <row r="499" spans="2:33" hidden="1">
      <c r="B499">
        <v>367</v>
      </c>
      <c r="F499">
        <f>COUNTIF(HCPs!W:W,HCO_Data!K499)</f>
        <v>0</v>
      </c>
      <c r="G499" t="str">
        <f>IF(COUNTIF('Testing Referrals'!B:B,HCO_Data!K499)&gt;0,"Yes","")</f>
        <v/>
      </c>
      <c r="H499">
        <f>COUNTIF('HCO referrals'!B:B,HCO_Data!K499)+COUNTIF('HCO referrals'!C:C,HCO_Data!K499)</f>
        <v>0</v>
      </c>
      <c r="I499">
        <v>590000774</v>
      </c>
      <c r="K499" t="s">
        <v>10496</v>
      </c>
      <c r="L499" t="s">
        <v>1414</v>
      </c>
      <c r="M499" t="s">
        <v>1869</v>
      </c>
      <c r="N499">
        <v>59524</v>
      </c>
      <c r="O499" t="s">
        <v>1870</v>
      </c>
      <c r="Q499" t="s">
        <v>4283</v>
      </c>
      <c r="R499">
        <v>354</v>
      </c>
      <c r="S499">
        <v>19</v>
      </c>
      <c r="T499">
        <v>19</v>
      </c>
      <c r="W499">
        <f>COUNTIFS('Clinical Trials HCO'!$A:$A, K499, 'Clinical Trials HCO'!$D:$D, "&lt;&gt;")</f>
        <v>0</v>
      </c>
      <c r="AG499" t="s">
        <v>414</v>
      </c>
    </row>
    <row r="500" spans="2:33" hidden="1">
      <c r="F500">
        <f>COUNTIF(HCPs!W:W,HCO_Data!K500)</f>
        <v>0</v>
      </c>
      <c r="G500" t="str">
        <f>IF(COUNTIF('Testing Referrals'!B:B,HCO_Data!K500)&gt;0,"Yes","")</f>
        <v/>
      </c>
      <c r="H500">
        <f>COUNTIF('HCO referrals'!B:B,HCO_Data!K500)+COUNTIF('HCO referrals'!C:C,HCO_Data!K500)</f>
        <v>0</v>
      </c>
      <c r="I500">
        <v>760000364</v>
      </c>
      <c r="K500" t="s">
        <v>10497</v>
      </c>
      <c r="L500" t="s">
        <v>8726</v>
      </c>
      <c r="M500" t="s">
        <v>8727</v>
      </c>
      <c r="O500" t="s">
        <v>8728</v>
      </c>
      <c r="P500" t="s">
        <v>719</v>
      </c>
      <c r="Q500" t="s">
        <v>4283</v>
      </c>
      <c r="R500">
        <v>345</v>
      </c>
      <c r="S500">
        <v>19</v>
      </c>
      <c r="T500">
        <v>19</v>
      </c>
      <c r="W500">
        <f>COUNTIFS('Clinical Trials HCO'!$A:$A, K500, 'Clinical Trials HCO'!$D:$D, "&lt;&gt;")</f>
        <v>0</v>
      </c>
      <c r="AF500" t="s">
        <v>414</v>
      </c>
    </row>
    <row r="501" spans="2:33" hidden="1">
      <c r="B501">
        <v>689</v>
      </c>
      <c r="F501">
        <f>COUNTIF(HCPs!W:W,HCO_Data!K501)</f>
        <v>0</v>
      </c>
      <c r="G501" t="str">
        <f>IF(COUNTIF('Testing Referrals'!B:B,HCO_Data!K501)&gt;0,"Yes","")</f>
        <v/>
      </c>
      <c r="H501">
        <f>COUNTIF('HCO referrals'!B:B,HCO_Data!K501)+COUNTIF('HCO referrals'!C:C,HCO_Data!K501)</f>
        <v>0</v>
      </c>
      <c r="I501">
        <v>770300010</v>
      </c>
      <c r="K501" t="s">
        <v>10498</v>
      </c>
      <c r="L501" t="s">
        <v>1605</v>
      </c>
      <c r="M501" t="s">
        <v>2214</v>
      </c>
      <c r="N501">
        <v>77177</v>
      </c>
      <c r="O501" t="s">
        <v>2215</v>
      </c>
      <c r="Q501" t="s">
        <v>4283</v>
      </c>
      <c r="R501">
        <v>433</v>
      </c>
      <c r="S501">
        <v>19</v>
      </c>
      <c r="T501">
        <v>19</v>
      </c>
      <c r="W501">
        <f>COUNTIFS('Clinical Trials HCO'!$A:$A, K501, 'Clinical Trials HCO'!$D:$D, "&lt;&gt;")</f>
        <v>0</v>
      </c>
      <c r="AF501" t="s">
        <v>414</v>
      </c>
      <c r="AG501" t="s">
        <v>414</v>
      </c>
    </row>
    <row r="502" spans="2:33" hidden="1">
      <c r="B502">
        <v>633</v>
      </c>
      <c r="F502">
        <f>COUNTIF(HCPs!W:W,HCO_Data!K502)</f>
        <v>0</v>
      </c>
      <c r="G502" t="str">
        <f>IF(COUNTIF('Testing Referrals'!B:B,HCO_Data!K502)&gt;0,"Yes","")</f>
        <v/>
      </c>
      <c r="H502">
        <f>COUNTIF('HCO referrals'!B:B,HCO_Data!K502)+COUNTIF('HCO referrals'!C:C,HCO_Data!K502)</f>
        <v>0</v>
      </c>
      <c r="I502">
        <v>860010321</v>
      </c>
      <c r="K502" t="s">
        <v>10499</v>
      </c>
      <c r="L502" t="s">
        <v>2616</v>
      </c>
      <c r="M502" t="s">
        <v>2901</v>
      </c>
      <c r="N502">
        <v>86035</v>
      </c>
      <c r="O502" t="s">
        <v>888</v>
      </c>
      <c r="Q502" t="s">
        <v>4283</v>
      </c>
      <c r="R502">
        <v>601</v>
      </c>
      <c r="S502">
        <v>19</v>
      </c>
      <c r="T502">
        <v>19</v>
      </c>
      <c r="W502">
        <f>COUNTIFS('Clinical Trials HCO'!$A:$A, K502, 'Clinical Trials HCO'!$D:$D, "&lt;&gt;")</f>
        <v>0</v>
      </c>
      <c r="AG502" t="s">
        <v>414</v>
      </c>
    </row>
    <row r="503" spans="2:33" hidden="1">
      <c r="B503">
        <v>347</v>
      </c>
      <c r="F503">
        <f>COUNTIF(HCPs!W:W,HCO_Data!K503)</f>
        <v>0</v>
      </c>
      <c r="G503" t="str">
        <f>IF(COUNTIF('Testing Referrals'!B:B,HCO_Data!K503)&gt;0,"Yes","")</f>
        <v/>
      </c>
      <c r="H503">
        <f>COUNTIF('HCO referrals'!B:B,HCO_Data!K503)+COUNTIF('HCO referrals'!C:C,HCO_Data!K503)</f>
        <v>0</v>
      </c>
      <c r="I503">
        <v>910150028</v>
      </c>
      <c r="K503" t="s">
        <v>10500</v>
      </c>
      <c r="L503" t="s">
        <v>1342</v>
      </c>
      <c r="M503" t="s">
        <v>1716</v>
      </c>
      <c r="N503">
        <v>91640</v>
      </c>
      <c r="O503" t="s">
        <v>1717</v>
      </c>
      <c r="Q503" t="s">
        <v>4283</v>
      </c>
      <c r="R503">
        <v>332</v>
      </c>
      <c r="S503">
        <v>19</v>
      </c>
      <c r="T503">
        <v>19</v>
      </c>
      <c r="W503">
        <f>COUNTIFS('Clinical Trials HCO'!$A:$A, K503, 'Clinical Trials HCO'!$D:$D, "&lt;&gt;")</f>
        <v>0</v>
      </c>
      <c r="AF503" t="s">
        <v>414</v>
      </c>
      <c r="AG503" t="s">
        <v>414</v>
      </c>
    </row>
    <row r="504" spans="2:33" hidden="1">
      <c r="B504">
        <v>618</v>
      </c>
      <c r="F504">
        <f>COUNTIF(HCPs!W:W,HCO_Data!K504)</f>
        <v>0</v>
      </c>
      <c r="G504" t="str">
        <f>IF(COUNTIF('Testing Referrals'!B:B,HCO_Data!K504)&gt;0,"Yes","")</f>
        <v/>
      </c>
      <c r="H504">
        <f>COUNTIF('HCO referrals'!B:B,HCO_Data!K504)+COUNTIF('HCO referrals'!C:C,HCO_Data!K504)</f>
        <v>0</v>
      </c>
      <c r="I504">
        <v>920008539</v>
      </c>
      <c r="K504" t="s">
        <v>10501</v>
      </c>
      <c r="L504" t="s">
        <v>1557</v>
      </c>
      <c r="M504" t="s">
        <v>2146</v>
      </c>
      <c r="N504">
        <v>92202</v>
      </c>
      <c r="O504" t="s">
        <v>1763</v>
      </c>
      <c r="Q504" t="s">
        <v>4283</v>
      </c>
      <c r="R504">
        <v>369</v>
      </c>
      <c r="S504">
        <v>19</v>
      </c>
      <c r="T504">
        <v>19</v>
      </c>
      <c r="W504">
        <f>COUNTIFS('Clinical Trials HCO'!$A:$A, K504, 'Clinical Trials HCO'!$D:$D, "&lt;&gt;")</f>
        <v>0</v>
      </c>
      <c r="AF504" t="s">
        <v>414</v>
      </c>
    </row>
    <row r="505" spans="2:33" hidden="1">
      <c r="F505">
        <f>COUNTIF(HCPs!W:W,HCO_Data!K505)</f>
        <v>0</v>
      </c>
      <c r="G505" t="str">
        <f>IF(COUNTIF('Testing Referrals'!B:B,HCO_Data!K505)&gt;0,"Yes","")</f>
        <v/>
      </c>
      <c r="H505">
        <f>COUNTIF('HCO referrals'!B:B,HCO_Data!K505)+COUNTIF('HCO referrals'!C:C,HCO_Data!K505)</f>
        <v>0</v>
      </c>
      <c r="I505">
        <v>920300266</v>
      </c>
      <c r="K505" t="s">
        <v>10502</v>
      </c>
      <c r="L505" t="s">
        <v>8902</v>
      </c>
      <c r="M505" t="s">
        <v>8903</v>
      </c>
      <c r="O505" t="s">
        <v>2297</v>
      </c>
      <c r="P505" t="s">
        <v>722</v>
      </c>
      <c r="Q505" t="s">
        <v>4283</v>
      </c>
      <c r="R505">
        <v>547</v>
      </c>
      <c r="S505">
        <v>19</v>
      </c>
      <c r="T505">
        <v>19</v>
      </c>
      <c r="W505">
        <f>COUNTIFS('Clinical Trials HCO'!$A:$A, K505, 'Clinical Trials HCO'!$D:$D, "&lt;&gt;")</f>
        <v>0</v>
      </c>
    </row>
    <row r="506" spans="2:33" hidden="1">
      <c r="B506">
        <v>42</v>
      </c>
      <c r="C506" t="s">
        <v>8523</v>
      </c>
      <c r="D506" t="s">
        <v>1329</v>
      </c>
      <c r="F506">
        <f>COUNTIF(HCPs!W:W,HCO_Data!K506)</f>
        <v>1</v>
      </c>
      <c r="G506" t="str">
        <f>IF(COUNTIF('Testing Referrals'!B:B,HCO_Data!K506)&gt;0,"Yes","")</f>
        <v/>
      </c>
      <c r="H506">
        <f>COUNTIF('HCO referrals'!B:B,HCO_Data!K506)+COUNTIF('HCO referrals'!C:C,HCO_Data!K506)</f>
        <v>4</v>
      </c>
      <c r="I506">
        <v>760000166</v>
      </c>
      <c r="K506" t="s">
        <v>3791</v>
      </c>
      <c r="L506" s="12" t="s">
        <v>1290</v>
      </c>
      <c r="M506" s="12" t="s">
        <v>2941</v>
      </c>
      <c r="N506">
        <v>76038</v>
      </c>
      <c r="O506" t="s">
        <v>2959</v>
      </c>
      <c r="P506" s="12" t="s">
        <v>1298</v>
      </c>
      <c r="Q506" t="s">
        <v>4283</v>
      </c>
      <c r="R506">
        <v>286</v>
      </c>
      <c r="S506">
        <v>18</v>
      </c>
      <c r="T506">
        <v>18</v>
      </c>
      <c r="W506">
        <f>COUNTIFS('Clinical Trials HCO'!$A:$A, K506, 'Clinical Trials HCO'!$D:$D, "&lt;&gt;")</f>
        <v>0</v>
      </c>
      <c r="AF506" t="s">
        <v>414</v>
      </c>
      <c r="AG506" t="s">
        <v>414</v>
      </c>
    </row>
    <row r="507" spans="2:33" hidden="1">
      <c r="B507">
        <v>629</v>
      </c>
      <c r="C507" t="s">
        <v>8551</v>
      </c>
      <c r="F507">
        <f>COUNTIF(HCPs!W:W,HCO_Data!K507)</f>
        <v>1</v>
      </c>
      <c r="G507" t="str">
        <f>IF(COUNTIF('Testing Referrals'!B:B,HCO_Data!K507)&gt;0,"Yes","")</f>
        <v/>
      </c>
      <c r="H507">
        <f>COUNTIF('HCO referrals'!B:B,HCO_Data!K507)+COUNTIF('HCO referrals'!C:C,HCO_Data!K507)</f>
        <v>0</v>
      </c>
      <c r="I507">
        <v>290019777</v>
      </c>
      <c r="K507" t="s">
        <v>8555</v>
      </c>
      <c r="L507" t="s">
        <v>8554</v>
      </c>
      <c r="M507" t="s">
        <v>2889</v>
      </c>
      <c r="N507">
        <v>29220</v>
      </c>
      <c r="O507" t="s">
        <v>862</v>
      </c>
      <c r="Q507" t="s">
        <v>4283</v>
      </c>
      <c r="R507">
        <v>588</v>
      </c>
      <c r="S507">
        <v>18</v>
      </c>
      <c r="T507">
        <v>18</v>
      </c>
      <c r="W507">
        <f>COUNTIFS('Clinical Trials HCO'!$A:$A, K507, 'Clinical Trials HCO'!$D:$D, "&lt;&gt;")</f>
        <v>0</v>
      </c>
      <c r="AG507" t="s">
        <v>414</v>
      </c>
    </row>
    <row r="508" spans="2:33" hidden="1">
      <c r="F508">
        <f>COUNTIF(HCPs!W:W,HCO_Data!K508)</f>
        <v>0</v>
      </c>
      <c r="G508" t="str">
        <f>IF(COUNTIF('Testing Referrals'!B:B,HCO_Data!K508)&gt;0,"Yes","")</f>
        <v/>
      </c>
      <c r="H508">
        <f>COUNTIF('HCO referrals'!B:B,HCO_Data!K508)+COUNTIF('HCO referrals'!C:C,HCO_Data!K508)</f>
        <v>0</v>
      </c>
      <c r="I508">
        <v>50000231</v>
      </c>
      <c r="K508" t="s">
        <v>10503</v>
      </c>
      <c r="L508" t="s">
        <v>8784</v>
      </c>
      <c r="M508" t="s">
        <v>8785</v>
      </c>
      <c r="O508" t="s">
        <v>8786</v>
      </c>
      <c r="P508" t="s">
        <v>792</v>
      </c>
      <c r="Q508" t="s">
        <v>4283</v>
      </c>
      <c r="R508">
        <v>428</v>
      </c>
      <c r="S508">
        <v>18</v>
      </c>
      <c r="T508">
        <v>18</v>
      </c>
      <c r="W508">
        <f>COUNTIFS('Clinical Trials HCO'!$A:$A, K508, 'Clinical Trials HCO'!$D:$D, "&lt;&gt;")</f>
        <v>0</v>
      </c>
    </row>
    <row r="509" spans="2:33" hidden="1">
      <c r="F509">
        <f>COUNTIF(HCPs!W:W,HCO_Data!K509)</f>
        <v>0</v>
      </c>
      <c r="G509" t="str">
        <f>IF(COUNTIF('Testing Referrals'!B:B,HCO_Data!K509)&gt;0,"Yes","")</f>
        <v/>
      </c>
      <c r="H509">
        <f>COUNTIF('HCO referrals'!B:B,HCO_Data!K509)+COUNTIF('HCO referrals'!C:C,HCO_Data!K509)</f>
        <v>0</v>
      </c>
      <c r="I509">
        <v>60780723</v>
      </c>
      <c r="K509" t="s">
        <v>10504</v>
      </c>
      <c r="L509" t="s">
        <v>8759</v>
      </c>
      <c r="M509" t="s">
        <v>8760</v>
      </c>
      <c r="O509" t="s">
        <v>8761</v>
      </c>
      <c r="P509" t="s">
        <v>714</v>
      </c>
      <c r="Q509" t="s">
        <v>4283</v>
      </c>
      <c r="R509">
        <v>397</v>
      </c>
      <c r="S509">
        <v>18</v>
      </c>
      <c r="T509">
        <v>18</v>
      </c>
      <c r="W509">
        <f>COUNTIFS('Clinical Trials HCO'!$A:$A, K509, 'Clinical Trials HCO'!$D:$D, "&lt;&gt;")</f>
        <v>0</v>
      </c>
    </row>
    <row r="510" spans="2:33" hidden="1">
      <c r="F510">
        <f>COUNTIF(HCPs!W:W,HCO_Data!K510)</f>
        <v>0</v>
      </c>
      <c r="G510" t="str">
        <f>IF(COUNTIF('Testing Referrals'!B:B,HCO_Data!K510)&gt;0,"Yes","")</f>
        <v/>
      </c>
      <c r="H510">
        <f>COUNTIF('HCO referrals'!B:B,HCO_Data!K510)+COUNTIF('HCO referrals'!C:C,HCO_Data!K510)</f>
        <v>0</v>
      </c>
      <c r="I510">
        <v>60788957</v>
      </c>
      <c r="K510" t="s">
        <v>10505</v>
      </c>
      <c r="L510" t="s">
        <v>8982</v>
      </c>
      <c r="M510" t="s">
        <v>8983</v>
      </c>
      <c r="O510" t="s">
        <v>8761</v>
      </c>
      <c r="P510" t="s">
        <v>714</v>
      </c>
      <c r="Q510" t="s">
        <v>4283</v>
      </c>
      <c r="R510">
        <v>618</v>
      </c>
      <c r="S510">
        <v>18</v>
      </c>
      <c r="T510">
        <v>18</v>
      </c>
      <c r="W510">
        <f>COUNTIFS('Clinical Trials HCO'!$A:$A, K510, 'Clinical Trials HCO'!$D:$D, "&lt;&gt;")</f>
        <v>0</v>
      </c>
    </row>
    <row r="511" spans="2:33" hidden="1">
      <c r="B511">
        <v>556</v>
      </c>
      <c r="F511">
        <f>COUNTIF(HCPs!W:W,HCO_Data!K511)</f>
        <v>0</v>
      </c>
      <c r="G511" t="str">
        <f>IF(COUNTIF('Testing Referrals'!B:B,HCO_Data!K511)&gt;0,"Yes","")</f>
        <v/>
      </c>
      <c r="H511">
        <f>COUNTIF('HCO referrals'!B:B,HCO_Data!K511)+COUNTIF('HCO referrals'!C:C,HCO_Data!K511)</f>
        <v>0</v>
      </c>
      <c r="I511">
        <v>160015368</v>
      </c>
      <c r="K511" t="s">
        <v>10506</v>
      </c>
      <c r="L511" t="s">
        <v>1640</v>
      </c>
      <c r="M511" t="s">
        <v>2274</v>
      </c>
      <c r="N511">
        <v>16112</v>
      </c>
      <c r="O511" t="s">
        <v>2275</v>
      </c>
      <c r="Q511" t="s">
        <v>4283</v>
      </c>
      <c r="R511">
        <v>447</v>
      </c>
      <c r="S511">
        <v>18</v>
      </c>
      <c r="T511">
        <v>18</v>
      </c>
      <c r="W511">
        <f>COUNTIFS('Clinical Trials HCO'!$A:$A, K511, 'Clinical Trials HCO'!$D:$D, "&lt;&gt;")</f>
        <v>0</v>
      </c>
      <c r="AF511" t="s">
        <v>414</v>
      </c>
      <c r="AG511" t="s">
        <v>414</v>
      </c>
    </row>
    <row r="512" spans="2:33" hidden="1">
      <c r="F512">
        <f>COUNTIF(HCPs!W:W,HCO_Data!K512)</f>
        <v>0</v>
      </c>
      <c r="G512" t="str">
        <f>IF(COUNTIF('Testing Referrals'!B:B,HCO_Data!K512)&gt;0,"Yes","")</f>
        <v/>
      </c>
      <c r="H512">
        <f>COUNTIF('HCO referrals'!B:B,HCO_Data!K512)+COUNTIF('HCO referrals'!C:C,HCO_Data!K512)</f>
        <v>0</v>
      </c>
      <c r="I512">
        <v>330780511</v>
      </c>
      <c r="K512" t="s">
        <v>10507</v>
      </c>
      <c r="L512" t="s">
        <v>8723</v>
      </c>
      <c r="M512" t="s">
        <v>8724</v>
      </c>
      <c r="O512" t="s">
        <v>8725</v>
      </c>
      <c r="P512" t="s">
        <v>716</v>
      </c>
      <c r="Q512" t="s">
        <v>4283</v>
      </c>
      <c r="R512">
        <v>343</v>
      </c>
      <c r="S512">
        <v>18</v>
      </c>
      <c r="T512">
        <v>18</v>
      </c>
      <c r="W512">
        <f>COUNTIFS('Clinical Trials HCO'!$A:$A, K512, 'Clinical Trials HCO'!$D:$D, "&lt;&gt;")</f>
        <v>0</v>
      </c>
    </row>
    <row r="513" spans="2:33" hidden="1">
      <c r="B513">
        <v>323</v>
      </c>
      <c r="F513">
        <f>COUNTIF(HCPs!W:W,HCO_Data!K513)</f>
        <v>0</v>
      </c>
      <c r="G513" t="str">
        <f>IF(COUNTIF('Testing Referrals'!B:B,HCO_Data!K513)&gt;0,"Yes","")</f>
        <v/>
      </c>
      <c r="H513">
        <f>COUNTIF('HCO referrals'!B:B,HCO_Data!K513)+COUNTIF('HCO referrals'!C:C,HCO_Data!K513)</f>
        <v>0</v>
      </c>
      <c r="I513">
        <v>590788964</v>
      </c>
      <c r="K513" t="s">
        <v>10508</v>
      </c>
      <c r="L513" t="s">
        <v>1690</v>
      </c>
      <c r="M513" t="s">
        <v>2368</v>
      </c>
      <c r="N513">
        <v>59600</v>
      </c>
      <c r="O513" t="s">
        <v>2369</v>
      </c>
      <c r="Q513" t="s">
        <v>4283</v>
      </c>
      <c r="R513">
        <v>371</v>
      </c>
      <c r="S513">
        <v>18</v>
      </c>
      <c r="T513">
        <v>18</v>
      </c>
      <c r="W513">
        <f>COUNTIFS('Clinical Trials HCO'!$A:$A, K513, 'Clinical Trials HCO'!$D:$D, "&lt;&gt;")</f>
        <v>0</v>
      </c>
      <c r="AF513" t="s">
        <v>414</v>
      </c>
      <c r="AG513" t="s">
        <v>414</v>
      </c>
    </row>
    <row r="514" spans="2:33" hidden="1">
      <c r="B514">
        <v>401</v>
      </c>
      <c r="F514">
        <f>COUNTIF(HCPs!W:W,HCO_Data!K514)</f>
        <v>0</v>
      </c>
      <c r="G514" t="str">
        <f>IF(COUNTIF('Testing Referrals'!B:B,HCO_Data!K514)&gt;0,"Yes","")</f>
        <v/>
      </c>
      <c r="H514">
        <f>COUNTIF('HCO referrals'!B:B,HCO_Data!K514)+COUNTIF('HCO referrals'!C:C,HCO_Data!K514)</f>
        <v>0</v>
      </c>
      <c r="I514">
        <v>730000098</v>
      </c>
      <c r="K514" t="s">
        <v>10509</v>
      </c>
      <c r="L514" t="s">
        <v>1465</v>
      </c>
      <c r="M514" t="s">
        <v>1979</v>
      </c>
      <c r="N514">
        <v>73106</v>
      </c>
      <c r="O514" t="s">
        <v>1980</v>
      </c>
      <c r="Q514" t="s">
        <v>4283</v>
      </c>
      <c r="R514">
        <v>421</v>
      </c>
      <c r="S514">
        <v>18</v>
      </c>
      <c r="T514">
        <v>18</v>
      </c>
      <c r="W514">
        <f>COUNTIFS('Clinical Trials HCO'!$A:$A, K514, 'Clinical Trials HCO'!$D:$D, "&lt;&gt;")</f>
        <v>0</v>
      </c>
      <c r="AF514" t="s">
        <v>414</v>
      </c>
      <c r="AG514" t="s">
        <v>414</v>
      </c>
    </row>
    <row r="515" spans="2:33" hidden="1">
      <c r="F515">
        <f>COUNTIF(HCPs!W:W,HCO_Data!K515)</f>
        <v>0</v>
      </c>
      <c r="G515" t="str">
        <f>IF(COUNTIF('Testing Referrals'!B:B,HCO_Data!K515)&gt;0,"Yes","")</f>
        <v/>
      </c>
      <c r="H515">
        <f>COUNTIF('HCO referrals'!B:B,HCO_Data!K515)+COUNTIF('HCO referrals'!C:C,HCO_Data!K515)</f>
        <v>0</v>
      </c>
      <c r="I515">
        <v>780140018</v>
      </c>
      <c r="K515" t="s">
        <v>10510</v>
      </c>
      <c r="L515" t="s">
        <v>8970</v>
      </c>
      <c r="M515" t="s">
        <v>8971</v>
      </c>
      <c r="O515" t="s">
        <v>8972</v>
      </c>
      <c r="P515" t="s">
        <v>751</v>
      </c>
      <c r="Q515" t="s">
        <v>4283</v>
      </c>
      <c r="R515">
        <v>608</v>
      </c>
      <c r="S515">
        <v>18</v>
      </c>
      <c r="T515">
        <v>18</v>
      </c>
      <c r="W515">
        <f>COUNTIFS('Clinical Trials HCO'!$A:$A, K515, 'Clinical Trials HCO'!$D:$D, "&lt;&gt;")</f>
        <v>0</v>
      </c>
    </row>
    <row r="516" spans="2:33" hidden="1">
      <c r="F516">
        <f>COUNTIF(HCPs!W:W,HCO_Data!K516)</f>
        <v>0</v>
      </c>
      <c r="G516" t="str">
        <f>IF(COUNTIF('Testing Referrals'!B:B,HCO_Data!K516)&gt;0,"Yes","")</f>
        <v/>
      </c>
      <c r="H516">
        <f>COUNTIF('HCO referrals'!B:B,HCO_Data!K516)+COUNTIF('HCO referrals'!C:C,HCO_Data!K516)</f>
        <v>0</v>
      </c>
      <c r="I516">
        <v>790019848</v>
      </c>
      <c r="K516" t="s">
        <v>10511</v>
      </c>
      <c r="L516" t="s">
        <v>8836</v>
      </c>
      <c r="M516" t="s">
        <v>8837</v>
      </c>
      <c r="O516" t="s">
        <v>8838</v>
      </c>
      <c r="P516" t="s">
        <v>782</v>
      </c>
      <c r="Q516" t="s">
        <v>4283</v>
      </c>
      <c r="R516">
        <v>490</v>
      </c>
      <c r="S516">
        <v>18</v>
      </c>
      <c r="T516">
        <v>18</v>
      </c>
      <c r="W516">
        <f>COUNTIFS('Clinical Trials HCO'!$A:$A, K516, 'Clinical Trials HCO'!$D:$D, "&lt;&gt;")</f>
        <v>0</v>
      </c>
    </row>
    <row r="517" spans="2:33" hidden="1">
      <c r="B517">
        <v>520</v>
      </c>
      <c r="F517">
        <f>COUNTIF(HCPs!W:W,HCO_Data!K517)</f>
        <v>0</v>
      </c>
      <c r="G517" t="str">
        <f>IF(COUNTIF('Testing Referrals'!B:B,HCO_Data!K517)&gt;0,"Yes","")</f>
        <v/>
      </c>
      <c r="H517">
        <f>COUNTIF('HCO referrals'!B:B,HCO_Data!K517)+COUNTIF('HCO referrals'!C:C,HCO_Data!K517)</f>
        <v>0</v>
      </c>
      <c r="I517">
        <v>910300300</v>
      </c>
      <c r="K517" t="s">
        <v>10512</v>
      </c>
      <c r="L517" t="s">
        <v>1610</v>
      </c>
      <c r="M517" t="s">
        <v>2222</v>
      </c>
      <c r="N517">
        <v>91330</v>
      </c>
      <c r="O517" t="s">
        <v>2223</v>
      </c>
      <c r="Q517" t="s">
        <v>4283</v>
      </c>
      <c r="R517">
        <v>437</v>
      </c>
      <c r="S517">
        <v>18</v>
      </c>
      <c r="T517">
        <v>18</v>
      </c>
      <c r="W517">
        <f>COUNTIFS('Clinical Trials HCO'!$A:$A, K517, 'Clinical Trials HCO'!$D:$D, "&lt;&gt;")</f>
        <v>0</v>
      </c>
      <c r="AF517" t="s">
        <v>414</v>
      </c>
      <c r="AG517" t="s">
        <v>414</v>
      </c>
    </row>
    <row r="518" spans="2:33" hidden="1">
      <c r="F518">
        <f>COUNTIF(HCPs!W:W,HCO_Data!K518)</f>
        <v>0</v>
      </c>
      <c r="G518" t="str">
        <f>IF(COUNTIF('Testing Referrals'!B:B,HCO_Data!K518)&gt;0,"Yes","")</f>
        <v/>
      </c>
      <c r="H518">
        <f>COUNTIF('HCO referrals'!B:B,HCO_Data!K518)+COUNTIF('HCO referrals'!C:C,HCO_Data!K518)</f>
        <v>0</v>
      </c>
      <c r="I518">
        <v>950300301</v>
      </c>
      <c r="K518" t="s">
        <v>10513</v>
      </c>
      <c r="L518" t="s">
        <v>8996</v>
      </c>
      <c r="M518" t="s">
        <v>8997</v>
      </c>
      <c r="O518" t="s">
        <v>8998</v>
      </c>
      <c r="P518" t="s">
        <v>752</v>
      </c>
      <c r="Q518" t="s">
        <v>4283</v>
      </c>
      <c r="R518">
        <v>623</v>
      </c>
      <c r="S518">
        <v>18</v>
      </c>
      <c r="T518">
        <v>18</v>
      </c>
      <c r="W518">
        <f>COUNTIFS('Clinical Trials HCO'!$A:$A, K518, 'Clinical Trials HCO'!$D:$D, "&lt;&gt;")</f>
        <v>0</v>
      </c>
    </row>
    <row r="519" spans="2:33" hidden="1">
      <c r="F519">
        <f>COUNTIF(HCPs!W:W,HCO_Data!K519)</f>
        <v>0</v>
      </c>
      <c r="G519" t="str">
        <f>IF(COUNTIF('Testing Referrals'!B:B,HCO_Data!K519)&gt;0,"Yes","")</f>
        <v/>
      </c>
      <c r="H519">
        <f>COUNTIF('HCO referrals'!B:B,HCO_Data!K519)+COUNTIF('HCO referrals'!C:C,HCO_Data!K519)</f>
        <v>0</v>
      </c>
      <c r="I519" t="s">
        <v>8648</v>
      </c>
      <c r="K519" t="s">
        <v>10514</v>
      </c>
      <c r="L519" t="s">
        <v>8863</v>
      </c>
      <c r="M519" t="s">
        <v>8864</v>
      </c>
      <c r="O519" t="s">
        <v>8865</v>
      </c>
      <c r="P519" t="s">
        <v>741</v>
      </c>
      <c r="Q519" t="s">
        <v>4283</v>
      </c>
      <c r="R519">
        <v>514</v>
      </c>
      <c r="S519">
        <v>18</v>
      </c>
      <c r="T519">
        <v>18</v>
      </c>
      <c r="W519">
        <f>COUNTIFS('Clinical Trials HCO'!$A:$A, K519, 'Clinical Trials HCO'!$D:$D, "&lt;&gt;")</f>
        <v>0</v>
      </c>
    </row>
    <row r="520" spans="2:33" hidden="1">
      <c r="B520">
        <v>182</v>
      </c>
      <c r="C520" t="s">
        <v>5012</v>
      </c>
      <c r="F520">
        <f>COUNTIF(HCPs!W:W,HCO_Data!K520)</f>
        <v>0</v>
      </c>
      <c r="G520" t="str">
        <f>IF(COUNTIF('Testing Referrals'!B:B,HCO_Data!K520)&gt;0,"Yes","")</f>
        <v/>
      </c>
      <c r="H520">
        <f>COUNTIF('HCO referrals'!B:B,HCO_Data!K520)+COUNTIF('HCO referrals'!C:C,HCO_Data!K520)</f>
        <v>5</v>
      </c>
      <c r="I520">
        <v>670000165</v>
      </c>
      <c r="K520" t="s">
        <v>4568</v>
      </c>
      <c r="L520" t="s">
        <v>5011</v>
      </c>
      <c r="M520" t="s">
        <v>1918</v>
      </c>
      <c r="N520">
        <v>67703</v>
      </c>
      <c r="O520" t="s">
        <v>1919</v>
      </c>
      <c r="Q520" t="s">
        <v>4283</v>
      </c>
      <c r="R520">
        <v>464</v>
      </c>
      <c r="S520">
        <v>17</v>
      </c>
      <c r="T520">
        <v>17</v>
      </c>
      <c r="W520">
        <f>COUNTIFS('Clinical Trials HCO'!$A:$A, K520, 'Clinical Trials HCO'!$D:$D, "&lt;&gt;")</f>
        <v>0</v>
      </c>
      <c r="AG520" t="s">
        <v>414</v>
      </c>
    </row>
    <row r="521" spans="2:33" hidden="1">
      <c r="B521">
        <v>361</v>
      </c>
      <c r="F521">
        <f>COUNTIF(HCPs!W:W,HCO_Data!K521)</f>
        <v>0</v>
      </c>
      <c r="G521" t="str">
        <f>IF(COUNTIF('Testing Referrals'!B:B,HCO_Data!K521)&gt;0,"Yes","")</f>
        <v/>
      </c>
      <c r="H521">
        <f>COUNTIF('HCO referrals'!B:B,HCO_Data!K521)+COUNTIF('HCO referrals'!C:C,HCO_Data!K521)</f>
        <v>0</v>
      </c>
      <c r="I521">
        <v>20000535</v>
      </c>
      <c r="K521" t="s">
        <v>10515</v>
      </c>
      <c r="L521" t="s">
        <v>1384</v>
      </c>
      <c r="M521" t="s">
        <v>1804</v>
      </c>
      <c r="N521">
        <v>2303</v>
      </c>
      <c r="O521" t="s">
        <v>1805</v>
      </c>
      <c r="Q521" t="s">
        <v>4283</v>
      </c>
      <c r="R521">
        <v>430</v>
      </c>
      <c r="S521">
        <v>17</v>
      </c>
      <c r="T521">
        <v>17</v>
      </c>
      <c r="W521">
        <f>COUNTIFS('Clinical Trials HCO'!$A:$A, K521, 'Clinical Trials HCO'!$D:$D, "&lt;&gt;")</f>
        <v>0</v>
      </c>
      <c r="AF521" t="s">
        <v>414</v>
      </c>
    </row>
    <row r="522" spans="2:33" hidden="1">
      <c r="B522">
        <v>462</v>
      </c>
      <c r="F522">
        <f>COUNTIF(HCPs!W:W,HCO_Data!K522)</f>
        <v>0</v>
      </c>
      <c r="G522" t="str">
        <f>IF(COUNTIF('Testing Referrals'!B:B,HCO_Data!K522)&gt;0,"Yes","")</f>
        <v/>
      </c>
      <c r="H522">
        <f>COUNTIF('HCO referrals'!B:B,HCO_Data!K522)+COUNTIF('HCO referrals'!C:C,HCO_Data!K522)</f>
        <v>0</v>
      </c>
      <c r="I522">
        <v>210780789</v>
      </c>
      <c r="K522" t="s">
        <v>10516</v>
      </c>
      <c r="L522" t="s">
        <v>636</v>
      </c>
      <c r="M522" t="s">
        <v>2088</v>
      </c>
      <c r="N522">
        <v>21240</v>
      </c>
      <c r="O522" t="s">
        <v>2089</v>
      </c>
      <c r="Q522" t="s">
        <v>4283</v>
      </c>
      <c r="R522">
        <v>595</v>
      </c>
      <c r="S522">
        <v>17</v>
      </c>
      <c r="T522">
        <v>17</v>
      </c>
      <c r="W522">
        <f>COUNTIFS('Clinical Trials HCO'!$A:$A, K522, 'Clinical Trials HCO'!$D:$D, "&lt;&gt;")</f>
        <v>0</v>
      </c>
      <c r="AF522" t="s">
        <v>414</v>
      </c>
      <c r="AG522" t="s">
        <v>414</v>
      </c>
    </row>
    <row r="523" spans="2:33" hidden="1">
      <c r="B523">
        <v>393</v>
      </c>
      <c r="F523">
        <f>COUNTIF(HCPs!W:W,HCO_Data!K523)</f>
        <v>0</v>
      </c>
      <c r="G523" t="str">
        <f>IF(COUNTIF('Testing Referrals'!B:B,HCO_Data!K523)&gt;0,"Yes","")</f>
        <v/>
      </c>
      <c r="H523">
        <f>COUNTIF('HCO referrals'!B:B,HCO_Data!K523)+COUNTIF('HCO referrals'!C:C,HCO_Data!K523)</f>
        <v>0</v>
      </c>
      <c r="I523">
        <v>250000700</v>
      </c>
      <c r="K523" t="s">
        <v>10517</v>
      </c>
      <c r="L523" t="s">
        <v>1453</v>
      </c>
      <c r="M523" t="s">
        <v>1957</v>
      </c>
      <c r="N523">
        <v>25304</v>
      </c>
      <c r="O523" t="s">
        <v>1958</v>
      </c>
      <c r="Q523" t="s">
        <v>4283</v>
      </c>
      <c r="R523">
        <v>432</v>
      </c>
      <c r="S523">
        <v>17</v>
      </c>
      <c r="T523">
        <v>17</v>
      </c>
      <c r="W523">
        <f>COUNTIFS('Clinical Trials HCO'!$A:$A, K523, 'Clinical Trials HCO'!$D:$D, "&lt;&gt;")</f>
        <v>0</v>
      </c>
      <c r="AF523" t="s">
        <v>414</v>
      </c>
    </row>
    <row r="524" spans="2:33" hidden="1">
      <c r="B524">
        <v>724</v>
      </c>
      <c r="F524">
        <f>COUNTIF(HCPs!W:W,HCO_Data!K524)</f>
        <v>0</v>
      </c>
      <c r="G524" t="str">
        <f>IF(COUNTIF('Testing Referrals'!B:B,HCO_Data!K524)&gt;0,"Yes","")</f>
        <v/>
      </c>
      <c r="H524">
        <f>COUNTIF('HCO referrals'!B:B,HCO_Data!K524)+COUNTIF('HCO referrals'!C:C,HCO_Data!K524)</f>
        <v>0</v>
      </c>
      <c r="I524">
        <v>350000188</v>
      </c>
      <c r="K524" t="s">
        <v>10518</v>
      </c>
      <c r="L524" t="s">
        <v>2375</v>
      </c>
      <c r="M524" t="s">
        <v>2644</v>
      </c>
      <c r="N524">
        <v>35506</v>
      </c>
      <c r="O524" t="s">
        <v>2645</v>
      </c>
      <c r="Q524" t="s">
        <v>4283</v>
      </c>
      <c r="R524">
        <v>423</v>
      </c>
      <c r="S524">
        <v>17</v>
      </c>
      <c r="T524">
        <v>17</v>
      </c>
      <c r="W524">
        <f>COUNTIFS('Clinical Trials HCO'!$A:$A, K524, 'Clinical Trials HCO'!$D:$D, "&lt;&gt;")</f>
        <v>0</v>
      </c>
      <c r="AG524" t="s">
        <v>414</v>
      </c>
    </row>
    <row r="525" spans="2:33" hidden="1">
      <c r="B525">
        <v>172</v>
      </c>
      <c r="F525">
        <f>COUNTIF(HCPs!W:W,HCO_Data!K525)</f>
        <v>0</v>
      </c>
      <c r="G525" t="str">
        <f>IF(COUNTIF('Testing Referrals'!B:B,HCO_Data!K525)&gt;0,"Yes","")</f>
        <v/>
      </c>
      <c r="H525">
        <f>COUNTIF('HCO referrals'!B:B,HCO_Data!K525)+COUNTIF('HCO referrals'!C:C,HCO_Data!K525)</f>
        <v>0</v>
      </c>
      <c r="I525">
        <v>380000174</v>
      </c>
      <c r="K525" t="s">
        <v>10519</v>
      </c>
      <c r="L525" t="s">
        <v>1426</v>
      </c>
      <c r="M525" t="s">
        <v>1893</v>
      </c>
      <c r="N525">
        <v>38200</v>
      </c>
      <c r="O525" t="s">
        <v>766</v>
      </c>
      <c r="Q525" t="s">
        <v>4283</v>
      </c>
      <c r="R525">
        <v>436</v>
      </c>
      <c r="S525">
        <v>17</v>
      </c>
      <c r="T525">
        <v>17</v>
      </c>
      <c r="W525">
        <f>COUNTIFS('Clinical Trials HCO'!$A:$A, K525, 'Clinical Trials HCO'!$D:$D, "&lt;&gt;")</f>
        <v>0</v>
      </c>
      <c r="AF525" t="s">
        <v>414</v>
      </c>
      <c r="AG525" t="s">
        <v>414</v>
      </c>
    </row>
    <row r="526" spans="2:33" hidden="1">
      <c r="B526">
        <v>365</v>
      </c>
      <c r="F526">
        <f>COUNTIF(HCPs!W:W,HCO_Data!K526)</f>
        <v>0</v>
      </c>
      <c r="G526" t="str">
        <f>IF(COUNTIF('Testing Referrals'!B:B,HCO_Data!K526)&gt;0,"Yes","")</f>
        <v/>
      </c>
      <c r="H526">
        <f>COUNTIF('HCO referrals'!B:B,HCO_Data!K526)+COUNTIF('HCO referrals'!C:C,HCO_Data!K526)</f>
        <v>0</v>
      </c>
      <c r="I526">
        <v>420000226</v>
      </c>
      <c r="K526" t="s">
        <v>10520</v>
      </c>
      <c r="L526" t="s">
        <v>2396</v>
      </c>
      <c r="M526" t="s">
        <v>2685</v>
      </c>
      <c r="N526">
        <v>42605</v>
      </c>
      <c r="O526" t="s">
        <v>2686</v>
      </c>
      <c r="Q526" t="s">
        <v>4283</v>
      </c>
      <c r="R526">
        <v>496</v>
      </c>
      <c r="S526">
        <v>17</v>
      </c>
      <c r="T526">
        <v>17</v>
      </c>
      <c r="W526">
        <f>COUNTIFS('Clinical Trials HCO'!$A:$A, K526, 'Clinical Trials HCO'!$D:$D, "&lt;&gt;")</f>
        <v>0</v>
      </c>
      <c r="AG526" t="s">
        <v>414</v>
      </c>
    </row>
    <row r="527" spans="2:33" hidden="1">
      <c r="F527">
        <f>COUNTIF(HCPs!W:W,HCO_Data!K527)</f>
        <v>0</v>
      </c>
      <c r="G527" t="str">
        <f>IF(COUNTIF('Testing Referrals'!B:B,HCO_Data!K527)&gt;0,"Yes","")</f>
        <v/>
      </c>
      <c r="H527">
        <f>COUNTIF('HCO referrals'!B:B,HCO_Data!K527)+COUNTIF('HCO referrals'!C:C,HCO_Data!K527)</f>
        <v>0</v>
      </c>
      <c r="I527">
        <v>470000431</v>
      </c>
      <c r="K527" t="s">
        <v>10521</v>
      </c>
      <c r="L527" t="s">
        <v>8952</v>
      </c>
      <c r="M527">
        <v>0</v>
      </c>
      <c r="O527" t="s">
        <v>8953</v>
      </c>
      <c r="P527" t="s">
        <v>744</v>
      </c>
      <c r="Q527" t="s">
        <v>4283</v>
      </c>
      <c r="R527">
        <v>591</v>
      </c>
      <c r="S527">
        <v>17</v>
      </c>
      <c r="T527">
        <v>17</v>
      </c>
      <c r="W527">
        <f>COUNTIFS('Clinical Trials HCO'!$A:$A, K527, 'Clinical Trials HCO'!$D:$D, "&lt;&gt;")</f>
        <v>0</v>
      </c>
    </row>
    <row r="528" spans="2:33" hidden="1">
      <c r="F528">
        <f>COUNTIF(HCPs!W:W,HCO_Data!K528)</f>
        <v>0</v>
      </c>
      <c r="G528" t="str">
        <f>IF(COUNTIF('Testing Referrals'!B:B,HCO_Data!K528)&gt;0,"Yes","")</f>
        <v/>
      </c>
      <c r="H528">
        <f>COUNTIF('HCO referrals'!B:B,HCO_Data!K528)+COUNTIF('HCO referrals'!C:C,HCO_Data!K528)</f>
        <v>0</v>
      </c>
      <c r="I528">
        <v>750041543</v>
      </c>
      <c r="K528" t="s">
        <v>10522</v>
      </c>
      <c r="L528" t="s">
        <v>8984</v>
      </c>
      <c r="M528" t="s">
        <v>8985</v>
      </c>
      <c r="O528" t="s">
        <v>8986</v>
      </c>
      <c r="P528" t="s">
        <v>700</v>
      </c>
      <c r="Q528" t="s">
        <v>4283</v>
      </c>
      <c r="R528">
        <v>619</v>
      </c>
      <c r="S528">
        <v>17</v>
      </c>
      <c r="T528">
        <v>17</v>
      </c>
      <c r="W528">
        <f>COUNTIFS('Clinical Trials HCO'!$A:$A, K528, 'Clinical Trials HCO'!$D:$D, "&lt;&gt;")</f>
        <v>0</v>
      </c>
    </row>
    <row r="529" spans="2:33" hidden="1">
      <c r="B529">
        <v>508</v>
      </c>
      <c r="F529">
        <f>COUNTIF(HCPs!W:W,HCO_Data!K529)</f>
        <v>0</v>
      </c>
      <c r="G529" t="str">
        <f>IF(COUNTIF('Testing Referrals'!B:B,HCO_Data!K529)&gt;0,"Yes","")</f>
        <v/>
      </c>
      <c r="H529">
        <f>COUNTIF('HCO referrals'!B:B,HCO_Data!K529)+COUNTIF('HCO referrals'!C:C,HCO_Data!K529)</f>
        <v>0</v>
      </c>
      <c r="I529">
        <v>800002503</v>
      </c>
      <c r="K529" t="s">
        <v>10523</v>
      </c>
      <c r="L529" t="s">
        <v>2637</v>
      </c>
      <c r="M529" t="s">
        <v>2927</v>
      </c>
      <c r="N529">
        <v>80100</v>
      </c>
      <c r="O529" t="s">
        <v>1765</v>
      </c>
      <c r="Q529" t="s">
        <v>4283</v>
      </c>
      <c r="R529">
        <v>602</v>
      </c>
      <c r="S529">
        <v>17</v>
      </c>
      <c r="T529">
        <v>17</v>
      </c>
      <c r="W529">
        <f>COUNTIFS('Clinical Trials HCO'!$A:$A, K529, 'Clinical Trials HCO'!$D:$D, "&lt;&gt;")</f>
        <v>0</v>
      </c>
      <c r="AF529" t="s">
        <v>414</v>
      </c>
      <c r="AG529" t="s">
        <v>414</v>
      </c>
    </row>
    <row r="530" spans="2:33" hidden="1">
      <c r="F530">
        <f>COUNTIF(HCPs!W:W,HCO_Data!K530)</f>
        <v>0</v>
      </c>
      <c r="G530" t="str">
        <f>IF(COUNTIF('Testing Referrals'!B:B,HCO_Data!K530)&gt;0,"Yes","")</f>
        <v/>
      </c>
      <c r="H530">
        <f>COUNTIF('HCO referrals'!B:B,HCO_Data!K530)+COUNTIF('HCO referrals'!C:C,HCO_Data!K530)</f>
        <v>0</v>
      </c>
      <c r="I530">
        <v>830100582</v>
      </c>
      <c r="K530" t="s">
        <v>10524</v>
      </c>
      <c r="L530" t="s">
        <v>8676</v>
      </c>
      <c r="M530" t="s">
        <v>8677</v>
      </c>
      <c r="O530" t="s">
        <v>865</v>
      </c>
      <c r="P530" t="s">
        <v>715</v>
      </c>
      <c r="Q530" t="s">
        <v>4283</v>
      </c>
      <c r="R530">
        <v>186</v>
      </c>
      <c r="S530">
        <v>17</v>
      </c>
      <c r="T530">
        <v>17</v>
      </c>
      <c r="W530">
        <f>COUNTIFS('Clinical Trials HCO'!$A:$A, K530, 'Clinical Trials HCO'!$D:$D, "&lt;&gt;")</f>
        <v>0</v>
      </c>
    </row>
    <row r="531" spans="2:33" hidden="1">
      <c r="F531">
        <f>COUNTIF(HCPs!W:W,HCO_Data!K531)</f>
        <v>0</v>
      </c>
      <c r="G531" t="str">
        <f>IF(COUNTIF('Testing Referrals'!B:B,HCO_Data!K531)&gt;0,"Yes","")</f>
        <v/>
      </c>
      <c r="H531">
        <f>COUNTIF('HCO referrals'!B:B,HCO_Data!K531)+COUNTIF('HCO referrals'!C:C,HCO_Data!K531)</f>
        <v>0</v>
      </c>
      <c r="I531">
        <v>840000392</v>
      </c>
      <c r="K531" t="s">
        <v>10525</v>
      </c>
      <c r="L531" t="s">
        <v>8776</v>
      </c>
      <c r="M531" t="s">
        <v>8777</v>
      </c>
      <c r="O531" t="s">
        <v>8778</v>
      </c>
      <c r="P531" t="s">
        <v>760</v>
      </c>
      <c r="Q531" t="s">
        <v>4283</v>
      </c>
      <c r="R531">
        <v>419</v>
      </c>
      <c r="S531">
        <v>17</v>
      </c>
      <c r="T531">
        <v>17</v>
      </c>
      <c r="W531">
        <f>COUNTIFS('Clinical Trials HCO'!$A:$A, K531, 'Clinical Trials HCO'!$D:$D, "&lt;&gt;")</f>
        <v>0</v>
      </c>
    </row>
    <row r="532" spans="2:33" hidden="1">
      <c r="B532">
        <v>517</v>
      </c>
      <c r="F532">
        <f>COUNTIF(HCPs!W:W,HCO_Data!K532)</f>
        <v>0</v>
      </c>
      <c r="G532" t="str">
        <f>IF(COUNTIF('Testing Referrals'!B:B,HCO_Data!K532)&gt;0,"Yes","")</f>
        <v/>
      </c>
      <c r="H532">
        <f>COUNTIF('HCO referrals'!B:B,HCO_Data!K532)+COUNTIF('HCO referrals'!C:C,HCO_Data!K532)</f>
        <v>0</v>
      </c>
      <c r="I532">
        <v>950300277</v>
      </c>
      <c r="K532" t="s">
        <v>10526</v>
      </c>
      <c r="L532" t="s">
        <v>1621</v>
      </c>
      <c r="M532" t="s">
        <v>2240</v>
      </c>
      <c r="N532">
        <v>95200</v>
      </c>
      <c r="O532" t="s">
        <v>2241</v>
      </c>
      <c r="Q532" t="s">
        <v>4283</v>
      </c>
      <c r="R532">
        <v>467</v>
      </c>
      <c r="S532">
        <v>17</v>
      </c>
      <c r="T532">
        <v>17</v>
      </c>
      <c r="W532">
        <f>COUNTIFS('Clinical Trials HCO'!$A:$A, K532, 'Clinical Trials HCO'!$D:$D, "&lt;&gt;")</f>
        <v>0</v>
      </c>
      <c r="AF532" t="s">
        <v>414</v>
      </c>
      <c r="AG532" t="s">
        <v>414</v>
      </c>
    </row>
    <row r="533" spans="2:33" hidden="1">
      <c r="F533">
        <f>COUNTIF(HCPs!W:W,HCO_Data!K533)</f>
        <v>0</v>
      </c>
      <c r="G533" t="str">
        <f>IF(COUNTIF('Testing Referrals'!B:B,HCO_Data!K533)&gt;0,"Yes","")</f>
        <v>Yes</v>
      </c>
      <c r="H533">
        <f>COUNTIF('HCO referrals'!B:B,HCO_Data!K533)+COUNTIF('HCO referrals'!C:C,HCO_Data!K533)</f>
        <v>2</v>
      </c>
      <c r="I533">
        <v>910100015</v>
      </c>
      <c r="K533" t="s">
        <v>3780</v>
      </c>
      <c r="L533" t="s">
        <v>4867</v>
      </c>
      <c r="O533" t="s">
        <v>8009</v>
      </c>
      <c r="Q533" t="s">
        <v>4283</v>
      </c>
      <c r="R533">
        <v>630</v>
      </c>
      <c r="S533">
        <v>16</v>
      </c>
      <c r="T533">
        <v>16</v>
      </c>
      <c r="W533">
        <f>COUNTIFS('Clinical Trials HCO'!$A:$A, K533, 'Clinical Trials HCO'!$D:$D, "&lt;&gt;")</f>
        <v>0</v>
      </c>
    </row>
    <row r="534" spans="2:33" hidden="1">
      <c r="B534">
        <v>645</v>
      </c>
      <c r="F534">
        <f>COUNTIF(HCPs!W:W,HCO_Data!K534)</f>
        <v>0</v>
      </c>
      <c r="G534" t="str">
        <f>IF(COUNTIF('Testing Referrals'!B:B,HCO_Data!K534)&gt;0,"Yes","")</f>
        <v/>
      </c>
      <c r="H534">
        <f>COUNTIF('HCO referrals'!B:B,HCO_Data!K534)+COUNTIF('HCO referrals'!C:C,HCO_Data!K534)</f>
        <v>0</v>
      </c>
      <c r="I534">
        <v>30780548</v>
      </c>
      <c r="K534" t="s">
        <v>10527</v>
      </c>
      <c r="L534" t="s">
        <v>1685</v>
      </c>
      <c r="M534" t="s">
        <v>2354</v>
      </c>
      <c r="N534">
        <v>3205</v>
      </c>
      <c r="O534" t="s">
        <v>1873</v>
      </c>
      <c r="Q534" t="s">
        <v>4283</v>
      </c>
      <c r="R534">
        <v>283</v>
      </c>
      <c r="S534">
        <v>16</v>
      </c>
      <c r="T534">
        <v>16</v>
      </c>
      <c r="W534">
        <f>COUNTIFS('Clinical Trials HCO'!$A:$A, K534, 'Clinical Trials HCO'!$D:$D, "&lt;&gt;")</f>
        <v>0</v>
      </c>
      <c r="AF534" t="s">
        <v>414</v>
      </c>
      <c r="AG534" t="s">
        <v>414</v>
      </c>
    </row>
    <row r="535" spans="2:33" hidden="1">
      <c r="B535">
        <v>503</v>
      </c>
      <c r="F535">
        <f>COUNTIF(HCPs!W:W,HCO_Data!K535)</f>
        <v>0</v>
      </c>
      <c r="G535" t="str">
        <f>IF(COUNTIF('Testing Referrals'!B:B,HCO_Data!K535)&gt;0,"Yes","")</f>
        <v/>
      </c>
      <c r="H535">
        <f>COUNTIF('HCO referrals'!B:B,HCO_Data!K535)+COUNTIF('HCO referrals'!C:C,HCO_Data!K535)</f>
        <v>0</v>
      </c>
      <c r="I535">
        <v>220000343</v>
      </c>
      <c r="K535" t="s">
        <v>10528</v>
      </c>
      <c r="L535" t="s">
        <v>2384</v>
      </c>
      <c r="M535" t="s">
        <v>2660</v>
      </c>
      <c r="N535">
        <v>22200</v>
      </c>
      <c r="O535" t="s">
        <v>2661</v>
      </c>
      <c r="Q535" t="s">
        <v>4283</v>
      </c>
      <c r="R535">
        <v>593</v>
      </c>
      <c r="S535">
        <v>16</v>
      </c>
      <c r="T535">
        <v>16</v>
      </c>
      <c r="W535">
        <f>COUNTIFS('Clinical Trials HCO'!$A:$A, K535, 'Clinical Trials HCO'!$D:$D, "&lt;&gt;")</f>
        <v>0</v>
      </c>
      <c r="AF535" t="s">
        <v>414</v>
      </c>
      <c r="AG535" t="s">
        <v>414</v>
      </c>
    </row>
    <row r="536" spans="2:33" hidden="1">
      <c r="F536">
        <f>COUNTIF(HCPs!W:W,HCO_Data!K536)</f>
        <v>0</v>
      </c>
      <c r="G536" t="str">
        <f>IF(COUNTIF('Testing Referrals'!B:B,HCO_Data!K536)&gt;0,"Yes","")</f>
        <v/>
      </c>
      <c r="H536">
        <f>COUNTIF('HCO referrals'!B:B,HCO_Data!K536)+COUNTIF('HCO referrals'!C:C,HCO_Data!K536)</f>
        <v>0</v>
      </c>
      <c r="I536">
        <v>330000217</v>
      </c>
      <c r="K536" t="s">
        <v>10529</v>
      </c>
      <c r="L536" s="90" t="s">
        <v>8904</v>
      </c>
      <c r="M536" t="s">
        <v>8905</v>
      </c>
      <c r="O536" t="s">
        <v>942</v>
      </c>
      <c r="P536" t="s">
        <v>716</v>
      </c>
      <c r="Q536" t="s">
        <v>4283</v>
      </c>
      <c r="R536">
        <v>551</v>
      </c>
      <c r="S536">
        <v>16</v>
      </c>
      <c r="T536">
        <v>16</v>
      </c>
      <c r="W536">
        <f>COUNTIFS('Clinical Trials HCO'!$A:$A, K536, 'Clinical Trials HCO'!$D:$D, "&lt;&gt;")</f>
        <v>0</v>
      </c>
    </row>
    <row r="537" spans="2:33" hidden="1">
      <c r="F537">
        <f>COUNTIF(HCPs!W:W,HCO_Data!K537)</f>
        <v>0</v>
      </c>
      <c r="G537" t="str">
        <f>IF(COUNTIF('Testing Referrals'!B:B,HCO_Data!K537)&gt;0,"Yes","")</f>
        <v/>
      </c>
      <c r="H537">
        <f>COUNTIF('HCO referrals'!B:B,HCO_Data!K537)+COUNTIF('HCO referrals'!C:C,HCO_Data!K537)</f>
        <v>0</v>
      </c>
      <c r="I537">
        <v>340781608</v>
      </c>
      <c r="K537" t="s">
        <v>10530</v>
      </c>
      <c r="L537" t="s">
        <v>9008</v>
      </c>
      <c r="M537" t="s">
        <v>9009</v>
      </c>
      <c r="O537" t="s">
        <v>9010</v>
      </c>
      <c r="P537" t="s">
        <v>733</v>
      </c>
      <c r="Q537" t="s">
        <v>4283</v>
      </c>
      <c r="R537">
        <v>628</v>
      </c>
      <c r="S537">
        <v>16</v>
      </c>
      <c r="T537">
        <v>16</v>
      </c>
      <c r="W537">
        <f>COUNTIFS('Clinical Trials HCO'!$A:$A, K537, 'Clinical Trials HCO'!$D:$D, "&lt;&gt;")</f>
        <v>0</v>
      </c>
    </row>
    <row r="538" spans="2:33" hidden="1">
      <c r="F538">
        <f>COUNTIF(HCPs!W:W,HCO_Data!K538)</f>
        <v>0</v>
      </c>
      <c r="G538" t="str">
        <f>IF(COUNTIF('Testing Referrals'!B:B,HCO_Data!K538)&gt;0,"Yes","")</f>
        <v/>
      </c>
      <c r="H538">
        <f>COUNTIF('HCO referrals'!B:B,HCO_Data!K538)+COUNTIF('HCO referrals'!C:C,HCO_Data!K538)</f>
        <v>0</v>
      </c>
      <c r="I538">
        <v>570000281</v>
      </c>
      <c r="K538" t="s">
        <v>10531</v>
      </c>
      <c r="L538" t="s">
        <v>8993</v>
      </c>
      <c r="M538" t="s">
        <v>8994</v>
      </c>
      <c r="O538" t="s">
        <v>8995</v>
      </c>
      <c r="P538" t="s">
        <v>710</v>
      </c>
      <c r="Q538" t="s">
        <v>4283</v>
      </c>
      <c r="R538">
        <v>622</v>
      </c>
      <c r="S538">
        <v>16</v>
      </c>
      <c r="T538">
        <v>16</v>
      </c>
      <c r="W538">
        <f>COUNTIFS('Clinical Trials HCO'!$A:$A, K538, 'Clinical Trials HCO'!$D:$D, "&lt;&gt;")</f>
        <v>0</v>
      </c>
    </row>
    <row r="539" spans="2:33" hidden="1">
      <c r="B539">
        <v>151</v>
      </c>
      <c r="F539">
        <f>COUNTIF(HCPs!W:W,HCO_Data!K539)</f>
        <v>0</v>
      </c>
      <c r="G539" t="str">
        <f>IF(COUNTIF('Testing Referrals'!B:B,HCO_Data!K539)&gt;0,"Yes","")</f>
        <v/>
      </c>
      <c r="H539">
        <f>COUNTIF('HCO referrals'!B:B,HCO_Data!K539)+COUNTIF('HCO referrals'!C:C,HCO_Data!K539)</f>
        <v>0</v>
      </c>
      <c r="I539">
        <v>590000592</v>
      </c>
      <c r="K539" t="s">
        <v>10532</v>
      </c>
      <c r="L539" t="s">
        <v>1403</v>
      </c>
      <c r="M539" t="s">
        <v>1845</v>
      </c>
      <c r="N539">
        <v>59723</v>
      </c>
      <c r="O539" t="s">
        <v>1846</v>
      </c>
      <c r="Q539" t="s">
        <v>4283</v>
      </c>
      <c r="R539">
        <v>523</v>
      </c>
      <c r="S539">
        <v>16</v>
      </c>
      <c r="T539">
        <v>16</v>
      </c>
      <c r="W539">
        <f>COUNTIFS('Clinical Trials HCO'!$A:$A, K539, 'Clinical Trials HCO'!$D:$D, "&lt;&gt;")</f>
        <v>0</v>
      </c>
      <c r="AF539" t="s">
        <v>414</v>
      </c>
      <c r="AG539" t="s">
        <v>414</v>
      </c>
    </row>
    <row r="540" spans="2:33" hidden="1">
      <c r="F540">
        <f>COUNTIF(HCPs!W:W,HCO_Data!K540)</f>
        <v>0</v>
      </c>
      <c r="G540" t="str">
        <f>IF(COUNTIF('Testing Referrals'!B:B,HCO_Data!K540)&gt;0,"Yes","")</f>
        <v/>
      </c>
      <c r="H540">
        <f>COUNTIF('HCO referrals'!B:B,HCO_Data!K540)+COUNTIF('HCO referrals'!C:C,HCO_Data!K540)</f>
        <v>0</v>
      </c>
      <c r="I540">
        <v>620003350</v>
      </c>
      <c r="K540" t="s">
        <v>10533</v>
      </c>
      <c r="L540" t="s">
        <v>9016</v>
      </c>
      <c r="M540" t="s">
        <v>9017</v>
      </c>
      <c r="O540" t="s">
        <v>9018</v>
      </c>
      <c r="P540" t="s">
        <v>721</v>
      </c>
      <c r="Q540" t="s">
        <v>4283</v>
      </c>
      <c r="R540">
        <v>638</v>
      </c>
      <c r="S540">
        <v>16</v>
      </c>
      <c r="T540">
        <v>16</v>
      </c>
      <c r="W540">
        <f>COUNTIFS('Clinical Trials HCO'!$A:$A, K540, 'Clinical Trials HCO'!$D:$D, "&lt;&gt;")</f>
        <v>0</v>
      </c>
    </row>
    <row r="541" spans="2:33" hidden="1">
      <c r="F541">
        <f>COUNTIF(HCPs!W:W,HCO_Data!K541)</f>
        <v>0</v>
      </c>
      <c r="G541" t="str">
        <f>IF(COUNTIF('Testing Referrals'!B:B,HCO_Data!K541)&gt;0,"Yes","")</f>
        <v/>
      </c>
      <c r="H541">
        <f>COUNTIF('HCO referrals'!B:B,HCO_Data!K541)+COUNTIF('HCO referrals'!C:C,HCO_Data!K541)</f>
        <v>0</v>
      </c>
      <c r="I541">
        <v>640017646</v>
      </c>
      <c r="K541" t="s">
        <v>10534</v>
      </c>
      <c r="L541" t="s">
        <v>8738</v>
      </c>
      <c r="M541" t="s">
        <v>8739</v>
      </c>
      <c r="O541" t="s">
        <v>8740</v>
      </c>
      <c r="P541" t="s">
        <v>730</v>
      </c>
      <c r="Q541" t="s">
        <v>4283</v>
      </c>
      <c r="R541">
        <v>375</v>
      </c>
      <c r="S541">
        <v>16</v>
      </c>
      <c r="T541">
        <v>16</v>
      </c>
      <c r="W541">
        <f>COUNTIFS('Clinical Trials HCO'!$A:$A, K541, 'Clinical Trials HCO'!$D:$D, "&lt;&gt;")</f>
        <v>0</v>
      </c>
    </row>
    <row r="542" spans="2:33" hidden="1">
      <c r="B542">
        <v>552</v>
      </c>
      <c r="F542">
        <f>COUNTIF(HCPs!W:W,HCO_Data!K542)</f>
        <v>0</v>
      </c>
      <c r="G542" t="str">
        <f>IF(COUNTIF('Testing Referrals'!B:B,HCO_Data!K542)&gt;0,"Yes","")</f>
        <v/>
      </c>
      <c r="H542">
        <f>COUNTIF('HCO referrals'!B:B,HCO_Data!K542)+COUNTIF('HCO referrals'!C:C,HCO_Data!K542)</f>
        <v>0</v>
      </c>
      <c r="I542">
        <v>890002389</v>
      </c>
      <c r="K542" t="s">
        <v>10535</v>
      </c>
      <c r="L542" t="s">
        <v>692</v>
      </c>
      <c r="M542" t="s">
        <v>2366</v>
      </c>
      <c r="N542">
        <v>89003</v>
      </c>
      <c r="O542" t="s">
        <v>1786</v>
      </c>
      <c r="Q542" t="s">
        <v>4283</v>
      </c>
      <c r="R542">
        <v>422</v>
      </c>
      <c r="S542">
        <v>16</v>
      </c>
      <c r="T542">
        <v>16</v>
      </c>
      <c r="W542">
        <f>COUNTIFS('Clinical Trials HCO'!$A:$A, K542, 'Clinical Trials HCO'!$D:$D, "&lt;&gt;")</f>
        <v>0</v>
      </c>
      <c r="AG542" t="s">
        <v>414</v>
      </c>
    </row>
    <row r="543" spans="2:33" hidden="1">
      <c r="F543">
        <f>COUNTIF(HCPs!W:W,HCO_Data!K543)</f>
        <v>0</v>
      </c>
      <c r="G543" t="str">
        <f>IF(COUNTIF('Testing Referrals'!B:B,HCO_Data!K543)&gt;0,"Yes","")</f>
        <v/>
      </c>
      <c r="H543">
        <f>COUNTIF('HCO referrals'!B:B,HCO_Data!K543)+COUNTIF('HCO referrals'!C:C,HCO_Data!K543)</f>
        <v>0</v>
      </c>
      <c r="I543">
        <v>910500040</v>
      </c>
      <c r="K543" t="s">
        <v>10536</v>
      </c>
      <c r="L543" t="s">
        <v>9014</v>
      </c>
      <c r="M543" t="s">
        <v>9015</v>
      </c>
      <c r="O543" t="s">
        <v>2091</v>
      </c>
      <c r="P543" t="s">
        <v>745</v>
      </c>
      <c r="Q543" t="s">
        <v>4283</v>
      </c>
      <c r="R543">
        <v>631</v>
      </c>
      <c r="S543">
        <v>16</v>
      </c>
      <c r="T543">
        <v>16</v>
      </c>
      <c r="W543">
        <f>COUNTIFS('Clinical Trials HCO'!$A:$A, K543, 'Clinical Trials HCO'!$D:$D, "&lt;&gt;")</f>
        <v>0</v>
      </c>
    </row>
    <row r="544" spans="2:33" hidden="1">
      <c r="F544">
        <f>COUNTIF(HCPs!W:W,HCO_Data!K544)</f>
        <v>0</v>
      </c>
      <c r="G544" t="str">
        <f>IF(COUNTIF('Testing Referrals'!B:B,HCO_Data!K544)&gt;0,"Yes","")</f>
        <v/>
      </c>
      <c r="H544">
        <f>COUNTIF('HCO referrals'!B:B,HCO_Data!K544)+COUNTIF('HCO referrals'!C:C,HCO_Data!K544)</f>
        <v>0</v>
      </c>
      <c r="I544" t="s">
        <v>8650</v>
      </c>
      <c r="K544" t="s">
        <v>10537</v>
      </c>
      <c r="L544" t="s">
        <v>8979</v>
      </c>
      <c r="M544" t="s">
        <v>8980</v>
      </c>
      <c r="O544" t="s">
        <v>8981</v>
      </c>
      <c r="P544" t="s">
        <v>776</v>
      </c>
      <c r="Q544" t="s">
        <v>4283</v>
      </c>
      <c r="R544">
        <v>614</v>
      </c>
      <c r="S544">
        <v>16</v>
      </c>
      <c r="T544">
        <v>16</v>
      </c>
      <c r="W544">
        <f>COUNTIFS('Clinical Trials HCO'!$A:$A, K544, 'Clinical Trials HCO'!$D:$D, "&lt;&gt;")</f>
        <v>0</v>
      </c>
    </row>
    <row r="545" spans="2:33" hidden="1">
      <c r="B545">
        <v>512</v>
      </c>
      <c r="F545">
        <f>COUNTIF(HCPs!W:W,HCO_Data!K545)</f>
        <v>0</v>
      </c>
      <c r="G545" t="str">
        <f>IF(COUNTIF('Testing Referrals'!B:B,HCO_Data!K545)&gt;0,"Yes","")</f>
        <v>Yes</v>
      </c>
      <c r="H545">
        <f>COUNTIF('HCO referrals'!B:B,HCO_Data!K545)+COUNTIF('HCO referrals'!C:C,HCO_Data!K545)</f>
        <v>0</v>
      </c>
      <c r="I545">
        <v>340785161</v>
      </c>
      <c r="K545" t="s">
        <v>4563</v>
      </c>
      <c r="L545" t="s">
        <v>3550</v>
      </c>
      <c r="M545" t="s">
        <v>2147</v>
      </c>
      <c r="N545">
        <v>34295</v>
      </c>
      <c r="O545" t="s">
        <v>858</v>
      </c>
      <c r="Q545" t="s">
        <v>4283</v>
      </c>
      <c r="R545">
        <v>633</v>
      </c>
      <c r="S545">
        <v>15</v>
      </c>
      <c r="T545">
        <v>15</v>
      </c>
      <c r="W545">
        <f>COUNTIFS('Clinical Trials HCO'!$A:$A, K545, 'Clinical Trials HCO'!$D:$D, "&lt;&gt;")</f>
        <v>1</v>
      </c>
      <c r="AF545" t="s">
        <v>414</v>
      </c>
      <c r="AG545" t="s">
        <v>414</v>
      </c>
    </row>
    <row r="546" spans="2:33" hidden="1">
      <c r="B546">
        <v>527</v>
      </c>
      <c r="F546">
        <f>COUNTIF(HCPs!W:W,HCO_Data!K546)</f>
        <v>0</v>
      </c>
      <c r="G546" t="str">
        <f>IF(COUNTIF('Testing Referrals'!B:B,HCO_Data!K546)&gt;0,"Yes","")</f>
        <v/>
      </c>
      <c r="H546">
        <f>COUNTIF('HCO referrals'!B:B,HCO_Data!K546)+COUNTIF('HCO referrals'!C:C,HCO_Data!K546)</f>
        <v>0</v>
      </c>
      <c r="I546">
        <v>130784051</v>
      </c>
      <c r="K546" t="s">
        <v>3815</v>
      </c>
      <c r="L546" t="s">
        <v>1596</v>
      </c>
      <c r="M546" t="s">
        <v>2199</v>
      </c>
      <c r="N546">
        <v>13009</v>
      </c>
      <c r="O546" t="s">
        <v>822</v>
      </c>
      <c r="Q546" t="s">
        <v>4283</v>
      </c>
      <c r="R546">
        <v>403</v>
      </c>
      <c r="S546">
        <v>15</v>
      </c>
      <c r="T546">
        <v>15</v>
      </c>
      <c r="W546">
        <f>COUNTIFS('Clinical Trials HCO'!$A:$A, K546, 'Clinical Trials HCO'!$D:$D, "&lt;&gt;")</f>
        <v>0</v>
      </c>
      <c r="AF546" t="s">
        <v>414</v>
      </c>
      <c r="AG546" t="s">
        <v>414</v>
      </c>
    </row>
    <row r="547" spans="2:33" hidden="1">
      <c r="F547">
        <f>COUNTIF(HCPs!W:W,HCO_Data!K547)</f>
        <v>0</v>
      </c>
      <c r="G547" t="str">
        <f>IF(COUNTIF('Testing Referrals'!B:B,HCO_Data!K547)&gt;0,"Yes","")</f>
        <v/>
      </c>
      <c r="H547">
        <f>COUNTIF('HCO referrals'!B:B,HCO_Data!K547)+COUNTIF('HCO referrals'!C:C,HCO_Data!K547)</f>
        <v>0</v>
      </c>
      <c r="I547">
        <v>10000065</v>
      </c>
      <c r="K547" t="s">
        <v>10538</v>
      </c>
      <c r="L547" t="s">
        <v>9036</v>
      </c>
      <c r="M547" t="s">
        <v>9037</v>
      </c>
      <c r="O547" t="s">
        <v>9038</v>
      </c>
      <c r="P547" t="s">
        <v>756</v>
      </c>
      <c r="Q547" t="s">
        <v>4283</v>
      </c>
      <c r="R547">
        <v>646</v>
      </c>
      <c r="S547">
        <v>15</v>
      </c>
      <c r="T547">
        <v>15</v>
      </c>
      <c r="W547">
        <f>COUNTIFS('Clinical Trials HCO'!$A:$A, K547, 'Clinical Trials HCO'!$D:$D, "&lt;&gt;")</f>
        <v>0</v>
      </c>
    </row>
    <row r="548" spans="2:33" hidden="1">
      <c r="F548">
        <f>COUNTIF(HCPs!W:W,HCO_Data!K548)</f>
        <v>0</v>
      </c>
      <c r="G548" t="str">
        <f>IF(COUNTIF('Testing Referrals'!B:B,HCO_Data!K548)&gt;0,"Yes","")</f>
        <v/>
      </c>
      <c r="H548">
        <f>COUNTIF('HCO referrals'!B:B,HCO_Data!K548)+COUNTIF('HCO referrals'!C:C,HCO_Data!K548)</f>
        <v>0</v>
      </c>
      <c r="I548">
        <v>70000013</v>
      </c>
      <c r="K548" t="s">
        <v>10539</v>
      </c>
      <c r="L548" t="s">
        <v>8770</v>
      </c>
      <c r="M548" t="s">
        <v>8771</v>
      </c>
      <c r="O548" t="s">
        <v>8772</v>
      </c>
      <c r="P548" t="s">
        <v>773</v>
      </c>
      <c r="Q548" t="s">
        <v>4283</v>
      </c>
      <c r="R548">
        <v>410</v>
      </c>
      <c r="S548">
        <v>15</v>
      </c>
      <c r="T548">
        <v>15</v>
      </c>
      <c r="W548">
        <f>COUNTIFS('Clinical Trials HCO'!$A:$A, K548, 'Clinical Trials HCO'!$D:$D, "&lt;&gt;")</f>
        <v>0</v>
      </c>
    </row>
    <row r="549" spans="2:33" hidden="1">
      <c r="B549">
        <v>539</v>
      </c>
      <c r="F549">
        <f>COUNTIF(HCPs!W:W,HCO_Data!K549)</f>
        <v>0</v>
      </c>
      <c r="G549" t="str">
        <f>IF(COUNTIF('Testing Referrals'!B:B,HCO_Data!K549)&gt;0,"Yes","")</f>
        <v/>
      </c>
      <c r="H549">
        <f>COUNTIF('HCO referrals'!B:B,HCO_Data!K549)+COUNTIF('HCO referrals'!C:C,HCO_Data!K549)</f>
        <v>0</v>
      </c>
      <c r="I549">
        <v>100010818</v>
      </c>
      <c r="K549" t="s">
        <v>10540</v>
      </c>
      <c r="L549" t="s">
        <v>1543</v>
      </c>
      <c r="M549" t="s">
        <v>2122</v>
      </c>
      <c r="N549">
        <v>10000</v>
      </c>
      <c r="O549" t="s">
        <v>1733</v>
      </c>
      <c r="Q549" t="s">
        <v>4283</v>
      </c>
      <c r="R549">
        <v>526</v>
      </c>
      <c r="S549">
        <v>15</v>
      </c>
      <c r="T549">
        <v>15</v>
      </c>
      <c r="W549">
        <f>COUNTIFS('Clinical Trials HCO'!$A:$A, K549, 'Clinical Trials HCO'!$D:$D, "&lt;&gt;")</f>
        <v>0</v>
      </c>
      <c r="AG549" t="s">
        <v>414</v>
      </c>
    </row>
    <row r="550" spans="2:33" hidden="1">
      <c r="B550">
        <v>154</v>
      </c>
      <c r="F550">
        <f>COUNTIF(HCPs!W:W,HCO_Data!K550)</f>
        <v>0</v>
      </c>
      <c r="G550" t="str">
        <f>IF(COUNTIF('Testing Referrals'!B:B,HCO_Data!K550)&gt;0,"Yes","")</f>
        <v/>
      </c>
      <c r="H550">
        <f>COUNTIF('HCO referrals'!B:B,HCO_Data!K550)+COUNTIF('HCO referrals'!C:C,HCO_Data!K550)</f>
        <v>0</v>
      </c>
      <c r="I550">
        <v>420780637</v>
      </c>
      <c r="K550" t="s">
        <v>10541</v>
      </c>
      <c r="L550" t="s">
        <v>1407</v>
      </c>
      <c r="M550" t="s">
        <v>1852</v>
      </c>
      <c r="N550">
        <v>42403</v>
      </c>
      <c r="O550" t="s">
        <v>1853</v>
      </c>
      <c r="Q550" t="s">
        <v>4283</v>
      </c>
      <c r="R550">
        <v>416</v>
      </c>
      <c r="S550">
        <v>15</v>
      </c>
      <c r="T550">
        <v>15</v>
      </c>
      <c r="W550">
        <f>COUNTIFS('Clinical Trials HCO'!$A:$A, K550, 'Clinical Trials HCO'!$D:$D, "&lt;&gt;")</f>
        <v>0</v>
      </c>
      <c r="AF550" t="s">
        <v>414</v>
      </c>
    </row>
    <row r="551" spans="2:33" hidden="1">
      <c r="F551">
        <f>COUNTIF(HCPs!W:W,HCO_Data!K551)</f>
        <v>0</v>
      </c>
      <c r="G551" t="str">
        <f>IF(COUNTIF('Testing Referrals'!B:B,HCO_Data!K551)&gt;0,"Yes","")</f>
        <v/>
      </c>
      <c r="H551">
        <f>COUNTIF('HCO referrals'!B:B,HCO_Data!K551)+COUNTIF('HCO referrals'!C:C,HCO_Data!K551)</f>
        <v>0</v>
      </c>
      <c r="I551">
        <v>560002974</v>
      </c>
      <c r="K551" t="s">
        <v>10542</v>
      </c>
      <c r="L551" t="s">
        <v>9011</v>
      </c>
      <c r="M551" t="s">
        <v>9012</v>
      </c>
      <c r="O551" t="s">
        <v>9013</v>
      </c>
      <c r="P551" t="s">
        <v>734</v>
      </c>
      <c r="Q551" t="s">
        <v>4283</v>
      </c>
      <c r="R551">
        <v>629</v>
      </c>
      <c r="S551">
        <v>15</v>
      </c>
      <c r="T551">
        <v>15</v>
      </c>
      <c r="W551">
        <f>COUNTIFS('Clinical Trials HCO'!$A:$A, K551, 'Clinical Trials HCO'!$D:$D, "&lt;&gt;")</f>
        <v>0</v>
      </c>
    </row>
    <row r="552" spans="2:33" hidden="1">
      <c r="F552">
        <f>COUNTIF(HCPs!W:W,HCO_Data!K552)</f>
        <v>0</v>
      </c>
      <c r="G552" t="str">
        <f>IF(COUNTIF('Testing Referrals'!B:B,HCO_Data!K552)&gt;0,"Yes","")</f>
        <v/>
      </c>
      <c r="H552">
        <f>COUNTIF('HCO referrals'!B:B,HCO_Data!K552)+COUNTIF('HCO referrals'!C:C,HCO_Data!K552)</f>
        <v>0</v>
      </c>
      <c r="I552">
        <v>570003079</v>
      </c>
      <c r="K552" t="s">
        <v>10543</v>
      </c>
      <c r="L552" t="s">
        <v>9019</v>
      </c>
      <c r="M552" t="s">
        <v>9020</v>
      </c>
      <c r="O552" t="s">
        <v>2149</v>
      </c>
      <c r="P552" t="s">
        <v>710</v>
      </c>
      <c r="Q552" t="s">
        <v>4283</v>
      </c>
      <c r="R552">
        <v>639</v>
      </c>
      <c r="S552">
        <v>15</v>
      </c>
      <c r="T552">
        <v>15</v>
      </c>
      <c r="W552">
        <f>COUNTIFS('Clinical Trials HCO'!$A:$A, K552, 'Clinical Trials HCO'!$D:$D, "&lt;&gt;")</f>
        <v>0</v>
      </c>
    </row>
    <row r="553" spans="2:33" hidden="1">
      <c r="B553">
        <v>358</v>
      </c>
      <c r="F553">
        <f>COUNTIF(HCPs!W:W,HCO_Data!K553)</f>
        <v>0</v>
      </c>
      <c r="G553" t="str">
        <f>IF(COUNTIF('Testing Referrals'!B:B,HCO_Data!K553)&gt;0,"Yes","")</f>
        <v/>
      </c>
      <c r="H553">
        <f>COUNTIF('HCO referrals'!B:B,HCO_Data!K553)+COUNTIF('HCO referrals'!C:C,HCO_Data!K553)</f>
        <v>0</v>
      </c>
      <c r="I553">
        <v>590000758</v>
      </c>
      <c r="K553" t="s">
        <v>10544</v>
      </c>
      <c r="L553" t="s">
        <v>2390</v>
      </c>
      <c r="M553" t="s">
        <v>2671</v>
      </c>
      <c r="N553">
        <v>59421</v>
      </c>
      <c r="O553" t="s">
        <v>2672</v>
      </c>
      <c r="Q553" t="s">
        <v>4283</v>
      </c>
      <c r="R553">
        <v>413</v>
      </c>
      <c r="S553">
        <v>15</v>
      </c>
      <c r="T553">
        <v>15</v>
      </c>
      <c r="W553">
        <f>COUNTIFS('Clinical Trials HCO'!$A:$A, K553, 'Clinical Trials HCO'!$D:$D, "&lt;&gt;")</f>
        <v>0</v>
      </c>
      <c r="AG553" t="s">
        <v>414</v>
      </c>
    </row>
    <row r="554" spans="2:33" hidden="1">
      <c r="B554">
        <v>681</v>
      </c>
      <c r="F554">
        <f>COUNTIF(HCPs!W:W,HCO_Data!K554)</f>
        <v>0</v>
      </c>
      <c r="G554" t="str">
        <f>IF(COUNTIF('Testing Referrals'!B:B,HCO_Data!K554)&gt;0,"Yes","")</f>
        <v/>
      </c>
      <c r="H554">
        <f>COUNTIF('HCO referrals'!B:B,HCO_Data!K554)+COUNTIF('HCO referrals'!C:C,HCO_Data!K554)</f>
        <v>0</v>
      </c>
      <c r="I554">
        <v>590816310</v>
      </c>
      <c r="K554" t="s">
        <v>10545</v>
      </c>
      <c r="L554" t="s">
        <v>2489</v>
      </c>
      <c r="M554" t="s">
        <v>2803</v>
      </c>
      <c r="N554">
        <v>59552</v>
      </c>
      <c r="O554" t="s">
        <v>2804</v>
      </c>
      <c r="Q554" t="s">
        <v>4283</v>
      </c>
      <c r="R554">
        <v>578</v>
      </c>
      <c r="S554">
        <v>15</v>
      </c>
      <c r="T554">
        <v>15</v>
      </c>
      <c r="W554">
        <f>COUNTIFS('Clinical Trials HCO'!$A:$A, K554, 'Clinical Trials HCO'!$D:$D, "&lt;&gt;")</f>
        <v>0</v>
      </c>
      <c r="AG554" t="s">
        <v>414</v>
      </c>
    </row>
    <row r="555" spans="2:33" hidden="1">
      <c r="B555">
        <v>113</v>
      </c>
      <c r="F555">
        <f>COUNTIF(HCPs!W:W,HCO_Data!K555)</f>
        <v>0</v>
      </c>
      <c r="G555" t="str">
        <f>IF(COUNTIF('Testing Referrals'!B:B,HCO_Data!K555)&gt;0,"Yes","")</f>
        <v/>
      </c>
      <c r="H555">
        <f>COUNTIF('HCO referrals'!B:B,HCO_Data!K555)+COUNTIF('HCO referrals'!C:C,HCO_Data!K555)</f>
        <v>0</v>
      </c>
      <c r="I555">
        <v>750300766</v>
      </c>
      <c r="J555" s="72" t="s">
        <v>8011</v>
      </c>
      <c r="K555" t="s">
        <v>10546</v>
      </c>
      <c r="L555" t="s">
        <v>8012</v>
      </c>
      <c r="M555" t="s">
        <v>2043</v>
      </c>
      <c r="N555">
        <v>75016</v>
      </c>
      <c r="O555" t="s">
        <v>700</v>
      </c>
      <c r="Q555" t="s">
        <v>4283</v>
      </c>
      <c r="R555">
        <v>399</v>
      </c>
      <c r="S555">
        <v>15</v>
      </c>
      <c r="T555">
        <v>15</v>
      </c>
      <c r="W555">
        <f>COUNTIFS('Clinical Trials HCO'!$A:$A, K555, 'Clinical Trials HCO'!$D:$D, "&lt;&gt;")</f>
        <v>0</v>
      </c>
      <c r="AF555" t="s">
        <v>414</v>
      </c>
      <c r="AG555" t="s">
        <v>414</v>
      </c>
    </row>
    <row r="556" spans="2:33" hidden="1">
      <c r="B556">
        <v>499</v>
      </c>
      <c r="F556">
        <f>COUNTIF(HCPs!W:W,HCO_Data!K556)</f>
        <v>0</v>
      </c>
      <c r="G556" t="str">
        <f>IF(COUNTIF('Testing Referrals'!B:B,HCO_Data!K556)&gt;0,"Yes","")</f>
        <v/>
      </c>
      <c r="H556">
        <f>COUNTIF('HCO referrals'!B:B,HCO_Data!K556)+COUNTIF('HCO referrals'!C:C,HCO_Data!K556)</f>
        <v>0</v>
      </c>
      <c r="I556">
        <v>770300143</v>
      </c>
      <c r="K556" t="s">
        <v>10547</v>
      </c>
      <c r="L556" t="s">
        <v>1527</v>
      </c>
      <c r="M556" t="s">
        <v>2096</v>
      </c>
      <c r="N556">
        <v>77000</v>
      </c>
      <c r="O556" t="s">
        <v>1827</v>
      </c>
      <c r="Q556" t="s">
        <v>4283</v>
      </c>
      <c r="R556">
        <v>443</v>
      </c>
      <c r="S556">
        <v>15</v>
      </c>
      <c r="T556">
        <v>15</v>
      </c>
      <c r="W556">
        <f>COUNTIFS('Clinical Trials HCO'!$A:$A, K556, 'Clinical Trials HCO'!$D:$D, "&lt;&gt;")</f>
        <v>0</v>
      </c>
      <c r="AF556" t="s">
        <v>414</v>
      </c>
      <c r="AG556" t="s">
        <v>414</v>
      </c>
    </row>
    <row r="557" spans="2:33" hidden="1">
      <c r="B557">
        <v>392</v>
      </c>
      <c r="F557">
        <f>COUNTIF(HCPs!W:W,HCO_Data!K557)</f>
        <v>0</v>
      </c>
      <c r="G557" t="str">
        <f>IF(COUNTIF('Testing Referrals'!B:B,HCO_Data!K557)&gt;0,"Yes","")</f>
        <v/>
      </c>
      <c r="H557">
        <f>COUNTIF('HCO referrals'!B:B,HCO_Data!K557)+COUNTIF('HCO referrals'!C:C,HCO_Data!K557)</f>
        <v>0</v>
      </c>
      <c r="I557">
        <v>780000295</v>
      </c>
      <c r="K557" t="s">
        <v>10548</v>
      </c>
      <c r="L557" t="s">
        <v>2411</v>
      </c>
      <c r="M557" t="s">
        <v>2711</v>
      </c>
      <c r="N557">
        <v>78250</v>
      </c>
      <c r="O557" t="s">
        <v>2712</v>
      </c>
      <c r="Q557" t="s">
        <v>4283</v>
      </c>
      <c r="R557">
        <v>613</v>
      </c>
      <c r="S557">
        <v>15</v>
      </c>
      <c r="T557">
        <v>15</v>
      </c>
      <c r="W557">
        <f>COUNTIFS('Clinical Trials HCO'!$A:$A, K557, 'Clinical Trials HCO'!$D:$D, "&lt;&gt;")</f>
        <v>0</v>
      </c>
      <c r="AF557" t="s">
        <v>414</v>
      </c>
      <c r="AG557" t="s">
        <v>414</v>
      </c>
    </row>
    <row r="558" spans="2:33" hidden="1">
      <c r="B558">
        <v>495</v>
      </c>
      <c r="F558">
        <f>COUNTIF(HCPs!W:W,HCO_Data!K558)</f>
        <v>0</v>
      </c>
      <c r="G558" t="str">
        <f>IF(COUNTIF('Testing Referrals'!B:B,HCO_Data!K558)&gt;0,"Yes","")</f>
        <v/>
      </c>
      <c r="H558">
        <f>COUNTIF('HCO referrals'!B:B,HCO_Data!K558)+COUNTIF('HCO referrals'!C:C,HCO_Data!K558)</f>
        <v>0</v>
      </c>
      <c r="I558">
        <v>130782147</v>
      </c>
      <c r="K558" t="s">
        <v>10549</v>
      </c>
      <c r="L558" t="s">
        <v>2465</v>
      </c>
      <c r="M558" t="s">
        <v>2778</v>
      </c>
      <c r="N558">
        <v>13700</v>
      </c>
      <c r="O558" t="s">
        <v>2779</v>
      </c>
      <c r="Q558" t="s">
        <v>4283</v>
      </c>
      <c r="R558">
        <v>616</v>
      </c>
      <c r="S558">
        <v>14</v>
      </c>
      <c r="T558">
        <v>14</v>
      </c>
      <c r="W558">
        <f>COUNTIFS('Clinical Trials HCO'!$A:$A, K558, 'Clinical Trials HCO'!$D:$D, "&lt;&gt;")</f>
        <v>0</v>
      </c>
      <c r="AG558" t="s">
        <v>414</v>
      </c>
    </row>
    <row r="559" spans="2:33" hidden="1">
      <c r="F559">
        <f>COUNTIF(HCPs!W:W,HCO_Data!K559)</f>
        <v>0</v>
      </c>
      <c r="G559" t="str">
        <f>IF(COUNTIF('Testing Referrals'!B:B,HCO_Data!K559)&gt;0,"Yes","")</f>
        <v/>
      </c>
      <c r="H559">
        <f>COUNTIF('HCO referrals'!B:B,HCO_Data!K559)+COUNTIF('HCO referrals'!C:C,HCO_Data!K559)</f>
        <v>0</v>
      </c>
      <c r="I559">
        <v>210015269</v>
      </c>
      <c r="K559" t="s">
        <v>10550</v>
      </c>
      <c r="L559" t="s">
        <v>8879</v>
      </c>
      <c r="M559" t="s">
        <v>8880</v>
      </c>
      <c r="O559" t="s">
        <v>844</v>
      </c>
      <c r="P559" t="s">
        <v>709</v>
      </c>
      <c r="Q559" t="s">
        <v>4283</v>
      </c>
      <c r="R559">
        <v>530</v>
      </c>
      <c r="S559">
        <v>14</v>
      </c>
      <c r="T559">
        <v>14</v>
      </c>
      <c r="W559">
        <f>COUNTIFS('Clinical Trials HCO'!$A:$A, K559, 'Clinical Trials HCO'!$D:$D, "&lt;&gt;")</f>
        <v>0</v>
      </c>
    </row>
    <row r="560" spans="2:33" hidden="1">
      <c r="F560">
        <f>COUNTIF(HCPs!W:W,HCO_Data!K560)</f>
        <v>0</v>
      </c>
      <c r="G560" t="str">
        <f>IF(COUNTIF('Testing Referrals'!B:B,HCO_Data!K560)&gt;0,"Yes","")</f>
        <v/>
      </c>
      <c r="H560">
        <f>COUNTIF('HCO referrals'!B:B,HCO_Data!K560)+COUNTIF('HCO referrals'!C:C,HCO_Data!K560)</f>
        <v>0</v>
      </c>
      <c r="I560">
        <v>270000458</v>
      </c>
      <c r="K560" t="s">
        <v>10551</v>
      </c>
      <c r="L560" t="s">
        <v>8795</v>
      </c>
      <c r="M560" t="s">
        <v>8796</v>
      </c>
      <c r="O560" t="s">
        <v>8797</v>
      </c>
      <c r="P560" t="s">
        <v>723</v>
      </c>
      <c r="Q560" t="s">
        <v>4283</v>
      </c>
      <c r="R560">
        <v>446</v>
      </c>
      <c r="S560">
        <v>14</v>
      </c>
      <c r="T560">
        <v>14</v>
      </c>
      <c r="W560">
        <f>COUNTIFS('Clinical Trials HCO'!$A:$A, K560, 'Clinical Trials HCO'!$D:$D, "&lt;&gt;")</f>
        <v>0</v>
      </c>
    </row>
    <row r="561" spans="2:33" hidden="1">
      <c r="F561">
        <f>COUNTIF(HCPs!W:W,HCO_Data!K561)</f>
        <v>0</v>
      </c>
      <c r="G561" t="str">
        <f>IF(COUNTIF('Testing Referrals'!B:B,HCO_Data!K561)&gt;0,"Yes","")</f>
        <v/>
      </c>
      <c r="H561">
        <f>COUNTIF('HCO referrals'!B:B,HCO_Data!K561)+COUNTIF('HCO referrals'!C:C,HCO_Data!K561)</f>
        <v>0</v>
      </c>
      <c r="I561">
        <v>330780495</v>
      </c>
      <c r="K561" t="s">
        <v>10552</v>
      </c>
      <c r="L561" t="s">
        <v>8781</v>
      </c>
      <c r="M561" t="s">
        <v>8782</v>
      </c>
      <c r="O561" t="s">
        <v>8783</v>
      </c>
      <c r="P561" t="s">
        <v>716</v>
      </c>
      <c r="Q561" t="s">
        <v>4283</v>
      </c>
      <c r="R561">
        <v>427</v>
      </c>
      <c r="S561">
        <v>14</v>
      </c>
      <c r="T561">
        <v>14</v>
      </c>
      <c r="W561">
        <f>COUNTIFS('Clinical Trials HCO'!$A:$A, K561, 'Clinical Trials HCO'!$D:$D, "&lt;&gt;")</f>
        <v>0</v>
      </c>
    </row>
    <row r="562" spans="2:33" hidden="1">
      <c r="B562">
        <v>303</v>
      </c>
      <c r="F562">
        <f>COUNTIF(HCPs!W:W,HCO_Data!K562)</f>
        <v>0</v>
      </c>
      <c r="G562" t="str">
        <f>IF(COUNTIF('Testing Referrals'!B:B,HCO_Data!K562)&gt;0,"Yes","")</f>
        <v/>
      </c>
      <c r="H562">
        <f>COUNTIF('HCO referrals'!B:B,HCO_Data!K562)+COUNTIF('HCO referrals'!C:C,HCO_Data!K562)</f>
        <v>0</v>
      </c>
      <c r="I562">
        <v>340009885</v>
      </c>
      <c r="K562" t="s">
        <v>10553</v>
      </c>
      <c r="L562" t="s">
        <v>1676</v>
      </c>
      <c r="M562" t="s">
        <v>2328</v>
      </c>
      <c r="N562">
        <v>34535</v>
      </c>
      <c r="O562" t="s">
        <v>1790</v>
      </c>
      <c r="Q562" t="s">
        <v>4283</v>
      </c>
      <c r="R562">
        <v>480</v>
      </c>
      <c r="S562">
        <v>14</v>
      </c>
      <c r="T562">
        <v>14</v>
      </c>
      <c r="W562">
        <f>COUNTIFS('Clinical Trials HCO'!$A:$A, K562, 'Clinical Trials HCO'!$D:$D, "&lt;&gt;")</f>
        <v>0</v>
      </c>
      <c r="AG562" t="s">
        <v>414</v>
      </c>
    </row>
    <row r="563" spans="2:33" hidden="1">
      <c r="F563">
        <f>COUNTIF(HCPs!W:W,HCO_Data!K563)</f>
        <v>0</v>
      </c>
      <c r="G563" t="str">
        <f>IF(COUNTIF('Testing Referrals'!B:B,HCO_Data!K563)&gt;0,"Yes","")</f>
        <v/>
      </c>
      <c r="H563">
        <f>COUNTIF('HCO referrals'!B:B,HCO_Data!K563)+COUNTIF('HCO referrals'!C:C,HCO_Data!K563)</f>
        <v>0</v>
      </c>
      <c r="I563">
        <v>350000162</v>
      </c>
      <c r="K563" t="s">
        <v>10554</v>
      </c>
      <c r="L563" t="s">
        <v>8792</v>
      </c>
      <c r="M563" t="s">
        <v>8793</v>
      </c>
      <c r="O563" t="s">
        <v>8794</v>
      </c>
      <c r="P563" t="s">
        <v>720</v>
      </c>
      <c r="Q563" t="s">
        <v>4283</v>
      </c>
      <c r="R563">
        <v>441</v>
      </c>
      <c r="S563">
        <v>14</v>
      </c>
      <c r="T563">
        <v>14</v>
      </c>
      <c r="W563">
        <f>COUNTIFS('Clinical Trials HCO'!$A:$A, K563, 'Clinical Trials HCO'!$D:$D, "&lt;&gt;")</f>
        <v>0</v>
      </c>
    </row>
    <row r="564" spans="2:33" hidden="1">
      <c r="F564">
        <f>COUNTIF(HCPs!W:W,HCO_Data!K564)</f>
        <v>0</v>
      </c>
      <c r="G564" t="str">
        <f>IF(COUNTIF('Testing Referrals'!B:B,HCO_Data!K564)&gt;0,"Yes","")</f>
        <v/>
      </c>
      <c r="H564">
        <f>COUNTIF('HCO referrals'!B:B,HCO_Data!K564)+COUNTIF('HCO referrals'!C:C,HCO_Data!K564)</f>
        <v>0</v>
      </c>
      <c r="I564">
        <v>370001109</v>
      </c>
      <c r="K564" t="s">
        <v>10555</v>
      </c>
      <c r="L564" t="s">
        <v>9047</v>
      </c>
      <c r="M564" t="s">
        <v>9048</v>
      </c>
      <c r="O564" t="s">
        <v>9049</v>
      </c>
      <c r="P564" t="s">
        <v>726</v>
      </c>
      <c r="Q564" t="s">
        <v>4283</v>
      </c>
      <c r="R564">
        <v>650</v>
      </c>
      <c r="S564">
        <v>14</v>
      </c>
      <c r="T564">
        <v>14</v>
      </c>
      <c r="W564">
        <f>COUNTIFS('Clinical Trials HCO'!$A:$A, K564, 'Clinical Trials HCO'!$D:$D, "&lt;&gt;")</f>
        <v>0</v>
      </c>
    </row>
    <row r="565" spans="2:33" hidden="1">
      <c r="B565">
        <v>377</v>
      </c>
      <c r="F565">
        <f>COUNTIF(HCPs!W:W,HCO_Data!K565)</f>
        <v>0</v>
      </c>
      <c r="G565" t="str">
        <f>IF(COUNTIF('Testing Referrals'!B:B,HCO_Data!K565)&gt;0,"Yes","")</f>
        <v/>
      </c>
      <c r="H565">
        <f>COUNTIF('HCO referrals'!B:B,HCO_Data!K565)+COUNTIF('HCO referrals'!C:C,HCO_Data!K565)</f>
        <v>0</v>
      </c>
      <c r="I565">
        <v>420000234</v>
      </c>
      <c r="K565" t="s">
        <v>10556</v>
      </c>
      <c r="L565" t="s">
        <v>2393</v>
      </c>
      <c r="M565" t="s">
        <v>2679</v>
      </c>
      <c r="N565">
        <v>42700</v>
      </c>
      <c r="O565" t="s">
        <v>2680</v>
      </c>
      <c r="Q565" t="s">
        <v>4283</v>
      </c>
      <c r="R565">
        <v>632</v>
      </c>
      <c r="S565">
        <v>14</v>
      </c>
      <c r="T565">
        <v>14</v>
      </c>
      <c r="W565">
        <f>COUNTIFS('Clinical Trials HCO'!$A:$A, K565, 'Clinical Trials HCO'!$D:$D, "&lt;&gt;")</f>
        <v>0</v>
      </c>
      <c r="AF565" t="s">
        <v>414</v>
      </c>
    </row>
    <row r="566" spans="2:33" hidden="1">
      <c r="B566">
        <v>366</v>
      </c>
      <c r="F566">
        <f>COUNTIF(HCPs!W:W,HCO_Data!K566)</f>
        <v>0</v>
      </c>
      <c r="G566" t="str">
        <f>IF(COUNTIF('Testing Referrals'!B:B,HCO_Data!K566)&gt;0,"Yes","")</f>
        <v/>
      </c>
      <c r="H566">
        <f>COUNTIF('HCO referrals'!B:B,HCO_Data!K566)+COUNTIF('HCO referrals'!C:C,HCO_Data!K566)</f>
        <v>0</v>
      </c>
      <c r="I566">
        <v>530000017</v>
      </c>
      <c r="K566" t="s">
        <v>10557</v>
      </c>
      <c r="L566" t="s">
        <v>2397</v>
      </c>
      <c r="M566" t="s">
        <v>2687</v>
      </c>
      <c r="N566">
        <v>53204</v>
      </c>
      <c r="O566" t="s">
        <v>2688</v>
      </c>
      <c r="Q566" t="s">
        <v>4283</v>
      </c>
      <c r="R566">
        <v>460</v>
      </c>
      <c r="S566">
        <v>14</v>
      </c>
      <c r="T566">
        <v>14</v>
      </c>
      <c r="W566">
        <f>COUNTIFS('Clinical Trials HCO'!$A:$A, K566, 'Clinical Trials HCO'!$D:$D, "&lt;&gt;")</f>
        <v>0</v>
      </c>
      <c r="AF566" t="s">
        <v>414</v>
      </c>
      <c r="AG566" t="s">
        <v>414</v>
      </c>
    </row>
    <row r="567" spans="2:33" hidden="1">
      <c r="F567">
        <f>COUNTIF(HCPs!W:W,HCO_Data!K567)</f>
        <v>0</v>
      </c>
      <c r="G567" t="str">
        <f>IF(COUNTIF('Testing Referrals'!B:B,HCO_Data!K567)&gt;0,"Yes","")</f>
        <v/>
      </c>
      <c r="H567">
        <f>COUNTIF('HCO referrals'!B:B,HCO_Data!K567)+COUNTIF('HCO referrals'!C:C,HCO_Data!K567)</f>
        <v>0</v>
      </c>
      <c r="I567">
        <v>720000470</v>
      </c>
      <c r="K567" t="s">
        <v>10558</v>
      </c>
      <c r="L567" t="s">
        <v>9021</v>
      </c>
      <c r="M567" t="s">
        <v>9022</v>
      </c>
      <c r="O567" t="s">
        <v>9023</v>
      </c>
      <c r="P567" t="s">
        <v>739</v>
      </c>
      <c r="Q567" t="s">
        <v>4283</v>
      </c>
      <c r="R567">
        <v>640</v>
      </c>
      <c r="S567">
        <v>14</v>
      </c>
      <c r="T567">
        <v>14</v>
      </c>
      <c r="W567">
        <f>COUNTIFS('Clinical Trials HCO'!$A:$A, K567, 'Clinical Trials HCO'!$D:$D, "&lt;&gt;")</f>
        <v>0</v>
      </c>
    </row>
    <row r="568" spans="2:33" hidden="1">
      <c r="B568">
        <v>341</v>
      </c>
      <c r="F568">
        <f>COUNTIF(HCPs!W:W,HCO_Data!K568)</f>
        <v>0</v>
      </c>
      <c r="G568" t="str">
        <f>IF(COUNTIF('Testing Referrals'!B:B,HCO_Data!K568)&gt;0,"Yes","")</f>
        <v/>
      </c>
      <c r="H568">
        <f>COUNTIF('HCO referrals'!B:B,HCO_Data!K568)+COUNTIF('HCO referrals'!C:C,HCO_Data!K568)</f>
        <v>2</v>
      </c>
      <c r="I568">
        <v>740780416</v>
      </c>
      <c r="K568" t="s">
        <v>10559</v>
      </c>
      <c r="L568" t="s">
        <v>2447</v>
      </c>
      <c r="M568" t="s">
        <v>2743</v>
      </c>
      <c r="N568">
        <v>74370</v>
      </c>
      <c r="O568" t="s">
        <v>2744</v>
      </c>
      <c r="Q568" t="s">
        <v>4283</v>
      </c>
      <c r="R568">
        <v>645</v>
      </c>
      <c r="S568">
        <v>14</v>
      </c>
      <c r="T568">
        <v>14</v>
      </c>
      <c r="W568">
        <f>COUNTIFS('Clinical Trials HCO'!$A:$A, K568, 'Clinical Trials HCO'!$D:$D, "&lt;&gt;")</f>
        <v>0</v>
      </c>
      <c r="AD568" s="12" t="s">
        <v>414</v>
      </c>
      <c r="AE568" s="12" t="s">
        <v>3928</v>
      </c>
      <c r="AF568" t="s">
        <v>414</v>
      </c>
    </row>
    <row r="569" spans="2:33" hidden="1">
      <c r="F569">
        <f>COUNTIF(HCPs!W:W,HCO_Data!K569)</f>
        <v>0</v>
      </c>
      <c r="G569" t="str">
        <f>IF(COUNTIF('Testing Referrals'!B:B,HCO_Data!K569)&gt;0,"Yes","")</f>
        <v/>
      </c>
      <c r="H569">
        <f>COUNTIF('HCO referrals'!B:B,HCO_Data!K569)+COUNTIF('HCO referrals'!C:C,HCO_Data!K569)</f>
        <v>0</v>
      </c>
      <c r="I569">
        <v>840013445</v>
      </c>
      <c r="K569" t="s">
        <v>10560</v>
      </c>
      <c r="L569" t="s">
        <v>9067</v>
      </c>
      <c r="M569" t="s">
        <v>9068</v>
      </c>
      <c r="O569" t="s">
        <v>9069</v>
      </c>
      <c r="P569" t="s">
        <v>760</v>
      </c>
      <c r="Q569" t="s">
        <v>4283</v>
      </c>
      <c r="R569">
        <v>658</v>
      </c>
      <c r="S569">
        <v>14</v>
      </c>
      <c r="T569">
        <v>14</v>
      </c>
      <c r="W569">
        <f>COUNTIFS('Clinical Trials HCO'!$A:$A, K569, 'Clinical Trials HCO'!$D:$D, "&lt;&gt;")</f>
        <v>0</v>
      </c>
    </row>
    <row r="570" spans="2:33" hidden="1">
      <c r="B570">
        <v>364</v>
      </c>
      <c r="F570">
        <f>COUNTIF(HCPs!W:W,HCO_Data!K570)</f>
        <v>0</v>
      </c>
      <c r="G570" t="str">
        <f>IF(COUNTIF('Testing Referrals'!B:B,HCO_Data!K570)&gt;0,"Yes","")</f>
        <v/>
      </c>
      <c r="H570">
        <f>COUNTIF('HCO referrals'!B:B,HCO_Data!K570)+COUNTIF('HCO referrals'!C:C,HCO_Data!K570)</f>
        <v>0</v>
      </c>
      <c r="I570">
        <v>910001973</v>
      </c>
      <c r="K570" t="s">
        <v>10561</v>
      </c>
      <c r="L570" t="s">
        <v>2395</v>
      </c>
      <c r="M570" t="s">
        <v>2683</v>
      </c>
      <c r="N570">
        <v>91152</v>
      </c>
      <c r="O570" t="s">
        <v>2684</v>
      </c>
      <c r="Q570" t="s">
        <v>4283</v>
      </c>
      <c r="R570">
        <v>478</v>
      </c>
      <c r="S570">
        <v>14</v>
      </c>
      <c r="T570">
        <v>14</v>
      </c>
      <c r="W570">
        <f>COUNTIFS('Clinical Trials HCO'!$A:$A, K570, 'Clinical Trials HCO'!$D:$D, "&lt;&gt;")</f>
        <v>0</v>
      </c>
      <c r="AG570" t="s">
        <v>414</v>
      </c>
    </row>
    <row r="571" spans="2:33" hidden="1">
      <c r="F571">
        <f>COUNTIF(HCPs!W:W,HCO_Data!K571)</f>
        <v>0</v>
      </c>
      <c r="G571" t="str">
        <f>IF(COUNTIF('Testing Referrals'!B:B,HCO_Data!K571)&gt;0,"Yes","")</f>
        <v/>
      </c>
      <c r="H571">
        <f>COUNTIF('HCO referrals'!B:B,HCO_Data!K571)+COUNTIF('HCO referrals'!C:C,HCO_Data!K571)</f>
        <v>0</v>
      </c>
      <c r="I571">
        <v>920000593</v>
      </c>
      <c r="K571" t="s">
        <v>10562</v>
      </c>
      <c r="L571" t="s">
        <v>9070</v>
      </c>
      <c r="M571" t="s">
        <v>9071</v>
      </c>
      <c r="O571" t="s">
        <v>9072</v>
      </c>
      <c r="P571" t="s">
        <v>722</v>
      </c>
      <c r="Q571" t="s">
        <v>4283</v>
      </c>
      <c r="R571">
        <v>659</v>
      </c>
      <c r="S571">
        <v>14</v>
      </c>
      <c r="T571">
        <v>14</v>
      </c>
      <c r="W571">
        <f>COUNTIFS('Clinical Trials HCO'!$A:$A, K571, 'Clinical Trials HCO'!$D:$D, "&lt;&gt;")</f>
        <v>0</v>
      </c>
    </row>
    <row r="572" spans="2:33" hidden="1">
      <c r="F572">
        <f>COUNTIF(HCPs!W:W,HCO_Data!K572)</f>
        <v>0</v>
      </c>
      <c r="G572" t="str">
        <f>IF(COUNTIF('Testing Referrals'!B:B,HCO_Data!K572)&gt;0,"Yes","")</f>
        <v/>
      </c>
      <c r="H572">
        <f>COUNTIF('HCO referrals'!B:B,HCO_Data!K572)+COUNTIF('HCO referrals'!C:C,HCO_Data!K572)</f>
        <v>0</v>
      </c>
      <c r="I572">
        <v>930000294</v>
      </c>
      <c r="K572" t="s">
        <v>10563</v>
      </c>
      <c r="L572" t="s">
        <v>9039</v>
      </c>
      <c r="M572" t="s">
        <v>9040</v>
      </c>
      <c r="O572" t="s">
        <v>2134</v>
      </c>
      <c r="P572" t="s">
        <v>731</v>
      </c>
      <c r="Q572" t="s">
        <v>4283</v>
      </c>
      <c r="R572">
        <v>647</v>
      </c>
      <c r="S572">
        <v>14</v>
      </c>
      <c r="T572">
        <v>14</v>
      </c>
      <c r="W572">
        <f>COUNTIFS('Clinical Trials HCO'!$A:$A, K572, 'Clinical Trials HCO'!$D:$D, "&lt;&gt;")</f>
        <v>0</v>
      </c>
    </row>
    <row r="573" spans="2:33" hidden="1">
      <c r="B573">
        <v>395</v>
      </c>
      <c r="F573">
        <f>COUNTIF(HCPs!W:W,HCO_Data!K573)</f>
        <v>0</v>
      </c>
      <c r="G573" t="str">
        <f>IF(COUNTIF('Testing Referrals'!B:B,HCO_Data!K573)&gt;0,"Yes","")</f>
        <v/>
      </c>
      <c r="H573">
        <f>COUNTIF('HCO referrals'!B:B,HCO_Data!K573)+COUNTIF('HCO referrals'!C:C,HCO_Data!K573)</f>
        <v>0</v>
      </c>
      <c r="I573">
        <v>940000599</v>
      </c>
      <c r="K573" t="s">
        <v>10564</v>
      </c>
      <c r="L573" t="s">
        <v>1455</v>
      </c>
      <c r="M573" t="s">
        <v>1961</v>
      </c>
      <c r="N573">
        <v>94195</v>
      </c>
      <c r="O573" t="s">
        <v>1962</v>
      </c>
      <c r="Q573" t="s">
        <v>4283</v>
      </c>
      <c r="R573">
        <v>609</v>
      </c>
      <c r="S573">
        <v>14</v>
      </c>
      <c r="T573">
        <v>14</v>
      </c>
      <c r="W573">
        <f>COUNTIFS('Clinical Trials HCO'!$A:$A, K573, 'Clinical Trials HCO'!$D:$D, "&lt;&gt;")</f>
        <v>0</v>
      </c>
      <c r="AF573" t="s">
        <v>414</v>
      </c>
      <c r="AG573" t="s">
        <v>414</v>
      </c>
    </row>
    <row r="574" spans="2:33" hidden="1">
      <c r="B574">
        <v>531</v>
      </c>
      <c r="F574">
        <f>COUNTIF(HCPs!W:W,HCO_Data!K574)</f>
        <v>1</v>
      </c>
      <c r="G574" t="str">
        <f>IF(COUNTIF('Testing Referrals'!B:B,HCO_Data!K574)&gt;0,"Yes","")</f>
        <v/>
      </c>
      <c r="H574">
        <f>COUNTIF('HCO referrals'!B:B,HCO_Data!K574)+COUNTIF('HCO referrals'!C:C,HCO_Data!K574)</f>
        <v>0</v>
      </c>
      <c r="I574">
        <v>690780358</v>
      </c>
      <c r="K574" t="s">
        <v>3799</v>
      </c>
      <c r="L574" t="s">
        <v>5128</v>
      </c>
      <c r="M574" t="s">
        <v>2070</v>
      </c>
      <c r="N574">
        <v>69130</v>
      </c>
      <c r="O574" t="s">
        <v>2071</v>
      </c>
      <c r="Q574" t="s">
        <v>4283</v>
      </c>
      <c r="R574">
        <v>463</v>
      </c>
      <c r="S574">
        <v>13</v>
      </c>
      <c r="T574">
        <v>13</v>
      </c>
      <c r="W574">
        <f>COUNTIFS('Clinical Trials HCO'!$A:$A, K574, 'Clinical Trials HCO'!$D:$D, "&lt;&gt;")</f>
        <v>0</v>
      </c>
      <c r="AF574" t="s">
        <v>414</v>
      </c>
    </row>
    <row r="575" spans="2:33" hidden="1">
      <c r="F575">
        <f>COUNTIF(HCPs!W:W,HCO_Data!K575)</f>
        <v>0</v>
      </c>
      <c r="G575" t="str">
        <f>IF(COUNTIF('Testing Referrals'!B:B,HCO_Data!K575)&gt;0,"Yes","")</f>
        <v/>
      </c>
      <c r="H575">
        <f>COUNTIF('HCO referrals'!B:B,HCO_Data!K575)+COUNTIF('HCO referrals'!C:C,HCO_Data!K575)</f>
        <v>0</v>
      </c>
      <c r="I575">
        <v>160000360</v>
      </c>
      <c r="K575" t="s">
        <v>10565</v>
      </c>
      <c r="L575" t="s">
        <v>9041</v>
      </c>
      <c r="M575" t="s">
        <v>9042</v>
      </c>
      <c r="O575" t="s">
        <v>9043</v>
      </c>
      <c r="P575" t="s">
        <v>758</v>
      </c>
      <c r="Q575" t="s">
        <v>4283</v>
      </c>
      <c r="R575">
        <v>648</v>
      </c>
      <c r="S575">
        <v>13</v>
      </c>
      <c r="T575">
        <v>13</v>
      </c>
      <c r="W575">
        <f>COUNTIFS('Clinical Trials HCO'!$A:$A, K575, 'Clinical Trials HCO'!$D:$D, "&lt;&gt;")</f>
        <v>0</v>
      </c>
    </row>
    <row r="576" spans="2:33" hidden="1">
      <c r="F576">
        <f>COUNTIF(HCPs!W:W,HCO_Data!K576)</f>
        <v>0</v>
      </c>
      <c r="G576" t="str">
        <f>IF(COUNTIF('Testing Referrals'!B:B,HCO_Data!K576)&gt;0,"Yes","")</f>
        <v/>
      </c>
      <c r="H576">
        <f>COUNTIF('HCO referrals'!B:B,HCO_Data!K576)+COUNTIF('HCO referrals'!C:C,HCO_Data!K576)</f>
        <v>0</v>
      </c>
      <c r="I576">
        <v>290000181</v>
      </c>
      <c r="K576" t="s">
        <v>10566</v>
      </c>
      <c r="L576" t="s">
        <v>8850</v>
      </c>
      <c r="M576" t="s">
        <v>8851</v>
      </c>
      <c r="O576" t="s">
        <v>8852</v>
      </c>
      <c r="P576" t="s">
        <v>753</v>
      </c>
      <c r="Q576" t="s">
        <v>4283</v>
      </c>
      <c r="R576">
        <v>505</v>
      </c>
      <c r="S576">
        <v>13</v>
      </c>
      <c r="T576">
        <v>13</v>
      </c>
      <c r="W576">
        <f>COUNTIFS('Clinical Trials HCO'!$A:$A, K576, 'Clinical Trials HCO'!$D:$D, "&lt;&gt;")</f>
        <v>0</v>
      </c>
    </row>
    <row r="577" spans="2:33" hidden="1">
      <c r="B577">
        <v>548</v>
      </c>
      <c r="F577">
        <f>COUNTIF(HCPs!W:W,HCO_Data!K577)</f>
        <v>0</v>
      </c>
      <c r="G577" t="str">
        <f>IF(COUNTIF('Testing Referrals'!B:B,HCO_Data!K577)&gt;0,"Yes","")</f>
        <v/>
      </c>
      <c r="H577">
        <f>COUNTIF('HCO referrals'!B:B,HCO_Data!K577)+COUNTIF('HCO referrals'!C:C,HCO_Data!K577)</f>
        <v>0</v>
      </c>
      <c r="I577">
        <v>350005146</v>
      </c>
      <c r="K577" t="s">
        <v>10567</v>
      </c>
      <c r="L577" t="s">
        <v>1627</v>
      </c>
      <c r="M577" t="s">
        <v>2249</v>
      </c>
      <c r="N577">
        <v>35576</v>
      </c>
      <c r="O577" t="s">
        <v>2250</v>
      </c>
      <c r="Q577" t="s">
        <v>4283</v>
      </c>
      <c r="R577">
        <v>617</v>
      </c>
      <c r="S577">
        <v>13</v>
      </c>
      <c r="T577">
        <v>13</v>
      </c>
      <c r="W577">
        <f>COUNTIFS('Clinical Trials HCO'!$A:$A, K577, 'Clinical Trials HCO'!$D:$D, "&lt;&gt;")</f>
        <v>0</v>
      </c>
      <c r="AG577" t="s">
        <v>414</v>
      </c>
    </row>
    <row r="578" spans="2:33" hidden="1">
      <c r="B578">
        <v>655</v>
      </c>
      <c r="C578" t="s">
        <v>8358</v>
      </c>
      <c r="F578">
        <f>COUNTIF(HCPs!W:W,HCO_Data!K578)</f>
        <v>0</v>
      </c>
      <c r="G578" t="str">
        <f>IF(COUNTIF('Testing Referrals'!B:B,HCO_Data!K578)&gt;0,"Yes","")</f>
        <v/>
      </c>
      <c r="H578">
        <f>COUNTIF('HCO referrals'!B:B,HCO_Data!K578)+COUNTIF('HCO referrals'!C:C,HCO_Data!K578)</f>
        <v>0</v>
      </c>
      <c r="I578">
        <v>350054680</v>
      </c>
      <c r="K578" t="s">
        <v>10568</v>
      </c>
      <c r="L578" t="s">
        <v>1688</v>
      </c>
      <c r="M578" t="s">
        <v>2364</v>
      </c>
      <c r="N578">
        <v>35006</v>
      </c>
      <c r="O578" t="s">
        <v>1702</v>
      </c>
      <c r="Q578" t="s">
        <v>4283</v>
      </c>
      <c r="R578">
        <v>665</v>
      </c>
      <c r="S578">
        <v>13</v>
      </c>
      <c r="T578">
        <v>13</v>
      </c>
      <c r="W578">
        <f>COUNTIFS('Clinical Trials HCO'!$A:$A, K578, 'Clinical Trials HCO'!$D:$D, "&lt;&gt;")</f>
        <v>0</v>
      </c>
      <c r="AG578" t="s">
        <v>414</v>
      </c>
    </row>
    <row r="579" spans="2:33" hidden="1">
      <c r="F579">
        <f>COUNTIF(HCPs!W:W,HCO_Data!K579)</f>
        <v>0</v>
      </c>
      <c r="G579" t="str">
        <f>IF(COUNTIF('Testing Referrals'!B:B,HCO_Data!K579)&gt;0,"Yes","")</f>
        <v/>
      </c>
      <c r="H579">
        <f>COUNTIF('HCO referrals'!B:B,HCO_Data!K579)+COUNTIF('HCO referrals'!C:C,HCO_Data!K579)</f>
        <v>0</v>
      </c>
      <c r="I579">
        <v>380000091</v>
      </c>
      <c r="K579" t="s">
        <v>10569</v>
      </c>
      <c r="L579" t="s">
        <v>8973</v>
      </c>
      <c r="M579" t="s">
        <v>8974</v>
      </c>
      <c r="O579" t="s">
        <v>8975</v>
      </c>
      <c r="P579" t="s">
        <v>743</v>
      </c>
      <c r="Q579" t="s">
        <v>4283</v>
      </c>
      <c r="R579">
        <v>610</v>
      </c>
      <c r="S579">
        <v>13</v>
      </c>
      <c r="T579">
        <v>13</v>
      </c>
      <c r="W579">
        <f>COUNTIFS('Clinical Trials HCO'!$A:$A, K579, 'Clinical Trials HCO'!$D:$D, "&lt;&gt;")</f>
        <v>0</v>
      </c>
    </row>
    <row r="580" spans="2:33" hidden="1">
      <c r="F580">
        <f>COUNTIF(HCPs!W:W,HCO_Data!K580)</f>
        <v>0</v>
      </c>
      <c r="G580" t="str">
        <f>IF(COUNTIF('Testing Referrals'!B:B,HCO_Data!K580)&gt;0,"Yes","")</f>
        <v/>
      </c>
      <c r="H580">
        <f>COUNTIF('HCO referrals'!B:B,HCO_Data!K580)+COUNTIF('HCO referrals'!C:C,HCO_Data!K580)</f>
        <v>0</v>
      </c>
      <c r="I580">
        <v>410000038</v>
      </c>
      <c r="K580" t="s">
        <v>10570</v>
      </c>
      <c r="L580" t="s">
        <v>8866</v>
      </c>
      <c r="M580" t="s">
        <v>8867</v>
      </c>
      <c r="O580" t="s">
        <v>2774</v>
      </c>
      <c r="P580" t="s">
        <v>763</v>
      </c>
      <c r="Q580" t="s">
        <v>4283</v>
      </c>
      <c r="R580">
        <v>516</v>
      </c>
      <c r="S580">
        <v>13</v>
      </c>
      <c r="T580">
        <v>13</v>
      </c>
      <c r="W580">
        <f>COUNTIFS('Clinical Trials HCO'!$A:$A, K580, 'Clinical Trials HCO'!$D:$D, "&lt;&gt;")</f>
        <v>0</v>
      </c>
    </row>
    <row r="581" spans="2:33" hidden="1">
      <c r="F581">
        <f>COUNTIF(HCPs!W:W,HCO_Data!K581)</f>
        <v>0</v>
      </c>
      <c r="G581" t="str">
        <f>IF(COUNTIF('Testing Referrals'!B:B,HCO_Data!K581)&gt;0,"Yes","")</f>
        <v/>
      </c>
      <c r="H581">
        <f>COUNTIF('HCO referrals'!B:B,HCO_Data!K581)+COUNTIF('HCO referrals'!C:C,HCO_Data!K581)</f>
        <v>0</v>
      </c>
      <c r="I581">
        <v>430000109</v>
      </c>
      <c r="K581" t="s">
        <v>10571</v>
      </c>
      <c r="L581" t="s">
        <v>8965</v>
      </c>
      <c r="M581" t="s">
        <v>8966</v>
      </c>
      <c r="O581" t="s">
        <v>900</v>
      </c>
      <c r="P581" t="s">
        <v>787</v>
      </c>
      <c r="Q581" t="s">
        <v>4283</v>
      </c>
      <c r="R581">
        <v>605</v>
      </c>
      <c r="S581">
        <v>13</v>
      </c>
      <c r="T581">
        <v>13</v>
      </c>
      <c r="W581">
        <f>COUNTIFS('Clinical Trials HCO'!$A:$A, K581, 'Clinical Trials HCO'!$D:$D, "&lt;&gt;")</f>
        <v>0</v>
      </c>
    </row>
    <row r="582" spans="2:33" hidden="1">
      <c r="F582">
        <f>COUNTIF(HCPs!W:W,HCO_Data!K582)</f>
        <v>0</v>
      </c>
      <c r="G582" t="str">
        <f>IF(COUNTIF('Testing Referrals'!B:B,HCO_Data!K582)&gt;0,"Yes","")</f>
        <v/>
      </c>
      <c r="H582">
        <f>COUNTIF('HCO referrals'!B:B,HCO_Data!K582)+COUNTIF('HCO referrals'!C:C,HCO_Data!K582)</f>
        <v>0</v>
      </c>
      <c r="I582">
        <v>440001287</v>
      </c>
      <c r="K582" t="s">
        <v>10572</v>
      </c>
      <c r="L582" t="s">
        <v>9055</v>
      </c>
      <c r="M582" t="s">
        <v>9056</v>
      </c>
      <c r="O582" t="s">
        <v>9057</v>
      </c>
      <c r="P582" t="s">
        <v>711</v>
      </c>
      <c r="Q582" t="s">
        <v>4283</v>
      </c>
      <c r="R582">
        <v>654</v>
      </c>
      <c r="S582">
        <v>13</v>
      </c>
      <c r="T582">
        <v>13</v>
      </c>
      <c r="W582">
        <f>COUNTIFS('Clinical Trials HCO'!$A:$A, K582, 'Clinical Trials HCO'!$D:$D, "&lt;&gt;")</f>
        <v>0</v>
      </c>
    </row>
    <row r="583" spans="2:33" hidden="1">
      <c r="B583">
        <v>534</v>
      </c>
      <c r="F583">
        <f>COUNTIF(HCPs!W:W,HCO_Data!K583)</f>
        <v>0</v>
      </c>
      <c r="G583" t="str">
        <f>IF(COUNTIF('Testing Referrals'!B:B,HCO_Data!K583)&gt;0,"Yes","")</f>
        <v/>
      </c>
      <c r="H583">
        <f>COUNTIF('HCO referrals'!B:B,HCO_Data!K583)+COUNTIF('HCO referrals'!C:C,HCO_Data!K583)</f>
        <v>2</v>
      </c>
      <c r="I583">
        <v>530031962</v>
      </c>
      <c r="K583" t="s">
        <v>10573</v>
      </c>
      <c r="L583" t="s">
        <v>2618</v>
      </c>
      <c r="M583" t="s">
        <v>2371</v>
      </c>
      <c r="N583">
        <v>53010</v>
      </c>
      <c r="O583" t="s">
        <v>2372</v>
      </c>
      <c r="Q583" t="s">
        <v>4283</v>
      </c>
      <c r="R583">
        <v>535</v>
      </c>
      <c r="S583">
        <v>13</v>
      </c>
      <c r="T583">
        <v>13</v>
      </c>
      <c r="W583">
        <f>COUNTIFS('Clinical Trials HCO'!$A:$A, K583, 'Clinical Trials HCO'!$D:$D, "&lt;&gt;")</f>
        <v>0</v>
      </c>
      <c r="AG583" t="s">
        <v>414</v>
      </c>
    </row>
    <row r="584" spans="2:33" hidden="1">
      <c r="F584">
        <f>COUNTIF(HCPs!W:W,HCO_Data!K584)</f>
        <v>0</v>
      </c>
      <c r="G584" t="str">
        <f>IF(COUNTIF('Testing Referrals'!B:B,HCO_Data!K584)&gt;0,"Yes","")</f>
        <v/>
      </c>
      <c r="H584">
        <f>COUNTIF('HCO referrals'!B:B,HCO_Data!K584)+COUNTIF('HCO referrals'!C:C,HCO_Data!K584)</f>
        <v>0</v>
      </c>
      <c r="I584">
        <v>560000184</v>
      </c>
      <c r="K584" t="s">
        <v>10574</v>
      </c>
      <c r="L584" t="s">
        <v>9002</v>
      </c>
      <c r="M584" t="s">
        <v>9003</v>
      </c>
      <c r="O584" t="s">
        <v>9004</v>
      </c>
      <c r="P584" t="s">
        <v>734</v>
      </c>
      <c r="Q584" t="s">
        <v>4283</v>
      </c>
      <c r="R584">
        <v>625</v>
      </c>
      <c r="S584">
        <v>13</v>
      </c>
      <c r="T584">
        <v>13</v>
      </c>
      <c r="W584">
        <f>COUNTIFS('Clinical Trials HCO'!$A:$A, K584, 'Clinical Trials HCO'!$D:$D, "&lt;&gt;")</f>
        <v>0</v>
      </c>
    </row>
    <row r="585" spans="2:33" hidden="1">
      <c r="B585">
        <v>118</v>
      </c>
      <c r="F585">
        <f>COUNTIF(HCPs!W:W,HCO_Data!K585)</f>
        <v>0</v>
      </c>
      <c r="G585" t="str">
        <f>IF(COUNTIF('Testing Referrals'!B:B,HCO_Data!K585)&gt;0,"Yes","")</f>
        <v/>
      </c>
      <c r="H585">
        <f>COUNTIF('HCO referrals'!B:B,HCO_Data!K585)+COUNTIF('HCO referrals'!C:C,HCO_Data!K585)</f>
        <v>0</v>
      </c>
      <c r="I585">
        <v>640780490</v>
      </c>
      <c r="K585" t="s">
        <v>10575</v>
      </c>
      <c r="L585" t="s">
        <v>664</v>
      </c>
      <c r="M585" t="s">
        <v>1703</v>
      </c>
      <c r="N585">
        <v>64201</v>
      </c>
      <c r="O585" t="s">
        <v>1704</v>
      </c>
      <c r="Q585" t="s">
        <v>4283</v>
      </c>
      <c r="R585">
        <v>459</v>
      </c>
      <c r="S585">
        <v>13</v>
      </c>
      <c r="T585">
        <v>13</v>
      </c>
      <c r="W585">
        <f>COUNTIFS('Clinical Trials HCO'!$A:$A, K585, 'Clinical Trials HCO'!$D:$D, "&lt;&gt;")</f>
        <v>0</v>
      </c>
      <c r="AF585" t="s">
        <v>414</v>
      </c>
      <c r="AG585" t="s">
        <v>414</v>
      </c>
    </row>
    <row r="586" spans="2:33" hidden="1">
      <c r="B586">
        <v>544</v>
      </c>
      <c r="F586">
        <f>COUNTIF(HCPs!W:W,HCO_Data!K586)</f>
        <v>0</v>
      </c>
      <c r="G586" t="str">
        <f>IF(COUNTIF('Testing Referrals'!B:B,HCO_Data!K586)&gt;0,"Yes","")</f>
        <v/>
      </c>
      <c r="H586">
        <f>COUNTIF('HCO referrals'!B:B,HCO_Data!K586)+COUNTIF('HCO referrals'!C:C,HCO_Data!K586)</f>
        <v>0</v>
      </c>
      <c r="I586">
        <v>820000040</v>
      </c>
      <c r="K586" t="s">
        <v>10576</v>
      </c>
      <c r="L586" t="s">
        <v>2427</v>
      </c>
      <c r="M586" t="s">
        <v>1724</v>
      </c>
      <c r="N586">
        <v>82000</v>
      </c>
      <c r="O586" t="s">
        <v>1899</v>
      </c>
      <c r="Q586" t="s">
        <v>4283</v>
      </c>
      <c r="R586">
        <v>636</v>
      </c>
      <c r="S586">
        <v>13</v>
      </c>
      <c r="T586">
        <v>13</v>
      </c>
      <c r="W586">
        <f>COUNTIFS('Clinical Trials HCO'!$A:$A, K586, 'Clinical Trials HCO'!$D:$D, "&lt;&gt;")</f>
        <v>0</v>
      </c>
      <c r="AG586" t="s">
        <v>414</v>
      </c>
    </row>
    <row r="587" spans="2:33" hidden="1">
      <c r="B587">
        <v>676</v>
      </c>
      <c r="F587">
        <f>COUNTIF(HCPs!W:W,HCO_Data!K587)</f>
        <v>0</v>
      </c>
      <c r="G587" t="str">
        <f>IF(COUNTIF('Testing Referrals'!B:B,HCO_Data!K587)&gt;0,"Yes","")</f>
        <v/>
      </c>
      <c r="H587">
        <f>COUNTIF('HCO referrals'!B:B,HCO_Data!K587)+COUNTIF('HCO referrals'!C:C,HCO_Data!K587)</f>
        <v>0</v>
      </c>
      <c r="I587">
        <v>880000062</v>
      </c>
      <c r="K587" t="s">
        <v>10577</v>
      </c>
      <c r="L587" t="s">
        <v>2381</v>
      </c>
      <c r="M587" t="s">
        <v>2655</v>
      </c>
      <c r="N587">
        <v>88204</v>
      </c>
      <c r="O587" t="s">
        <v>2656</v>
      </c>
      <c r="Q587" t="s">
        <v>4283</v>
      </c>
      <c r="R587">
        <v>522</v>
      </c>
      <c r="S587">
        <v>13</v>
      </c>
      <c r="T587">
        <v>13</v>
      </c>
      <c r="W587">
        <f>COUNTIFS('Clinical Trials HCO'!$A:$A, K587, 'Clinical Trials HCO'!$D:$D, "&lt;&gt;")</f>
        <v>0</v>
      </c>
      <c r="AG587" t="s">
        <v>414</v>
      </c>
    </row>
    <row r="588" spans="2:33" hidden="1">
      <c r="F588">
        <f>COUNTIF(HCPs!W:W,HCO_Data!K588)</f>
        <v>0</v>
      </c>
      <c r="G588" t="str">
        <f>IF(COUNTIF('Testing Referrals'!B:B,HCO_Data!K588)&gt;0,"Yes","")</f>
        <v/>
      </c>
      <c r="H588">
        <f>COUNTIF('HCO referrals'!B:B,HCO_Data!K588)+COUNTIF('HCO referrals'!C:C,HCO_Data!K588)</f>
        <v>0</v>
      </c>
      <c r="I588" t="s">
        <v>8647</v>
      </c>
      <c r="K588" t="s">
        <v>10578</v>
      </c>
      <c r="L588" t="s">
        <v>8801</v>
      </c>
      <c r="M588" t="s">
        <v>8802</v>
      </c>
      <c r="O588" t="s">
        <v>8803</v>
      </c>
      <c r="P588" t="s">
        <v>776</v>
      </c>
      <c r="Q588" t="s">
        <v>4283</v>
      </c>
      <c r="R588">
        <v>452</v>
      </c>
      <c r="S588">
        <v>13</v>
      </c>
      <c r="T588">
        <v>13</v>
      </c>
      <c r="W588">
        <f>COUNTIFS('Clinical Trials HCO'!$A:$A, K588, 'Clinical Trials HCO'!$D:$D, "&lt;&gt;")</f>
        <v>0</v>
      </c>
    </row>
    <row r="589" spans="2:33" hidden="1">
      <c r="B589">
        <v>667</v>
      </c>
      <c r="F589">
        <f>COUNTIF(HCPs!W:W,HCO_Data!K589)</f>
        <v>0</v>
      </c>
      <c r="G589" t="str">
        <f>IF(COUNTIF('Testing Referrals'!B:B,HCO_Data!K589)&gt;0,"Yes","")</f>
        <v/>
      </c>
      <c r="H589">
        <f>COUNTIF('HCO referrals'!B:B,HCO_Data!K589)+COUNTIF('HCO referrals'!C:C,HCO_Data!K589)</f>
        <v>0</v>
      </c>
      <c r="I589">
        <v>10780203</v>
      </c>
      <c r="K589" t="s">
        <v>10579</v>
      </c>
      <c r="L589" t="s">
        <v>2536</v>
      </c>
      <c r="M589" t="s">
        <v>2841</v>
      </c>
      <c r="N589">
        <v>1506</v>
      </c>
      <c r="O589" t="s">
        <v>2842</v>
      </c>
      <c r="Q589" t="s">
        <v>4283</v>
      </c>
      <c r="R589">
        <v>635</v>
      </c>
      <c r="S589">
        <v>12</v>
      </c>
      <c r="T589">
        <v>12</v>
      </c>
      <c r="W589">
        <f>COUNTIFS('Clinical Trials HCO'!$A:$A, K589, 'Clinical Trials HCO'!$D:$D, "&lt;&gt;")</f>
        <v>0</v>
      </c>
      <c r="AG589" t="s">
        <v>414</v>
      </c>
    </row>
    <row r="590" spans="2:33" hidden="1">
      <c r="F590">
        <f>COUNTIF(HCPs!W:W,HCO_Data!K590)</f>
        <v>0</v>
      </c>
      <c r="G590" t="str">
        <f>IF(COUNTIF('Testing Referrals'!B:B,HCO_Data!K590)&gt;0,"Yes","")</f>
        <v/>
      </c>
      <c r="H590">
        <f>COUNTIF('HCO referrals'!B:B,HCO_Data!K590)+COUNTIF('HCO referrals'!C:C,HCO_Data!K590)</f>
        <v>0</v>
      </c>
      <c r="I590">
        <v>100000199</v>
      </c>
      <c r="K590" t="s">
        <v>10580</v>
      </c>
      <c r="L590" t="s">
        <v>9027</v>
      </c>
      <c r="M590" t="s">
        <v>9028</v>
      </c>
      <c r="O590" t="s">
        <v>9029</v>
      </c>
      <c r="P590" t="s">
        <v>772</v>
      </c>
      <c r="Q590" t="s">
        <v>4283</v>
      </c>
      <c r="R590">
        <v>642</v>
      </c>
      <c r="S590">
        <v>12</v>
      </c>
      <c r="T590">
        <v>12</v>
      </c>
      <c r="W590">
        <f>COUNTIFS('Clinical Trials HCO'!$A:$A, K590, 'Clinical Trials HCO'!$D:$D, "&lt;&gt;")</f>
        <v>0</v>
      </c>
    </row>
    <row r="591" spans="2:33" hidden="1">
      <c r="B591">
        <v>575</v>
      </c>
      <c r="F591">
        <f>COUNTIF(HCPs!W:W,HCO_Data!K591)</f>
        <v>0</v>
      </c>
      <c r="G591" t="str">
        <f>IF(COUNTIF('Testing Referrals'!B:B,HCO_Data!K591)&gt;0,"Yes","")</f>
        <v/>
      </c>
      <c r="H591">
        <f>COUNTIF('HCO referrals'!B:B,HCO_Data!K591)+COUNTIF('HCO referrals'!C:C,HCO_Data!K591)</f>
        <v>0</v>
      </c>
      <c r="I591">
        <v>170000038</v>
      </c>
      <c r="K591" t="s">
        <v>10581</v>
      </c>
      <c r="L591" t="s">
        <v>2385</v>
      </c>
      <c r="M591" t="s">
        <v>2662</v>
      </c>
      <c r="N591">
        <v>17503</v>
      </c>
      <c r="O591" t="s">
        <v>2663</v>
      </c>
      <c r="Q591" t="s">
        <v>4283</v>
      </c>
      <c r="R591">
        <v>477</v>
      </c>
      <c r="S591">
        <v>12</v>
      </c>
      <c r="T591">
        <v>12</v>
      </c>
      <c r="W591">
        <f>COUNTIFS('Clinical Trials HCO'!$A:$A, K591, 'Clinical Trials HCO'!$D:$D, "&lt;&gt;")</f>
        <v>0</v>
      </c>
      <c r="AG591" t="s">
        <v>414</v>
      </c>
    </row>
    <row r="592" spans="2:33" hidden="1">
      <c r="B592">
        <v>636</v>
      </c>
      <c r="F592">
        <f>COUNTIF(HCPs!W:W,HCO_Data!K592)</f>
        <v>0</v>
      </c>
      <c r="G592" t="str">
        <f>IF(COUNTIF('Testing Referrals'!B:B,HCO_Data!K592)&gt;0,"Yes","")</f>
        <v/>
      </c>
      <c r="H592">
        <f>COUNTIF('HCO referrals'!B:B,HCO_Data!K592)+COUNTIF('HCO referrals'!C:C,HCO_Data!K592)</f>
        <v>0</v>
      </c>
      <c r="I592">
        <v>220005599</v>
      </c>
      <c r="K592" t="s">
        <v>10582</v>
      </c>
      <c r="L592" t="s">
        <v>2619</v>
      </c>
      <c r="M592" t="s">
        <v>2904</v>
      </c>
      <c r="N592">
        <v>22100</v>
      </c>
      <c r="O592" t="s">
        <v>2905</v>
      </c>
      <c r="Q592" t="s">
        <v>4283</v>
      </c>
      <c r="R592">
        <v>675</v>
      </c>
      <c r="S592">
        <v>12</v>
      </c>
      <c r="T592">
        <v>12</v>
      </c>
      <c r="W592">
        <f>COUNTIFS('Clinical Trials HCO'!$A:$A, K592, 'Clinical Trials HCO'!$D:$D, "&lt;&gt;")</f>
        <v>0</v>
      </c>
      <c r="AF592" t="s">
        <v>414</v>
      </c>
      <c r="AG592" t="s">
        <v>414</v>
      </c>
    </row>
    <row r="593" spans="2:33" hidden="1">
      <c r="F593">
        <f>COUNTIF(HCPs!W:W,HCO_Data!K593)</f>
        <v>0</v>
      </c>
      <c r="G593" t="str">
        <f>IF(COUNTIF('Testing Referrals'!B:B,HCO_Data!K593)&gt;0,"Yes","")</f>
        <v/>
      </c>
      <c r="H593">
        <f>COUNTIF('HCO referrals'!B:B,HCO_Data!K593)+COUNTIF('HCO referrals'!C:C,HCO_Data!K593)</f>
        <v>0</v>
      </c>
      <c r="I593">
        <v>290000173</v>
      </c>
      <c r="K593" t="s">
        <v>10583</v>
      </c>
      <c r="L593" t="s">
        <v>8847</v>
      </c>
      <c r="M593" t="s">
        <v>8848</v>
      </c>
      <c r="O593" t="s">
        <v>8849</v>
      </c>
      <c r="P593" t="s">
        <v>753</v>
      </c>
      <c r="Q593" t="s">
        <v>4283</v>
      </c>
      <c r="R593">
        <v>503</v>
      </c>
      <c r="S593">
        <v>12</v>
      </c>
      <c r="T593">
        <v>12</v>
      </c>
      <c r="W593">
        <f>COUNTIFS('Clinical Trials HCO'!$A:$A, K593, 'Clinical Trials HCO'!$D:$D, "&lt;&gt;")</f>
        <v>0</v>
      </c>
    </row>
    <row r="594" spans="2:33" hidden="1">
      <c r="F594">
        <f>COUNTIF(HCPs!W:W,HCO_Data!K594)</f>
        <v>0</v>
      </c>
      <c r="G594" t="str">
        <f>IF(COUNTIF('Testing Referrals'!B:B,HCO_Data!K594)&gt;0,"Yes","")</f>
        <v/>
      </c>
      <c r="H594">
        <f>COUNTIF('HCO referrals'!B:B,HCO_Data!K594)+COUNTIF('HCO referrals'!C:C,HCO_Data!K594)</f>
        <v>0</v>
      </c>
      <c r="I594">
        <v>290000785</v>
      </c>
      <c r="K594" t="s">
        <v>10584</v>
      </c>
      <c r="L594" t="s">
        <v>8830</v>
      </c>
      <c r="M594" t="s">
        <v>8831</v>
      </c>
      <c r="O594" t="s">
        <v>8832</v>
      </c>
      <c r="P594" t="s">
        <v>753</v>
      </c>
      <c r="Q594" t="s">
        <v>4283</v>
      </c>
      <c r="R594">
        <v>479</v>
      </c>
      <c r="S594">
        <v>12</v>
      </c>
      <c r="T594">
        <v>12</v>
      </c>
      <c r="W594">
        <f>COUNTIFS('Clinical Trials HCO'!$A:$A, K594, 'Clinical Trials HCO'!$D:$D, "&lt;&gt;")</f>
        <v>0</v>
      </c>
    </row>
    <row r="595" spans="2:33" hidden="1">
      <c r="F595">
        <f>COUNTIF(HCPs!W:W,HCO_Data!K595)</f>
        <v>0</v>
      </c>
      <c r="G595" t="str">
        <f>IF(COUNTIF('Testing Referrals'!B:B,HCO_Data!K595)&gt;0,"Yes","")</f>
        <v/>
      </c>
      <c r="H595">
        <f>COUNTIF('HCO referrals'!B:B,HCO_Data!K595)+COUNTIF('HCO referrals'!C:C,HCO_Data!K595)</f>
        <v>0</v>
      </c>
      <c r="I595">
        <v>290004365</v>
      </c>
      <c r="K595" t="s">
        <v>10585</v>
      </c>
      <c r="L595" t="s">
        <v>9104</v>
      </c>
      <c r="M595" t="s">
        <v>9105</v>
      </c>
      <c r="O595" t="s">
        <v>9106</v>
      </c>
      <c r="P595" t="s">
        <v>753</v>
      </c>
      <c r="Q595" t="s">
        <v>4283</v>
      </c>
      <c r="R595">
        <v>676</v>
      </c>
      <c r="S595">
        <v>12</v>
      </c>
      <c r="T595">
        <v>12</v>
      </c>
      <c r="W595">
        <f>COUNTIFS('Clinical Trials HCO'!$A:$A, K595, 'Clinical Trials HCO'!$D:$D, "&lt;&gt;")</f>
        <v>0</v>
      </c>
    </row>
    <row r="596" spans="2:33" hidden="1">
      <c r="B596">
        <v>611</v>
      </c>
      <c r="F596">
        <f>COUNTIF(HCPs!W:W,HCO_Data!K596)</f>
        <v>0</v>
      </c>
      <c r="G596" t="str">
        <f>IF(COUNTIF('Testing Referrals'!B:B,HCO_Data!K596)&gt;0,"Yes","")</f>
        <v/>
      </c>
      <c r="H596">
        <f>COUNTIF('HCO referrals'!B:B,HCO_Data!K596)+COUNTIF('HCO referrals'!C:C,HCO_Data!K596)</f>
        <v>0</v>
      </c>
      <c r="I596">
        <v>300780137</v>
      </c>
      <c r="K596" t="s">
        <v>10586</v>
      </c>
      <c r="L596" t="s">
        <v>2599</v>
      </c>
      <c r="M596" t="s">
        <v>2874</v>
      </c>
      <c r="N596">
        <v>30104</v>
      </c>
      <c r="O596" t="s">
        <v>1773</v>
      </c>
      <c r="Q596" t="s">
        <v>4283</v>
      </c>
      <c r="R596">
        <v>627</v>
      </c>
      <c r="S596">
        <v>12</v>
      </c>
      <c r="T596">
        <v>12</v>
      </c>
      <c r="W596">
        <f>COUNTIFS('Clinical Trials HCO'!$A:$A, K596, 'Clinical Trials HCO'!$D:$D, "&lt;&gt;")</f>
        <v>0</v>
      </c>
      <c r="AF596" t="s">
        <v>414</v>
      </c>
      <c r="AG596" t="s">
        <v>414</v>
      </c>
    </row>
    <row r="597" spans="2:33" hidden="1">
      <c r="F597">
        <f>COUNTIF(HCPs!W:W,HCO_Data!K597)</f>
        <v>0</v>
      </c>
      <c r="G597" t="str">
        <f>IF(COUNTIF('Testing Referrals'!B:B,HCO_Data!K597)&gt;0,"Yes","")</f>
        <v/>
      </c>
      <c r="H597">
        <f>COUNTIF('HCO referrals'!B:B,HCO_Data!K597)+COUNTIF('HCO referrals'!C:C,HCO_Data!K597)</f>
        <v>0</v>
      </c>
      <c r="I597">
        <v>370013286</v>
      </c>
      <c r="K597" t="s">
        <v>10587</v>
      </c>
      <c r="L597" t="s">
        <v>9053</v>
      </c>
      <c r="M597" t="s">
        <v>9054</v>
      </c>
      <c r="O597" t="s">
        <v>8716</v>
      </c>
      <c r="P597" t="s">
        <v>726</v>
      </c>
      <c r="Q597" t="s">
        <v>4283</v>
      </c>
      <c r="R597">
        <v>652</v>
      </c>
      <c r="S597">
        <v>12</v>
      </c>
      <c r="T597">
        <v>12</v>
      </c>
      <c r="W597">
        <f>COUNTIFS('Clinical Trials HCO'!$A:$A, K597, 'Clinical Trials HCO'!$D:$D, "&lt;&gt;")</f>
        <v>0</v>
      </c>
    </row>
    <row r="598" spans="2:33" hidden="1">
      <c r="B598">
        <v>311</v>
      </c>
      <c r="F598">
        <f>COUNTIF(HCPs!W:W,HCO_Data!K598)</f>
        <v>0</v>
      </c>
      <c r="G598" t="str">
        <f>IF(COUNTIF('Testing Referrals'!B:B,HCO_Data!K598)&gt;0,"Yes","")</f>
        <v/>
      </c>
      <c r="H598">
        <f>COUNTIF('HCO referrals'!B:B,HCO_Data!K598)+COUNTIF('HCO referrals'!C:C,HCO_Data!K598)</f>
        <v>0</v>
      </c>
      <c r="I598">
        <v>490002037</v>
      </c>
      <c r="K598" t="s">
        <v>10588</v>
      </c>
      <c r="L598" t="s">
        <v>633</v>
      </c>
      <c r="M598" t="s">
        <v>2346</v>
      </c>
      <c r="N598">
        <v>49300</v>
      </c>
      <c r="O598" t="s">
        <v>961</v>
      </c>
      <c r="Q598" t="s">
        <v>4283</v>
      </c>
      <c r="R598">
        <v>570</v>
      </c>
      <c r="S598">
        <v>12</v>
      </c>
      <c r="T598">
        <v>12</v>
      </c>
      <c r="W598">
        <f>COUNTIFS('Clinical Trials HCO'!$A:$A, K598, 'Clinical Trials HCO'!$D:$D, "&lt;&gt;")</f>
        <v>0</v>
      </c>
      <c r="AG598" t="s">
        <v>414</v>
      </c>
    </row>
    <row r="599" spans="2:33" hidden="1">
      <c r="F599">
        <f>COUNTIF(HCPs!W:W,HCO_Data!K599)</f>
        <v>0</v>
      </c>
      <c r="G599" t="str">
        <f>IF(COUNTIF('Testing Referrals'!B:B,HCO_Data!K599)&gt;0,"Yes","")</f>
        <v/>
      </c>
      <c r="H599">
        <f>COUNTIF('HCO referrals'!B:B,HCO_Data!K599)+COUNTIF('HCO referrals'!C:C,HCO_Data!K599)</f>
        <v>0</v>
      </c>
      <c r="I599">
        <v>590049565</v>
      </c>
      <c r="K599" t="s">
        <v>10589</v>
      </c>
      <c r="L599" s="90" t="s">
        <v>9107</v>
      </c>
      <c r="M599" t="s">
        <v>9108</v>
      </c>
      <c r="O599" t="s">
        <v>871</v>
      </c>
      <c r="P599" t="s">
        <v>704</v>
      </c>
      <c r="Q599" t="s">
        <v>4283</v>
      </c>
      <c r="R599">
        <v>677</v>
      </c>
      <c r="S599">
        <v>12</v>
      </c>
      <c r="T599">
        <v>12</v>
      </c>
      <c r="W599">
        <f>COUNTIFS('Clinical Trials HCO'!$A:$A, K599, 'Clinical Trials HCO'!$D:$D, "&lt;&gt;")</f>
        <v>0</v>
      </c>
    </row>
    <row r="600" spans="2:33" hidden="1">
      <c r="F600">
        <f>COUNTIF(HCPs!W:W,HCO_Data!K600)</f>
        <v>0</v>
      </c>
      <c r="G600" t="str">
        <f>IF(COUNTIF('Testing Referrals'!B:B,HCO_Data!K600)&gt;0,"Yes","")</f>
        <v/>
      </c>
      <c r="H600">
        <f>COUNTIF('HCO referrals'!B:B,HCO_Data!K600)+COUNTIF('HCO referrals'!C:C,HCO_Data!K600)</f>
        <v>0</v>
      </c>
      <c r="I600">
        <v>640000410</v>
      </c>
      <c r="K600" t="s">
        <v>10590</v>
      </c>
      <c r="L600" t="s">
        <v>9030</v>
      </c>
      <c r="M600" t="s">
        <v>9031</v>
      </c>
      <c r="O600" t="s">
        <v>9032</v>
      </c>
      <c r="P600" t="s">
        <v>730</v>
      </c>
      <c r="Q600" t="s">
        <v>4283</v>
      </c>
      <c r="R600">
        <v>643</v>
      </c>
      <c r="S600">
        <v>12</v>
      </c>
      <c r="T600">
        <v>12</v>
      </c>
      <c r="W600">
        <f>COUNTIFS('Clinical Trials HCO'!$A:$A, K600, 'Clinical Trials HCO'!$D:$D, "&lt;&gt;")</f>
        <v>0</v>
      </c>
    </row>
    <row r="601" spans="2:33" hidden="1">
      <c r="F601">
        <f>COUNTIF(HCPs!W:W,HCO_Data!K601)</f>
        <v>0</v>
      </c>
      <c r="G601" t="str">
        <f>IF(COUNTIF('Testing Referrals'!B:B,HCO_Data!K601)&gt;0,"Yes","")</f>
        <v/>
      </c>
      <c r="H601">
        <f>COUNTIF('HCO referrals'!B:B,HCO_Data!K601)+COUNTIF('HCO referrals'!C:C,HCO_Data!K601)</f>
        <v>0</v>
      </c>
      <c r="I601">
        <v>650000052</v>
      </c>
      <c r="K601" t="s">
        <v>10591</v>
      </c>
      <c r="L601" t="s">
        <v>9024</v>
      </c>
      <c r="M601" t="s">
        <v>9025</v>
      </c>
      <c r="O601" t="s">
        <v>9026</v>
      </c>
      <c r="P601" t="s">
        <v>781</v>
      </c>
      <c r="Q601" t="s">
        <v>4283</v>
      </c>
      <c r="R601">
        <v>641</v>
      </c>
      <c r="S601">
        <v>12</v>
      </c>
      <c r="T601">
        <v>12</v>
      </c>
      <c r="W601">
        <f>COUNTIFS('Clinical Trials HCO'!$A:$A, K601, 'Clinical Trials HCO'!$D:$D, "&lt;&gt;")</f>
        <v>0</v>
      </c>
    </row>
    <row r="602" spans="2:33" hidden="1">
      <c r="F602">
        <f>COUNTIF(HCPs!W:W,HCO_Data!K602)</f>
        <v>0</v>
      </c>
      <c r="G602" t="str">
        <f>IF(COUNTIF('Testing Referrals'!B:B,HCO_Data!K602)&gt;0,"Yes","")</f>
        <v/>
      </c>
      <c r="H602">
        <f>COUNTIF('HCO referrals'!B:B,HCO_Data!K602)+COUNTIF('HCO referrals'!C:C,HCO_Data!K602)</f>
        <v>0</v>
      </c>
      <c r="I602">
        <v>830000337</v>
      </c>
      <c r="K602" t="s">
        <v>10592</v>
      </c>
      <c r="L602" t="s">
        <v>8798</v>
      </c>
      <c r="M602" t="s">
        <v>8799</v>
      </c>
      <c r="O602" t="s">
        <v>8800</v>
      </c>
      <c r="P602" t="s">
        <v>715</v>
      </c>
      <c r="Q602" t="s">
        <v>4283</v>
      </c>
      <c r="R602">
        <v>449</v>
      </c>
      <c r="S602">
        <v>12</v>
      </c>
      <c r="T602">
        <v>12</v>
      </c>
      <c r="W602">
        <f>COUNTIFS('Clinical Trials HCO'!$A:$A, K602, 'Clinical Trials HCO'!$D:$D, "&lt;&gt;")</f>
        <v>0</v>
      </c>
    </row>
    <row r="603" spans="2:33" hidden="1">
      <c r="F603">
        <f>COUNTIF(HCPs!W:W,HCO_Data!K603)</f>
        <v>0</v>
      </c>
      <c r="G603" t="str">
        <f>IF(COUNTIF('Testing Referrals'!B:B,HCO_Data!K603)&gt;0,"Yes","")</f>
        <v/>
      </c>
      <c r="H603">
        <f>COUNTIF('HCO referrals'!B:B,HCO_Data!K603)+COUNTIF('HCO referrals'!C:C,HCO_Data!K603)</f>
        <v>0</v>
      </c>
      <c r="I603">
        <v>840000525</v>
      </c>
      <c r="K603" t="s">
        <v>10593</v>
      </c>
      <c r="L603" t="s">
        <v>8857</v>
      </c>
      <c r="M603" t="s">
        <v>8858</v>
      </c>
      <c r="O603" t="s">
        <v>8859</v>
      </c>
      <c r="P603" t="s">
        <v>760</v>
      </c>
      <c r="Q603" t="s">
        <v>4283</v>
      </c>
      <c r="R603">
        <v>510</v>
      </c>
      <c r="S603">
        <v>12</v>
      </c>
      <c r="T603">
        <v>12</v>
      </c>
      <c r="W603">
        <f>COUNTIFS('Clinical Trials HCO'!$A:$A, K603, 'Clinical Trials HCO'!$D:$D, "&lt;&gt;")</f>
        <v>0</v>
      </c>
    </row>
    <row r="604" spans="2:33" hidden="1">
      <c r="B604">
        <v>411</v>
      </c>
      <c r="F604">
        <f>COUNTIF(HCPs!W:W,HCO_Data!K604)</f>
        <v>0</v>
      </c>
      <c r="G604" t="str">
        <f>IF(COUNTIF('Testing Referrals'!B:B,HCO_Data!K604)&gt;0,"Yes","")</f>
        <v/>
      </c>
      <c r="H604">
        <f>COUNTIF('HCO referrals'!B:B,HCO_Data!K604)+COUNTIF('HCO referrals'!C:C,HCO_Data!K604)</f>
        <v>0</v>
      </c>
      <c r="I604">
        <v>890000169</v>
      </c>
      <c r="K604" t="s">
        <v>10594</v>
      </c>
      <c r="L604" t="s">
        <v>691</v>
      </c>
      <c r="M604" t="s">
        <v>2093</v>
      </c>
      <c r="N604">
        <v>89100</v>
      </c>
      <c r="O604" t="s">
        <v>1921</v>
      </c>
      <c r="Q604" t="s">
        <v>4283</v>
      </c>
      <c r="R604">
        <v>417</v>
      </c>
      <c r="S604">
        <v>12</v>
      </c>
      <c r="T604">
        <v>12</v>
      </c>
      <c r="W604">
        <f>COUNTIFS('Clinical Trials HCO'!$A:$A, K604, 'Clinical Trials HCO'!$D:$D, "&lt;&gt;")</f>
        <v>0</v>
      </c>
      <c r="AG604" t="s">
        <v>414</v>
      </c>
    </row>
    <row r="605" spans="2:33" hidden="1">
      <c r="F605">
        <f>COUNTIF(HCPs!W:W,HCO_Data!K605)</f>
        <v>0</v>
      </c>
      <c r="G605" t="str">
        <f>IF(COUNTIF('Testing Referrals'!B:B,HCO_Data!K605)&gt;0,"Yes","")</f>
        <v/>
      </c>
      <c r="H605">
        <f>COUNTIF('HCO referrals'!B:B,HCO_Data!K605)+COUNTIF('HCO referrals'!C:C,HCO_Data!K605)</f>
        <v>0</v>
      </c>
      <c r="I605">
        <v>10000214</v>
      </c>
      <c r="K605" t="s">
        <v>10595</v>
      </c>
      <c r="L605" t="s">
        <v>9044</v>
      </c>
      <c r="M605" t="s">
        <v>9045</v>
      </c>
      <c r="O605" t="s">
        <v>9046</v>
      </c>
      <c r="P605" t="s">
        <v>756</v>
      </c>
      <c r="Q605" t="s">
        <v>4283</v>
      </c>
      <c r="R605">
        <v>649</v>
      </c>
      <c r="S605">
        <v>11</v>
      </c>
      <c r="T605">
        <v>11</v>
      </c>
      <c r="W605">
        <f>COUNTIFS('Clinical Trials HCO'!$A:$A, K605, 'Clinical Trials HCO'!$D:$D, "&lt;&gt;")</f>
        <v>0</v>
      </c>
    </row>
    <row r="606" spans="2:33" hidden="1">
      <c r="F606">
        <f>COUNTIF(HCPs!W:W,HCO_Data!K606)</f>
        <v>0</v>
      </c>
      <c r="G606" t="str">
        <f>IF(COUNTIF('Testing Referrals'!B:B,HCO_Data!K606)&gt;0,"Yes","")</f>
        <v/>
      </c>
      <c r="H606">
        <f>COUNTIF('HCO referrals'!B:B,HCO_Data!K606)+COUNTIF('HCO referrals'!C:C,HCO_Data!K606)</f>
        <v>0</v>
      </c>
      <c r="I606">
        <v>10005239</v>
      </c>
      <c r="K606" t="s">
        <v>10596</v>
      </c>
      <c r="L606" t="s">
        <v>9073</v>
      </c>
      <c r="M606" t="s">
        <v>9074</v>
      </c>
      <c r="O606" t="s">
        <v>9075</v>
      </c>
      <c r="P606" t="s">
        <v>756</v>
      </c>
      <c r="Q606" t="s">
        <v>4283</v>
      </c>
      <c r="R606">
        <v>661</v>
      </c>
      <c r="S606">
        <v>11</v>
      </c>
      <c r="T606">
        <v>11</v>
      </c>
      <c r="W606">
        <f>COUNTIFS('Clinical Trials HCO'!$A:$A, K606, 'Clinical Trials HCO'!$D:$D, "&lt;&gt;")</f>
        <v>0</v>
      </c>
    </row>
    <row r="607" spans="2:33" hidden="1">
      <c r="F607">
        <f>COUNTIF(HCPs!W:W,HCO_Data!K607)</f>
        <v>0</v>
      </c>
      <c r="G607" t="str">
        <f>IF(COUNTIF('Testing Referrals'!B:B,HCO_Data!K607)&gt;0,"Yes","")</f>
        <v/>
      </c>
      <c r="H607">
        <f>COUNTIF('HCO referrals'!B:B,HCO_Data!K607)+COUNTIF('HCO referrals'!C:C,HCO_Data!K607)</f>
        <v>0</v>
      </c>
      <c r="I607">
        <v>80000110</v>
      </c>
      <c r="K607" t="s">
        <v>10597</v>
      </c>
      <c r="L607" t="s">
        <v>9079</v>
      </c>
      <c r="M607" t="s">
        <v>9080</v>
      </c>
      <c r="O607" t="s">
        <v>9081</v>
      </c>
      <c r="P607" t="s">
        <v>769</v>
      </c>
      <c r="Q607" t="s">
        <v>4283</v>
      </c>
      <c r="R607">
        <v>663</v>
      </c>
      <c r="S607">
        <v>11</v>
      </c>
      <c r="T607">
        <v>11</v>
      </c>
      <c r="W607">
        <f>COUNTIFS('Clinical Trials HCO'!$A:$A, K607, 'Clinical Trials HCO'!$D:$D, "&lt;&gt;")</f>
        <v>0</v>
      </c>
    </row>
    <row r="608" spans="2:33" hidden="1">
      <c r="F608">
        <f>COUNTIF(HCPs!W:W,HCO_Data!K608)</f>
        <v>0</v>
      </c>
      <c r="G608" t="str">
        <f>IF(COUNTIF('Testing Referrals'!B:B,HCO_Data!K608)&gt;0,"Yes","")</f>
        <v/>
      </c>
      <c r="H608">
        <f>COUNTIF('HCO referrals'!B:B,HCO_Data!K608)+COUNTIF('HCO referrals'!C:C,HCO_Data!K608)</f>
        <v>0</v>
      </c>
      <c r="I608">
        <v>140000233</v>
      </c>
      <c r="K608" t="s">
        <v>10598</v>
      </c>
      <c r="L608" t="s">
        <v>9118</v>
      </c>
      <c r="M608" t="s">
        <v>9119</v>
      </c>
      <c r="O608" t="s">
        <v>9120</v>
      </c>
      <c r="P608" t="s">
        <v>712</v>
      </c>
      <c r="Q608" t="s">
        <v>4283</v>
      </c>
      <c r="R608">
        <v>682</v>
      </c>
      <c r="S608">
        <v>11</v>
      </c>
      <c r="T608">
        <v>11</v>
      </c>
      <c r="W608">
        <f>COUNTIFS('Clinical Trials HCO'!$A:$A, K608, 'Clinical Trials HCO'!$D:$D, "&lt;&gt;")</f>
        <v>0</v>
      </c>
    </row>
    <row r="609" spans="2:33" hidden="1">
      <c r="F609">
        <f>COUNTIF(HCPs!W:W,HCO_Data!K609)</f>
        <v>0</v>
      </c>
      <c r="G609" t="str">
        <f>IF(COUNTIF('Testing Referrals'!B:B,HCO_Data!K609)&gt;0,"Yes","")</f>
        <v/>
      </c>
      <c r="H609">
        <f>COUNTIF('HCO referrals'!B:B,HCO_Data!K609)+COUNTIF('HCO referrals'!C:C,HCO_Data!K609)</f>
        <v>0</v>
      </c>
      <c r="I609">
        <v>160000279</v>
      </c>
      <c r="K609" t="s">
        <v>10599</v>
      </c>
      <c r="L609" t="s">
        <v>9085</v>
      </c>
      <c r="M609" t="s">
        <v>9086</v>
      </c>
      <c r="O609" t="s">
        <v>9087</v>
      </c>
      <c r="P609" t="s">
        <v>758</v>
      </c>
      <c r="Q609" t="s">
        <v>4283</v>
      </c>
      <c r="R609">
        <v>666</v>
      </c>
      <c r="S609">
        <v>11</v>
      </c>
      <c r="T609">
        <v>11</v>
      </c>
      <c r="W609">
        <f>COUNTIFS('Clinical Trials HCO'!$A:$A, K609, 'Clinical Trials HCO'!$D:$D, "&lt;&gt;")</f>
        <v>0</v>
      </c>
    </row>
    <row r="610" spans="2:33" hidden="1">
      <c r="F610">
        <f>COUNTIF(HCPs!W:W,HCO_Data!K610)</f>
        <v>0</v>
      </c>
      <c r="G610" t="str">
        <f>IF(COUNTIF('Testing Referrals'!B:B,HCO_Data!K610)&gt;0,"Yes","")</f>
        <v/>
      </c>
      <c r="H610">
        <f>COUNTIF('HCO referrals'!B:B,HCO_Data!K610)+COUNTIF('HCO referrals'!C:C,HCO_Data!K610)</f>
        <v>0</v>
      </c>
      <c r="I610">
        <v>210987699</v>
      </c>
      <c r="K610" t="s">
        <v>10600</v>
      </c>
      <c r="L610" t="s">
        <v>8914</v>
      </c>
      <c r="M610" t="s">
        <v>8915</v>
      </c>
      <c r="O610" t="s">
        <v>8916</v>
      </c>
      <c r="P610" t="s">
        <v>709</v>
      </c>
      <c r="Q610" t="s">
        <v>4283</v>
      </c>
      <c r="R610">
        <v>564</v>
      </c>
      <c r="S610">
        <v>11</v>
      </c>
      <c r="T610">
        <v>11</v>
      </c>
      <c r="W610">
        <f>COUNTIFS('Clinical Trials HCO'!$A:$A, K610, 'Clinical Trials HCO'!$D:$D, "&lt;&gt;")</f>
        <v>0</v>
      </c>
    </row>
    <row r="611" spans="2:33" hidden="1">
      <c r="F611">
        <f>COUNTIF(HCPs!W:W,HCO_Data!K611)</f>
        <v>0</v>
      </c>
      <c r="G611" t="str">
        <f>IF(COUNTIF('Testing Referrals'!B:B,HCO_Data!K611)&gt;0,"Yes","")</f>
        <v/>
      </c>
      <c r="H611">
        <f>COUNTIF('HCO referrals'!B:B,HCO_Data!K611)+COUNTIF('HCO referrals'!C:C,HCO_Data!K611)</f>
        <v>0</v>
      </c>
      <c r="I611">
        <v>220000541</v>
      </c>
      <c r="K611" t="s">
        <v>10601</v>
      </c>
      <c r="L611" t="s">
        <v>8824</v>
      </c>
      <c r="M611" t="s">
        <v>8825</v>
      </c>
      <c r="O611" t="s">
        <v>8826</v>
      </c>
      <c r="P611" t="s">
        <v>738</v>
      </c>
      <c r="Q611" t="s">
        <v>4283</v>
      </c>
      <c r="R611">
        <v>475</v>
      </c>
      <c r="S611">
        <v>11</v>
      </c>
      <c r="T611">
        <v>11</v>
      </c>
      <c r="W611">
        <f>COUNTIFS('Clinical Trials HCO'!$A:$A, K611, 'Clinical Trials HCO'!$D:$D, "&lt;&gt;")</f>
        <v>0</v>
      </c>
    </row>
    <row r="612" spans="2:33" hidden="1">
      <c r="F612">
        <f>COUNTIF(HCPs!W:W,HCO_Data!K612)</f>
        <v>0</v>
      </c>
      <c r="G612" t="str">
        <f>IF(COUNTIF('Testing Referrals'!B:B,HCO_Data!K612)&gt;0,"Yes","")</f>
        <v/>
      </c>
      <c r="H612">
        <f>COUNTIF('HCO referrals'!B:B,HCO_Data!K612)+COUNTIF('HCO referrals'!C:C,HCO_Data!K612)</f>
        <v>0</v>
      </c>
      <c r="I612">
        <v>270000425</v>
      </c>
      <c r="K612" t="s">
        <v>10602</v>
      </c>
      <c r="L612" t="s">
        <v>9061</v>
      </c>
      <c r="M612" t="s">
        <v>9062</v>
      </c>
      <c r="O612" t="s">
        <v>9063</v>
      </c>
      <c r="P612" t="s">
        <v>723</v>
      </c>
      <c r="Q612" t="s">
        <v>4283</v>
      </c>
      <c r="R612">
        <v>656</v>
      </c>
      <c r="S612">
        <v>11</v>
      </c>
      <c r="T612">
        <v>11</v>
      </c>
      <c r="W612">
        <f>COUNTIFS('Clinical Trials HCO'!$A:$A, K612, 'Clinical Trials HCO'!$D:$D, "&lt;&gt;")</f>
        <v>0</v>
      </c>
    </row>
    <row r="613" spans="2:33" hidden="1">
      <c r="B613">
        <v>665</v>
      </c>
      <c r="F613">
        <f>COUNTIF(HCPs!W:W,HCO_Data!K613)</f>
        <v>0</v>
      </c>
      <c r="G613" t="str">
        <f>IF(COUNTIF('Testing Referrals'!B:B,HCO_Data!K613)&gt;0,"Yes","")</f>
        <v/>
      </c>
      <c r="H613">
        <f>COUNTIF('HCO referrals'!B:B,HCO_Data!K613)+COUNTIF('HCO referrals'!C:C,HCO_Data!K613)</f>
        <v>0</v>
      </c>
      <c r="I613">
        <v>300780152</v>
      </c>
      <c r="K613" t="s">
        <v>10603</v>
      </c>
      <c r="L613" t="s">
        <v>2566</v>
      </c>
      <c r="M613" t="s">
        <v>2861</v>
      </c>
      <c r="N613">
        <v>30000</v>
      </c>
      <c r="O613" t="s">
        <v>951</v>
      </c>
      <c r="Q613" t="s">
        <v>4283</v>
      </c>
      <c r="R613">
        <v>685</v>
      </c>
      <c r="S613">
        <v>11</v>
      </c>
      <c r="T613">
        <v>11</v>
      </c>
      <c r="W613">
        <f>COUNTIFS('Clinical Trials HCO'!$A:$A, K613, 'Clinical Trials HCO'!$D:$D, "&lt;&gt;")</f>
        <v>0</v>
      </c>
      <c r="AF613" t="s">
        <v>414</v>
      </c>
      <c r="AG613" t="s">
        <v>414</v>
      </c>
    </row>
    <row r="614" spans="2:33" hidden="1">
      <c r="F614">
        <f>COUNTIF(HCPs!W:W,HCO_Data!K614)</f>
        <v>0</v>
      </c>
      <c r="G614" t="str">
        <f>IF(COUNTIF('Testing Referrals'!B:B,HCO_Data!K614)&gt;0,"Yes","")</f>
        <v/>
      </c>
      <c r="H614">
        <f>COUNTIF('HCO referrals'!B:B,HCO_Data!K614)+COUNTIF('HCO referrals'!C:C,HCO_Data!K614)</f>
        <v>0</v>
      </c>
      <c r="I614">
        <v>350006771</v>
      </c>
      <c r="K614" t="s">
        <v>10604</v>
      </c>
      <c r="L614" t="s">
        <v>9133</v>
      </c>
      <c r="M614" t="s">
        <v>9134</v>
      </c>
      <c r="O614" t="s">
        <v>1702</v>
      </c>
      <c r="P614" t="s">
        <v>720</v>
      </c>
      <c r="Q614" t="s">
        <v>4283</v>
      </c>
      <c r="R614">
        <v>689</v>
      </c>
      <c r="S614">
        <v>11</v>
      </c>
      <c r="T614">
        <v>11</v>
      </c>
      <c r="W614">
        <f>COUNTIFS('Clinical Trials HCO'!$A:$A, K614, 'Clinical Trials HCO'!$D:$D, "&lt;&gt;")</f>
        <v>0</v>
      </c>
    </row>
    <row r="615" spans="2:33" hidden="1">
      <c r="B615">
        <v>379</v>
      </c>
      <c r="F615">
        <f>COUNTIF(HCPs!W:W,HCO_Data!K615)</f>
        <v>0</v>
      </c>
      <c r="G615" t="str">
        <f>IF(COUNTIF('Testing Referrals'!B:B,HCO_Data!K615)&gt;0,"Yes","")</f>
        <v/>
      </c>
      <c r="H615">
        <f>COUNTIF('HCO referrals'!B:B,HCO_Data!K615)+COUNTIF('HCO referrals'!C:C,HCO_Data!K615)</f>
        <v>0</v>
      </c>
      <c r="I615">
        <v>410000046</v>
      </c>
      <c r="K615" t="s">
        <v>10605</v>
      </c>
      <c r="L615" t="s">
        <v>2404</v>
      </c>
      <c r="M615" t="s">
        <v>2703</v>
      </c>
      <c r="N615">
        <v>41206</v>
      </c>
      <c r="O615" t="s">
        <v>2704</v>
      </c>
      <c r="Q615" t="s">
        <v>4283</v>
      </c>
      <c r="R615">
        <v>543</v>
      </c>
      <c r="S615">
        <v>11</v>
      </c>
      <c r="T615">
        <v>11</v>
      </c>
      <c r="W615">
        <f>COUNTIFS('Clinical Trials HCO'!$A:$A, K615, 'Clinical Trials HCO'!$D:$D, "&lt;&gt;")</f>
        <v>0</v>
      </c>
      <c r="AG615" t="s">
        <v>414</v>
      </c>
    </row>
    <row r="616" spans="2:33" hidden="1">
      <c r="F616">
        <f>COUNTIF(HCPs!W:W,HCO_Data!K616)</f>
        <v>0</v>
      </c>
      <c r="G616" t="str">
        <f>IF(COUNTIF('Testing Referrals'!B:B,HCO_Data!K616)&gt;0,"Yes","")</f>
        <v/>
      </c>
      <c r="H616">
        <f>COUNTIF('HCO referrals'!B:B,HCO_Data!K616)+COUNTIF('HCO referrals'!C:C,HCO_Data!K616)</f>
        <v>0</v>
      </c>
      <c r="I616">
        <v>500000468</v>
      </c>
      <c r="K616" t="s">
        <v>10606</v>
      </c>
      <c r="L616" t="s">
        <v>9109</v>
      </c>
      <c r="M616" t="s">
        <v>9110</v>
      </c>
      <c r="O616" t="s">
        <v>9111</v>
      </c>
      <c r="P616" t="s">
        <v>778</v>
      </c>
      <c r="Q616" t="s">
        <v>4283</v>
      </c>
      <c r="R616">
        <v>678</v>
      </c>
      <c r="S616">
        <v>11</v>
      </c>
      <c r="T616">
        <v>11</v>
      </c>
      <c r="W616">
        <f>COUNTIFS('Clinical Trials HCO'!$A:$A, K616, 'Clinical Trials HCO'!$D:$D, "&lt;&gt;")</f>
        <v>0</v>
      </c>
    </row>
    <row r="617" spans="2:33" hidden="1">
      <c r="F617">
        <f>COUNTIF(HCPs!W:W,HCO_Data!K617)</f>
        <v>0</v>
      </c>
      <c r="G617" t="str">
        <f>IF(COUNTIF('Testing Referrals'!B:B,HCO_Data!K617)&gt;0,"Yes","")</f>
        <v/>
      </c>
      <c r="H617">
        <f>COUNTIF('HCO referrals'!B:B,HCO_Data!K617)+COUNTIF('HCO referrals'!C:C,HCO_Data!K617)</f>
        <v>0</v>
      </c>
      <c r="I617">
        <v>650780398</v>
      </c>
      <c r="K617" t="s">
        <v>10607</v>
      </c>
      <c r="L617" t="s">
        <v>9127</v>
      </c>
      <c r="M617" t="s">
        <v>9128</v>
      </c>
      <c r="O617" t="s">
        <v>9129</v>
      </c>
      <c r="P617" t="s">
        <v>781</v>
      </c>
      <c r="Q617" t="s">
        <v>4283</v>
      </c>
      <c r="R617">
        <v>687</v>
      </c>
      <c r="S617">
        <v>11</v>
      </c>
      <c r="T617">
        <v>11</v>
      </c>
      <c r="W617">
        <f>COUNTIFS('Clinical Trials HCO'!$A:$A, K617, 'Clinical Trials HCO'!$D:$D, "&lt;&gt;")</f>
        <v>0</v>
      </c>
    </row>
    <row r="618" spans="2:33" hidden="1">
      <c r="F618">
        <f>COUNTIF(HCPs!W:W,HCO_Data!K618)</f>
        <v>0</v>
      </c>
      <c r="G618" t="str">
        <f>IF(COUNTIF('Testing Referrals'!B:B,HCO_Data!K618)&gt;0,"Yes","")</f>
        <v/>
      </c>
      <c r="H618">
        <f>COUNTIF('HCO referrals'!B:B,HCO_Data!K618)+COUNTIF('HCO referrals'!C:C,HCO_Data!K618)</f>
        <v>0</v>
      </c>
      <c r="I618">
        <v>740000286</v>
      </c>
      <c r="K618" t="s">
        <v>10608</v>
      </c>
      <c r="L618" t="s">
        <v>9064</v>
      </c>
      <c r="M618" t="s">
        <v>9065</v>
      </c>
      <c r="O618" t="s">
        <v>9066</v>
      </c>
      <c r="P618" t="s">
        <v>754</v>
      </c>
      <c r="Q618" t="s">
        <v>4283</v>
      </c>
      <c r="R618">
        <v>657</v>
      </c>
      <c r="S618">
        <v>11</v>
      </c>
      <c r="T618">
        <v>11</v>
      </c>
      <c r="W618">
        <f>COUNTIFS('Clinical Trials HCO'!$A:$A, K618, 'Clinical Trials HCO'!$D:$D, "&lt;&gt;")</f>
        <v>0</v>
      </c>
    </row>
    <row r="619" spans="2:33" hidden="1">
      <c r="F619">
        <f>COUNTIF(HCPs!W:W,HCO_Data!K619)</f>
        <v>0</v>
      </c>
      <c r="G619" t="str">
        <f>IF(COUNTIF('Testing Referrals'!B:B,HCO_Data!K619)&gt;0,"Yes","")</f>
        <v/>
      </c>
      <c r="H619">
        <f>COUNTIF('HCO referrals'!B:B,HCO_Data!K619)+COUNTIF('HCO referrals'!C:C,HCO_Data!K619)</f>
        <v>0</v>
      </c>
      <c r="I619">
        <v>750100042</v>
      </c>
      <c r="K619" t="s">
        <v>10609</v>
      </c>
      <c r="L619" t="s">
        <v>9097</v>
      </c>
      <c r="M619" t="s">
        <v>9098</v>
      </c>
      <c r="O619" t="s">
        <v>9099</v>
      </c>
      <c r="P619" t="s">
        <v>700</v>
      </c>
      <c r="Q619" t="s">
        <v>4283</v>
      </c>
      <c r="R619">
        <v>671</v>
      </c>
      <c r="S619">
        <v>11</v>
      </c>
      <c r="T619">
        <v>11</v>
      </c>
      <c r="W619">
        <f>COUNTIFS('Clinical Trials HCO'!$A:$A, K619, 'Clinical Trials HCO'!$D:$D, "&lt;&gt;")</f>
        <v>0</v>
      </c>
    </row>
    <row r="620" spans="2:33" hidden="1">
      <c r="F620">
        <f>COUNTIF(HCPs!W:W,HCO_Data!K620)</f>
        <v>0</v>
      </c>
      <c r="G620" t="str">
        <f>IF(COUNTIF('Testing Referrals'!B:B,HCO_Data!K620)&gt;0,"Yes","")</f>
        <v/>
      </c>
      <c r="H620">
        <f>COUNTIF('HCO referrals'!B:B,HCO_Data!K620)+COUNTIF('HCO referrals'!C:C,HCO_Data!K620)</f>
        <v>0</v>
      </c>
      <c r="I620">
        <v>800000614</v>
      </c>
      <c r="K620" t="s">
        <v>10610</v>
      </c>
      <c r="L620" t="s">
        <v>9135</v>
      </c>
      <c r="M620" t="s">
        <v>9136</v>
      </c>
      <c r="O620" t="s">
        <v>9137</v>
      </c>
      <c r="P620" t="s">
        <v>729</v>
      </c>
      <c r="Q620" t="s">
        <v>4283</v>
      </c>
      <c r="R620">
        <v>690</v>
      </c>
      <c r="S620">
        <v>11</v>
      </c>
      <c r="T620">
        <v>11</v>
      </c>
      <c r="W620">
        <f>COUNTIFS('Clinical Trials HCO'!$A:$A, K620, 'Clinical Trials HCO'!$D:$D, "&lt;&gt;")</f>
        <v>0</v>
      </c>
    </row>
    <row r="621" spans="2:33" hidden="1">
      <c r="F621">
        <f>COUNTIF(HCPs!W:W,HCO_Data!K621)</f>
        <v>0</v>
      </c>
      <c r="G621" t="str">
        <f>IF(COUNTIF('Testing Referrals'!B:B,HCO_Data!K621)&gt;0,"Yes","")</f>
        <v/>
      </c>
      <c r="H621">
        <f>COUNTIF('HCO referrals'!B:B,HCO_Data!K621)+COUNTIF('HCO referrals'!C:C,HCO_Data!K621)</f>
        <v>0</v>
      </c>
      <c r="I621">
        <v>910000298</v>
      </c>
      <c r="K621" t="s">
        <v>10611</v>
      </c>
      <c r="L621" t="s">
        <v>9102</v>
      </c>
      <c r="M621" t="s">
        <v>9103</v>
      </c>
      <c r="O621" t="s">
        <v>976</v>
      </c>
      <c r="P621" t="s">
        <v>745</v>
      </c>
      <c r="Q621" t="s">
        <v>4283</v>
      </c>
      <c r="R621">
        <v>674</v>
      </c>
      <c r="S621">
        <v>11</v>
      </c>
      <c r="T621">
        <v>11</v>
      </c>
      <c r="W621">
        <f>COUNTIFS('Clinical Trials HCO'!$A:$A, K621, 'Clinical Trials HCO'!$D:$D, "&lt;&gt;")</f>
        <v>0</v>
      </c>
    </row>
    <row r="622" spans="2:33" hidden="1">
      <c r="F622">
        <f>COUNTIF(HCPs!W:W,HCO_Data!K622)</f>
        <v>0</v>
      </c>
      <c r="G622" t="str">
        <f>IF(COUNTIF('Testing Referrals'!B:B,HCO_Data!K622)&gt;0,"Yes","")</f>
        <v/>
      </c>
      <c r="H622">
        <f>COUNTIF('HCO referrals'!B:B,HCO_Data!K622)+COUNTIF('HCO referrals'!C:C,HCO_Data!K622)</f>
        <v>0</v>
      </c>
      <c r="I622">
        <v>930000302</v>
      </c>
      <c r="K622" t="s">
        <v>10612</v>
      </c>
      <c r="L622" t="s">
        <v>9115</v>
      </c>
      <c r="M622" t="s">
        <v>9116</v>
      </c>
      <c r="O622" t="s">
        <v>9117</v>
      </c>
      <c r="P622" t="s">
        <v>731</v>
      </c>
      <c r="Q622" t="s">
        <v>4283</v>
      </c>
      <c r="R622">
        <v>681</v>
      </c>
      <c r="S622">
        <v>11</v>
      </c>
      <c r="T622">
        <v>11</v>
      </c>
      <c r="W622">
        <f>COUNTIFS('Clinical Trials HCO'!$A:$A, K622, 'Clinical Trials HCO'!$D:$D, "&lt;&gt;")</f>
        <v>0</v>
      </c>
    </row>
    <row r="623" spans="2:33" hidden="1">
      <c r="B623">
        <v>334</v>
      </c>
      <c r="C623" t="s">
        <v>4808</v>
      </c>
      <c r="F623">
        <f>COUNTIF(HCPs!W:W,HCO_Data!K623)</f>
        <v>2</v>
      </c>
      <c r="G623" t="str">
        <f>IF(COUNTIF('Testing Referrals'!B:B,HCO_Data!K623)&gt;0,"Yes","")</f>
        <v/>
      </c>
      <c r="H623">
        <f>COUNTIF('HCO referrals'!B:B,HCO_Data!K623)+COUNTIF('HCO referrals'!C:C,HCO_Data!K623)</f>
        <v>0</v>
      </c>
      <c r="I623">
        <v>610006421</v>
      </c>
      <c r="K623" t="s">
        <v>3736</v>
      </c>
      <c r="L623" t="s">
        <v>4419</v>
      </c>
      <c r="M623" t="s">
        <v>2742</v>
      </c>
      <c r="N623">
        <v>61000</v>
      </c>
      <c r="O623" t="s">
        <v>1975</v>
      </c>
      <c r="Q623" t="s">
        <v>4283</v>
      </c>
      <c r="R623">
        <v>856</v>
      </c>
      <c r="S623" t="s">
        <v>10137</v>
      </c>
      <c r="T623">
        <v>-1</v>
      </c>
      <c r="W623">
        <f>COUNTIFS('Clinical Trials HCO'!$A:$A, K623, 'Clinical Trials HCO'!$D:$D, "&lt;&gt;")</f>
        <v>0</v>
      </c>
      <c r="AG623" t="s">
        <v>414</v>
      </c>
    </row>
    <row r="624" spans="2:33" hidden="1">
      <c r="C624" t="s">
        <v>8374</v>
      </c>
      <c r="F624">
        <f>COUNTIF(HCPs!W:W,HCO_Data!K624)</f>
        <v>1</v>
      </c>
      <c r="G624" t="str">
        <f>IF(COUNTIF('Testing Referrals'!B:B,HCO_Data!K624)&gt;0,"Yes","")</f>
        <v>Yes</v>
      </c>
      <c r="H624">
        <f>COUNTIF('HCO referrals'!B:B,HCO_Data!K624)+COUNTIF('HCO referrals'!C:C,HCO_Data!K624)</f>
        <v>1</v>
      </c>
      <c r="I624">
        <v>60785003</v>
      </c>
      <c r="K624" t="s">
        <v>3749</v>
      </c>
      <c r="L624" t="s">
        <v>391</v>
      </c>
      <c r="M624" t="s">
        <v>9144</v>
      </c>
      <c r="N624">
        <v>6001</v>
      </c>
      <c r="O624" t="s">
        <v>2956</v>
      </c>
      <c r="Q624" t="s">
        <v>4283</v>
      </c>
      <c r="R624">
        <v>694</v>
      </c>
      <c r="S624" t="s">
        <v>10137</v>
      </c>
      <c r="T624">
        <v>-1</v>
      </c>
      <c r="W624">
        <f>COUNTIFS('Clinical Trials HCO'!$A:$A, K624, 'Clinical Trials HCO'!$D:$D, "&lt;&gt;")</f>
        <v>0</v>
      </c>
      <c r="AG624" t="s">
        <v>414</v>
      </c>
    </row>
    <row r="625" spans="2:33" hidden="1">
      <c r="C625" t="s">
        <v>8539</v>
      </c>
      <c r="F625">
        <f>COUNTIF(HCPs!W:W,HCO_Data!K625)</f>
        <v>3</v>
      </c>
      <c r="G625" t="str">
        <f>IF(COUNTIF('Testing Referrals'!B:B,HCO_Data!K625)&gt;0,"Yes","")</f>
        <v>Yes</v>
      </c>
      <c r="H625">
        <f>COUNTIF('HCO referrals'!B:B,HCO_Data!K625)+COUNTIF('HCO referrals'!C:C,HCO_Data!K625)</f>
        <v>2</v>
      </c>
      <c r="I625">
        <v>290000058</v>
      </c>
      <c r="K625" t="s">
        <v>4555</v>
      </c>
      <c r="L625" t="s">
        <v>107</v>
      </c>
      <c r="O625" t="s">
        <v>862</v>
      </c>
      <c r="Q625" t="s">
        <v>4283</v>
      </c>
      <c r="R625">
        <v>930</v>
      </c>
      <c r="S625" t="s">
        <v>10137</v>
      </c>
      <c r="T625">
        <v>-1</v>
      </c>
      <c r="W625">
        <f>COUNTIFS('Clinical Trials HCO'!$A:$A, K625, 'Clinical Trials HCO'!$D:$D, "&lt;&gt;")</f>
        <v>11</v>
      </c>
    </row>
    <row r="626" spans="2:33" hidden="1">
      <c r="B626">
        <v>501</v>
      </c>
      <c r="F626">
        <f>COUNTIF(HCPs!W:W,HCO_Data!K626)</f>
        <v>0</v>
      </c>
      <c r="G626" t="str">
        <f>IF(COUNTIF('Testing Referrals'!B:B,HCO_Data!K626)&gt;0,"Yes","")</f>
        <v>Yes</v>
      </c>
      <c r="H626">
        <f>COUNTIF('HCO referrals'!B:B,HCO_Data!K626)+COUNTIF('HCO referrals'!C:C,HCO_Data!K626)</f>
        <v>0</v>
      </c>
      <c r="I626">
        <v>330781360</v>
      </c>
      <c r="K626" t="s">
        <v>3782</v>
      </c>
      <c r="L626" t="s">
        <v>4873</v>
      </c>
      <c r="M626" t="s">
        <v>2137</v>
      </c>
      <c r="N626">
        <v>33076</v>
      </c>
      <c r="O626" t="s">
        <v>942</v>
      </c>
      <c r="Q626" t="s">
        <v>4283</v>
      </c>
      <c r="R626">
        <v>668</v>
      </c>
      <c r="S626" t="s">
        <v>10137</v>
      </c>
      <c r="T626">
        <v>-1</v>
      </c>
      <c r="W626">
        <f>COUNTIFS('Clinical Trials HCO'!$A:$A, K626, 'Clinical Trials HCO'!$D:$D, "&lt;&gt;")</f>
        <v>0</v>
      </c>
      <c r="AF626" t="s">
        <v>414</v>
      </c>
    </row>
    <row r="627" spans="2:33" hidden="1">
      <c r="B627">
        <v>87</v>
      </c>
      <c r="D627" t="s">
        <v>1329</v>
      </c>
      <c r="F627">
        <f>COUNTIF(HCPs!W:W,HCO_Data!K627)</f>
        <v>0</v>
      </c>
      <c r="G627" t="str">
        <f>IF(COUNTIF('Testing Referrals'!B:B,HCO_Data!K627)&gt;0,"Yes","")</f>
        <v>Yes</v>
      </c>
      <c r="H627">
        <f>COUNTIF('HCO referrals'!B:B,HCO_Data!K627)+COUNTIF('HCO referrals'!C:C,HCO_Data!K627)</f>
        <v>0</v>
      </c>
      <c r="I627">
        <v>310025333</v>
      </c>
      <c r="K627" t="s">
        <v>3785</v>
      </c>
      <c r="L627" t="s">
        <v>4304</v>
      </c>
      <c r="M627" t="s">
        <v>2324</v>
      </c>
      <c r="N627">
        <v>31059</v>
      </c>
      <c r="O627" t="s">
        <v>833</v>
      </c>
      <c r="Q627" t="s">
        <v>4283</v>
      </c>
      <c r="R627">
        <v>607</v>
      </c>
      <c r="S627" t="s">
        <v>10137</v>
      </c>
      <c r="T627">
        <v>-1</v>
      </c>
      <c r="W627">
        <f>COUNTIFS('Clinical Trials HCO'!$A:$A, K627, 'Clinical Trials HCO'!$D:$D, "&lt;&gt;")</f>
        <v>0</v>
      </c>
      <c r="AF627" t="s">
        <v>414</v>
      </c>
      <c r="AG627" t="s">
        <v>414</v>
      </c>
    </row>
    <row r="628" spans="2:33" hidden="1">
      <c r="B628">
        <v>338</v>
      </c>
      <c r="F628">
        <f>COUNTIF(HCPs!W:W,HCO_Data!K628)</f>
        <v>0</v>
      </c>
      <c r="G628" t="str">
        <f>IF(COUNTIF('Testing Referrals'!B:B,HCO_Data!K628)&gt;0,"Yes","")</f>
        <v>Yes</v>
      </c>
      <c r="H628">
        <f>COUNTIF('HCO referrals'!B:B,HCO_Data!K628)+COUNTIF('HCO referrals'!C:C,HCO_Data!K628)</f>
        <v>0</v>
      </c>
      <c r="I628">
        <v>130783236</v>
      </c>
      <c r="K628" t="s">
        <v>3788</v>
      </c>
      <c r="L628" t="s">
        <v>4889</v>
      </c>
      <c r="M628" t="s">
        <v>1695</v>
      </c>
      <c r="N628">
        <v>13005</v>
      </c>
      <c r="O628" t="s">
        <v>822</v>
      </c>
      <c r="Q628" t="s">
        <v>4283</v>
      </c>
      <c r="R628">
        <v>703</v>
      </c>
      <c r="S628" t="s">
        <v>10137</v>
      </c>
      <c r="T628">
        <v>-1</v>
      </c>
      <c r="W628">
        <f>COUNTIFS('Clinical Trials HCO'!$A:$A, K628, 'Clinical Trials HCO'!$D:$D, "&lt;&gt;")</f>
        <v>1</v>
      </c>
      <c r="AF628" t="s">
        <v>414</v>
      </c>
      <c r="AG628" t="s">
        <v>414</v>
      </c>
    </row>
    <row r="629" spans="2:33" hidden="1">
      <c r="B629">
        <v>504</v>
      </c>
      <c r="F629">
        <f>COUNTIF(HCPs!W:W,HCO_Data!K629)</f>
        <v>0</v>
      </c>
      <c r="G629" t="str">
        <f>IF(COUNTIF('Testing Referrals'!B:B,HCO_Data!K629)&gt;0,"Yes","")</f>
        <v/>
      </c>
      <c r="H629">
        <f>COUNTIF('HCO referrals'!B:B,HCO_Data!K629)+COUNTIF('HCO referrals'!C:C,HCO_Data!K629)</f>
        <v>1</v>
      </c>
      <c r="I629">
        <v>540001138</v>
      </c>
      <c r="K629" t="s">
        <v>3798</v>
      </c>
      <c r="L629" t="s">
        <v>5013</v>
      </c>
      <c r="M629" t="s">
        <v>1991</v>
      </c>
      <c r="N629">
        <v>54035</v>
      </c>
      <c r="O629" t="s">
        <v>1992</v>
      </c>
      <c r="Q629" t="s">
        <v>4283</v>
      </c>
      <c r="R629">
        <v>695</v>
      </c>
      <c r="S629" t="s">
        <v>10137</v>
      </c>
      <c r="T629">
        <v>-1</v>
      </c>
      <c r="W629">
        <f>COUNTIFS('Clinical Trials HCO'!$A:$A, K629, 'Clinical Trials HCO'!$D:$D, "&lt;&gt;")</f>
        <v>0</v>
      </c>
      <c r="AF629" t="s">
        <v>414</v>
      </c>
      <c r="AG629" t="s">
        <v>414</v>
      </c>
    </row>
    <row r="630" spans="2:33" hidden="1">
      <c r="B630">
        <v>465</v>
      </c>
      <c r="F630">
        <f>COUNTIF(HCPs!W:W,HCO_Data!K630)</f>
        <v>1</v>
      </c>
      <c r="G630" t="str">
        <f>IF(COUNTIF('Testing Referrals'!B:B,HCO_Data!K630)&gt;0,"Yes","")</f>
        <v/>
      </c>
      <c r="H630">
        <f>COUNTIF('HCO referrals'!B:B,HCO_Data!K630)+COUNTIF('HCO referrals'!C:C,HCO_Data!K630)</f>
        <v>0</v>
      </c>
      <c r="I630">
        <v>560002933</v>
      </c>
      <c r="K630" t="s">
        <v>3808</v>
      </c>
      <c r="L630" t="s">
        <v>7979</v>
      </c>
      <c r="M630" t="s">
        <v>2797</v>
      </c>
      <c r="N630">
        <v>56324</v>
      </c>
      <c r="O630" t="s">
        <v>2128</v>
      </c>
      <c r="Q630" t="s">
        <v>4283</v>
      </c>
      <c r="R630">
        <v>802</v>
      </c>
      <c r="S630" t="s">
        <v>10137</v>
      </c>
      <c r="T630">
        <v>-1</v>
      </c>
      <c r="W630">
        <f>COUNTIFS('Clinical Trials HCO'!$A:$A, K630, 'Clinical Trials HCO'!$D:$D, "&lt;&gt;")</f>
        <v>0</v>
      </c>
      <c r="AF630" t="s">
        <v>414</v>
      </c>
    </row>
    <row r="631" spans="2:33" hidden="1">
      <c r="B631">
        <v>350</v>
      </c>
      <c r="C631" t="s">
        <v>8219</v>
      </c>
      <c r="F631">
        <f>COUNTIF(HCPs!W:W,HCO_Data!K631)</f>
        <v>3</v>
      </c>
      <c r="G631" t="str">
        <f>IF(COUNTIF('Testing Referrals'!B:B,HCO_Data!K631)&gt;0,"Yes","")</f>
        <v/>
      </c>
      <c r="H631">
        <f>COUNTIF('HCO referrals'!B:B,HCO_Data!K631)+COUNTIF('HCO referrals'!C:C,HCO_Data!K631)</f>
        <v>0</v>
      </c>
      <c r="I631">
        <v>130783327</v>
      </c>
      <c r="K631" t="s">
        <v>8220</v>
      </c>
      <c r="L631" t="s">
        <v>8221</v>
      </c>
      <c r="M631" t="s">
        <v>2733</v>
      </c>
      <c r="N631">
        <v>13006</v>
      </c>
      <c r="O631" t="s">
        <v>822</v>
      </c>
      <c r="Q631" t="s">
        <v>4283</v>
      </c>
      <c r="R631">
        <v>764</v>
      </c>
      <c r="S631" t="s">
        <v>10137</v>
      </c>
      <c r="T631">
        <v>-1</v>
      </c>
      <c r="W631">
        <f>COUNTIFS('Clinical Trials HCO'!$A:$A, K631, 'Clinical Trials HCO'!$D:$D, "&lt;&gt;")</f>
        <v>0</v>
      </c>
      <c r="AF631" t="s">
        <v>414</v>
      </c>
      <c r="AG631" t="s">
        <v>414</v>
      </c>
    </row>
    <row r="632" spans="2:33" hidden="1">
      <c r="B632">
        <v>408</v>
      </c>
      <c r="C632" t="s">
        <v>8348</v>
      </c>
      <c r="F632">
        <f>COUNTIF(HCPs!W:W,HCO_Data!K632)</f>
        <v>0</v>
      </c>
      <c r="G632" t="str">
        <f>IF(COUNTIF('Testing Referrals'!B:B,HCO_Data!K632)&gt;0,"Yes","")</f>
        <v/>
      </c>
      <c r="H632">
        <f>COUNTIF('HCO referrals'!B:B,HCO_Data!K632)+COUNTIF('HCO referrals'!C:C,HCO_Data!K632)</f>
        <v>0</v>
      </c>
      <c r="I632">
        <v>350007084</v>
      </c>
      <c r="J632" s="72" t="s">
        <v>8351</v>
      </c>
      <c r="K632" t="s">
        <v>8350</v>
      </c>
      <c r="L632" s="12" t="s">
        <v>8353</v>
      </c>
      <c r="M632" t="s">
        <v>1996</v>
      </c>
      <c r="N632">
        <v>35000</v>
      </c>
      <c r="O632" t="s">
        <v>1702</v>
      </c>
      <c r="Q632" t="s">
        <v>4283</v>
      </c>
      <c r="R632">
        <v>712</v>
      </c>
      <c r="S632" t="s">
        <v>10137</v>
      </c>
      <c r="T632">
        <v>-1</v>
      </c>
      <c r="W632">
        <f>COUNTIFS('Clinical Trials HCO'!$A:$A, K632, 'Clinical Trials HCO'!$D:$D, "&lt;&gt;")</f>
        <v>0</v>
      </c>
      <c r="AG632" t="s">
        <v>414</v>
      </c>
    </row>
    <row r="633" spans="2:33" hidden="1">
      <c r="B633">
        <v>464</v>
      </c>
      <c r="C633" t="s">
        <v>8354</v>
      </c>
      <c r="F633">
        <f>COUNTIF(HCPs!W:W,HCO_Data!K633)</f>
        <v>0</v>
      </c>
      <c r="G633" t="str">
        <f>IF(COUNTIF('Testing Referrals'!B:B,HCO_Data!K633)&gt;0,"Yes","")</f>
        <v/>
      </c>
      <c r="H633">
        <f>COUNTIF('HCO referrals'!B:B,HCO_Data!K633)+COUNTIF('HCO referrals'!C:C,HCO_Data!K633)</f>
        <v>4</v>
      </c>
      <c r="I633">
        <v>350000139</v>
      </c>
      <c r="K633" t="s">
        <v>8356</v>
      </c>
      <c r="L633" t="s">
        <v>2480</v>
      </c>
      <c r="M633" t="s">
        <v>2793</v>
      </c>
      <c r="N633">
        <v>35000</v>
      </c>
      <c r="O633" t="s">
        <v>1702</v>
      </c>
      <c r="Q633" t="s">
        <v>4283</v>
      </c>
      <c r="R633">
        <v>711</v>
      </c>
      <c r="S633" t="s">
        <v>10137</v>
      </c>
      <c r="T633">
        <v>-1</v>
      </c>
      <c r="W633">
        <f>COUNTIFS('Clinical Trials HCO'!$A:$A, K633, 'Clinical Trials HCO'!$D:$D, "&lt;&gt;")</f>
        <v>0</v>
      </c>
      <c r="AG633" t="s">
        <v>414</v>
      </c>
    </row>
    <row r="634" spans="2:33" hidden="1">
      <c r="B634">
        <v>360</v>
      </c>
      <c r="F634">
        <f>COUNTIF(HCPs!W:W,HCO_Data!K634)</f>
        <v>0</v>
      </c>
      <c r="G634" t="str">
        <f>IF(COUNTIF('Testing Referrals'!B:B,HCO_Data!K634)&gt;0,"Yes","")</f>
        <v/>
      </c>
      <c r="H634">
        <f>COUNTIF('HCO referrals'!B:B,HCO_Data!K634)+COUNTIF('HCO referrals'!C:C,HCO_Data!K634)</f>
        <v>0</v>
      </c>
      <c r="I634">
        <v>10000032</v>
      </c>
      <c r="K634" t="s">
        <v>10613</v>
      </c>
      <c r="L634" t="s">
        <v>624</v>
      </c>
      <c r="M634" t="s">
        <v>2673</v>
      </c>
      <c r="N634">
        <v>1300</v>
      </c>
      <c r="O634" t="s">
        <v>2674</v>
      </c>
      <c r="Q634" t="s">
        <v>4283</v>
      </c>
      <c r="R634">
        <v>559</v>
      </c>
      <c r="S634" t="s">
        <v>10137</v>
      </c>
      <c r="T634">
        <v>-1</v>
      </c>
      <c r="W634">
        <f>COUNTIFS('Clinical Trials HCO'!$A:$A, K634, 'Clinical Trials HCO'!$D:$D, "&lt;&gt;")</f>
        <v>0</v>
      </c>
      <c r="AF634" t="s">
        <v>414</v>
      </c>
      <c r="AG634" t="s">
        <v>414</v>
      </c>
    </row>
    <row r="635" spans="2:33" hidden="1">
      <c r="F635">
        <f>COUNTIF(HCPs!W:W,HCO_Data!K635)</f>
        <v>0</v>
      </c>
      <c r="G635" t="str">
        <f>IF(COUNTIF('Testing Referrals'!B:B,HCO_Data!K635)&gt;0,"Yes","")</f>
        <v/>
      </c>
      <c r="H635">
        <f>COUNTIF('HCO referrals'!B:B,HCO_Data!K635)+COUNTIF('HCO referrals'!C:C,HCO_Data!K635)</f>
        <v>0</v>
      </c>
      <c r="I635">
        <v>10000115</v>
      </c>
      <c r="K635" t="s">
        <v>10614</v>
      </c>
      <c r="L635" t="s">
        <v>9843</v>
      </c>
      <c r="M635" t="s">
        <v>9844</v>
      </c>
      <c r="O635" t="s">
        <v>9845</v>
      </c>
      <c r="P635" t="s">
        <v>756</v>
      </c>
      <c r="Q635" t="s">
        <v>4283</v>
      </c>
      <c r="R635">
        <v>1010</v>
      </c>
      <c r="S635" t="s">
        <v>10137</v>
      </c>
      <c r="T635">
        <v>-1</v>
      </c>
      <c r="W635">
        <f>COUNTIFS('Clinical Trials HCO'!$A:$A, K635, 'Clinical Trials HCO'!$D:$D, "&lt;&gt;")</f>
        <v>0</v>
      </c>
    </row>
    <row r="636" spans="2:33" hidden="1">
      <c r="F636">
        <f>COUNTIF(HCPs!W:W,HCO_Data!K636)</f>
        <v>0</v>
      </c>
      <c r="G636" t="str">
        <f>IF(COUNTIF('Testing Referrals'!B:B,HCO_Data!K636)&gt;0,"Yes","")</f>
        <v/>
      </c>
      <c r="H636">
        <f>COUNTIF('HCO referrals'!B:B,HCO_Data!K636)+COUNTIF('HCO referrals'!C:C,HCO_Data!K636)</f>
        <v>0</v>
      </c>
      <c r="I636">
        <v>10000131</v>
      </c>
      <c r="K636" t="s">
        <v>10615</v>
      </c>
      <c r="L636" t="s">
        <v>9996</v>
      </c>
      <c r="M636" t="s">
        <v>9997</v>
      </c>
      <c r="O636" t="s">
        <v>9998</v>
      </c>
      <c r="P636" t="s">
        <v>756</v>
      </c>
      <c r="Q636" t="s">
        <v>4283</v>
      </c>
      <c r="R636">
        <v>1075</v>
      </c>
      <c r="S636" t="s">
        <v>10137</v>
      </c>
      <c r="T636">
        <v>-1</v>
      </c>
      <c r="W636">
        <f>COUNTIFS('Clinical Trials HCO'!$A:$A, K636, 'Clinical Trials HCO'!$D:$D, "&lt;&gt;")</f>
        <v>0</v>
      </c>
    </row>
    <row r="637" spans="2:33" hidden="1">
      <c r="F637">
        <f>COUNTIF(HCPs!W:W,HCO_Data!K637)</f>
        <v>0</v>
      </c>
      <c r="G637" t="str">
        <f>IF(COUNTIF('Testing Referrals'!B:B,HCO_Data!K637)&gt;0,"Yes","")</f>
        <v/>
      </c>
      <c r="H637">
        <f>COUNTIF('HCO referrals'!B:B,HCO_Data!K637)+COUNTIF('HCO referrals'!C:C,HCO_Data!K637)</f>
        <v>0</v>
      </c>
      <c r="I637">
        <v>20000097</v>
      </c>
      <c r="K637" t="s">
        <v>10616</v>
      </c>
      <c r="L637" t="s">
        <v>9387</v>
      </c>
      <c r="M637" t="s">
        <v>9388</v>
      </c>
      <c r="O637" t="s">
        <v>9389</v>
      </c>
      <c r="P637" t="s">
        <v>740</v>
      </c>
      <c r="Q637" t="s">
        <v>4283</v>
      </c>
      <c r="R637">
        <v>818</v>
      </c>
      <c r="S637" t="s">
        <v>10137</v>
      </c>
      <c r="T637">
        <v>-1</v>
      </c>
      <c r="W637">
        <f>COUNTIFS('Clinical Trials HCO'!$A:$A, K637, 'Clinical Trials HCO'!$D:$D, "&lt;&gt;")</f>
        <v>0</v>
      </c>
    </row>
    <row r="638" spans="2:33" hidden="1">
      <c r="F638">
        <f>COUNTIF(HCPs!W:W,HCO_Data!K638)</f>
        <v>0</v>
      </c>
      <c r="G638" t="str">
        <f>IF(COUNTIF('Testing Referrals'!B:B,HCO_Data!K638)&gt;0,"Yes","")</f>
        <v/>
      </c>
      <c r="H638">
        <f>COUNTIF('HCO referrals'!B:B,HCO_Data!K638)+COUNTIF('HCO referrals'!C:C,HCO_Data!K638)</f>
        <v>0</v>
      </c>
      <c r="I638">
        <v>20000105</v>
      </c>
      <c r="K638" t="s">
        <v>10617</v>
      </c>
      <c r="L638" t="s">
        <v>9999</v>
      </c>
      <c r="M638" t="s">
        <v>10000</v>
      </c>
      <c r="O638" t="s">
        <v>10001</v>
      </c>
      <c r="P638" t="s">
        <v>740</v>
      </c>
      <c r="Q638" t="s">
        <v>4283</v>
      </c>
      <c r="R638">
        <v>1076</v>
      </c>
      <c r="S638" t="s">
        <v>10137</v>
      </c>
      <c r="T638">
        <v>-1</v>
      </c>
      <c r="W638">
        <f>COUNTIFS('Clinical Trials HCO'!$A:$A, K638, 'Clinical Trials HCO'!$D:$D, "&lt;&gt;")</f>
        <v>0</v>
      </c>
    </row>
    <row r="639" spans="2:33" hidden="1">
      <c r="F639">
        <f>COUNTIF(HCPs!W:W,HCO_Data!K639)</f>
        <v>0</v>
      </c>
      <c r="G639" t="str">
        <f>IF(COUNTIF('Testing Referrals'!B:B,HCO_Data!K639)&gt;0,"Yes","")</f>
        <v/>
      </c>
      <c r="H639">
        <f>COUNTIF('HCO referrals'!B:B,HCO_Data!K639)+COUNTIF('HCO referrals'!C:C,HCO_Data!K639)</f>
        <v>0</v>
      </c>
      <c r="I639">
        <v>20000246</v>
      </c>
      <c r="K639" t="s">
        <v>10618</v>
      </c>
      <c r="L639" t="s">
        <v>9326</v>
      </c>
      <c r="M639" t="s">
        <v>9327</v>
      </c>
      <c r="O639" t="s">
        <v>9328</v>
      </c>
      <c r="P639" t="s">
        <v>740</v>
      </c>
      <c r="Q639" t="s">
        <v>4283</v>
      </c>
      <c r="R639">
        <v>790</v>
      </c>
      <c r="S639" t="s">
        <v>10137</v>
      </c>
      <c r="T639">
        <v>-1</v>
      </c>
      <c r="W639">
        <f>COUNTIFS('Clinical Trials HCO'!$A:$A, K639, 'Clinical Trials HCO'!$D:$D, "&lt;&gt;")</f>
        <v>0</v>
      </c>
    </row>
    <row r="640" spans="2:33" hidden="1">
      <c r="F640">
        <f>COUNTIF(HCPs!W:W,HCO_Data!K640)</f>
        <v>0</v>
      </c>
      <c r="G640" t="str">
        <f>IF(COUNTIF('Testing Referrals'!B:B,HCO_Data!K640)&gt;0,"Yes","")</f>
        <v/>
      </c>
      <c r="H640">
        <f>COUNTIF('HCO referrals'!B:B,HCO_Data!K640)+COUNTIF('HCO referrals'!C:C,HCO_Data!K640)</f>
        <v>0</v>
      </c>
      <c r="I640">
        <v>20001087</v>
      </c>
      <c r="K640" t="s">
        <v>10619</v>
      </c>
      <c r="L640" t="s">
        <v>9635</v>
      </c>
      <c r="M640" t="s">
        <v>9636</v>
      </c>
      <c r="O640" t="s">
        <v>9637</v>
      </c>
      <c r="P640" t="s">
        <v>740</v>
      </c>
      <c r="Q640" t="s">
        <v>4283</v>
      </c>
      <c r="R640">
        <v>919</v>
      </c>
      <c r="S640" t="s">
        <v>10137</v>
      </c>
      <c r="T640">
        <v>-1</v>
      </c>
      <c r="W640">
        <f>COUNTIFS('Clinical Trials HCO'!$A:$A, K640, 'Clinical Trials HCO'!$D:$D, "&lt;&gt;")</f>
        <v>0</v>
      </c>
    </row>
    <row r="641" spans="2:33" hidden="1">
      <c r="F641">
        <f>COUNTIF(HCPs!W:W,HCO_Data!K641)</f>
        <v>0</v>
      </c>
      <c r="G641" t="str">
        <f>IF(COUNTIF('Testing Referrals'!B:B,HCO_Data!K641)&gt;0,"Yes","")</f>
        <v/>
      </c>
      <c r="H641">
        <f>COUNTIF('HCO referrals'!B:B,HCO_Data!K641)+COUNTIF('HCO referrals'!C:C,HCO_Data!K641)</f>
        <v>0</v>
      </c>
      <c r="I641">
        <v>30000095</v>
      </c>
      <c r="K641" t="s">
        <v>10620</v>
      </c>
      <c r="L641" t="s">
        <v>10002</v>
      </c>
      <c r="M641">
        <v>0</v>
      </c>
      <c r="O641" t="s">
        <v>10003</v>
      </c>
      <c r="P641" t="s">
        <v>759</v>
      </c>
      <c r="Q641" t="s">
        <v>4283</v>
      </c>
      <c r="R641">
        <v>1077</v>
      </c>
      <c r="S641" t="s">
        <v>10137</v>
      </c>
      <c r="T641">
        <v>-1</v>
      </c>
      <c r="W641">
        <f>COUNTIFS('Clinical Trials HCO'!$A:$A, K641, 'Clinical Trials HCO'!$D:$D, "&lt;&gt;")</f>
        <v>0</v>
      </c>
    </row>
    <row r="642" spans="2:33" hidden="1">
      <c r="F642">
        <f>COUNTIF(HCPs!W:W,HCO_Data!K642)</f>
        <v>0</v>
      </c>
      <c r="G642" t="str">
        <f>IF(COUNTIF('Testing Referrals'!B:B,HCO_Data!K642)&gt;0,"Yes","")</f>
        <v/>
      </c>
      <c r="H642">
        <f>COUNTIF('HCO referrals'!B:B,HCO_Data!K642)+COUNTIF('HCO referrals'!C:C,HCO_Data!K642)</f>
        <v>0</v>
      </c>
      <c r="I642">
        <v>30007942</v>
      </c>
      <c r="K642" t="s">
        <v>10621</v>
      </c>
      <c r="L642" t="s">
        <v>10004</v>
      </c>
      <c r="M642" t="s">
        <v>10005</v>
      </c>
      <c r="O642" t="s">
        <v>10006</v>
      </c>
      <c r="P642" t="s">
        <v>759</v>
      </c>
      <c r="Q642" t="s">
        <v>4283</v>
      </c>
      <c r="R642">
        <v>1078</v>
      </c>
      <c r="S642" t="s">
        <v>10137</v>
      </c>
      <c r="T642">
        <v>-1</v>
      </c>
      <c r="W642">
        <f>COUNTIFS('Clinical Trials HCO'!$A:$A, K642, 'Clinical Trials HCO'!$D:$D, "&lt;&gt;")</f>
        <v>0</v>
      </c>
    </row>
    <row r="643" spans="2:33" hidden="1">
      <c r="F643">
        <f>COUNTIF(HCPs!W:W,HCO_Data!K643)</f>
        <v>0</v>
      </c>
      <c r="G643" t="str">
        <f>IF(COUNTIF('Testing Referrals'!B:B,HCO_Data!K643)&gt;0,"Yes","")</f>
        <v/>
      </c>
      <c r="H643">
        <f>COUNTIF('HCO referrals'!B:B,HCO_Data!K643)+COUNTIF('HCO referrals'!C:C,HCO_Data!K643)</f>
        <v>0</v>
      </c>
      <c r="I643">
        <v>40000044</v>
      </c>
      <c r="K643" t="s">
        <v>10622</v>
      </c>
      <c r="L643" t="s">
        <v>10007</v>
      </c>
      <c r="M643" t="s">
        <v>10008</v>
      </c>
      <c r="O643" t="s">
        <v>10009</v>
      </c>
      <c r="P643" t="s">
        <v>795</v>
      </c>
      <c r="Q643" t="s">
        <v>4283</v>
      </c>
      <c r="R643">
        <v>1079</v>
      </c>
      <c r="S643" t="s">
        <v>10137</v>
      </c>
      <c r="T643">
        <v>-1</v>
      </c>
      <c r="W643">
        <f>COUNTIFS('Clinical Trials HCO'!$A:$A, K643, 'Clinical Trials HCO'!$D:$D, "&lt;&gt;")</f>
        <v>0</v>
      </c>
    </row>
    <row r="644" spans="2:33" hidden="1">
      <c r="F644">
        <f>COUNTIF(HCPs!W:W,HCO_Data!K644)</f>
        <v>0</v>
      </c>
      <c r="G644" t="str">
        <f>IF(COUNTIF('Testing Referrals'!B:B,HCO_Data!K644)&gt;0,"Yes","")</f>
        <v/>
      </c>
      <c r="H644">
        <f>COUNTIF('HCO referrals'!B:B,HCO_Data!K644)+COUNTIF('HCO referrals'!C:C,HCO_Data!K644)</f>
        <v>0</v>
      </c>
      <c r="I644">
        <v>40000135</v>
      </c>
      <c r="K644" t="s">
        <v>10623</v>
      </c>
      <c r="L644" t="s">
        <v>9329</v>
      </c>
      <c r="M644" t="s">
        <v>9330</v>
      </c>
      <c r="O644" t="s">
        <v>9331</v>
      </c>
      <c r="P644" t="s">
        <v>795</v>
      </c>
      <c r="Q644" t="s">
        <v>4283</v>
      </c>
      <c r="R644">
        <v>791</v>
      </c>
      <c r="S644" t="s">
        <v>10137</v>
      </c>
      <c r="T644">
        <v>-1</v>
      </c>
      <c r="W644">
        <f>COUNTIFS('Clinical Trials HCO'!$A:$A, K644, 'Clinical Trials HCO'!$D:$D, "&lt;&gt;")</f>
        <v>0</v>
      </c>
    </row>
    <row r="645" spans="2:33" hidden="1">
      <c r="F645">
        <f>COUNTIF(HCPs!W:W,HCO_Data!K645)</f>
        <v>0</v>
      </c>
      <c r="G645" t="str">
        <f>IF(COUNTIF('Testing Referrals'!B:B,HCO_Data!K645)&gt;0,"Yes","")</f>
        <v/>
      </c>
      <c r="H645">
        <f>COUNTIF('HCO referrals'!B:B,HCO_Data!K645)+COUNTIF('HCO referrals'!C:C,HCO_Data!K645)</f>
        <v>0</v>
      </c>
      <c r="I645">
        <v>50000090</v>
      </c>
      <c r="K645" t="s">
        <v>10624</v>
      </c>
      <c r="L645" t="s">
        <v>10010</v>
      </c>
      <c r="M645" t="s">
        <v>10011</v>
      </c>
      <c r="O645" t="s">
        <v>1954</v>
      </c>
      <c r="P645" t="s">
        <v>792</v>
      </c>
      <c r="Q645" t="s">
        <v>4283</v>
      </c>
      <c r="R645">
        <v>1080</v>
      </c>
      <c r="S645" t="s">
        <v>10137</v>
      </c>
      <c r="T645">
        <v>-1</v>
      </c>
      <c r="W645">
        <f>COUNTIFS('Clinical Trials HCO'!$A:$A, K645, 'Clinical Trials HCO'!$D:$D, "&lt;&gt;")</f>
        <v>0</v>
      </c>
    </row>
    <row r="646" spans="2:33" hidden="1">
      <c r="F646">
        <f>COUNTIF(HCPs!W:W,HCO_Data!K646)</f>
        <v>0</v>
      </c>
      <c r="G646" t="str">
        <f>IF(COUNTIF('Testing Referrals'!B:B,HCO_Data!K646)&gt;0,"Yes","")</f>
        <v/>
      </c>
      <c r="H646">
        <f>COUNTIF('HCO referrals'!B:B,HCO_Data!K646)+COUNTIF('HCO referrals'!C:C,HCO_Data!K646)</f>
        <v>0</v>
      </c>
      <c r="I646">
        <v>50000256</v>
      </c>
      <c r="K646" t="s">
        <v>10625</v>
      </c>
      <c r="L646" t="s">
        <v>9435</v>
      </c>
      <c r="M646" t="s">
        <v>9436</v>
      </c>
      <c r="O646" t="s">
        <v>9437</v>
      </c>
      <c r="P646" t="s">
        <v>792</v>
      </c>
      <c r="Q646" t="s">
        <v>4283</v>
      </c>
      <c r="R646">
        <v>838</v>
      </c>
      <c r="S646" t="s">
        <v>10137</v>
      </c>
      <c r="T646">
        <v>-1</v>
      </c>
      <c r="W646">
        <f>COUNTIFS('Clinical Trials HCO'!$A:$A, K646, 'Clinical Trials HCO'!$D:$D, "&lt;&gt;")</f>
        <v>0</v>
      </c>
    </row>
    <row r="647" spans="2:33" hidden="1">
      <c r="F647">
        <f>COUNTIF(HCPs!W:W,HCO_Data!K647)</f>
        <v>0</v>
      </c>
      <c r="G647" t="str">
        <f>IF(COUNTIF('Testing Referrals'!B:B,HCO_Data!K647)&gt;0,"Yes","")</f>
        <v/>
      </c>
      <c r="H647">
        <f>COUNTIF('HCO referrals'!B:B,HCO_Data!K647)+COUNTIF('HCO referrals'!C:C,HCO_Data!K647)</f>
        <v>0</v>
      </c>
      <c r="I647">
        <v>50007533</v>
      </c>
      <c r="K647" t="s">
        <v>10626</v>
      </c>
      <c r="L647" t="s">
        <v>8827</v>
      </c>
      <c r="M647" t="s">
        <v>8828</v>
      </c>
      <c r="O647" t="s">
        <v>8829</v>
      </c>
      <c r="P647" t="s">
        <v>792</v>
      </c>
      <c r="Q647" t="s">
        <v>4283</v>
      </c>
      <c r="R647">
        <v>476</v>
      </c>
      <c r="S647" t="s">
        <v>10137</v>
      </c>
      <c r="T647">
        <v>-1</v>
      </c>
      <c r="W647">
        <f>COUNTIFS('Clinical Trials HCO'!$A:$A, K647, 'Clinical Trials HCO'!$D:$D, "&lt;&gt;")</f>
        <v>0</v>
      </c>
    </row>
    <row r="648" spans="2:33" hidden="1">
      <c r="F648">
        <f>COUNTIF(HCPs!W:W,HCO_Data!K648)</f>
        <v>0</v>
      </c>
      <c r="G648" t="str">
        <f>IF(COUNTIF('Testing Referrals'!B:B,HCO_Data!K648)&gt;0,"Yes","")</f>
        <v/>
      </c>
      <c r="H648">
        <f>COUNTIF('HCO referrals'!B:B,HCO_Data!K648)+COUNTIF('HCO referrals'!C:C,HCO_Data!K648)</f>
        <v>0</v>
      </c>
      <c r="I648">
        <v>60000486</v>
      </c>
      <c r="K648" t="s">
        <v>10627</v>
      </c>
      <c r="L648" t="s">
        <v>10012</v>
      </c>
      <c r="M648" t="s">
        <v>10013</v>
      </c>
      <c r="O648" t="s">
        <v>10014</v>
      </c>
      <c r="P648" t="s">
        <v>714</v>
      </c>
      <c r="Q648" t="s">
        <v>4283</v>
      </c>
      <c r="R648">
        <v>1081</v>
      </c>
      <c r="S648" t="s">
        <v>10137</v>
      </c>
      <c r="T648">
        <v>-1</v>
      </c>
      <c r="W648">
        <f>COUNTIFS('Clinical Trials HCO'!$A:$A, K648, 'Clinical Trials HCO'!$D:$D, "&lt;&gt;")</f>
        <v>0</v>
      </c>
    </row>
    <row r="649" spans="2:33" hidden="1">
      <c r="F649">
        <f>COUNTIF(HCPs!W:W,HCO_Data!K649)</f>
        <v>0</v>
      </c>
      <c r="G649" t="str">
        <f>IF(COUNTIF('Testing Referrals'!B:B,HCO_Data!K649)&gt;0,"Yes","")</f>
        <v/>
      </c>
      <c r="H649">
        <f>COUNTIF('HCO referrals'!B:B,HCO_Data!K649)+COUNTIF('HCO referrals'!C:C,HCO_Data!K649)</f>
        <v>0</v>
      </c>
      <c r="I649">
        <v>60002102</v>
      </c>
      <c r="K649" t="s">
        <v>10628</v>
      </c>
      <c r="L649" t="s">
        <v>9268</v>
      </c>
      <c r="M649" t="s">
        <v>9269</v>
      </c>
      <c r="O649" t="s">
        <v>9270</v>
      </c>
      <c r="P649" t="s">
        <v>714</v>
      </c>
      <c r="Q649" t="s">
        <v>4283</v>
      </c>
      <c r="R649">
        <v>763</v>
      </c>
      <c r="S649" t="s">
        <v>10137</v>
      </c>
      <c r="T649">
        <v>-1</v>
      </c>
      <c r="W649">
        <f>COUNTIFS('Clinical Trials HCO'!$A:$A, K649, 'Clinical Trials HCO'!$D:$D, "&lt;&gt;")</f>
        <v>0</v>
      </c>
    </row>
    <row r="650" spans="2:33" hidden="1">
      <c r="B650">
        <v>356</v>
      </c>
      <c r="F650">
        <f>COUNTIF(HCPs!W:W,HCO_Data!K650)</f>
        <v>0</v>
      </c>
      <c r="G650" t="str">
        <f>IF(COUNTIF('Testing Referrals'!B:B,HCO_Data!K650)&gt;0,"Yes","")</f>
        <v/>
      </c>
      <c r="H650">
        <f>COUNTIF('HCO referrals'!B:B,HCO_Data!K650)+COUNTIF('HCO referrals'!C:C,HCO_Data!K650)</f>
        <v>0</v>
      </c>
      <c r="I650">
        <v>60021417</v>
      </c>
      <c r="K650" t="s">
        <v>10629</v>
      </c>
      <c r="L650" t="s">
        <v>2533</v>
      </c>
      <c r="M650" t="s">
        <v>2840</v>
      </c>
      <c r="N650">
        <v>6400</v>
      </c>
      <c r="O650" t="s">
        <v>1817</v>
      </c>
      <c r="Q650" t="s">
        <v>4283</v>
      </c>
      <c r="R650">
        <v>777</v>
      </c>
      <c r="S650" t="s">
        <v>10137</v>
      </c>
      <c r="T650">
        <v>-1</v>
      </c>
      <c r="W650">
        <f>COUNTIFS('Clinical Trials HCO'!$A:$A, K650, 'Clinical Trials HCO'!$D:$D, "&lt;&gt;")</f>
        <v>0</v>
      </c>
      <c r="AF650" t="s">
        <v>414</v>
      </c>
      <c r="AG650" t="s">
        <v>414</v>
      </c>
    </row>
    <row r="651" spans="2:33" hidden="1">
      <c r="F651">
        <f>COUNTIF(HCPs!W:W,HCO_Data!K651)</f>
        <v>0</v>
      </c>
      <c r="G651" t="str">
        <f>IF(COUNTIF('Testing Referrals'!B:B,HCO_Data!K651)&gt;0,"Yes","")</f>
        <v/>
      </c>
      <c r="H651">
        <f>COUNTIF('HCO referrals'!B:B,HCO_Data!K651)+COUNTIF('HCO referrals'!C:C,HCO_Data!K651)</f>
        <v>0</v>
      </c>
      <c r="I651">
        <v>60781200</v>
      </c>
      <c r="K651" t="s">
        <v>10630</v>
      </c>
      <c r="L651" t="s">
        <v>9638</v>
      </c>
      <c r="M651" t="s">
        <v>9639</v>
      </c>
      <c r="O651" t="s">
        <v>8761</v>
      </c>
      <c r="P651" t="s">
        <v>714</v>
      </c>
      <c r="Q651" t="s">
        <v>4283</v>
      </c>
      <c r="R651">
        <v>920</v>
      </c>
      <c r="S651" t="s">
        <v>10137</v>
      </c>
      <c r="T651">
        <v>-1</v>
      </c>
      <c r="W651">
        <f>COUNTIFS('Clinical Trials HCO'!$A:$A, K651, 'Clinical Trials HCO'!$D:$D, "&lt;&gt;")</f>
        <v>0</v>
      </c>
    </row>
    <row r="652" spans="2:33" hidden="1">
      <c r="F652">
        <f>COUNTIF(HCPs!W:W,HCO_Data!K652)</f>
        <v>0</v>
      </c>
      <c r="G652" t="str">
        <f>IF(COUNTIF('Testing Referrals'!B:B,HCO_Data!K652)&gt;0,"Yes","")</f>
        <v/>
      </c>
      <c r="H652">
        <f>COUNTIF('HCO referrals'!B:B,HCO_Data!K652)+COUNTIF('HCO referrals'!C:C,HCO_Data!K652)</f>
        <v>0</v>
      </c>
      <c r="I652">
        <v>60791811</v>
      </c>
      <c r="K652" t="s">
        <v>10631</v>
      </c>
      <c r="L652" t="s">
        <v>9502</v>
      </c>
      <c r="M652" t="s">
        <v>9503</v>
      </c>
      <c r="O652" t="s">
        <v>9504</v>
      </c>
      <c r="P652" t="s">
        <v>714</v>
      </c>
      <c r="Q652" t="s">
        <v>4283</v>
      </c>
      <c r="R652">
        <v>865</v>
      </c>
      <c r="S652" t="s">
        <v>10137</v>
      </c>
      <c r="T652">
        <v>-1</v>
      </c>
      <c r="W652">
        <f>COUNTIFS('Clinical Trials HCO'!$A:$A, K652, 'Clinical Trials HCO'!$D:$D, "&lt;&gt;")</f>
        <v>0</v>
      </c>
    </row>
    <row r="653" spans="2:33" hidden="1">
      <c r="F653">
        <f>COUNTIF(HCPs!W:W,HCO_Data!K653)</f>
        <v>0</v>
      </c>
      <c r="G653" t="str">
        <f>IF(COUNTIF('Testing Referrals'!B:B,HCO_Data!K653)&gt;0,"Yes","")</f>
        <v/>
      </c>
      <c r="H653">
        <f>COUNTIF('HCO referrals'!B:B,HCO_Data!K653)+COUNTIF('HCO referrals'!C:C,HCO_Data!K653)</f>
        <v>0</v>
      </c>
      <c r="I653">
        <v>70000047</v>
      </c>
      <c r="K653" t="s">
        <v>10632</v>
      </c>
      <c r="L653" t="s">
        <v>9754</v>
      </c>
      <c r="M653" t="s">
        <v>9755</v>
      </c>
      <c r="O653" t="s">
        <v>9756</v>
      </c>
      <c r="P653" t="s">
        <v>773</v>
      </c>
      <c r="Q653" t="s">
        <v>4283</v>
      </c>
      <c r="R653">
        <v>971</v>
      </c>
      <c r="S653" t="s">
        <v>10137</v>
      </c>
      <c r="T653">
        <v>-1</v>
      </c>
      <c r="W653">
        <f>COUNTIFS('Clinical Trials HCO'!$A:$A, K653, 'Clinical Trials HCO'!$D:$D, "&lt;&gt;")</f>
        <v>0</v>
      </c>
    </row>
    <row r="654" spans="2:33" hidden="1">
      <c r="F654">
        <f>COUNTIF(HCPs!W:W,HCO_Data!K654)</f>
        <v>0</v>
      </c>
      <c r="G654" t="str">
        <f>IF(COUNTIF('Testing Referrals'!B:B,HCO_Data!K654)&gt;0,"Yes","")</f>
        <v/>
      </c>
      <c r="H654">
        <f>COUNTIF('HCO referrals'!B:B,HCO_Data!K654)+COUNTIF('HCO referrals'!C:C,HCO_Data!K654)</f>
        <v>0</v>
      </c>
      <c r="I654">
        <v>70000062</v>
      </c>
      <c r="K654" t="s">
        <v>10633</v>
      </c>
      <c r="L654" t="s">
        <v>9390</v>
      </c>
      <c r="M654" t="s">
        <v>9391</v>
      </c>
      <c r="O654" t="s">
        <v>9392</v>
      </c>
      <c r="P654" t="s">
        <v>773</v>
      </c>
      <c r="Q654" t="s">
        <v>4283</v>
      </c>
      <c r="R654">
        <v>819</v>
      </c>
      <c r="S654" t="s">
        <v>10137</v>
      </c>
      <c r="T654">
        <v>-1</v>
      </c>
      <c r="W654">
        <f>COUNTIFS('Clinical Trials HCO'!$A:$A, K654, 'Clinical Trials HCO'!$D:$D, "&lt;&gt;")</f>
        <v>0</v>
      </c>
    </row>
    <row r="655" spans="2:33" hidden="1">
      <c r="F655">
        <f>COUNTIF(HCPs!W:W,HCO_Data!K655)</f>
        <v>0</v>
      </c>
      <c r="G655" t="str">
        <f>IF(COUNTIF('Testing Referrals'!B:B,HCO_Data!K655)&gt;0,"Yes","")</f>
        <v/>
      </c>
      <c r="H655">
        <f>COUNTIF('HCO referrals'!B:B,HCO_Data!K655)+COUNTIF('HCO referrals'!C:C,HCO_Data!K655)</f>
        <v>0</v>
      </c>
      <c r="I655">
        <v>70000096</v>
      </c>
      <c r="K655" t="s">
        <v>10634</v>
      </c>
      <c r="L655" t="s">
        <v>9505</v>
      </c>
      <c r="M655" t="s">
        <v>9506</v>
      </c>
      <c r="O655" t="s">
        <v>9507</v>
      </c>
      <c r="P655" t="s">
        <v>773</v>
      </c>
      <c r="Q655" t="s">
        <v>4283</v>
      </c>
      <c r="R655">
        <v>866</v>
      </c>
      <c r="S655" t="s">
        <v>10137</v>
      </c>
      <c r="T655">
        <v>-1</v>
      </c>
      <c r="W655">
        <f>COUNTIFS('Clinical Trials HCO'!$A:$A, K655, 'Clinical Trials HCO'!$D:$D, "&lt;&gt;")</f>
        <v>0</v>
      </c>
    </row>
    <row r="656" spans="2:33" hidden="1">
      <c r="F656">
        <f>COUNTIF(HCPs!W:W,HCO_Data!K656)</f>
        <v>0</v>
      </c>
      <c r="G656" t="str">
        <f>IF(COUNTIF('Testing Referrals'!B:B,HCO_Data!K656)&gt;0,"Yes","")</f>
        <v/>
      </c>
      <c r="H656">
        <f>COUNTIF('HCO referrals'!B:B,HCO_Data!K656)+COUNTIF('HCO referrals'!C:C,HCO_Data!K656)</f>
        <v>0</v>
      </c>
      <c r="I656">
        <v>70000187</v>
      </c>
      <c r="K656" t="s">
        <v>10635</v>
      </c>
      <c r="L656" t="s">
        <v>9254</v>
      </c>
      <c r="M656" t="s">
        <v>9255</v>
      </c>
      <c r="O656" t="s">
        <v>9256</v>
      </c>
      <c r="P656" t="s">
        <v>773</v>
      </c>
      <c r="Q656" t="s">
        <v>4283</v>
      </c>
      <c r="R656">
        <v>755</v>
      </c>
      <c r="S656" t="s">
        <v>10137</v>
      </c>
      <c r="T656">
        <v>-1</v>
      </c>
      <c r="W656">
        <f>COUNTIFS('Clinical Trials HCO'!$A:$A, K656, 'Clinical Trials HCO'!$D:$D, "&lt;&gt;")</f>
        <v>0</v>
      </c>
    </row>
    <row r="657" spans="2:33" hidden="1">
      <c r="F657">
        <f>COUNTIF(HCPs!W:W,HCO_Data!K657)</f>
        <v>0</v>
      </c>
      <c r="G657" t="str">
        <f>IF(COUNTIF('Testing Referrals'!B:B,HCO_Data!K657)&gt;0,"Yes","")</f>
        <v/>
      </c>
      <c r="H657">
        <f>COUNTIF('HCO referrals'!B:B,HCO_Data!K657)+COUNTIF('HCO referrals'!C:C,HCO_Data!K657)</f>
        <v>0</v>
      </c>
      <c r="I657">
        <v>70000195</v>
      </c>
      <c r="K657" t="s">
        <v>10636</v>
      </c>
      <c r="L657" t="s">
        <v>9508</v>
      </c>
      <c r="M657" t="s">
        <v>9509</v>
      </c>
      <c r="O657" t="s">
        <v>9510</v>
      </c>
      <c r="P657" t="s">
        <v>773</v>
      </c>
      <c r="Q657" t="s">
        <v>4283</v>
      </c>
      <c r="R657">
        <v>867</v>
      </c>
      <c r="S657" t="s">
        <v>10137</v>
      </c>
      <c r="T657">
        <v>-1</v>
      </c>
      <c r="W657">
        <f>COUNTIFS('Clinical Trials HCO'!$A:$A, K657, 'Clinical Trials HCO'!$D:$D, "&lt;&gt;")</f>
        <v>0</v>
      </c>
    </row>
    <row r="658" spans="2:33" hidden="1">
      <c r="F658">
        <f>COUNTIF(HCPs!W:W,HCO_Data!K658)</f>
        <v>0</v>
      </c>
      <c r="G658" t="str">
        <f>IF(COUNTIF('Testing Referrals'!B:B,HCO_Data!K658)&gt;0,"Yes","")</f>
        <v/>
      </c>
      <c r="H658">
        <f>COUNTIF('HCO referrals'!B:B,HCO_Data!K658)+COUNTIF('HCO referrals'!C:C,HCO_Data!K658)</f>
        <v>0</v>
      </c>
      <c r="I658">
        <v>70000203</v>
      </c>
      <c r="K658" t="s">
        <v>10637</v>
      </c>
      <c r="L658" t="s">
        <v>9846</v>
      </c>
      <c r="M658" t="s">
        <v>9847</v>
      </c>
      <c r="O658" t="s">
        <v>9848</v>
      </c>
      <c r="P658" t="s">
        <v>773</v>
      </c>
      <c r="Q658" t="s">
        <v>4283</v>
      </c>
      <c r="R658">
        <v>1011</v>
      </c>
      <c r="S658" t="s">
        <v>10137</v>
      </c>
      <c r="T658">
        <v>-1</v>
      </c>
      <c r="W658">
        <f>COUNTIFS('Clinical Trials HCO'!$A:$A, K658, 'Clinical Trials HCO'!$D:$D, "&lt;&gt;")</f>
        <v>0</v>
      </c>
    </row>
    <row r="659" spans="2:33" hidden="1">
      <c r="B659">
        <v>617</v>
      </c>
      <c r="F659">
        <f>COUNTIF(HCPs!W:W,HCO_Data!K659)</f>
        <v>0</v>
      </c>
      <c r="G659" t="str">
        <f>IF(COUNTIF('Testing Referrals'!B:B,HCO_Data!K659)&gt;0,"Yes","")</f>
        <v/>
      </c>
      <c r="H659">
        <f>COUNTIF('HCO referrals'!B:B,HCO_Data!K659)+COUNTIF('HCO referrals'!C:C,HCO_Data!K659)</f>
        <v>0</v>
      </c>
      <c r="I659">
        <v>70780424</v>
      </c>
      <c r="K659" t="s">
        <v>10638</v>
      </c>
      <c r="L659" t="s">
        <v>2485</v>
      </c>
      <c r="M659" t="s">
        <v>2800</v>
      </c>
      <c r="N659">
        <v>7500</v>
      </c>
      <c r="O659" t="s">
        <v>2801</v>
      </c>
      <c r="Q659" t="s">
        <v>4283</v>
      </c>
      <c r="R659">
        <v>714</v>
      </c>
      <c r="S659" t="s">
        <v>10137</v>
      </c>
      <c r="T659">
        <v>-1</v>
      </c>
      <c r="W659">
        <f>COUNTIFS('Clinical Trials HCO'!$A:$A, K659, 'Clinical Trials HCO'!$D:$D, "&lt;&gt;")</f>
        <v>0</v>
      </c>
      <c r="AF659" t="s">
        <v>414</v>
      </c>
      <c r="AG659" t="s">
        <v>414</v>
      </c>
    </row>
    <row r="660" spans="2:33" hidden="1">
      <c r="F660">
        <f>COUNTIF(HCPs!W:W,HCO_Data!K660)</f>
        <v>0</v>
      </c>
      <c r="G660" t="str">
        <f>IF(COUNTIF('Testing Referrals'!B:B,HCO_Data!K660)&gt;0,"Yes","")</f>
        <v/>
      </c>
      <c r="H660">
        <f>COUNTIF('HCO referrals'!B:B,HCO_Data!K660)+COUNTIF('HCO referrals'!C:C,HCO_Data!K660)</f>
        <v>0</v>
      </c>
      <c r="I660">
        <v>80000219</v>
      </c>
      <c r="K660" t="s">
        <v>10639</v>
      </c>
      <c r="L660" t="s">
        <v>9159</v>
      </c>
      <c r="M660" t="s">
        <v>9160</v>
      </c>
      <c r="O660" t="s">
        <v>9161</v>
      </c>
      <c r="P660" t="s">
        <v>769</v>
      </c>
      <c r="Q660" t="s">
        <v>4283</v>
      </c>
      <c r="R660">
        <v>708</v>
      </c>
      <c r="S660" t="s">
        <v>10137</v>
      </c>
      <c r="T660">
        <v>-1</v>
      </c>
      <c r="W660">
        <f>COUNTIFS('Clinical Trials HCO'!$A:$A, K660, 'Clinical Trials HCO'!$D:$D, "&lt;&gt;")</f>
        <v>0</v>
      </c>
    </row>
    <row r="661" spans="2:33" hidden="1">
      <c r="F661">
        <f>COUNTIF(HCPs!W:W,HCO_Data!K661)</f>
        <v>0</v>
      </c>
      <c r="G661" t="str">
        <f>IF(COUNTIF('Testing Referrals'!B:B,HCO_Data!K661)&gt;0,"Yes","")</f>
        <v/>
      </c>
      <c r="H661">
        <f>COUNTIF('HCO referrals'!B:B,HCO_Data!K661)+COUNTIF('HCO referrals'!C:C,HCO_Data!K661)</f>
        <v>0</v>
      </c>
      <c r="I661">
        <v>80000276</v>
      </c>
      <c r="K661" t="s">
        <v>10640</v>
      </c>
      <c r="L661" t="s">
        <v>9640</v>
      </c>
      <c r="M661" t="s">
        <v>9641</v>
      </c>
      <c r="O661" t="s">
        <v>9642</v>
      </c>
      <c r="P661" t="s">
        <v>769</v>
      </c>
      <c r="Q661" t="s">
        <v>4283</v>
      </c>
      <c r="R661">
        <v>921</v>
      </c>
      <c r="S661" t="s">
        <v>10137</v>
      </c>
      <c r="T661">
        <v>-1</v>
      </c>
      <c r="W661">
        <f>COUNTIFS('Clinical Trials HCO'!$A:$A, K661, 'Clinical Trials HCO'!$D:$D, "&lt;&gt;")</f>
        <v>0</v>
      </c>
    </row>
    <row r="662" spans="2:33" hidden="1">
      <c r="F662">
        <f>COUNTIF(HCPs!W:W,HCO_Data!K662)</f>
        <v>0</v>
      </c>
      <c r="G662" t="str">
        <f>IF(COUNTIF('Testing Referrals'!B:B,HCO_Data!K662)&gt;0,"Yes","")</f>
        <v/>
      </c>
      <c r="H662">
        <f>COUNTIF('HCO referrals'!B:B,HCO_Data!K662)+COUNTIF('HCO referrals'!C:C,HCO_Data!K662)</f>
        <v>0</v>
      </c>
      <c r="I662">
        <v>80010473</v>
      </c>
      <c r="K662" t="s">
        <v>10641</v>
      </c>
      <c r="L662" t="s">
        <v>9393</v>
      </c>
      <c r="M662" t="s">
        <v>9394</v>
      </c>
      <c r="O662" t="s">
        <v>9395</v>
      </c>
      <c r="P662" t="s">
        <v>769</v>
      </c>
      <c r="Q662" t="s">
        <v>4283</v>
      </c>
      <c r="R662">
        <v>820</v>
      </c>
      <c r="S662" t="s">
        <v>10137</v>
      </c>
      <c r="T662">
        <v>-1</v>
      </c>
      <c r="W662">
        <f>COUNTIFS('Clinical Trials HCO'!$A:$A, K662, 'Clinical Trials HCO'!$D:$D, "&lt;&gt;")</f>
        <v>0</v>
      </c>
    </row>
    <row r="663" spans="2:33" hidden="1">
      <c r="F663">
        <f>COUNTIF(HCPs!W:W,HCO_Data!K663)</f>
        <v>0</v>
      </c>
      <c r="G663" t="str">
        <f>IF(COUNTIF('Testing Referrals'!B:B,HCO_Data!K663)&gt;0,"Yes","")</f>
        <v/>
      </c>
      <c r="H663">
        <f>COUNTIF('HCO referrals'!B:B,HCO_Data!K663)+COUNTIF('HCO referrals'!C:C,HCO_Data!K663)</f>
        <v>0</v>
      </c>
      <c r="I663">
        <v>90000183</v>
      </c>
      <c r="K663" t="s">
        <v>10642</v>
      </c>
      <c r="L663" t="s">
        <v>8941</v>
      </c>
      <c r="M663" t="s">
        <v>8942</v>
      </c>
      <c r="O663" t="s">
        <v>8943</v>
      </c>
      <c r="P663" t="s">
        <v>797</v>
      </c>
      <c r="Q663" t="s">
        <v>4283</v>
      </c>
      <c r="R663">
        <v>584</v>
      </c>
      <c r="S663" t="s">
        <v>10137</v>
      </c>
      <c r="T663">
        <v>-1</v>
      </c>
      <c r="W663">
        <f>COUNTIFS('Clinical Trials HCO'!$A:$A, K663, 'Clinical Trials HCO'!$D:$D, "&lt;&gt;")</f>
        <v>0</v>
      </c>
    </row>
    <row r="664" spans="2:33" hidden="1">
      <c r="F664">
        <f>COUNTIF(HCPs!W:W,HCO_Data!K664)</f>
        <v>0</v>
      </c>
      <c r="G664" t="str">
        <f>IF(COUNTIF('Testing Referrals'!B:B,HCO_Data!K664)&gt;0,"Yes","")</f>
        <v/>
      </c>
      <c r="H664">
        <f>COUNTIF('HCO referrals'!B:B,HCO_Data!K664)+COUNTIF('HCO referrals'!C:C,HCO_Data!K664)</f>
        <v>0</v>
      </c>
      <c r="I664">
        <v>90001629</v>
      </c>
      <c r="K664" t="s">
        <v>10643</v>
      </c>
      <c r="L664" t="s">
        <v>9849</v>
      </c>
      <c r="M664" t="s">
        <v>9850</v>
      </c>
      <c r="O664" t="s">
        <v>9851</v>
      </c>
      <c r="P664" t="s">
        <v>797</v>
      </c>
      <c r="Q664" t="s">
        <v>4283</v>
      </c>
      <c r="R664">
        <v>1012</v>
      </c>
      <c r="S664" t="s">
        <v>10137</v>
      </c>
      <c r="T664">
        <v>-1</v>
      </c>
      <c r="W664">
        <f>COUNTIFS('Clinical Trials HCO'!$A:$A, K664, 'Clinical Trials HCO'!$D:$D, "&lt;&gt;")</f>
        <v>0</v>
      </c>
    </row>
    <row r="665" spans="2:33" hidden="1">
      <c r="F665">
        <f>COUNTIF(HCPs!W:W,HCO_Data!K665)</f>
        <v>0</v>
      </c>
      <c r="G665" t="str">
        <f>IF(COUNTIF('Testing Referrals'!B:B,HCO_Data!K665)&gt;0,"Yes","")</f>
        <v/>
      </c>
      <c r="H665">
        <f>COUNTIF('HCO referrals'!B:B,HCO_Data!K665)+COUNTIF('HCO referrals'!C:C,HCO_Data!K665)</f>
        <v>0</v>
      </c>
      <c r="I665">
        <v>100000116</v>
      </c>
      <c r="K665" t="s">
        <v>10644</v>
      </c>
      <c r="L665" t="s">
        <v>9757</v>
      </c>
      <c r="M665" t="s">
        <v>9758</v>
      </c>
      <c r="O665" t="s">
        <v>9759</v>
      </c>
      <c r="P665" t="s">
        <v>772</v>
      </c>
      <c r="Q665" t="s">
        <v>4283</v>
      </c>
      <c r="R665">
        <v>972</v>
      </c>
      <c r="S665" t="s">
        <v>10137</v>
      </c>
      <c r="T665">
        <v>-1</v>
      </c>
      <c r="W665">
        <f>COUNTIFS('Clinical Trials HCO'!$A:$A, K665, 'Clinical Trials HCO'!$D:$D, "&lt;&gt;")</f>
        <v>0</v>
      </c>
    </row>
    <row r="666" spans="2:33" hidden="1">
      <c r="B666">
        <v>649</v>
      </c>
      <c r="F666">
        <f>COUNTIF(HCPs!W:W,HCO_Data!K666)</f>
        <v>0</v>
      </c>
      <c r="G666" t="str">
        <f>IF(COUNTIF('Testing Referrals'!B:B,HCO_Data!K666)&gt;0,"Yes","")</f>
        <v/>
      </c>
      <c r="H666">
        <f>COUNTIF('HCO referrals'!B:B,HCO_Data!K666)+COUNTIF('HCO referrals'!C:C,HCO_Data!K666)</f>
        <v>0</v>
      </c>
      <c r="I666">
        <v>100000124</v>
      </c>
      <c r="K666" t="s">
        <v>10645</v>
      </c>
      <c r="L666" t="s">
        <v>631</v>
      </c>
      <c r="M666" t="s">
        <v>2882</v>
      </c>
      <c r="N666">
        <v>10120</v>
      </c>
      <c r="O666" t="s">
        <v>2883</v>
      </c>
      <c r="Q666" t="s">
        <v>4283</v>
      </c>
      <c r="R666">
        <v>922</v>
      </c>
      <c r="S666" t="s">
        <v>10137</v>
      </c>
      <c r="T666">
        <v>-1</v>
      </c>
      <c r="W666">
        <f>COUNTIFS('Clinical Trials HCO'!$A:$A, K666, 'Clinical Trials HCO'!$D:$D, "&lt;&gt;")</f>
        <v>0</v>
      </c>
      <c r="AG666" t="s">
        <v>414</v>
      </c>
    </row>
    <row r="667" spans="2:33" hidden="1">
      <c r="F667">
        <f>COUNTIF(HCPs!W:W,HCO_Data!K667)</f>
        <v>0</v>
      </c>
      <c r="G667" t="str">
        <f>IF(COUNTIF('Testing Referrals'!B:B,HCO_Data!K667)&gt;0,"Yes","")</f>
        <v/>
      </c>
      <c r="H667">
        <f>COUNTIF('HCO referrals'!B:B,HCO_Data!K667)+COUNTIF('HCO referrals'!C:C,HCO_Data!K667)</f>
        <v>0</v>
      </c>
      <c r="I667">
        <v>100000140</v>
      </c>
      <c r="K667" t="s">
        <v>10646</v>
      </c>
      <c r="L667" t="s">
        <v>9760</v>
      </c>
      <c r="M667" t="s">
        <v>9761</v>
      </c>
      <c r="O667" t="s">
        <v>9762</v>
      </c>
      <c r="P667" t="s">
        <v>772</v>
      </c>
      <c r="Q667" t="s">
        <v>4283</v>
      </c>
      <c r="R667">
        <v>973</v>
      </c>
      <c r="S667" t="s">
        <v>10137</v>
      </c>
      <c r="T667">
        <v>-1</v>
      </c>
      <c r="W667">
        <f>COUNTIFS('Clinical Trials HCO'!$A:$A, K667, 'Clinical Trials HCO'!$D:$D, "&lt;&gt;")</f>
        <v>0</v>
      </c>
    </row>
    <row r="668" spans="2:33" hidden="1">
      <c r="F668">
        <f>COUNTIF(HCPs!W:W,HCO_Data!K668)</f>
        <v>0</v>
      </c>
      <c r="G668" t="str">
        <f>IF(COUNTIF('Testing Referrals'!B:B,HCO_Data!K668)&gt;0,"Yes","")</f>
        <v/>
      </c>
      <c r="H668">
        <f>COUNTIF('HCO referrals'!B:B,HCO_Data!K668)+COUNTIF('HCO referrals'!C:C,HCO_Data!K668)</f>
        <v>0</v>
      </c>
      <c r="I668">
        <v>110000049</v>
      </c>
      <c r="K668" t="s">
        <v>10647</v>
      </c>
      <c r="L668" t="s">
        <v>9438</v>
      </c>
      <c r="M668" t="s">
        <v>9439</v>
      </c>
      <c r="O668" t="s">
        <v>9440</v>
      </c>
      <c r="P668" t="s">
        <v>748</v>
      </c>
      <c r="Q668" t="s">
        <v>4283</v>
      </c>
      <c r="R668">
        <v>839</v>
      </c>
      <c r="S668" t="s">
        <v>10137</v>
      </c>
      <c r="T668">
        <v>-1</v>
      </c>
      <c r="W668">
        <f>COUNTIFS('Clinical Trials HCO'!$A:$A, K668, 'Clinical Trials HCO'!$D:$D, "&lt;&gt;")</f>
        <v>0</v>
      </c>
    </row>
    <row r="669" spans="2:33" hidden="1">
      <c r="F669">
        <f>COUNTIF(HCPs!W:W,HCO_Data!K669)</f>
        <v>0</v>
      </c>
      <c r="G669" t="str">
        <f>IF(COUNTIF('Testing Referrals'!B:B,HCO_Data!K669)&gt;0,"Yes","")</f>
        <v/>
      </c>
      <c r="H669">
        <f>COUNTIF('HCO referrals'!B:B,HCO_Data!K669)+COUNTIF('HCO referrals'!C:C,HCO_Data!K669)</f>
        <v>0</v>
      </c>
      <c r="I669">
        <v>110000189</v>
      </c>
      <c r="K669" t="s">
        <v>10648</v>
      </c>
      <c r="L669" t="s">
        <v>9852</v>
      </c>
      <c r="M669" t="s">
        <v>9853</v>
      </c>
      <c r="O669" t="s">
        <v>9854</v>
      </c>
      <c r="P669" t="s">
        <v>748</v>
      </c>
      <c r="Q669" t="s">
        <v>4283</v>
      </c>
      <c r="R669">
        <v>1013</v>
      </c>
      <c r="S669" t="s">
        <v>10137</v>
      </c>
      <c r="T669">
        <v>-1</v>
      </c>
      <c r="W669">
        <f>COUNTIFS('Clinical Trials HCO'!$A:$A, K669, 'Clinical Trials HCO'!$D:$D, "&lt;&gt;")</f>
        <v>0</v>
      </c>
    </row>
    <row r="670" spans="2:33" hidden="1">
      <c r="F670">
        <f>COUNTIF(HCPs!W:W,HCO_Data!K670)</f>
        <v>0</v>
      </c>
      <c r="G670" t="str">
        <f>IF(COUNTIF('Testing Referrals'!B:B,HCO_Data!K670)&gt;0,"Yes","")</f>
        <v/>
      </c>
      <c r="H670">
        <f>COUNTIF('HCO referrals'!B:B,HCO_Data!K670)+COUNTIF('HCO referrals'!C:C,HCO_Data!K670)</f>
        <v>0</v>
      </c>
      <c r="I670">
        <v>110000247</v>
      </c>
      <c r="K670" t="s">
        <v>10649</v>
      </c>
      <c r="L670" t="s">
        <v>9643</v>
      </c>
      <c r="M670" t="s">
        <v>9644</v>
      </c>
      <c r="O670" t="s">
        <v>9645</v>
      </c>
      <c r="P670" t="s">
        <v>748</v>
      </c>
      <c r="Q670" t="s">
        <v>4283</v>
      </c>
      <c r="R670">
        <v>923</v>
      </c>
      <c r="S670" t="s">
        <v>10137</v>
      </c>
      <c r="T670">
        <v>-1</v>
      </c>
      <c r="W670">
        <f>COUNTIFS('Clinical Trials HCO'!$A:$A, K670, 'Clinical Trials HCO'!$D:$D, "&lt;&gt;")</f>
        <v>0</v>
      </c>
    </row>
    <row r="671" spans="2:33" hidden="1">
      <c r="F671">
        <f>COUNTIF(HCPs!W:W,HCO_Data!K671)</f>
        <v>0</v>
      </c>
      <c r="G671" t="str">
        <f>IF(COUNTIF('Testing Referrals'!B:B,HCO_Data!K671)&gt;0,"Yes","")</f>
        <v/>
      </c>
      <c r="H671">
        <f>COUNTIF('HCO referrals'!B:B,HCO_Data!K671)+COUNTIF('HCO referrals'!C:C,HCO_Data!K671)</f>
        <v>0</v>
      </c>
      <c r="I671">
        <v>110780236</v>
      </c>
      <c r="K671" t="s">
        <v>10650</v>
      </c>
      <c r="L671" t="s">
        <v>9855</v>
      </c>
      <c r="M671" t="s">
        <v>9856</v>
      </c>
      <c r="O671" t="s">
        <v>9857</v>
      </c>
      <c r="P671" t="s">
        <v>748</v>
      </c>
      <c r="Q671" t="s">
        <v>4283</v>
      </c>
      <c r="R671">
        <v>1014</v>
      </c>
      <c r="S671" t="s">
        <v>10137</v>
      </c>
      <c r="T671">
        <v>-1</v>
      </c>
      <c r="W671">
        <f>COUNTIFS('Clinical Trials HCO'!$A:$A, K671, 'Clinical Trials HCO'!$D:$D, "&lt;&gt;")</f>
        <v>0</v>
      </c>
    </row>
    <row r="672" spans="2:33" hidden="1">
      <c r="F672">
        <f>COUNTIF(HCPs!W:W,HCO_Data!K672)</f>
        <v>0</v>
      </c>
      <c r="G672" t="str">
        <f>IF(COUNTIF('Testing Referrals'!B:B,HCO_Data!K672)&gt;0,"Yes","")</f>
        <v/>
      </c>
      <c r="H672">
        <f>COUNTIF('HCO referrals'!B:B,HCO_Data!K672)+COUNTIF('HCO referrals'!C:C,HCO_Data!K672)</f>
        <v>0</v>
      </c>
      <c r="I672">
        <v>120000070</v>
      </c>
      <c r="K672" t="s">
        <v>10651</v>
      </c>
      <c r="L672" t="s">
        <v>9441</v>
      </c>
      <c r="M672" t="s">
        <v>9442</v>
      </c>
      <c r="O672" t="s">
        <v>9443</v>
      </c>
      <c r="P672" t="s">
        <v>785</v>
      </c>
      <c r="Q672" t="s">
        <v>4283</v>
      </c>
      <c r="R672">
        <v>840</v>
      </c>
      <c r="S672" t="s">
        <v>10137</v>
      </c>
      <c r="T672">
        <v>-1</v>
      </c>
      <c r="W672">
        <f>COUNTIFS('Clinical Trials HCO'!$A:$A, K672, 'Clinical Trials HCO'!$D:$D, "&lt;&gt;")</f>
        <v>0</v>
      </c>
    </row>
    <row r="673" spans="2:33" hidden="1">
      <c r="F673">
        <f>COUNTIF(HCPs!W:W,HCO_Data!K673)</f>
        <v>0</v>
      </c>
      <c r="G673" t="str">
        <f>IF(COUNTIF('Testing Referrals'!B:B,HCO_Data!K673)&gt;0,"Yes","")</f>
        <v/>
      </c>
      <c r="H673">
        <f>COUNTIF('HCO referrals'!B:B,HCO_Data!K673)+COUNTIF('HCO referrals'!C:C,HCO_Data!K673)</f>
        <v>0</v>
      </c>
      <c r="I673">
        <v>120004668</v>
      </c>
      <c r="K673" t="s">
        <v>10652</v>
      </c>
      <c r="L673" t="s">
        <v>9222</v>
      </c>
      <c r="M673" t="s">
        <v>9223</v>
      </c>
      <c r="O673" t="s">
        <v>9224</v>
      </c>
      <c r="P673" t="s">
        <v>785</v>
      </c>
      <c r="Q673" t="s">
        <v>4283</v>
      </c>
      <c r="R673">
        <v>741</v>
      </c>
      <c r="S673" t="s">
        <v>10137</v>
      </c>
      <c r="T673">
        <v>-1</v>
      </c>
      <c r="W673">
        <f>COUNTIFS('Clinical Trials HCO'!$A:$A, K673, 'Clinical Trials HCO'!$D:$D, "&lt;&gt;")</f>
        <v>0</v>
      </c>
    </row>
    <row r="674" spans="2:33" hidden="1">
      <c r="F674">
        <f>COUNTIF(HCPs!W:W,HCO_Data!K674)</f>
        <v>0</v>
      </c>
      <c r="G674" t="str">
        <f>IF(COUNTIF('Testing Referrals'!B:B,HCO_Data!K674)&gt;0,"Yes","")</f>
        <v/>
      </c>
      <c r="H674">
        <f>COUNTIF('HCO referrals'!B:B,HCO_Data!K674)+COUNTIF('HCO referrals'!C:C,HCO_Data!K674)</f>
        <v>0</v>
      </c>
      <c r="I674">
        <v>130000516</v>
      </c>
      <c r="K674" t="s">
        <v>10653</v>
      </c>
      <c r="L674" t="s">
        <v>9575</v>
      </c>
      <c r="M674" t="s">
        <v>9576</v>
      </c>
      <c r="O674" t="s">
        <v>9577</v>
      </c>
      <c r="P674" t="s">
        <v>703</v>
      </c>
      <c r="Q674" t="s">
        <v>4283</v>
      </c>
      <c r="R674">
        <v>894</v>
      </c>
      <c r="S674" t="s">
        <v>10137</v>
      </c>
      <c r="T674">
        <v>-1</v>
      </c>
      <c r="W674">
        <f>COUNTIFS('Clinical Trials HCO'!$A:$A, K674, 'Clinical Trials HCO'!$D:$D, "&lt;&gt;")</f>
        <v>0</v>
      </c>
    </row>
    <row r="675" spans="2:33" hidden="1">
      <c r="F675">
        <f>COUNTIF(HCPs!W:W,HCO_Data!K675)</f>
        <v>0</v>
      </c>
      <c r="G675" t="str">
        <f>IF(COUNTIF('Testing Referrals'!B:B,HCO_Data!K675)&gt;0,"Yes","")</f>
        <v/>
      </c>
      <c r="H675">
        <f>COUNTIF('HCO referrals'!B:B,HCO_Data!K675)+COUNTIF('HCO referrals'!C:C,HCO_Data!K675)</f>
        <v>0</v>
      </c>
      <c r="I675">
        <v>130000565</v>
      </c>
      <c r="K675" t="s">
        <v>10654</v>
      </c>
      <c r="L675" t="s">
        <v>8917</v>
      </c>
      <c r="M675" t="s">
        <v>8918</v>
      </c>
      <c r="O675" t="s">
        <v>2231</v>
      </c>
      <c r="P675" t="s">
        <v>703</v>
      </c>
      <c r="Q675" t="s">
        <v>4283</v>
      </c>
      <c r="R675">
        <v>565</v>
      </c>
      <c r="S675" t="s">
        <v>10137</v>
      </c>
      <c r="T675">
        <v>-1</v>
      </c>
      <c r="W675">
        <f>COUNTIFS('Clinical Trials HCO'!$A:$A, K675, 'Clinical Trials HCO'!$D:$D, "&lt;&gt;")</f>
        <v>0</v>
      </c>
    </row>
    <row r="676" spans="2:33" hidden="1">
      <c r="F676">
        <f>COUNTIF(HCPs!W:W,HCO_Data!K676)</f>
        <v>0</v>
      </c>
      <c r="G676" t="str">
        <f>IF(COUNTIF('Testing Referrals'!B:B,HCO_Data!K676)&gt;0,"Yes","")</f>
        <v/>
      </c>
      <c r="H676">
        <f>COUNTIF('HCO referrals'!B:B,HCO_Data!K676)+COUNTIF('HCO referrals'!C:C,HCO_Data!K676)</f>
        <v>0</v>
      </c>
      <c r="I676">
        <v>130002215</v>
      </c>
      <c r="K676" t="s">
        <v>10655</v>
      </c>
      <c r="L676" t="s">
        <v>9332</v>
      </c>
      <c r="M676" t="s">
        <v>9333</v>
      </c>
      <c r="O676" t="s">
        <v>9334</v>
      </c>
      <c r="P676" t="s">
        <v>703</v>
      </c>
      <c r="Q676" t="s">
        <v>4283</v>
      </c>
      <c r="R676">
        <v>792</v>
      </c>
      <c r="S676" t="s">
        <v>10137</v>
      </c>
      <c r="T676">
        <v>-1</v>
      </c>
      <c r="W676">
        <f>COUNTIFS('Clinical Trials HCO'!$A:$A, K676, 'Clinical Trials HCO'!$D:$D, "&lt;&gt;")</f>
        <v>0</v>
      </c>
    </row>
    <row r="677" spans="2:33" hidden="1">
      <c r="F677">
        <f>COUNTIF(HCPs!W:W,HCO_Data!K677)</f>
        <v>1</v>
      </c>
      <c r="G677" t="str">
        <f>IF(COUNTIF('Testing Referrals'!B:B,HCO_Data!K677)&gt;0,"Yes","")</f>
        <v/>
      </c>
      <c r="H677">
        <f>COUNTIF('HCO referrals'!B:B,HCO_Data!K677)+COUNTIF('HCO referrals'!C:C,HCO_Data!K677)</f>
        <v>0</v>
      </c>
      <c r="I677">
        <v>130782162</v>
      </c>
      <c r="K677" t="s">
        <v>10656</v>
      </c>
      <c r="L677" t="s">
        <v>10015</v>
      </c>
      <c r="M677" t="s">
        <v>10016</v>
      </c>
      <c r="O677" t="s">
        <v>10017</v>
      </c>
      <c r="P677" t="s">
        <v>703</v>
      </c>
      <c r="Q677" t="s">
        <v>4283</v>
      </c>
      <c r="R677">
        <v>1082</v>
      </c>
      <c r="S677" t="s">
        <v>10137</v>
      </c>
      <c r="T677">
        <v>-1</v>
      </c>
      <c r="W677">
        <f>COUNTIFS('Clinical Trials HCO'!$A:$A, K677, 'Clinical Trials HCO'!$D:$D, "&lt;&gt;")</f>
        <v>0</v>
      </c>
    </row>
    <row r="678" spans="2:33" hidden="1">
      <c r="F678">
        <f>COUNTIF(HCPs!W:W,HCO_Data!K678)</f>
        <v>0</v>
      </c>
      <c r="G678" t="str">
        <f>IF(COUNTIF('Testing Referrals'!B:B,HCO_Data!K678)&gt;0,"Yes","")</f>
        <v/>
      </c>
      <c r="H678">
        <f>COUNTIF('HCO referrals'!B:B,HCO_Data!K678)+COUNTIF('HCO referrals'!C:C,HCO_Data!K678)</f>
        <v>0</v>
      </c>
      <c r="I678" s="106">
        <v>130783665</v>
      </c>
      <c r="K678" t="s">
        <v>10657</v>
      </c>
      <c r="L678" t="s">
        <v>8892</v>
      </c>
      <c r="M678" t="s">
        <v>8893</v>
      </c>
      <c r="O678" t="s">
        <v>822</v>
      </c>
      <c r="P678" t="s">
        <v>703</v>
      </c>
      <c r="Q678" t="s">
        <v>4283</v>
      </c>
      <c r="R678">
        <v>541</v>
      </c>
      <c r="S678" t="s">
        <v>10137</v>
      </c>
      <c r="T678">
        <v>-1</v>
      </c>
      <c r="W678">
        <f>COUNTIFS('Clinical Trials HCO'!$A:$A, K678, 'Clinical Trials HCO'!$D:$D, "&lt;&gt;")</f>
        <v>0</v>
      </c>
    </row>
    <row r="679" spans="2:33" hidden="1">
      <c r="B679">
        <v>268</v>
      </c>
      <c r="F679">
        <f>COUNTIF(HCPs!W:W,HCO_Data!K679)</f>
        <v>0</v>
      </c>
      <c r="G679" t="str">
        <f>IF(COUNTIF('Testing Referrals'!B:B,HCO_Data!K679)&gt;0,"Yes","")</f>
        <v/>
      </c>
      <c r="H679">
        <f>COUNTIF('HCO referrals'!B:B,HCO_Data!K679)+COUNTIF('HCO referrals'!C:C,HCO_Data!K679)</f>
        <v>0</v>
      </c>
      <c r="I679">
        <v>130785678</v>
      </c>
      <c r="K679" t="s">
        <v>10658</v>
      </c>
      <c r="L679" t="s">
        <v>1644</v>
      </c>
      <c r="M679" t="s">
        <v>2283</v>
      </c>
      <c r="N679">
        <v>13012</v>
      </c>
      <c r="O679" t="s">
        <v>822</v>
      </c>
      <c r="Q679" t="s">
        <v>4283</v>
      </c>
      <c r="R679">
        <v>450</v>
      </c>
      <c r="S679" t="s">
        <v>10137</v>
      </c>
      <c r="T679">
        <v>-1</v>
      </c>
      <c r="W679">
        <f>COUNTIFS('Clinical Trials HCO'!$A:$A, K679, 'Clinical Trials HCO'!$D:$D, "&lt;&gt;")</f>
        <v>0</v>
      </c>
      <c r="AF679" t="s">
        <v>414</v>
      </c>
      <c r="AG679" t="s">
        <v>414</v>
      </c>
    </row>
    <row r="680" spans="2:33" hidden="1">
      <c r="F680">
        <f>COUNTIF(HCPs!W:W,HCO_Data!K680)</f>
        <v>0</v>
      </c>
      <c r="G680" t="str">
        <f>IF(COUNTIF('Testing Referrals'!B:B,HCO_Data!K680)&gt;0,"Yes","")</f>
        <v/>
      </c>
      <c r="H680">
        <f>COUNTIF('HCO referrals'!B:B,HCO_Data!K680)+COUNTIF('HCO referrals'!C:C,HCO_Data!K680)</f>
        <v>0</v>
      </c>
      <c r="I680">
        <v>130786742</v>
      </c>
      <c r="K680" t="s">
        <v>10659</v>
      </c>
      <c r="L680" t="s">
        <v>9033</v>
      </c>
      <c r="M680" t="s">
        <v>9034</v>
      </c>
      <c r="O680" t="s">
        <v>9035</v>
      </c>
      <c r="P680" t="s">
        <v>703</v>
      </c>
      <c r="Q680" t="s">
        <v>4283</v>
      </c>
      <c r="R680">
        <v>644</v>
      </c>
      <c r="S680" t="s">
        <v>10137</v>
      </c>
      <c r="T680">
        <v>-1</v>
      </c>
      <c r="W680">
        <f>COUNTIFS('Clinical Trials HCO'!$A:$A, K680, 'Clinical Trials HCO'!$D:$D, "&lt;&gt;")</f>
        <v>0</v>
      </c>
    </row>
    <row r="681" spans="2:33" hidden="1">
      <c r="B681">
        <v>344</v>
      </c>
      <c r="F681">
        <f>COUNTIF(HCPs!W:W,HCO_Data!K681)</f>
        <v>0</v>
      </c>
      <c r="G681" t="str">
        <f>IF(COUNTIF('Testing Referrals'!B:B,HCO_Data!K681)&gt;0,"Yes","")</f>
        <v/>
      </c>
      <c r="H681">
        <f>COUNTIF('HCO referrals'!B:B,HCO_Data!K681)+COUNTIF('HCO referrals'!C:C,HCO_Data!K681)</f>
        <v>0</v>
      </c>
      <c r="I681">
        <v>130810740</v>
      </c>
      <c r="K681" t="s">
        <v>10660</v>
      </c>
      <c r="L681" t="s">
        <v>2438</v>
      </c>
      <c r="M681" t="s">
        <v>2730</v>
      </c>
      <c r="N681">
        <v>13097</v>
      </c>
      <c r="O681" t="s">
        <v>1970</v>
      </c>
      <c r="Q681" t="s">
        <v>4283</v>
      </c>
      <c r="R681">
        <v>974</v>
      </c>
      <c r="S681" t="s">
        <v>10137</v>
      </c>
      <c r="T681">
        <v>-1</v>
      </c>
      <c r="W681">
        <f>COUNTIFS('Clinical Trials HCO'!$A:$A, K681, 'Clinical Trials HCO'!$D:$D, "&lt;&gt;")</f>
        <v>0</v>
      </c>
      <c r="AD681" s="12" t="s">
        <v>414</v>
      </c>
      <c r="AE681" t="s">
        <v>3927</v>
      </c>
      <c r="AF681" s="12"/>
      <c r="AG681" s="12"/>
    </row>
    <row r="682" spans="2:33" hidden="1">
      <c r="F682">
        <f>COUNTIF(HCPs!W:W,HCO_Data!K682)</f>
        <v>0</v>
      </c>
      <c r="G682" t="str">
        <f>IF(COUNTIF('Testing Referrals'!B:B,HCO_Data!K682)&gt;0,"Yes","")</f>
        <v/>
      </c>
      <c r="H682">
        <f>COUNTIF('HCO referrals'!B:B,HCO_Data!K682)+COUNTIF('HCO referrals'!C:C,HCO_Data!K682)</f>
        <v>0</v>
      </c>
      <c r="I682">
        <v>140000373</v>
      </c>
      <c r="K682" t="s">
        <v>10661</v>
      </c>
      <c r="L682" t="s">
        <v>9335</v>
      </c>
      <c r="M682" t="s">
        <v>9336</v>
      </c>
      <c r="O682" t="s">
        <v>9337</v>
      </c>
      <c r="P682" t="s">
        <v>712</v>
      </c>
      <c r="Q682" t="s">
        <v>4283</v>
      </c>
      <c r="R682">
        <v>793</v>
      </c>
      <c r="S682" t="s">
        <v>10137</v>
      </c>
      <c r="T682">
        <v>-1</v>
      </c>
      <c r="W682">
        <f>COUNTIFS('Clinical Trials HCO'!$A:$A, K682, 'Clinical Trials HCO'!$D:$D, "&lt;&gt;")</f>
        <v>0</v>
      </c>
    </row>
    <row r="683" spans="2:33" hidden="1">
      <c r="F683">
        <f>COUNTIF(HCPs!W:W,HCO_Data!K683)</f>
        <v>0</v>
      </c>
      <c r="G683" t="str">
        <f>IF(COUNTIF('Testing Referrals'!B:B,HCO_Data!K683)&gt;0,"Yes","")</f>
        <v/>
      </c>
      <c r="H683">
        <f>COUNTIF('HCO referrals'!B:B,HCO_Data!K683)+COUNTIF('HCO referrals'!C:C,HCO_Data!K683)</f>
        <v>0</v>
      </c>
      <c r="I683">
        <v>140002452</v>
      </c>
      <c r="K683" t="s">
        <v>10662</v>
      </c>
      <c r="L683" t="s">
        <v>9646</v>
      </c>
      <c r="M683" t="s">
        <v>9647</v>
      </c>
      <c r="O683" t="s">
        <v>808</v>
      </c>
      <c r="P683" t="s">
        <v>712</v>
      </c>
      <c r="Q683" t="s">
        <v>4283</v>
      </c>
      <c r="R683">
        <v>924</v>
      </c>
      <c r="S683" t="s">
        <v>10137</v>
      </c>
      <c r="T683">
        <v>-1</v>
      </c>
      <c r="W683">
        <f>COUNTIFS('Clinical Trials HCO'!$A:$A, K683, 'Clinical Trials HCO'!$D:$D, "&lt;&gt;")</f>
        <v>0</v>
      </c>
    </row>
    <row r="684" spans="2:33" hidden="1">
      <c r="F684">
        <f>COUNTIF(HCPs!W:W,HCO_Data!K684)</f>
        <v>0</v>
      </c>
      <c r="G684" t="str">
        <f>IF(COUNTIF('Testing Referrals'!B:B,HCO_Data!K684)&gt;0,"Yes","")</f>
        <v/>
      </c>
      <c r="H684">
        <f>COUNTIF('HCO referrals'!B:B,HCO_Data!K684)+COUNTIF('HCO referrals'!C:C,HCO_Data!K684)</f>
        <v>0</v>
      </c>
      <c r="I684">
        <v>140004383</v>
      </c>
      <c r="K684" t="s">
        <v>10663</v>
      </c>
      <c r="L684" t="s">
        <v>9858</v>
      </c>
      <c r="M684" t="s">
        <v>9859</v>
      </c>
      <c r="O684" t="s">
        <v>9860</v>
      </c>
      <c r="P684" t="s">
        <v>712</v>
      </c>
      <c r="Q684" t="s">
        <v>4283</v>
      </c>
      <c r="R684">
        <v>1015</v>
      </c>
      <c r="S684" t="s">
        <v>10137</v>
      </c>
      <c r="T684">
        <v>-1</v>
      </c>
      <c r="W684">
        <f>COUNTIFS('Clinical Trials HCO'!$A:$A, K684, 'Clinical Trials HCO'!$D:$D, "&lt;&gt;")</f>
        <v>0</v>
      </c>
    </row>
    <row r="685" spans="2:33" hidden="1">
      <c r="F685">
        <f>COUNTIF(HCPs!W:W,HCO_Data!K685)</f>
        <v>0</v>
      </c>
      <c r="G685" t="str">
        <f>IF(COUNTIF('Testing Referrals'!B:B,HCO_Data!K685)&gt;0,"Yes","")</f>
        <v/>
      </c>
      <c r="H685">
        <f>COUNTIF('HCO referrals'!B:B,HCO_Data!K685)+COUNTIF('HCO referrals'!C:C,HCO_Data!K685)</f>
        <v>0</v>
      </c>
      <c r="I685">
        <v>140026410</v>
      </c>
      <c r="K685" t="s">
        <v>10664</v>
      </c>
      <c r="L685" t="s">
        <v>9174</v>
      </c>
      <c r="M685" t="s">
        <v>9175</v>
      </c>
      <c r="O685" t="s">
        <v>2887</v>
      </c>
      <c r="P685" t="s">
        <v>712</v>
      </c>
      <c r="Q685" t="s">
        <v>4283</v>
      </c>
      <c r="R685">
        <v>718</v>
      </c>
      <c r="S685" t="s">
        <v>10137</v>
      </c>
      <c r="T685">
        <v>-1</v>
      </c>
      <c r="W685">
        <f>COUNTIFS('Clinical Trials HCO'!$A:$A, K685, 'Clinical Trials HCO'!$D:$D, "&lt;&gt;")</f>
        <v>0</v>
      </c>
    </row>
    <row r="686" spans="2:33" hidden="1">
      <c r="B686">
        <v>627</v>
      </c>
      <c r="F686">
        <f>COUNTIF(HCPs!W:W,HCO_Data!K686)</f>
        <v>0</v>
      </c>
      <c r="G686" t="str">
        <f>IF(COUNTIF('Testing Referrals'!B:B,HCO_Data!K686)&gt;0,"Yes","")</f>
        <v/>
      </c>
      <c r="H686">
        <f>COUNTIF('HCO referrals'!B:B,HCO_Data!K686)+COUNTIF('HCO referrals'!C:C,HCO_Data!K686)</f>
        <v>0</v>
      </c>
      <c r="I686">
        <v>140026709</v>
      </c>
      <c r="K686" t="s">
        <v>10665</v>
      </c>
      <c r="L686" t="s">
        <v>2609</v>
      </c>
      <c r="M686" t="s">
        <v>2886</v>
      </c>
      <c r="N686">
        <v>14113</v>
      </c>
      <c r="O686" t="s">
        <v>2887</v>
      </c>
      <c r="Q686" t="s">
        <v>4283</v>
      </c>
      <c r="R686">
        <v>1016</v>
      </c>
      <c r="S686" t="s">
        <v>10137</v>
      </c>
      <c r="T686">
        <v>-1</v>
      </c>
      <c r="W686">
        <f>COUNTIFS('Clinical Trials HCO'!$A:$A, K686, 'Clinical Trials HCO'!$D:$D, "&lt;&gt;")</f>
        <v>0</v>
      </c>
      <c r="AF686" t="s">
        <v>414</v>
      </c>
      <c r="AG686" t="s">
        <v>414</v>
      </c>
    </row>
    <row r="687" spans="2:33" hidden="1">
      <c r="F687">
        <f>COUNTIF(HCPs!W:W,HCO_Data!K687)</f>
        <v>0</v>
      </c>
      <c r="G687" t="str">
        <f>IF(COUNTIF('Testing Referrals'!B:B,HCO_Data!K687)&gt;0,"Yes","")</f>
        <v/>
      </c>
      <c r="H687">
        <f>COUNTIF('HCO referrals'!B:B,HCO_Data!K687)+COUNTIF('HCO referrals'!C:C,HCO_Data!K687)</f>
        <v>0</v>
      </c>
      <c r="I687">
        <v>150000024</v>
      </c>
      <c r="K687" t="s">
        <v>10666</v>
      </c>
      <c r="L687" t="s">
        <v>9861</v>
      </c>
      <c r="M687" t="s">
        <v>9862</v>
      </c>
      <c r="O687" t="s">
        <v>9863</v>
      </c>
      <c r="P687" t="s">
        <v>771</v>
      </c>
      <c r="Q687" t="s">
        <v>4283</v>
      </c>
      <c r="R687">
        <v>1017</v>
      </c>
      <c r="S687" t="s">
        <v>10137</v>
      </c>
      <c r="T687">
        <v>-1</v>
      </c>
      <c r="W687">
        <f>COUNTIFS('Clinical Trials HCO'!$A:$A, K687, 'Clinical Trials HCO'!$D:$D, "&lt;&gt;")</f>
        <v>0</v>
      </c>
    </row>
    <row r="688" spans="2:33" hidden="1">
      <c r="B688">
        <v>363</v>
      </c>
      <c r="F688">
        <f>COUNTIF(HCPs!W:W,HCO_Data!K688)</f>
        <v>0</v>
      </c>
      <c r="G688" t="str">
        <f>IF(COUNTIF('Testing Referrals'!B:B,HCO_Data!K688)&gt;0,"Yes","")</f>
        <v/>
      </c>
      <c r="H688">
        <f>COUNTIF('HCO referrals'!B:B,HCO_Data!K688)+COUNTIF('HCO referrals'!C:C,HCO_Data!K688)</f>
        <v>0</v>
      </c>
      <c r="I688">
        <v>150000032</v>
      </c>
      <c r="K688" t="s">
        <v>10667</v>
      </c>
      <c r="L688" t="s">
        <v>2394</v>
      </c>
      <c r="M688" t="s">
        <v>2681</v>
      </c>
      <c r="N688">
        <v>15102</v>
      </c>
      <c r="O688" t="s">
        <v>2682</v>
      </c>
      <c r="Q688" t="s">
        <v>4283</v>
      </c>
      <c r="R688">
        <v>735</v>
      </c>
      <c r="S688" t="s">
        <v>10137</v>
      </c>
      <c r="T688">
        <v>-1</v>
      </c>
      <c r="W688">
        <f>COUNTIFS('Clinical Trials HCO'!$A:$A, K688, 'Clinical Trials HCO'!$D:$D, "&lt;&gt;")</f>
        <v>0</v>
      </c>
      <c r="AF688" t="s">
        <v>414</v>
      </c>
      <c r="AG688" t="s">
        <v>414</v>
      </c>
    </row>
    <row r="689" spans="2:33" hidden="1">
      <c r="F689">
        <f>COUNTIF(HCPs!W:W,HCO_Data!K689)</f>
        <v>0</v>
      </c>
      <c r="G689" t="str">
        <f>IF(COUNTIF('Testing Referrals'!B:B,HCO_Data!K689)&gt;0,"Yes","")</f>
        <v/>
      </c>
      <c r="H689">
        <f>COUNTIF('HCO referrals'!B:B,HCO_Data!K689)+COUNTIF('HCO referrals'!C:C,HCO_Data!K689)</f>
        <v>0</v>
      </c>
      <c r="I689">
        <v>150000164</v>
      </c>
      <c r="K689" t="s">
        <v>10668</v>
      </c>
      <c r="L689" t="s">
        <v>9225</v>
      </c>
      <c r="M689" t="s">
        <v>9226</v>
      </c>
      <c r="O689" t="s">
        <v>9227</v>
      </c>
      <c r="P689" t="s">
        <v>771</v>
      </c>
      <c r="Q689" t="s">
        <v>4283</v>
      </c>
      <c r="R689">
        <v>742</v>
      </c>
      <c r="S689" t="s">
        <v>10137</v>
      </c>
      <c r="T689">
        <v>-1</v>
      </c>
      <c r="W689">
        <f>COUNTIFS('Clinical Trials HCO'!$A:$A, K689, 'Clinical Trials HCO'!$D:$D, "&lt;&gt;")</f>
        <v>0</v>
      </c>
    </row>
    <row r="690" spans="2:33" hidden="1">
      <c r="F690">
        <f>COUNTIF(HCPs!W:W,HCO_Data!K690)</f>
        <v>0</v>
      </c>
      <c r="G690" t="str">
        <f>IF(COUNTIF('Testing Referrals'!B:B,HCO_Data!K690)&gt;0,"Yes","")</f>
        <v/>
      </c>
      <c r="H690">
        <f>COUNTIF('HCO referrals'!B:B,HCO_Data!K690)+COUNTIF('HCO referrals'!C:C,HCO_Data!K690)</f>
        <v>0</v>
      </c>
      <c r="I690">
        <v>150000180</v>
      </c>
      <c r="K690" t="s">
        <v>10669</v>
      </c>
      <c r="L690" t="s">
        <v>9864</v>
      </c>
      <c r="M690" t="s">
        <v>9865</v>
      </c>
      <c r="O690" t="s">
        <v>9866</v>
      </c>
      <c r="P690" t="s">
        <v>771</v>
      </c>
      <c r="Q690" t="s">
        <v>4283</v>
      </c>
      <c r="R690">
        <v>1018</v>
      </c>
      <c r="S690" t="s">
        <v>10137</v>
      </c>
      <c r="T690">
        <v>-1</v>
      </c>
      <c r="W690">
        <f>COUNTIFS('Clinical Trials HCO'!$A:$A, K690, 'Clinical Trials HCO'!$D:$D, "&lt;&gt;")</f>
        <v>0</v>
      </c>
    </row>
    <row r="691" spans="2:33" hidden="1">
      <c r="F691">
        <f>COUNTIF(HCPs!W:W,HCO_Data!K691)</f>
        <v>0</v>
      </c>
      <c r="G691" t="str">
        <f>IF(COUNTIF('Testing Referrals'!B:B,HCO_Data!K691)&gt;0,"Yes","")</f>
        <v/>
      </c>
      <c r="H691">
        <f>COUNTIF('HCO referrals'!B:B,HCO_Data!K691)+COUNTIF('HCO referrals'!C:C,HCO_Data!K691)</f>
        <v>0</v>
      </c>
      <c r="I691">
        <v>160000188</v>
      </c>
      <c r="K691" t="s">
        <v>10670</v>
      </c>
      <c r="L691" t="s">
        <v>9578</v>
      </c>
      <c r="M691" t="s">
        <v>9579</v>
      </c>
      <c r="O691" t="s">
        <v>9580</v>
      </c>
      <c r="P691" t="s">
        <v>758</v>
      </c>
      <c r="Q691" t="s">
        <v>4283</v>
      </c>
      <c r="R691">
        <v>895</v>
      </c>
      <c r="S691" t="s">
        <v>10137</v>
      </c>
      <c r="T691">
        <v>-1</v>
      </c>
      <c r="W691">
        <f>COUNTIFS('Clinical Trials HCO'!$A:$A, K691, 'Clinical Trials HCO'!$D:$D, "&lt;&gt;")</f>
        <v>0</v>
      </c>
    </row>
    <row r="692" spans="2:33" hidden="1">
      <c r="F692">
        <f>COUNTIF(HCPs!W:W,HCO_Data!K692)</f>
        <v>0</v>
      </c>
      <c r="G692" t="str">
        <f>IF(COUNTIF('Testing Referrals'!B:B,HCO_Data!K692)&gt;0,"Yes","")</f>
        <v/>
      </c>
      <c r="H692">
        <f>COUNTIF('HCO referrals'!B:B,HCO_Data!K692)+COUNTIF('HCO referrals'!C:C,HCO_Data!K692)</f>
        <v>0</v>
      </c>
      <c r="I692">
        <v>160000303</v>
      </c>
      <c r="K692" t="s">
        <v>10671</v>
      </c>
      <c r="L692" t="s">
        <v>9271</v>
      </c>
      <c r="M692" t="s">
        <v>9272</v>
      </c>
      <c r="O692" t="s">
        <v>9273</v>
      </c>
      <c r="P692" t="s">
        <v>758</v>
      </c>
      <c r="Q692" t="s">
        <v>4283</v>
      </c>
      <c r="R692">
        <v>765</v>
      </c>
      <c r="S692" t="s">
        <v>10137</v>
      </c>
      <c r="T692">
        <v>-1</v>
      </c>
      <c r="W692">
        <f>COUNTIFS('Clinical Trials HCO'!$A:$A, K692, 'Clinical Trials HCO'!$D:$D, "&lt;&gt;")</f>
        <v>0</v>
      </c>
    </row>
    <row r="693" spans="2:33" hidden="1">
      <c r="F693">
        <f>COUNTIF(HCPs!W:W,HCO_Data!K693)</f>
        <v>0</v>
      </c>
      <c r="G693" t="str">
        <f>IF(COUNTIF('Testing Referrals'!B:B,HCO_Data!K693)&gt;0,"Yes","")</f>
        <v/>
      </c>
      <c r="H693">
        <f>COUNTIF('HCO referrals'!B:B,HCO_Data!K693)+COUNTIF('HCO referrals'!C:C,HCO_Data!K693)</f>
        <v>0</v>
      </c>
      <c r="I693">
        <v>160000311</v>
      </c>
      <c r="K693" t="s">
        <v>10672</v>
      </c>
      <c r="L693" t="s">
        <v>9292</v>
      </c>
      <c r="M693" t="s">
        <v>9293</v>
      </c>
      <c r="O693" t="s">
        <v>9294</v>
      </c>
      <c r="P693" t="s">
        <v>758</v>
      </c>
      <c r="Q693" t="s">
        <v>4283</v>
      </c>
      <c r="R693">
        <v>778</v>
      </c>
      <c r="S693" t="s">
        <v>10137</v>
      </c>
      <c r="T693">
        <v>-1</v>
      </c>
      <c r="W693">
        <f>COUNTIFS('Clinical Trials HCO'!$A:$A, K693, 'Clinical Trials HCO'!$D:$D, "&lt;&gt;")</f>
        <v>0</v>
      </c>
    </row>
    <row r="694" spans="2:33" hidden="1">
      <c r="F694">
        <f>COUNTIF(HCPs!W:W,HCO_Data!K694)</f>
        <v>0</v>
      </c>
      <c r="G694" t="str">
        <f>IF(COUNTIF('Testing Referrals'!B:B,HCO_Data!K694)&gt;0,"Yes","")</f>
        <v/>
      </c>
      <c r="H694">
        <f>COUNTIF('HCO referrals'!B:B,HCO_Data!K694)+COUNTIF('HCO referrals'!C:C,HCO_Data!K694)</f>
        <v>0</v>
      </c>
      <c r="I694">
        <v>160000337</v>
      </c>
      <c r="K694" t="s">
        <v>10673</v>
      </c>
      <c r="L694" t="s">
        <v>9867</v>
      </c>
      <c r="M694" t="s">
        <v>9868</v>
      </c>
      <c r="O694" t="s">
        <v>9869</v>
      </c>
      <c r="P694" t="s">
        <v>758</v>
      </c>
      <c r="Q694" t="s">
        <v>4283</v>
      </c>
      <c r="R694">
        <v>1019</v>
      </c>
      <c r="S694" t="s">
        <v>10137</v>
      </c>
      <c r="T694">
        <v>-1</v>
      </c>
      <c r="W694">
        <f>COUNTIFS('Clinical Trials HCO'!$A:$A, K694, 'Clinical Trials HCO'!$D:$D, "&lt;&gt;")</f>
        <v>0</v>
      </c>
    </row>
    <row r="695" spans="2:33" hidden="1">
      <c r="F695">
        <f>COUNTIF(HCPs!W:W,HCO_Data!K695)</f>
        <v>0</v>
      </c>
      <c r="G695" t="str">
        <f>IF(COUNTIF('Testing Referrals'!B:B,HCO_Data!K695)&gt;0,"Yes","")</f>
        <v/>
      </c>
      <c r="H695">
        <f>COUNTIF('HCO referrals'!B:B,HCO_Data!K695)+COUNTIF('HCO referrals'!C:C,HCO_Data!K695)</f>
        <v>0</v>
      </c>
      <c r="I695">
        <v>170000095</v>
      </c>
      <c r="K695" t="s">
        <v>10674</v>
      </c>
      <c r="L695" t="s">
        <v>9228</v>
      </c>
      <c r="M695" t="s">
        <v>9229</v>
      </c>
      <c r="O695" t="s">
        <v>9230</v>
      </c>
      <c r="P695" t="s">
        <v>774</v>
      </c>
      <c r="Q695" t="s">
        <v>4283</v>
      </c>
      <c r="R695">
        <v>743</v>
      </c>
      <c r="S695" t="s">
        <v>10137</v>
      </c>
      <c r="T695">
        <v>-1</v>
      </c>
      <c r="W695">
        <f>COUNTIFS('Clinical Trials HCO'!$A:$A, K695, 'Clinical Trials HCO'!$D:$D, "&lt;&gt;")</f>
        <v>0</v>
      </c>
    </row>
    <row r="696" spans="2:33" hidden="1">
      <c r="F696">
        <f>COUNTIF(HCPs!W:W,HCO_Data!K696)</f>
        <v>0</v>
      </c>
      <c r="G696" t="str">
        <f>IF(COUNTIF('Testing Referrals'!B:B,HCO_Data!K696)&gt;0,"Yes","")</f>
        <v/>
      </c>
      <c r="H696">
        <f>COUNTIF('HCO referrals'!B:B,HCO_Data!K696)+COUNTIF('HCO referrals'!C:C,HCO_Data!K696)</f>
        <v>0</v>
      </c>
      <c r="I696">
        <v>170000178</v>
      </c>
      <c r="K696" t="s">
        <v>10675</v>
      </c>
      <c r="L696" t="s">
        <v>9648</v>
      </c>
      <c r="M696" t="s">
        <v>9649</v>
      </c>
      <c r="O696" t="s">
        <v>9650</v>
      </c>
      <c r="P696" t="s">
        <v>774</v>
      </c>
      <c r="Q696" t="s">
        <v>4283</v>
      </c>
      <c r="R696">
        <v>925</v>
      </c>
      <c r="S696" t="s">
        <v>10137</v>
      </c>
      <c r="T696">
        <v>-1</v>
      </c>
      <c r="W696">
        <f>COUNTIFS('Clinical Trials HCO'!$A:$A, K696, 'Clinical Trials HCO'!$D:$D, "&lt;&gt;")</f>
        <v>0</v>
      </c>
    </row>
    <row r="697" spans="2:33" hidden="1">
      <c r="B697">
        <v>481</v>
      </c>
      <c r="F697">
        <f>COUNTIF(HCPs!W:W,HCO_Data!K697)</f>
        <v>0</v>
      </c>
      <c r="G697" t="str">
        <f>IF(COUNTIF('Testing Referrals'!B:B,HCO_Data!K697)&gt;0,"Yes","")</f>
        <v/>
      </c>
      <c r="H697">
        <f>COUNTIF('HCO referrals'!B:B,HCO_Data!K697)+COUNTIF('HCO referrals'!C:C,HCO_Data!K697)</f>
        <v>0</v>
      </c>
      <c r="I697">
        <v>170780563</v>
      </c>
      <c r="K697" t="s">
        <v>10676</v>
      </c>
      <c r="L697" t="s">
        <v>2505</v>
      </c>
      <c r="M697" t="s">
        <v>2822</v>
      </c>
      <c r="N697">
        <v>17201</v>
      </c>
      <c r="O697" t="s">
        <v>2823</v>
      </c>
      <c r="Q697" t="s">
        <v>4283</v>
      </c>
      <c r="R697">
        <v>744</v>
      </c>
      <c r="S697" t="s">
        <v>10137</v>
      </c>
      <c r="T697">
        <v>-1</v>
      </c>
      <c r="W697">
        <f>COUNTIFS('Clinical Trials HCO'!$A:$A, K697, 'Clinical Trials HCO'!$D:$D, "&lt;&gt;")</f>
        <v>0</v>
      </c>
      <c r="AG697" t="s">
        <v>414</v>
      </c>
    </row>
    <row r="698" spans="2:33" hidden="1">
      <c r="F698">
        <f>COUNTIF(HCPs!W:W,HCO_Data!K698)</f>
        <v>0</v>
      </c>
      <c r="G698" t="str">
        <f>IF(COUNTIF('Testing Referrals'!B:B,HCO_Data!K698)&gt;0,"Yes","")</f>
        <v/>
      </c>
      <c r="H698">
        <f>COUNTIF('HCO referrals'!B:B,HCO_Data!K698)+COUNTIF('HCO referrals'!C:C,HCO_Data!K698)</f>
        <v>0</v>
      </c>
      <c r="I698">
        <v>170780647</v>
      </c>
      <c r="K698" t="s">
        <v>10677</v>
      </c>
      <c r="L698" t="s">
        <v>9870</v>
      </c>
      <c r="M698" t="s">
        <v>9871</v>
      </c>
      <c r="O698" t="s">
        <v>9872</v>
      </c>
      <c r="P698" t="s">
        <v>774</v>
      </c>
      <c r="Q698" t="s">
        <v>4283</v>
      </c>
      <c r="R698">
        <v>1020</v>
      </c>
      <c r="S698" t="s">
        <v>10137</v>
      </c>
      <c r="T698">
        <v>-1</v>
      </c>
      <c r="W698">
        <f>COUNTIFS('Clinical Trials HCO'!$A:$A, K698, 'Clinical Trials HCO'!$D:$D, "&lt;&gt;")</f>
        <v>0</v>
      </c>
    </row>
    <row r="699" spans="2:33" hidden="1">
      <c r="F699">
        <f>COUNTIF(HCPs!W:W,HCO_Data!K699)</f>
        <v>0</v>
      </c>
      <c r="G699" t="str">
        <f>IF(COUNTIF('Testing Referrals'!B:B,HCO_Data!K699)&gt;0,"Yes","")</f>
        <v/>
      </c>
      <c r="H699">
        <f>COUNTIF('HCO referrals'!B:B,HCO_Data!K699)+COUNTIF('HCO referrals'!C:C,HCO_Data!K699)</f>
        <v>0</v>
      </c>
      <c r="I699">
        <v>180000283</v>
      </c>
      <c r="K699" t="s">
        <v>10678</v>
      </c>
      <c r="L699" t="s">
        <v>9121</v>
      </c>
      <c r="M699" t="s">
        <v>9122</v>
      </c>
      <c r="O699" t="s">
        <v>9123</v>
      </c>
      <c r="P699" t="s">
        <v>765</v>
      </c>
      <c r="Q699" t="s">
        <v>4283</v>
      </c>
      <c r="R699">
        <v>683</v>
      </c>
      <c r="S699" t="s">
        <v>10137</v>
      </c>
      <c r="T699">
        <v>-1</v>
      </c>
      <c r="W699">
        <f>COUNTIFS('Clinical Trials HCO'!$A:$A, K699, 'Clinical Trials HCO'!$D:$D, "&lt;&gt;")</f>
        <v>0</v>
      </c>
    </row>
    <row r="700" spans="2:33" hidden="1">
      <c r="F700">
        <f>COUNTIF(HCPs!W:W,HCO_Data!K700)</f>
        <v>0</v>
      </c>
      <c r="G700" t="str">
        <f>IF(COUNTIF('Testing Referrals'!B:B,HCO_Data!K700)&gt;0,"Yes","")</f>
        <v/>
      </c>
      <c r="H700">
        <f>COUNTIF('HCO referrals'!B:B,HCO_Data!K700)+COUNTIF('HCO referrals'!C:C,HCO_Data!K700)</f>
        <v>0</v>
      </c>
      <c r="I700">
        <v>180010209</v>
      </c>
      <c r="K700" t="s">
        <v>10679</v>
      </c>
      <c r="L700" t="s">
        <v>9873</v>
      </c>
      <c r="M700" t="s">
        <v>9122</v>
      </c>
      <c r="O700" t="s">
        <v>9874</v>
      </c>
      <c r="P700" t="s">
        <v>765</v>
      </c>
      <c r="Q700" t="s">
        <v>4283</v>
      </c>
      <c r="R700">
        <v>1021</v>
      </c>
      <c r="S700" t="s">
        <v>10137</v>
      </c>
      <c r="T700">
        <v>-1</v>
      </c>
      <c r="W700">
        <f>COUNTIFS('Clinical Trials HCO'!$A:$A, K700, 'Clinical Trials HCO'!$D:$D, "&lt;&gt;")</f>
        <v>0</v>
      </c>
    </row>
    <row r="701" spans="2:33" hidden="1">
      <c r="B701">
        <v>506</v>
      </c>
      <c r="F701">
        <f>COUNTIF(HCPs!W:W,HCO_Data!K701)</f>
        <v>0</v>
      </c>
      <c r="G701" t="str">
        <f>IF(COUNTIF('Testing Referrals'!B:B,HCO_Data!K701)&gt;0,"Yes","")</f>
        <v/>
      </c>
      <c r="H701">
        <f>COUNTIF('HCO referrals'!B:B,HCO_Data!K701)+COUNTIF('HCO referrals'!C:C,HCO_Data!K701)</f>
        <v>0</v>
      </c>
      <c r="I701">
        <v>190000026</v>
      </c>
      <c r="K701" t="s">
        <v>10680</v>
      </c>
      <c r="L701" t="s">
        <v>2376</v>
      </c>
      <c r="M701" t="s">
        <v>2646</v>
      </c>
      <c r="N701">
        <v>19012</v>
      </c>
      <c r="O701" t="s">
        <v>2647</v>
      </c>
      <c r="Q701" t="s">
        <v>4283</v>
      </c>
      <c r="R701">
        <v>723</v>
      </c>
      <c r="S701" t="s">
        <v>10137</v>
      </c>
      <c r="T701">
        <v>-1</v>
      </c>
      <c r="W701">
        <f>COUNTIFS('Clinical Trials HCO'!$A:$A, K701, 'Clinical Trials HCO'!$D:$D, "&lt;&gt;")</f>
        <v>0</v>
      </c>
      <c r="AF701" t="s">
        <v>414</v>
      </c>
      <c r="AG701" t="s">
        <v>414</v>
      </c>
    </row>
    <row r="702" spans="2:33" hidden="1">
      <c r="F702">
        <f>COUNTIF(HCPs!W:W,HCO_Data!K702)</f>
        <v>0</v>
      </c>
      <c r="G702" t="str">
        <f>IF(COUNTIF('Testing Referrals'!B:B,HCO_Data!K702)&gt;0,"Yes","")</f>
        <v/>
      </c>
      <c r="H702">
        <f>COUNTIF('HCO referrals'!B:B,HCO_Data!K702)+COUNTIF('HCO referrals'!C:C,HCO_Data!K702)</f>
        <v>0</v>
      </c>
      <c r="I702">
        <v>190000034</v>
      </c>
      <c r="K702" t="s">
        <v>10681</v>
      </c>
      <c r="L702" t="s">
        <v>10018</v>
      </c>
      <c r="M702" t="s">
        <v>10019</v>
      </c>
      <c r="O702" t="s">
        <v>10020</v>
      </c>
      <c r="P702" t="s">
        <v>737</v>
      </c>
      <c r="Q702" t="s">
        <v>4283</v>
      </c>
      <c r="R702">
        <v>1083</v>
      </c>
      <c r="S702" t="s">
        <v>10137</v>
      </c>
      <c r="T702">
        <v>-1</v>
      </c>
      <c r="W702">
        <f>COUNTIFS('Clinical Trials HCO'!$A:$A, K702, 'Clinical Trials HCO'!$D:$D, "&lt;&gt;")</f>
        <v>0</v>
      </c>
    </row>
    <row r="703" spans="2:33" hidden="1">
      <c r="F703">
        <f>COUNTIF(HCPs!W:W,HCO_Data!K703)</f>
        <v>0</v>
      </c>
      <c r="G703" t="str">
        <f>IF(COUNTIF('Testing Referrals'!B:B,HCO_Data!K703)&gt;0,"Yes","")</f>
        <v/>
      </c>
      <c r="H703">
        <f>COUNTIF('HCO referrals'!B:B,HCO_Data!K703)+COUNTIF('HCO referrals'!C:C,HCO_Data!K703)</f>
        <v>0</v>
      </c>
      <c r="I703">
        <v>190000091</v>
      </c>
      <c r="K703" t="s">
        <v>10682</v>
      </c>
      <c r="L703" t="s">
        <v>9005</v>
      </c>
      <c r="M703" t="s">
        <v>9006</v>
      </c>
      <c r="O703" t="s">
        <v>9007</v>
      </c>
      <c r="P703" t="s">
        <v>737</v>
      </c>
      <c r="Q703" t="s">
        <v>4283</v>
      </c>
      <c r="R703">
        <v>626</v>
      </c>
      <c r="S703" t="s">
        <v>10137</v>
      </c>
      <c r="T703">
        <v>-1</v>
      </c>
      <c r="W703">
        <f>COUNTIFS('Clinical Trials HCO'!$A:$A, K703, 'Clinical Trials HCO'!$D:$D, "&lt;&gt;")</f>
        <v>0</v>
      </c>
    </row>
    <row r="704" spans="2:33" hidden="1">
      <c r="B704">
        <v>660</v>
      </c>
      <c r="F704">
        <f>COUNTIF(HCPs!W:W,HCO_Data!K704)</f>
        <v>0</v>
      </c>
      <c r="G704" t="str">
        <f>IF(COUNTIF('Testing Referrals'!B:B,HCO_Data!K704)&gt;0,"Yes","")</f>
        <v/>
      </c>
      <c r="H704">
        <f>COUNTIF('HCO referrals'!B:B,HCO_Data!K704)+COUNTIF('HCO referrals'!C:C,HCO_Data!K704)</f>
        <v>0</v>
      </c>
      <c r="I704">
        <v>210012670</v>
      </c>
      <c r="K704" t="s">
        <v>10683</v>
      </c>
      <c r="L704" t="s">
        <v>2552</v>
      </c>
      <c r="M704" t="s">
        <v>2855</v>
      </c>
      <c r="N704">
        <v>21000</v>
      </c>
      <c r="O704" t="s">
        <v>844</v>
      </c>
      <c r="Q704" t="s">
        <v>4283</v>
      </c>
      <c r="R704">
        <v>701</v>
      </c>
      <c r="S704" t="s">
        <v>10137</v>
      </c>
      <c r="T704">
        <v>-1</v>
      </c>
      <c r="W704">
        <f>COUNTIFS('Clinical Trials HCO'!$A:$A, K704, 'Clinical Trials HCO'!$D:$D, "&lt;&gt;")</f>
        <v>0</v>
      </c>
      <c r="AG704" t="s">
        <v>414</v>
      </c>
    </row>
    <row r="705" spans="2:32" hidden="1">
      <c r="F705">
        <f>COUNTIF(HCPs!W:W,HCO_Data!K705)</f>
        <v>0</v>
      </c>
      <c r="G705" t="str">
        <f>IF(COUNTIF('Testing Referrals'!B:B,HCO_Data!K705)&gt;0,"Yes","")</f>
        <v/>
      </c>
      <c r="H705">
        <f>COUNTIF('HCO referrals'!B:B,HCO_Data!K705)+COUNTIF('HCO referrals'!C:C,HCO_Data!K705)</f>
        <v>0</v>
      </c>
      <c r="I705">
        <v>210986089</v>
      </c>
      <c r="K705" t="s">
        <v>10684</v>
      </c>
      <c r="L705" t="s">
        <v>9257</v>
      </c>
      <c r="M705" t="s">
        <v>9258</v>
      </c>
      <c r="O705" t="s">
        <v>844</v>
      </c>
      <c r="P705" t="s">
        <v>709</v>
      </c>
      <c r="Q705" t="s">
        <v>4283</v>
      </c>
      <c r="R705">
        <v>756</v>
      </c>
      <c r="S705" t="s">
        <v>10137</v>
      </c>
      <c r="T705">
        <v>-1</v>
      </c>
      <c r="W705">
        <f>COUNTIFS('Clinical Trials HCO'!$A:$A, K705, 'Clinical Trials HCO'!$D:$D, "&lt;&gt;")</f>
        <v>0</v>
      </c>
    </row>
    <row r="706" spans="2:32" hidden="1">
      <c r="F706">
        <f>COUNTIF(HCPs!W:W,HCO_Data!K706)</f>
        <v>0</v>
      </c>
      <c r="G706" t="str">
        <f>IF(COUNTIF('Testing Referrals'!B:B,HCO_Data!K706)&gt;0,"Yes","")</f>
        <v/>
      </c>
      <c r="H706">
        <f>COUNTIF('HCO referrals'!B:B,HCO_Data!K706)+COUNTIF('HCO referrals'!C:C,HCO_Data!K706)</f>
        <v>0</v>
      </c>
      <c r="I706">
        <v>210987582</v>
      </c>
      <c r="K706" t="s">
        <v>10685</v>
      </c>
      <c r="L706" t="s">
        <v>9651</v>
      </c>
      <c r="M706" t="s">
        <v>9652</v>
      </c>
      <c r="O706" t="s">
        <v>9653</v>
      </c>
      <c r="P706" t="s">
        <v>709</v>
      </c>
      <c r="Q706" t="s">
        <v>4283</v>
      </c>
      <c r="R706">
        <v>926</v>
      </c>
      <c r="S706" t="s">
        <v>10137</v>
      </c>
      <c r="T706">
        <v>-1</v>
      </c>
      <c r="W706">
        <f>COUNTIFS('Clinical Trials HCO'!$A:$A, K706, 'Clinical Trials HCO'!$D:$D, "&lt;&gt;")</f>
        <v>0</v>
      </c>
    </row>
    <row r="707" spans="2:32" hidden="1">
      <c r="F707">
        <f>COUNTIF(HCPs!W:W,HCO_Data!K707)</f>
        <v>0</v>
      </c>
      <c r="G707" t="str">
        <f>IF(COUNTIF('Testing Referrals'!B:B,HCO_Data!K707)&gt;0,"Yes","")</f>
        <v/>
      </c>
      <c r="H707">
        <f>COUNTIF('HCO referrals'!B:B,HCO_Data!K707)+COUNTIF('HCO referrals'!C:C,HCO_Data!K707)</f>
        <v>0</v>
      </c>
      <c r="I707">
        <v>210987616</v>
      </c>
      <c r="K707" t="s">
        <v>10686</v>
      </c>
      <c r="L707" t="s">
        <v>9511</v>
      </c>
      <c r="M707" t="s">
        <v>9512</v>
      </c>
      <c r="O707" t="s">
        <v>9513</v>
      </c>
      <c r="P707" t="s">
        <v>709</v>
      </c>
      <c r="Q707" t="s">
        <v>4283</v>
      </c>
      <c r="R707">
        <v>868</v>
      </c>
      <c r="S707" t="s">
        <v>10137</v>
      </c>
      <c r="T707">
        <v>-1</v>
      </c>
      <c r="W707">
        <f>COUNTIFS('Clinical Trials HCO'!$A:$A, K707, 'Clinical Trials HCO'!$D:$D, "&lt;&gt;")</f>
        <v>0</v>
      </c>
    </row>
    <row r="708" spans="2:32" hidden="1">
      <c r="F708">
        <f>COUNTIF(HCPs!W:W,HCO_Data!K708)</f>
        <v>0</v>
      </c>
      <c r="G708" t="str">
        <f>IF(COUNTIF('Testing Referrals'!B:B,HCO_Data!K708)&gt;0,"Yes","")</f>
        <v/>
      </c>
      <c r="H708">
        <f>COUNTIF('HCO referrals'!B:B,HCO_Data!K708)+COUNTIF('HCO referrals'!C:C,HCO_Data!K708)</f>
        <v>0</v>
      </c>
      <c r="I708">
        <v>210987640</v>
      </c>
      <c r="K708" t="s">
        <v>10687</v>
      </c>
      <c r="L708" t="s">
        <v>9875</v>
      </c>
      <c r="M708" t="s">
        <v>9876</v>
      </c>
      <c r="O708" t="s">
        <v>9877</v>
      </c>
      <c r="P708" t="s">
        <v>709</v>
      </c>
      <c r="Q708" t="s">
        <v>4283</v>
      </c>
      <c r="R708">
        <v>1022</v>
      </c>
      <c r="S708" t="s">
        <v>10137</v>
      </c>
      <c r="T708">
        <v>-1</v>
      </c>
      <c r="W708">
        <f>COUNTIFS('Clinical Trials HCO'!$A:$A, K708, 'Clinical Trials HCO'!$D:$D, "&lt;&gt;")</f>
        <v>0</v>
      </c>
    </row>
    <row r="709" spans="2:32" hidden="1">
      <c r="F709">
        <f>COUNTIF(HCPs!W:W,HCO_Data!K709)</f>
        <v>0</v>
      </c>
      <c r="G709" t="str">
        <f>IF(COUNTIF('Testing Referrals'!B:B,HCO_Data!K709)&gt;0,"Yes","")</f>
        <v/>
      </c>
      <c r="H709">
        <f>COUNTIF('HCO referrals'!B:B,HCO_Data!K709)+COUNTIF('HCO referrals'!C:C,HCO_Data!K709)</f>
        <v>0</v>
      </c>
      <c r="I709">
        <v>210987665</v>
      </c>
      <c r="K709" t="s">
        <v>10688</v>
      </c>
      <c r="L709" t="s">
        <v>9396</v>
      </c>
      <c r="M709" t="s">
        <v>9397</v>
      </c>
      <c r="O709" t="s">
        <v>9398</v>
      </c>
      <c r="P709" t="s">
        <v>709</v>
      </c>
      <c r="Q709" t="s">
        <v>4283</v>
      </c>
      <c r="R709">
        <v>821</v>
      </c>
      <c r="S709" t="s">
        <v>10137</v>
      </c>
      <c r="T709">
        <v>-1</v>
      </c>
      <c r="W709">
        <f>COUNTIFS('Clinical Trials HCO'!$A:$A, K709, 'Clinical Trials HCO'!$D:$D, "&lt;&gt;")</f>
        <v>0</v>
      </c>
    </row>
    <row r="710" spans="2:32" hidden="1">
      <c r="F710">
        <f>COUNTIF(HCPs!W:W,HCO_Data!K710)</f>
        <v>0</v>
      </c>
      <c r="G710" t="str">
        <f>IF(COUNTIF('Testing Referrals'!B:B,HCO_Data!K710)&gt;0,"Yes","")</f>
        <v/>
      </c>
      <c r="H710">
        <f>COUNTIF('HCO referrals'!B:B,HCO_Data!K710)+COUNTIF('HCO referrals'!C:C,HCO_Data!K710)</f>
        <v>0</v>
      </c>
      <c r="I710">
        <v>210987673</v>
      </c>
      <c r="K710" t="s">
        <v>10689</v>
      </c>
      <c r="L710" t="s">
        <v>9581</v>
      </c>
      <c r="M710" t="s">
        <v>9582</v>
      </c>
      <c r="O710" t="s">
        <v>9583</v>
      </c>
      <c r="P710" t="s">
        <v>709</v>
      </c>
      <c r="Q710" t="s">
        <v>4283</v>
      </c>
      <c r="R710">
        <v>896</v>
      </c>
      <c r="S710" t="s">
        <v>10137</v>
      </c>
      <c r="T710">
        <v>-1</v>
      </c>
      <c r="W710">
        <f>COUNTIFS('Clinical Trials HCO'!$A:$A, K710, 'Clinical Trials HCO'!$D:$D, "&lt;&gt;")</f>
        <v>0</v>
      </c>
    </row>
    <row r="711" spans="2:32" hidden="1">
      <c r="F711">
        <f>COUNTIF(HCPs!W:W,HCO_Data!K711)</f>
        <v>0</v>
      </c>
      <c r="G711" t="str">
        <f>IF(COUNTIF('Testing Referrals'!B:B,HCO_Data!K711)&gt;0,"Yes","")</f>
        <v/>
      </c>
      <c r="H711">
        <f>COUNTIF('HCO referrals'!B:B,HCO_Data!K711)+COUNTIF('HCO referrals'!C:C,HCO_Data!K711)</f>
        <v>0</v>
      </c>
      <c r="I711">
        <v>220000111</v>
      </c>
      <c r="K711" t="s">
        <v>10690</v>
      </c>
      <c r="L711" t="s">
        <v>8860</v>
      </c>
      <c r="M711" t="s">
        <v>8861</v>
      </c>
      <c r="O711" t="s">
        <v>8862</v>
      </c>
      <c r="P711" t="s">
        <v>738</v>
      </c>
      <c r="Q711" t="s">
        <v>4283</v>
      </c>
      <c r="R711">
        <v>513</v>
      </c>
      <c r="S711" t="s">
        <v>10137</v>
      </c>
      <c r="T711">
        <v>-1</v>
      </c>
      <c r="W711">
        <f>COUNTIFS('Clinical Trials HCO'!$A:$A, K711, 'Clinical Trials HCO'!$D:$D, "&lt;&gt;")</f>
        <v>0</v>
      </c>
    </row>
    <row r="712" spans="2:32" hidden="1">
      <c r="F712">
        <f>COUNTIF(HCPs!W:W,HCO_Data!K712)</f>
        <v>0</v>
      </c>
      <c r="G712" t="str">
        <f>IF(COUNTIF('Testing Referrals'!B:B,HCO_Data!K712)&gt;0,"Yes","")</f>
        <v/>
      </c>
      <c r="H712">
        <f>COUNTIF('HCO referrals'!B:B,HCO_Data!K712)+COUNTIF('HCO referrals'!C:C,HCO_Data!K712)</f>
        <v>0</v>
      </c>
      <c r="I712">
        <v>220000566</v>
      </c>
      <c r="K712" t="s">
        <v>10691</v>
      </c>
      <c r="L712" t="s">
        <v>9878</v>
      </c>
      <c r="M712" t="s">
        <v>9879</v>
      </c>
      <c r="O712" t="s">
        <v>9880</v>
      </c>
      <c r="P712" t="s">
        <v>738</v>
      </c>
      <c r="Q712" t="s">
        <v>4283</v>
      </c>
      <c r="R712">
        <v>1023</v>
      </c>
      <c r="S712" t="s">
        <v>10137</v>
      </c>
      <c r="T712">
        <v>-1</v>
      </c>
      <c r="W712">
        <f>COUNTIFS('Clinical Trials HCO'!$A:$A, K712, 'Clinical Trials HCO'!$D:$D, "&lt;&gt;")</f>
        <v>0</v>
      </c>
    </row>
    <row r="713" spans="2:32" hidden="1">
      <c r="F713">
        <f>COUNTIF(HCPs!W:W,HCO_Data!K713)</f>
        <v>0</v>
      </c>
      <c r="G713" t="str">
        <f>IF(COUNTIF('Testing Referrals'!B:B,HCO_Data!K713)&gt;0,"Yes","")</f>
        <v/>
      </c>
      <c r="H713">
        <f>COUNTIF('HCO referrals'!B:B,HCO_Data!K713)+COUNTIF('HCO referrals'!C:C,HCO_Data!K713)</f>
        <v>0</v>
      </c>
      <c r="I713">
        <v>220000574</v>
      </c>
      <c r="K713" t="s">
        <v>10692</v>
      </c>
      <c r="L713" t="s">
        <v>9881</v>
      </c>
      <c r="M713" t="s">
        <v>9882</v>
      </c>
      <c r="O713" t="s">
        <v>9883</v>
      </c>
      <c r="P713" t="s">
        <v>738</v>
      </c>
      <c r="Q713" t="s">
        <v>4283</v>
      </c>
      <c r="R713">
        <v>1024</v>
      </c>
      <c r="S713" t="s">
        <v>10137</v>
      </c>
      <c r="T713">
        <v>-1</v>
      </c>
      <c r="W713">
        <f>COUNTIFS('Clinical Trials HCO'!$A:$A, K713, 'Clinical Trials HCO'!$D:$D, "&lt;&gt;")</f>
        <v>0</v>
      </c>
    </row>
    <row r="714" spans="2:32" hidden="1">
      <c r="F714">
        <f>COUNTIF(HCPs!W:W,HCO_Data!K714)</f>
        <v>0</v>
      </c>
      <c r="G714" t="str">
        <f>IF(COUNTIF('Testing Referrals'!B:B,HCO_Data!K714)&gt;0,"Yes","")</f>
        <v/>
      </c>
      <c r="H714">
        <f>COUNTIF('HCO referrals'!B:B,HCO_Data!K714)+COUNTIF('HCO referrals'!C:C,HCO_Data!K714)</f>
        <v>0</v>
      </c>
      <c r="I714">
        <v>220001259</v>
      </c>
      <c r="K714" t="s">
        <v>10693</v>
      </c>
      <c r="L714" t="s">
        <v>9584</v>
      </c>
      <c r="M714" t="s">
        <v>9585</v>
      </c>
      <c r="O714" t="s">
        <v>9586</v>
      </c>
      <c r="P714" t="s">
        <v>738</v>
      </c>
      <c r="Q714" t="s">
        <v>4283</v>
      </c>
      <c r="R714">
        <v>897</v>
      </c>
      <c r="S714" t="s">
        <v>10137</v>
      </c>
      <c r="T714">
        <v>-1</v>
      </c>
      <c r="W714">
        <f>COUNTIFS('Clinical Trials HCO'!$A:$A, K714, 'Clinical Trials HCO'!$D:$D, "&lt;&gt;")</f>
        <v>0</v>
      </c>
    </row>
    <row r="715" spans="2:32" hidden="1">
      <c r="F715">
        <f>COUNTIF(HCPs!W:W,HCO_Data!K715)</f>
        <v>0</v>
      </c>
      <c r="G715" t="str">
        <f>IF(COUNTIF('Testing Referrals'!B:B,HCO_Data!K715)&gt;0,"Yes","")</f>
        <v/>
      </c>
      <c r="H715">
        <f>COUNTIF('HCO referrals'!B:B,HCO_Data!K715)+COUNTIF('HCO referrals'!C:C,HCO_Data!K715)</f>
        <v>0</v>
      </c>
      <c r="I715">
        <v>230004657</v>
      </c>
      <c r="K715" t="s">
        <v>10694</v>
      </c>
      <c r="L715" t="s">
        <v>9587</v>
      </c>
      <c r="M715" t="s">
        <v>9588</v>
      </c>
      <c r="O715" t="s">
        <v>9589</v>
      </c>
      <c r="P715" t="s">
        <v>770</v>
      </c>
      <c r="Q715" t="s">
        <v>4283</v>
      </c>
      <c r="R715">
        <v>898</v>
      </c>
      <c r="S715" t="s">
        <v>10137</v>
      </c>
      <c r="T715">
        <v>-1</v>
      </c>
      <c r="W715">
        <f>COUNTIFS('Clinical Trials HCO'!$A:$A, K715, 'Clinical Trials HCO'!$D:$D, "&lt;&gt;")</f>
        <v>0</v>
      </c>
    </row>
    <row r="716" spans="2:32" hidden="1">
      <c r="B716">
        <v>432</v>
      </c>
      <c r="F716">
        <f>COUNTIF(HCPs!W:W,HCO_Data!K716)</f>
        <v>0</v>
      </c>
      <c r="G716" t="str">
        <f>IF(COUNTIF('Testing Referrals'!B:B,HCO_Data!K716)&gt;0,"Yes","")</f>
        <v/>
      </c>
      <c r="H716">
        <f>COUNTIF('HCO referrals'!B:B,HCO_Data!K716)+COUNTIF('HCO referrals'!C:C,HCO_Data!K716)</f>
        <v>0</v>
      </c>
      <c r="I716">
        <v>230780157</v>
      </c>
      <c r="K716" t="s">
        <v>10695</v>
      </c>
      <c r="L716" t="s">
        <v>2452</v>
      </c>
      <c r="M716" t="s">
        <v>2753</v>
      </c>
      <c r="N716">
        <v>23011</v>
      </c>
      <c r="O716" t="s">
        <v>2659</v>
      </c>
      <c r="Q716" t="s">
        <v>4283</v>
      </c>
      <c r="R716">
        <v>927</v>
      </c>
      <c r="S716" t="s">
        <v>10137</v>
      </c>
      <c r="T716">
        <v>-1</v>
      </c>
      <c r="W716">
        <f>COUNTIFS('Clinical Trials HCO'!$A:$A, K716, 'Clinical Trials HCO'!$D:$D, "&lt;&gt;")</f>
        <v>0</v>
      </c>
      <c r="AF716" t="s">
        <v>414</v>
      </c>
    </row>
    <row r="717" spans="2:32" hidden="1">
      <c r="F717">
        <f>COUNTIF(HCPs!W:W,HCO_Data!K717)</f>
        <v>0</v>
      </c>
      <c r="G717" t="str">
        <f>IF(COUNTIF('Testing Referrals'!B:B,HCO_Data!K717)&gt;0,"Yes","")</f>
        <v/>
      </c>
      <c r="H717">
        <f>COUNTIF('HCO referrals'!B:B,HCO_Data!K717)+COUNTIF('HCO referrals'!C:C,HCO_Data!K717)</f>
        <v>0</v>
      </c>
      <c r="I717">
        <v>240000174</v>
      </c>
      <c r="K717" t="s">
        <v>10696</v>
      </c>
      <c r="L717" t="s">
        <v>9763</v>
      </c>
      <c r="M717" t="s">
        <v>9764</v>
      </c>
      <c r="O717" t="s">
        <v>9765</v>
      </c>
      <c r="P717" t="s">
        <v>762</v>
      </c>
      <c r="Q717" t="s">
        <v>4283</v>
      </c>
      <c r="R717">
        <v>975</v>
      </c>
      <c r="S717" t="s">
        <v>10137</v>
      </c>
      <c r="T717">
        <v>-1</v>
      </c>
      <c r="W717">
        <f>COUNTIFS('Clinical Trials HCO'!$A:$A, K717, 'Clinical Trials HCO'!$D:$D, "&lt;&gt;")</f>
        <v>0</v>
      </c>
    </row>
    <row r="718" spans="2:32" hidden="1">
      <c r="F718">
        <f>COUNTIF(HCPs!W:W,HCO_Data!K718)</f>
        <v>0</v>
      </c>
      <c r="G718" t="str">
        <f>IF(COUNTIF('Testing Referrals'!B:B,HCO_Data!K718)&gt;0,"Yes","")</f>
        <v/>
      </c>
      <c r="H718">
        <f>COUNTIF('HCO referrals'!B:B,HCO_Data!K718)+COUNTIF('HCO referrals'!C:C,HCO_Data!K718)</f>
        <v>0</v>
      </c>
      <c r="I718">
        <v>240000414</v>
      </c>
      <c r="K718" t="s">
        <v>10697</v>
      </c>
      <c r="L718" t="s">
        <v>9884</v>
      </c>
      <c r="M718" t="s">
        <v>9885</v>
      </c>
      <c r="O718" t="s">
        <v>9886</v>
      </c>
      <c r="P718" t="s">
        <v>762</v>
      </c>
      <c r="Q718" t="s">
        <v>4283</v>
      </c>
      <c r="R718">
        <v>1025</v>
      </c>
      <c r="S718" t="s">
        <v>10137</v>
      </c>
      <c r="T718">
        <v>-1</v>
      </c>
      <c r="W718">
        <f>COUNTIFS('Clinical Trials HCO'!$A:$A, K718, 'Clinical Trials HCO'!$D:$D, "&lt;&gt;")</f>
        <v>0</v>
      </c>
    </row>
    <row r="719" spans="2:32" hidden="1">
      <c r="F719">
        <f>COUNTIF(HCPs!W:W,HCO_Data!K719)</f>
        <v>0</v>
      </c>
      <c r="G719" t="str">
        <f>IF(COUNTIF('Testing Referrals'!B:B,HCO_Data!K719)&gt;0,"Yes","")</f>
        <v/>
      </c>
      <c r="H719">
        <f>COUNTIF('HCO referrals'!B:B,HCO_Data!K719)+COUNTIF('HCO referrals'!C:C,HCO_Data!K719)</f>
        <v>0</v>
      </c>
      <c r="I719">
        <v>240000455</v>
      </c>
      <c r="K719" t="s">
        <v>10698</v>
      </c>
      <c r="L719" t="s">
        <v>10021</v>
      </c>
      <c r="M719" t="s">
        <v>10022</v>
      </c>
      <c r="O719" t="s">
        <v>10023</v>
      </c>
      <c r="P719" t="s">
        <v>762</v>
      </c>
      <c r="Q719" t="s">
        <v>4283</v>
      </c>
      <c r="R719">
        <v>1084</v>
      </c>
      <c r="S719" t="s">
        <v>10137</v>
      </c>
      <c r="T719">
        <v>-1</v>
      </c>
      <c r="W719">
        <f>COUNTIFS('Clinical Trials HCO'!$A:$A, K719, 'Clinical Trials HCO'!$D:$D, "&lt;&gt;")</f>
        <v>0</v>
      </c>
    </row>
    <row r="720" spans="2:32" hidden="1">
      <c r="F720">
        <f>COUNTIF(HCPs!W:W,HCO_Data!K720)</f>
        <v>0</v>
      </c>
      <c r="G720" t="str">
        <f>IF(COUNTIF('Testing Referrals'!B:B,HCO_Data!K720)&gt;0,"Yes","")</f>
        <v/>
      </c>
      <c r="H720">
        <f>COUNTIF('HCO referrals'!B:B,HCO_Data!K720)+COUNTIF('HCO referrals'!C:C,HCO_Data!K720)</f>
        <v>0</v>
      </c>
      <c r="I720">
        <v>240000471</v>
      </c>
      <c r="K720" t="s">
        <v>10699</v>
      </c>
      <c r="L720" t="s">
        <v>10024</v>
      </c>
      <c r="M720" t="s">
        <v>10025</v>
      </c>
      <c r="O720" t="s">
        <v>10026</v>
      </c>
      <c r="P720" t="s">
        <v>762</v>
      </c>
      <c r="Q720" t="s">
        <v>4283</v>
      </c>
      <c r="R720">
        <v>1085</v>
      </c>
      <c r="S720" t="s">
        <v>10137</v>
      </c>
      <c r="T720">
        <v>-1</v>
      </c>
      <c r="W720">
        <f>COUNTIFS('Clinical Trials HCO'!$A:$A, K720, 'Clinical Trials HCO'!$D:$D, "&lt;&gt;")</f>
        <v>0</v>
      </c>
    </row>
    <row r="721" spans="2:32" hidden="1">
      <c r="F721">
        <f>COUNTIF(HCPs!W:W,HCO_Data!K721)</f>
        <v>0</v>
      </c>
      <c r="G721" t="str">
        <f>IF(COUNTIF('Testing Referrals'!B:B,HCO_Data!K721)&gt;0,"Yes","")</f>
        <v/>
      </c>
      <c r="H721">
        <f>COUNTIF('HCO referrals'!B:B,HCO_Data!K721)+COUNTIF('HCO referrals'!C:C,HCO_Data!K721)</f>
        <v>0</v>
      </c>
      <c r="I721">
        <v>240000505</v>
      </c>
      <c r="K721" t="s">
        <v>10700</v>
      </c>
      <c r="L721" t="s">
        <v>9399</v>
      </c>
      <c r="M721" t="s">
        <v>9400</v>
      </c>
      <c r="O721" t="s">
        <v>9401</v>
      </c>
      <c r="P721" t="s">
        <v>762</v>
      </c>
      <c r="Q721" t="s">
        <v>4283</v>
      </c>
      <c r="R721">
        <v>822</v>
      </c>
      <c r="S721" t="s">
        <v>10137</v>
      </c>
      <c r="T721">
        <v>-1</v>
      </c>
      <c r="W721">
        <f>COUNTIFS('Clinical Trials HCO'!$A:$A, K721, 'Clinical Trials HCO'!$D:$D, "&lt;&gt;")</f>
        <v>0</v>
      </c>
    </row>
    <row r="722" spans="2:32" hidden="1">
      <c r="F722">
        <f>COUNTIF(HCPs!W:W,HCO_Data!K722)</f>
        <v>0</v>
      </c>
      <c r="G722" t="str">
        <f>IF(COUNTIF('Testing Referrals'!B:B,HCO_Data!K722)&gt;0,"Yes","")</f>
        <v/>
      </c>
      <c r="H722">
        <f>COUNTIF('HCO referrals'!B:B,HCO_Data!K722)+COUNTIF('HCO referrals'!C:C,HCO_Data!K722)</f>
        <v>0</v>
      </c>
      <c r="I722">
        <v>240000687</v>
      </c>
      <c r="K722" t="s">
        <v>10701</v>
      </c>
      <c r="L722" t="s">
        <v>9154</v>
      </c>
      <c r="M722">
        <v>0</v>
      </c>
      <c r="O722" t="s">
        <v>9155</v>
      </c>
      <c r="P722" t="s">
        <v>762</v>
      </c>
      <c r="Q722" t="s">
        <v>4283</v>
      </c>
      <c r="R722">
        <v>704</v>
      </c>
      <c r="S722" t="s">
        <v>10137</v>
      </c>
      <c r="T722">
        <v>-1</v>
      </c>
      <c r="W722">
        <f>COUNTIFS('Clinical Trials HCO'!$A:$A, K722, 'Clinical Trials HCO'!$D:$D, "&lt;&gt;")</f>
        <v>0</v>
      </c>
    </row>
    <row r="723" spans="2:32" hidden="1">
      <c r="F723">
        <f>COUNTIF(HCPs!W:W,HCO_Data!K723)</f>
        <v>0</v>
      </c>
      <c r="G723" t="str">
        <f>IF(COUNTIF('Testing Referrals'!B:B,HCO_Data!K723)&gt;0,"Yes","")</f>
        <v/>
      </c>
      <c r="H723">
        <f>COUNTIF('HCO referrals'!B:B,HCO_Data!K723)+COUNTIF('HCO referrals'!C:C,HCO_Data!K723)</f>
        <v>0</v>
      </c>
      <c r="I723">
        <v>250000627</v>
      </c>
      <c r="K723" t="s">
        <v>10702</v>
      </c>
      <c r="L723" t="s">
        <v>9766</v>
      </c>
      <c r="M723" t="s">
        <v>9767</v>
      </c>
      <c r="O723" t="s">
        <v>9768</v>
      </c>
      <c r="P723" t="s">
        <v>775</v>
      </c>
      <c r="Q723" t="s">
        <v>4283</v>
      </c>
      <c r="R723">
        <v>976</v>
      </c>
      <c r="S723" t="s">
        <v>10137</v>
      </c>
      <c r="T723">
        <v>-1</v>
      </c>
      <c r="W723">
        <f>COUNTIFS('Clinical Trials HCO'!$A:$A, K723, 'Clinical Trials HCO'!$D:$D, "&lt;&gt;")</f>
        <v>0</v>
      </c>
    </row>
    <row r="724" spans="2:32" hidden="1">
      <c r="F724">
        <f>COUNTIF(HCPs!W:W,HCO_Data!K724)</f>
        <v>0</v>
      </c>
      <c r="G724" t="str">
        <f>IF(COUNTIF('Testing Referrals'!B:B,HCO_Data!K724)&gt;0,"Yes","")</f>
        <v/>
      </c>
      <c r="H724">
        <f>COUNTIF('HCO referrals'!B:B,HCO_Data!K724)+COUNTIF('HCO referrals'!C:C,HCO_Data!K724)</f>
        <v>0</v>
      </c>
      <c r="I724">
        <v>250000635</v>
      </c>
      <c r="K724" t="s">
        <v>10703</v>
      </c>
      <c r="L724" t="s">
        <v>10027</v>
      </c>
      <c r="M724" t="s">
        <v>10028</v>
      </c>
      <c r="O724" t="s">
        <v>10029</v>
      </c>
      <c r="P724" t="s">
        <v>775</v>
      </c>
      <c r="Q724" t="s">
        <v>4283</v>
      </c>
      <c r="R724">
        <v>1086</v>
      </c>
      <c r="S724" t="s">
        <v>10137</v>
      </c>
      <c r="T724">
        <v>-1</v>
      </c>
      <c r="W724">
        <f>COUNTIFS('Clinical Trials HCO'!$A:$A, K724, 'Clinical Trials HCO'!$D:$D, "&lt;&gt;")</f>
        <v>0</v>
      </c>
    </row>
    <row r="725" spans="2:32" hidden="1">
      <c r="F725">
        <f>COUNTIF(HCPs!W:W,HCO_Data!K725)</f>
        <v>0</v>
      </c>
      <c r="G725" t="str">
        <f>IF(COUNTIF('Testing Referrals'!B:B,HCO_Data!K725)&gt;0,"Yes","")</f>
        <v/>
      </c>
      <c r="H725">
        <f>COUNTIF('HCO referrals'!B:B,HCO_Data!K725)+COUNTIF('HCO referrals'!C:C,HCO_Data!K725)</f>
        <v>0</v>
      </c>
      <c r="I725">
        <v>250000734</v>
      </c>
      <c r="K725" t="s">
        <v>10704</v>
      </c>
      <c r="L725" t="s">
        <v>10030</v>
      </c>
      <c r="M725" t="s">
        <v>10031</v>
      </c>
      <c r="O725" t="s">
        <v>10032</v>
      </c>
      <c r="P725" t="s">
        <v>775</v>
      </c>
      <c r="Q725" t="s">
        <v>4283</v>
      </c>
      <c r="R725">
        <v>1087</v>
      </c>
      <c r="S725" t="s">
        <v>10137</v>
      </c>
      <c r="T725">
        <v>-1</v>
      </c>
      <c r="W725">
        <f>COUNTIFS('Clinical Trials HCO'!$A:$A, K725, 'Clinical Trials HCO'!$D:$D, "&lt;&gt;")</f>
        <v>0</v>
      </c>
    </row>
    <row r="726" spans="2:32" hidden="1">
      <c r="F726">
        <f>COUNTIF(HCPs!W:W,HCO_Data!K726)</f>
        <v>0</v>
      </c>
      <c r="G726" t="str">
        <f>IF(COUNTIF('Testing Referrals'!B:B,HCO_Data!K726)&gt;0,"Yes","")</f>
        <v/>
      </c>
      <c r="H726">
        <f>COUNTIF('HCO referrals'!B:B,HCO_Data!K726)+COUNTIF('HCO referrals'!C:C,HCO_Data!K726)</f>
        <v>0</v>
      </c>
      <c r="I726">
        <v>260000146</v>
      </c>
      <c r="K726" t="s">
        <v>10705</v>
      </c>
      <c r="L726" t="s">
        <v>9182</v>
      </c>
      <c r="M726" t="s">
        <v>9183</v>
      </c>
      <c r="O726" t="s">
        <v>9184</v>
      </c>
      <c r="P726" t="s">
        <v>767</v>
      </c>
      <c r="Q726" t="s">
        <v>4283</v>
      </c>
      <c r="R726">
        <v>721</v>
      </c>
      <c r="S726" t="s">
        <v>10137</v>
      </c>
      <c r="T726">
        <v>-1</v>
      </c>
      <c r="W726">
        <f>COUNTIFS('Clinical Trials HCO'!$A:$A, K726, 'Clinical Trials HCO'!$D:$D, "&lt;&gt;")</f>
        <v>0</v>
      </c>
    </row>
    <row r="727" spans="2:32" hidden="1">
      <c r="F727">
        <f>COUNTIF(HCPs!W:W,HCO_Data!K727)</f>
        <v>0</v>
      </c>
      <c r="G727" t="str">
        <f>IF(COUNTIF('Testing Referrals'!B:B,HCO_Data!K727)&gt;0,"Yes","")</f>
        <v/>
      </c>
      <c r="H727">
        <f>COUNTIF('HCO referrals'!B:B,HCO_Data!K727)+COUNTIF('HCO referrals'!C:C,HCO_Data!K727)</f>
        <v>0</v>
      </c>
      <c r="I727">
        <v>260000195</v>
      </c>
      <c r="K727" t="s">
        <v>10706</v>
      </c>
      <c r="L727" t="s">
        <v>9887</v>
      </c>
      <c r="M727" t="s">
        <v>9888</v>
      </c>
      <c r="O727" t="s">
        <v>9889</v>
      </c>
      <c r="P727" t="s">
        <v>767</v>
      </c>
      <c r="Q727" t="s">
        <v>4283</v>
      </c>
      <c r="R727">
        <v>1026</v>
      </c>
      <c r="S727" t="s">
        <v>10137</v>
      </c>
      <c r="T727">
        <v>-1</v>
      </c>
      <c r="W727">
        <f>COUNTIFS('Clinical Trials HCO'!$A:$A, K727, 'Clinical Trials HCO'!$D:$D, "&lt;&gt;")</f>
        <v>0</v>
      </c>
    </row>
    <row r="728" spans="2:32" hidden="1">
      <c r="F728">
        <f>COUNTIF(HCPs!W:W,HCO_Data!K728)</f>
        <v>0</v>
      </c>
      <c r="G728" t="str">
        <f>IF(COUNTIF('Testing Referrals'!B:B,HCO_Data!K728)&gt;0,"Yes","")</f>
        <v/>
      </c>
      <c r="H728">
        <f>COUNTIF('HCO referrals'!B:B,HCO_Data!K728)+COUNTIF('HCO referrals'!C:C,HCO_Data!K728)</f>
        <v>0</v>
      </c>
      <c r="I728">
        <v>260000203</v>
      </c>
      <c r="K728" t="s">
        <v>10707</v>
      </c>
      <c r="L728" t="s">
        <v>9654</v>
      </c>
      <c r="M728" t="s">
        <v>9655</v>
      </c>
      <c r="O728" t="s">
        <v>9656</v>
      </c>
      <c r="P728" t="s">
        <v>767</v>
      </c>
      <c r="Q728" t="s">
        <v>4283</v>
      </c>
      <c r="R728">
        <v>928</v>
      </c>
      <c r="S728" t="s">
        <v>10137</v>
      </c>
      <c r="T728">
        <v>-1</v>
      </c>
      <c r="W728">
        <f>COUNTIFS('Clinical Trials HCO'!$A:$A, K728, 'Clinical Trials HCO'!$D:$D, "&lt;&gt;")</f>
        <v>0</v>
      </c>
    </row>
    <row r="729" spans="2:32" hidden="1">
      <c r="F729">
        <f>COUNTIF(HCPs!W:W,HCO_Data!K729)</f>
        <v>0</v>
      </c>
      <c r="G729" t="str">
        <f>IF(COUNTIF('Testing Referrals'!B:B,HCO_Data!K729)&gt;0,"Yes","")</f>
        <v/>
      </c>
      <c r="H729">
        <f>COUNTIF('HCO referrals'!B:B,HCO_Data!K729)+COUNTIF('HCO referrals'!C:C,HCO_Data!K729)</f>
        <v>0</v>
      </c>
      <c r="I729">
        <v>260000237</v>
      </c>
      <c r="K729" t="s">
        <v>10708</v>
      </c>
      <c r="L729" t="s">
        <v>9890</v>
      </c>
      <c r="M729" t="s">
        <v>9891</v>
      </c>
      <c r="O729" t="s">
        <v>9889</v>
      </c>
      <c r="P729" t="s">
        <v>767</v>
      </c>
      <c r="Q729" t="s">
        <v>4283</v>
      </c>
      <c r="R729">
        <v>1027</v>
      </c>
      <c r="S729" t="s">
        <v>10137</v>
      </c>
      <c r="T729">
        <v>-1</v>
      </c>
      <c r="W729">
        <f>COUNTIFS('Clinical Trials HCO'!$A:$A, K729, 'Clinical Trials HCO'!$D:$D, "&lt;&gt;")</f>
        <v>0</v>
      </c>
    </row>
    <row r="730" spans="2:32" hidden="1">
      <c r="F730">
        <f>COUNTIF(HCPs!W:W,HCO_Data!K730)</f>
        <v>0</v>
      </c>
      <c r="G730" t="str">
        <f>IF(COUNTIF('Testing Referrals'!B:B,HCO_Data!K730)&gt;0,"Yes","")</f>
        <v/>
      </c>
      <c r="H730">
        <f>COUNTIF('HCO referrals'!B:B,HCO_Data!K730)+COUNTIF('HCO referrals'!C:C,HCO_Data!K730)</f>
        <v>0</v>
      </c>
      <c r="I730">
        <v>260000278</v>
      </c>
      <c r="K730" t="s">
        <v>10709</v>
      </c>
      <c r="L730" t="s">
        <v>9892</v>
      </c>
      <c r="M730">
        <v>0</v>
      </c>
      <c r="O730" t="s">
        <v>9893</v>
      </c>
      <c r="P730" t="s">
        <v>767</v>
      </c>
      <c r="Q730" t="s">
        <v>4283</v>
      </c>
      <c r="R730">
        <v>1028</v>
      </c>
      <c r="S730" t="s">
        <v>10137</v>
      </c>
      <c r="T730">
        <v>-1</v>
      </c>
      <c r="W730">
        <f>COUNTIFS('Clinical Trials HCO'!$A:$A, K730, 'Clinical Trials HCO'!$D:$D, "&lt;&gt;")</f>
        <v>0</v>
      </c>
    </row>
    <row r="731" spans="2:32" hidden="1">
      <c r="F731">
        <f>COUNTIF(HCPs!W:W,HCO_Data!K731)</f>
        <v>0</v>
      </c>
      <c r="G731" t="str">
        <f>IF(COUNTIF('Testing Referrals'!B:B,HCO_Data!K731)&gt;0,"Yes","")</f>
        <v/>
      </c>
      <c r="H731">
        <f>COUNTIF('HCO referrals'!B:B,HCO_Data!K731)+COUNTIF('HCO referrals'!C:C,HCO_Data!K731)</f>
        <v>0</v>
      </c>
      <c r="I731">
        <v>260000286</v>
      </c>
      <c r="K731" t="s">
        <v>10710</v>
      </c>
      <c r="L731" t="s">
        <v>9657</v>
      </c>
      <c r="M731" t="s">
        <v>9658</v>
      </c>
      <c r="O731" t="s">
        <v>9659</v>
      </c>
      <c r="P731" t="s">
        <v>767</v>
      </c>
      <c r="Q731" t="s">
        <v>4283</v>
      </c>
      <c r="R731">
        <v>929</v>
      </c>
      <c r="S731" t="s">
        <v>10137</v>
      </c>
      <c r="T731">
        <v>-1</v>
      </c>
      <c r="W731">
        <f>COUNTIFS('Clinical Trials HCO'!$A:$A, K731, 'Clinical Trials HCO'!$D:$D, "&lt;&gt;")</f>
        <v>0</v>
      </c>
    </row>
    <row r="732" spans="2:32" hidden="1">
      <c r="B732">
        <v>578</v>
      </c>
      <c r="F732">
        <f>COUNTIF(HCPs!W:W,HCO_Data!K732)</f>
        <v>0</v>
      </c>
      <c r="G732" t="str">
        <f>IF(COUNTIF('Testing Referrals'!B:B,HCO_Data!K732)&gt;0,"Yes","")</f>
        <v/>
      </c>
      <c r="H732">
        <f>COUNTIF('HCO referrals'!B:B,HCO_Data!K732)+COUNTIF('HCO referrals'!C:C,HCO_Data!K732)</f>
        <v>0</v>
      </c>
      <c r="I732">
        <v>260003017</v>
      </c>
      <c r="K732" t="s">
        <v>10711</v>
      </c>
      <c r="L732" t="s">
        <v>2467</v>
      </c>
      <c r="M732" t="s">
        <v>2782</v>
      </c>
      <c r="N732">
        <v>26200</v>
      </c>
      <c r="O732" t="s">
        <v>1911</v>
      </c>
      <c r="Q732" t="s">
        <v>4283</v>
      </c>
      <c r="R732">
        <v>757</v>
      </c>
      <c r="S732" t="s">
        <v>10137</v>
      </c>
      <c r="T732">
        <v>-1</v>
      </c>
      <c r="W732">
        <f>COUNTIFS('Clinical Trials HCO'!$A:$A, K732, 'Clinical Trials HCO'!$D:$D, "&lt;&gt;")</f>
        <v>0</v>
      </c>
      <c r="AF732" t="s">
        <v>414</v>
      </c>
    </row>
    <row r="733" spans="2:32" hidden="1">
      <c r="F733">
        <f>COUNTIF(HCPs!W:W,HCO_Data!K733)</f>
        <v>0</v>
      </c>
      <c r="G733" t="str">
        <f>IF(COUNTIF('Testing Referrals'!B:B,HCO_Data!K733)&gt;0,"Yes","")</f>
        <v/>
      </c>
      <c r="H733">
        <f>COUNTIF('HCO referrals'!B:B,HCO_Data!K733)+COUNTIF('HCO referrals'!C:C,HCO_Data!K733)</f>
        <v>0</v>
      </c>
      <c r="I733">
        <v>270000045</v>
      </c>
      <c r="K733" t="s">
        <v>10712</v>
      </c>
      <c r="L733" t="s">
        <v>9402</v>
      </c>
      <c r="M733" t="s">
        <v>9403</v>
      </c>
      <c r="O733" t="s">
        <v>9404</v>
      </c>
      <c r="P733" t="s">
        <v>723</v>
      </c>
      <c r="Q733" t="s">
        <v>4283</v>
      </c>
      <c r="R733">
        <v>823</v>
      </c>
      <c r="S733" t="s">
        <v>10137</v>
      </c>
      <c r="T733">
        <v>-1</v>
      </c>
      <c r="W733">
        <f>COUNTIFS('Clinical Trials HCO'!$A:$A, K733, 'Clinical Trials HCO'!$D:$D, "&lt;&gt;")</f>
        <v>0</v>
      </c>
    </row>
    <row r="734" spans="2:32" hidden="1">
      <c r="F734">
        <f>COUNTIF(HCPs!W:W,HCO_Data!K734)</f>
        <v>0</v>
      </c>
      <c r="G734" t="str">
        <f>IF(COUNTIF('Testing Referrals'!B:B,HCO_Data!K734)&gt;0,"Yes","")</f>
        <v/>
      </c>
      <c r="H734">
        <f>COUNTIF('HCO referrals'!B:B,HCO_Data!K734)+COUNTIF('HCO referrals'!C:C,HCO_Data!K734)</f>
        <v>0</v>
      </c>
      <c r="I734">
        <v>270000367</v>
      </c>
      <c r="K734" t="s">
        <v>10713</v>
      </c>
      <c r="L734" t="s">
        <v>9209</v>
      </c>
      <c r="M734" t="s">
        <v>9210</v>
      </c>
      <c r="O734" t="s">
        <v>9211</v>
      </c>
      <c r="P734" t="s">
        <v>723</v>
      </c>
      <c r="Q734" t="s">
        <v>4283</v>
      </c>
      <c r="R734">
        <v>736</v>
      </c>
      <c r="S734" t="s">
        <v>10137</v>
      </c>
      <c r="T734">
        <v>-1</v>
      </c>
      <c r="W734">
        <f>COUNTIFS('Clinical Trials HCO'!$A:$A, K734, 'Clinical Trials HCO'!$D:$D, "&lt;&gt;")</f>
        <v>0</v>
      </c>
    </row>
    <row r="735" spans="2:32" hidden="1">
      <c r="F735">
        <f>COUNTIF(HCPs!W:W,HCO_Data!K735)</f>
        <v>0</v>
      </c>
      <c r="G735" t="str">
        <f>IF(COUNTIF('Testing Referrals'!B:B,HCO_Data!K735)&gt;0,"Yes","")</f>
        <v/>
      </c>
      <c r="H735">
        <f>COUNTIF('HCO referrals'!B:B,HCO_Data!K735)+COUNTIF('HCO referrals'!C:C,HCO_Data!K735)</f>
        <v>0</v>
      </c>
      <c r="I735">
        <v>270000391</v>
      </c>
      <c r="K735" t="s">
        <v>10714</v>
      </c>
      <c r="L735" t="s">
        <v>9295</v>
      </c>
      <c r="M735" t="s">
        <v>9296</v>
      </c>
      <c r="O735" t="s">
        <v>9297</v>
      </c>
      <c r="P735" t="s">
        <v>723</v>
      </c>
      <c r="Q735" t="s">
        <v>4283</v>
      </c>
      <c r="R735">
        <v>779</v>
      </c>
      <c r="S735" t="s">
        <v>10137</v>
      </c>
      <c r="T735">
        <v>-1</v>
      </c>
      <c r="W735">
        <f>COUNTIFS('Clinical Trials HCO'!$A:$A, K735, 'Clinical Trials HCO'!$D:$D, "&lt;&gt;")</f>
        <v>0</v>
      </c>
    </row>
    <row r="736" spans="2:32" hidden="1">
      <c r="F736">
        <f>COUNTIF(HCPs!W:W,HCO_Data!K736)</f>
        <v>0</v>
      </c>
      <c r="G736" t="str">
        <f>IF(COUNTIF('Testing Referrals'!B:B,HCO_Data!K736)&gt;0,"Yes","")</f>
        <v/>
      </c>
      <c r="H736">
        <f>COUNTIF('HCO referrals'!B:B,HCO_Data!K736)+COUNTIF('HCO referrals'!C:C,HCO_Data!K736)</f>
        <v>0</v>
      </c>
      <c r="I736">
        <v>270000441</v>
      </c>
      <c r="K736" t="s">
        <v>10715</v>
      </c>
      <c r="L736" t="s">
        <v>9444</v>
      </c>
      <c r="M736" t="s">
        <v>9445</v>
      </c>
      <c r="O736" t="s">
        <v>9446</v>
      </c>
      <c r="P736" t="s">
        <v>723</v>
      </c>
      <c r="Q736" t="s">
        <v>4283</v>
      </c>
      <c r="R736">
        <v>841</v>
      </c>
      <c r="S736" t="s">
        <v>10137</v>
      </c>
      <c r="T736">
        <v>-1</v>
      </c>
      <c r="W736">
        <f>COUNTIFS('Clinical Trials HCO'!$A:$A, K736, 'Clinical Trials HCO'!$D:$D, "&lt;&gt;")</f>
        <v>0</v>
      </c>
    </row>
    <row r="737" spans="2:33" hidden="1">
      <c r="F737">
        <f>COUNTIF(HCPs!W:W,HCO_Data!K737)</f>
        <v>0</v>
      </c>
      <c r="G737" t="str">
        <f>IF(COUNTIF('Testing Referrals'!B:B,HCO_Data!K737)&gt;0,"Yes","")</f>
        <v/>
      </c>
      <c r="H737">
        <f>COUNTIF('HCO referrals'!B:B,HCO_Data!K737)+COUNTIF('HCO referrals'!C:C,HCO_Data!K737)</f>
        <v>0</v>
      </c>
      <c r="I737">
        <v>280000662</v>
      </c>
      <c r="K737" t="s">
        <v>10716</v>
      </c>
      <c r="L737" t="s">
        <v>9076</v>
      </c>
      <c r="M737" t="s">
        <v>9077</v>
      </c>
      <c r="O737" t="s">
        <v>9078</v>
      </c>
      <c r="P737" t="s">
        <v>749</v>
      </c>
      <c r="Q737" t="s">
        <v>4283</v>
      </c>
      <c r="R737">
        <v>662</v>
      </c>
      <c r="S737" t="s">
        <v>10137</v>
      </c>
      <c r="T737">
        <v>-1</v>
      </c>
      <c r="W737">
        <f>COUNTIFS('Clinical Trials HCO'!$A:$A, K737, 'Clinical Trials HCO'!$D:$D, "&lt;&gt;")</f>
        <v>0</v>
      </c>
    </row>
    <row r="738" spans="2:33" hidden="1">
      <c r="F738">
        <f>COUNTIF(HCPs!W:W,HCO_Data!K738)</f>
        <v>0</v>
      </c>
      <c r="G738" t="str">
        <f>IF(COUNTIF('Testing Referrals'!B:B,HCO_Data!K738)&gt;0,"Yes","")</f>
        <v/>
      </c>
      <c r="H738">
        <f>COUNTIF('HCO referrals'!B:B,HCO_Data!K738)+COUNTIF('HCO referrals'!C:C,HCO_Data!K738)</f>
        <v>0</v>
      </c>
      <c r="I738">
        <v>280502998</v>
      </c>
      <c r="K738" t="s">
        <v>10717</v>
      </c>
      <c r="L738" t="s">
        <v>9192</v>
      </c>
      <c r="M738" t="s">
        <v>9193</v>
      </c>
      <c r="O738" t="s">
        <v>9194</v>
      </c>
      <c r="P738" t="s">
        <v>749</v>
      </c>
      <c r="Q738" t="s">
        <v>4283</v>
      </c>
      <c r="R738">
        <v>728</v>
      </c>
      <c r="S738" t="s">
        <v>10137</v>
      </c>
      <c r="T738">
        <v>-1</v>
      </c>
      <c r="W738">
        <f>COUNTIFS('Clinical Trials HCO'!$A:$A, K738, 'Clinical Trials HCO'!$D:$D, "&lt;&gt;")</f>
        <v>0</v>
      </c>
    </row>
    <row r="739" spans="2:33" hidden="1">
      <c r="F739">
        <f>COUNTIF(HCPs!W:W,HCO_Data!K739)</f>
        <v>0</v>
      </c>
      <c r="G739" t="str">
        <f>IF(COUNTIF('Testing Referrals'!B:B,HCO_Data!K739)&gt;0,"Yes","")</f>
        <v/>
      </c>
      <c r="H739">
        <f>COUNTIF('HCO referrals'!B:B,HCO_Data!K739)+COUNTIF('HCO referrals'!C:C,HCO_Data!K739)</f>
        <v>0</v>
      </c>
      <c r="I739">
        <v>290000256</v>
      </c>
      <c r="K739" t="s">
        <v>10718</v>
      </c>
      <c r="L739" t="s">
        <v>9447</v>
      </c>
      <c r="M739" t="s">
        <v>9448</v>
      </c>
      <c r="O739" t="s">
        <v>9449</v>
      </c>
      <c r="P739" t="s">
        <v>753</v>
      </c>
      <c r="Q739" t="s">
        <v>4283</v>
      </c>
      <c r="R739">
        <v>842</v>
      </c>
      <c r="S739" t="s">
        <v>10137</v>
      </c>
      <c r="T739">
        <v>-1</v>
      </c>
      <c r="W739">
        <f>COUNTIFS('Clinical Trials HCO'!$A:$A, K739, 'Clinical Trials HCO'!$D:$D, "&lt;&gt;")</f>
        <v>0</v>
      </c>
    </row>
    <row r="740" spans="2:33" hidden="1">
      <c r="F740">
        <f>COUNTIF(HCPs!W:W,HCO_Data!K740)</f>
        <v>0</v>
      </c>
      <c r="G740" t="str">
        <f>IF(COUNTIF('Testing Referrals'!B:B,HCO_Data!K740)&gt;0,"Yes","")</f>
        <v/>
      </c>
      <c r="H740">
        <f>COUNTIF('HCO referrals'!B:B,HCO_Data!K740)+COUNTIF('HCO referrals'!C:C,HCO_Data!K740)</f>
        <v>0</v>
      </c>
      <c r="I740">
        <v>290000272</v>
      </c>
      <c r="K740" t="s">
        <v>10719</v>
      </c>
      <c r="L740" t="s">
        <v>9660</v>
      </c>
      <c r="M740" t="s">
        <v>9661</v>
      </c>
      <c r="O740" t="s">
        <v>9662</v>
      </c>
      <c r="P740" t="s">
        <v>753</v>
      </c>
      <c r="Q740" t="s">
        <v>4283</v>
      </c>
      <c r="R740">
        <v>931</v>
      </c>
      <c r="S740" t="s">
        <v>10137</v>
      </c>
      <c r="T740">
        <v>-1</v>
      </c>
      <c r="W740">
        <f>COUNTIFS('Clinical Trials HCO'!$A:$A, K740, 'Clinical Trials HCO'!$D:$D, "&lt;&gt;")</f>
        <v>0</v>
      </c>
    </row>
    <row r="741" spans="2:33" hidden="1">
      <c r="F741">
        <f>COUNTIF(HCPs!W:W,HCO_Data!K741)</f>
        <v>0</v>
      </c>
      <c r="G741" t="str">
        <f>IF(COUNTIF('Testing Referrals'!B:B,HCO_Data!K741)&gt;0,"Yes","")</f>
        <v/>
      </c>
      <c r="H741">
        <f>COUNTIF('HCO referrals'!B:B,HCO_Data!K741)+COUNTIF('HCO referrals'!C:C,HCO_Data!K741)</f>
        <v>0</v>
      </c>
      <c r="I741">
        <v>290000322</v>
      </c>
      <c r="K741" t="s">
        <v>10720</v>
      </c>
      <c r="L741" t="s">
        <v>9514</v>
      </c>
      <c r="M741" t="s">
        <v>9515</v>
      </c>
      <c r="O741" t="s">
        <v>9516</v>
      </c>
      <c r="P741" t="s">
        <v>753</v>
      </c>
      <c r="Q741" t="s">
        <v>4283</v>
      </c>
      <c r="R741">
        <v>869</v>
      </c>
      <c r="S741" t="s">
        <v>10137</v>
      </c>
      <c r="T741">
        <v>-1</v>
      </c>
      <c r="W741">
        <f>COUNTIFS('Clinical Trials HCO'!$A:$A, K741, 'Clinical Trials HCO'!$D:$D, "&lt;&gt;")</f>
        <v>0</v>
      </c>
    </row>
    <row r="742" spans="2:33" hidden="1">
      <c r="F742">
        <f>COUNTIF(HCPs!W:W,HCO_Data!K742)</f>
        <v>0</v>
      </c>
      <c r="G742" t="str">
        <f>IF(COUNTIF('Testing Referrals'!B:B,HCO_Data!K742)&gt;0,"Yes","")</f>
        <v/>
      </c>
      <c r="H742">
        <f>COUNTIF('HCO referrals'!B:B,HCO_Data!K742)+COUNTIF('HCO referrals'!C:C,HCO_Data!K742)</f>
        <v>0</v>
      </c>
      <c r="I742">
        <v>290000389</v>
      </c>
      <c r="K742" t="s">
        <v>10721</v>
      </c>
      <c r="L742" t="s">
        <v>9894</v>
      </c>
      <c r="M742" t="s">
        <v>9895</v>
      </c>
      <c r="O742" t="s">
        <v>9896</v>
      </c>
      <c r="P742" t="s">
        <v>753</v>
      </c>
      <c r="Q742" t="s">
        <v>4283</v>
      </c>
      <c r="R742">
        <v>1029</v>
      </c>
      <c r="S742" t="s">
        <v>10137</v>
      </c>
      <c r="T742">
        <v>-1</v>
      </c>
      <c r="W742">
        <f>COUNTIFS('Clinical Trials HCO'!$A:$A, K742, 'Clinical Trials HCO'!$D:$D, "&lt;&gt;")</f>
        <v>0</v>
      </c>
    </row>
    <row r="743" spans="2:33" hidden="1">
      <c r="F743">
        <f>COUNTIF(HCPs!W:W,HCO_Data!K743)</f>
        <v>0</v>
      </c>
      <c r="G743" t="str">
        <f>IF(COUNTIF('Testing Referrals'!B:B,HCO_Data!K743)&gt;0,"Yes","")</f>
        <v/>
      </c>
      <c r="H743">
        <f>COUNTIF('HCO referrals'!B:B,HCO_Data!K743)+COUNTIF('HCO referrals'!C:C,HCO_Data!K743)</f>
        <v>0</v>
      </c>
      <c r="I743">
        <v>290000728</v>
      </c>
      <c r="K743" t="s">
        <v>10722</v>
      </c>
      <c r="L743" t="s">
        <v>9338</v>
      </c>
      <c r="M743" t="s">
        <v>9339</v>
      </c>
      <c r="O743" t="s">
        <v>862</v>
      </c>
      <c r="P743" t="s">
        <v>753</v>
      </c>
      <c r="Q743" t="s">
        <v>4283</v>
      </c>
      <c r="R743">
        <v>794</v>
      </c>
      <c r="S743" t="s">
        <v>10137</v>
      </c>
      <c r="T743">
        <v>-1</v>
      </c>
      <c r="W743">
        <f>COUNTIFS('Clinical Trials HCO'!$A:$A, K743, 'Clinical Trials HCO'!$D:$D, "&lt;&gt;")</f>
        <v>0</v>
      </c>
    </row>
    <row r="744" spans="2:33" hidden="1">
      <c r="F744">
        <f>COUNTIF(HCPs!W:W,HCO_Data!K744)</f>
        <v>0</v>
      </c>
      <c r="G744" t="str">
        <f>IF(COUNTIF('Testing Referrals'!B:B,HCO_Data!K744)&gt;0,"Yes","")</f>
        <v/>
      </c>
      <c r="H744">
        <f>COUNTIF('HCO referrals'!B:B,HCO_Data!K744)+COUNTIF('HCO referrals'!C:C,HCO_Data!K744)</f>
        <v>0</v>
      </c>
      <c r="I744">
        <v>290000934</v>
      </c>
      <c r="K744" t="s">
        <v>10723</v>
      </c>
      <c r="L744" t="s">
        <v>9162</v>
      </c>
      <c r="M744" t="s">
        <v>9163</v>
      </c>
      <c r="O744" t="s">
        <v>9164</v>
      </c>
      <c r="P744" t="s">
        <v>753</v>
      </c>
      <c r="Q744" t="s">
        <v>4283</v>
      </c>
      <c r="R744">
        <v>709</v>
      </c>
      <c r="S744" t="s">
        <v>10137</v>
      </c>
      <c r="T744">
        <v>-1</v>
      </c>
      <c r="W744">
        <f>COUNTIFS('Clinical Trials HCO'!$A:$A, K744, 'Clinical Trials HCO'!$D:$D, "&lt;&gt;")</f>
        <v>0</v>
      </c>
    </row>
    <row r="745" spans="2:33" hidden="1">
      <c r="F745">
        <f>COUNTIF(HCPs!W:W,HCO_Data!K745)</f>
        <v>0</v>
      </c>
      <c r="G745" t="str">
        <f>IF(COUNTIF('Testing Referrals'!B:B,HCO_Data!K745)&gt;0,"Yes","")</f>
        <v/>
      </c>
      <c r="H745">
        <f>COUNTIF('HCO referrals'!B:B,HCO_Data!K745)+COUNTIF('HCO referrals'!C:C,HCO_Data!K745)</f>
        <v>0</v>
      </c>
      <c r="I745">
        <v>290000975</v>
      </c>
      <c r="K745" t="s">
        <v>10724</v>
      </c>
      <c r="L745" t="s">
        <v>9517</v>
      </c>
      <c r="M745">
        <v>0</v>
      </c>
      <c r="O745" t="s">
        <v>9518</v>
      </c>
      <c r="P745" t="s">
        <v>753</v>
      </c>
      <c r="Q745" t="s">
        <v>4283</v>
      </c>
      <c r="R745">
        <v>870</v>
      </c>
      <c r="S745" t="s">
        <v>10137</v>
      </c>
      <c r="T745">
        <v>-1</v>
      </c>
      <c r="W745">
        <f>COUNTIFS('Clinical Trials HCO'!$A:$A, K745, 'Clinical Trials HCO'!$D:$D, "&lt;&gt;")</f>
        <v>0</v>
      </c>
    </row>
    <row r="746" spans="2:33" hidden="1">
      <c r="F746">
        <f>COUNTIF(HCPs!W:W,HCO_Data!K746)</f>
        <v>0</v>
      </c>
      <c r="G746" t="str">
        <f>IF(COUNTIF('Testing Referrals'!B:B,HCO_Data!K746)&gt;0,"Yes","")</f>
        <v/>
      </c>
      <c r="H746">
        <f>COUNTIF('HCO referrals'!B:B,HCO_Data!K746)+COUNTIF('HCO referrals'!C:C,HCO_Data!K746)</f>
        <v>0</v>
      </c>
      <c r="I746">
        <v>290001015</v>
      </c>
      <c r="K746" t="s">
        <v>10725</v>
      </c>
      <c r="L746" t="s">
        <v>9897</v>
      </c>
      <c r="M746" t="s">
        <v>9898</v>
      </c>
      <c r="O746" t="s">
        <v>9899</v>
      </c>
      <c r="P746" t="s">
        <v>753</v>
      </c>
      <c r="Q746" t="s">
        <v>4283</v>
      </c>
      <c r="R746">
        <v>1030</v>
      </c>
      <c r="S746" t="s">
        <v>10137</v>
      </c>
      <c r="T746">
        <v>-1</v>
      </c>
      <c r="W746">
        <f>COUNTIFS('Clinical Trials HCO'!$A:$A, K746, 'Clinical Trials HCO'!$D:$D, "&lt;&gt;")</f>
        <v>0</v>
      </c>
    </row>
    <row r="747" spans="2:33" hidden="1">
      <c r="F747">
        <f>COUNTIF(HCPs!W:W,HCO_Data!K747)</f>
        <v>0</v>
      </c>
      <c r="G747" t="str">
        <f>IF(COUNTIF('Testing Referrals'!B:B,HCO_Data!K747)&gt;0,"Yes","")</f>
        <v/>
      </c>
      <c r="H747">
        <f>COUNTIF('HCO referrals'!B:B,HCO_Data!K747)+COUNTIF('HCO referrals'!C:C,HCO_Data!K747)</f>
        <v>0</v>
      </c>
      <c r="I747">
        <v>290004142</v>
      </c>
      <c r="K747" t="s">
        <v>10726</v>
      </c>
      <c r="L747" t="s">
        <v>10033</v>
      </c>
      <c r="M747" t="s">
        <v>10034</v>
      </c>
      <c r="O747" t="s">
        <v>862</v>
      </c>
      <c r="P747" t="s">
        <v>753</v>
      </c>
      <c r="Q747" t="s">
        <v>4283</v>
      </c>
      <c r="R747">
        <v>1088</v>
      </c>
      <c r="S747" t="s">
        <v>10137</v>
      </c>
      <c r="T747">
        <v>-1</v>
      </c>
      <c r="W747">
        <f>COUNTIFS('Clinical Trials HCO'!$A:$A, K747, 'Clinical Trials HCO'!$D:$D, "&lt;&gt;")</f>
        <v>0</v>
      </c>
    </row>
    <row r="748" spans="2:33" hidden="1">
      <c r="B748">
        <v>704</v>
      </c>
      <c r="F748">
        <f>COUNTIF(HCPs!W:W,HCO_Data!K748)</f>
        <v>0</v>
      </c>
      <c r="G748" t="str">
        <f>IF(COUNTIF('Testing Referrals'!B:B,HCO_Data!K748)&gt;0,"Yes","")</f>
        <v/>
      </c>
      <c r="H748">
        <f>COUNTIF('HCO referrals'!B:B,HCO_Data!K748)+COUNTIF('HCO referrals'!C:C,HCO_Data!K748)</f>
        <v>0</v>
      </c>
      <c r="I748">
        <v>290023431</v>
      </c>
      <c r="K748" t="s">
        <v>10727</v>
      </c>
      <c r="L748" t="s">
        <v>2639</v>
      </c>
      <c r="M748" t="s">
        <v>2929</v>
      </c>
      <c r="N748">
        <v>29600</v>
      </c>
      <c r="O748" t="s">
        <v>1700</v>
      </c>
      <c r="Q748" t="s">
        <v>4283</v>
      </c>
      <c r="R748">
        <v>715</v>
      </c>
      <c r="S748" t="s">
        <v>10137</v>
      </c>
      <c r="T748">
        <v>-1</v>
      </c>
      <c r="W748">
        <f>COUNTIFS('Clinical Trials HCO'!$A:$A, K748, 'Clinical Trials HCO'!$D:$D, "&lt;&gt;")</f>
        <v>0</v>
      </c>
      <c r="AF748" t="s">
        <v>414</v>
      </c>
      <c r="AG748" t="s">
        <v>414</v>
      </c>
    </row>
    <row r="749" spans="2:33" hidden="1">
      <c r="F749">
        <f>COUNTIF(HCPs!W:W,HCO_Data!K749)</f>
        <v>0</v>
      </c>
      <c r="G749" t="str">
        <f>IF(COUNTIF('Testing Referrals'!B:B,HCO_Data!K749)&gt;0,"Yes","")</f>
        <v/>
      </c>
      <c r="H749">
        <f>COUNTIF('HCO referrals'!B:B,HCO_Data!K749)+COUNTIF('HCO referrals'!C:C,HCO_Data!K749)</f>
        <v>0</v>
      </c>
      <c r="I749">
        <v>300000056</v>
      </c>
      <c r="K749" t="s">
        <v>10728</v>
      </c>
      <c r="L749" t="s">
        <v>9450</v>
      </c>
      <c r="M749" t="s">
        <v>9451</v>
      </c>
      <c r="O749" t="s">
        <v>9452</v>
      </c>
      <c r="P749" t="s">
        <v>724</v>
      </c>
      <c r="Q749" t="s">
        <v>4283</v>
      </c>
      <c r="R749">
        <v>843</v>
      </c>
      <c r="S749" t="s">
        <v>10137</v>
      </c>
      <c r="T749">
        <v>-1</v>
      </c>
      <c r="W749">
        <f>COUNTIFS('Clinical Trials HCO'!$A:$A, K749, 'Clinical Trials HCO'!$D:$D, "&lt;&gt;")</f>
        <v>0</v>
      </c>
    </row>
    <row r="750" spans="2:33" hidden="1">
      <c r="F750">
        <f>COUNTIF(HCPs!W:W,HCO_Data!K750)</f>
        <v>0</v>
      </c>
      <c r="G750" t="str">
        <f>IF(COUNTIF('Testing Referrals'!B:B,HCO_Data!K750)&gt;0,"Yes","")</f>
        <v/>
      </c>
      <c r="H750">
        <f>COUNTIF('HCO referrals'!B:B,HCO_Data!K750)+COUNTIF('HCO referrals'!C:C,HCO_Data!K750)</f>
        <v>0</v>
      </c>
      <c r="I750">
        <v>300000064</v>
      </c>
      <c r="K750" t="s">
        <v>10729</v>
      </c>
      <c r="L750" t="s">
        <v>9519</v>
      </c>
      <c r="M750" t="s">
        <v>9520</v>
      </c>
      <c r="O750" t="s">
        <v>9521</v>
      </c>
      <c r="P750" t="s">
        <v>724</v>
      </c>
      <c r="Q750" t="s">
        <v>4283</v>
      </c>
      <c r="R750">
        <v>871</v>
      </c>
      <c r="S750" t="s">
        <v>10137</v>
      </c>
      <c r="T750">
        <v>-1</v>
      </c>
      <c r="W750">
        <f>COUNTIFS('Clinical Trials HCO'!$A:$A, K750, 'Clinical Trials HCO'!$D:$D, "&lt;&gt;")</f>
        <v>0</v>
      </c>
    </row>
    <row r="751" spans="2:33" hidden="1">
      <c r="F751">
        <f>COUNTIF(HCPs!W:W,HCO_Data!K751)</f>
        <v>0</v>
      </c>
      <c r="G751" t="str">
        <f>IF(COUNTIF('Testing Referrals'!B:B,HCO_Data!K751)&gt;0,"Yes","")</f>
        <v/>
      </c>
      <c r="H751">
        <f>COUNTIF('HCO referrals'!B:B,HCO_Data!K751)+COUNTIF('HCO referrals'!C:C,HCO_Data!K751)</f>
        <v>0</v>
      </c>
      <c r="I751">
        <v>300002508</v>
      </c>
      <c r="K751" t="s">
        <v>10730</v>
      </c>
      <c r="L751" t="s">
        <v>9900</v>
      </c>
      <c r="M751" t="s">
        <v>9901</v>
      </c>
      <c r="O751" t="s">
        <v>9902</v>
      </c>
      <c r="P751" t="s">
        <v>724</v>
      </c>
      <c r="Q751" t="s">
        <v>4283</v>
      </c>
      <c r="R751">
        <v>1031</v>
      </c>
      <c r="S751" t="s">
        <v>10137</v>
      </c>
      <c r="T751">
        <v>-1</v>
      </c>
      <c r="W751">
        <f>COUNTIFS('Clinical Trials HCO'!$A:$A, K751, 'Clinical Trials HCO'!$D:$D, "&lt;&gt;")</f>
        <v>0</v>
      </c>
    </row>
    <row r="752" spans="2:33" hidden="1">
      <c r="F752">
        <f>COUNTIF(HCPs!W:W,HCO_Data!K752)</f>
        <v>0</v>
      </c>
      <c r="G752" t="str">
        <f>IF(COUNTIF('Testing Referrals'!B:B,HCO_Data!K752)&gt;0,"Yes","")</f>
        <v/>
      </c>
      <c r="H752">
        <f>COUNTIF('HCO referrals'!B:B,HCO_Data!K752)+COUNTIF('HCO referrals'!C:C,HCO_Data!K752)</f>
        <v>0</v>
      </c>
      <c r="I752">
        <v>310013628</v>
      </c>
      <c r="K752" t="s">
        <v>10731</v>
      </c>
      <c r="L752" t="s">
        <v>9663</v>
      </c>
      <c r="M752" t="s">
        <v>9664</v>
      </c>
      <c r="O752" t="s">
        <v>9665</v>
      </c>
      <c r="P752" t="s">
        <v>702</v>
      </c>
      <c r="Q752" t="s">
        <v>4283</v>
      </c>
      <c r="R752">
        <v>932</v>
      </c>
      <c r="S752" t="s">
        <v>10137</v>
      </c>
      <c r="T752">
        <v>-1</v>
      </c>
      <c r="W752">
        <f>COUNTIFS('Clinical Trials HCO'!$A:$A, K752, 'Clinical Trials HCO'!$D:$D, "&lt;&gt;")</f>
        <v>0</v>
      </c>
    </row>
    <row r="753" spans="2:33" hidden="1">
      <c r="B753">
        <v>585</v>
      </c>
      <c r="F753">
        <f>COUNTIF(HCPs!W:W,HCO_Data!K753)</f>
        <v>0</v>
      </c>
      <c r="G753" t="str">
        <f>IF(COUNTIF('Testing Referrals'!B:B,HCO_Data!K753)&gt;0,"Yes","")</f>
        <v/>
      </c>
      <c r="H753">
        <f>COUNTIF('HCO referrals'!B:B,HCO_Data!K753)+COUNTIF('HCO referrals'!C:C,HCO_Data!K753)</f>
        <v>0</v>
      </c>
      <c r="I753">
        <v>310019351</v>
      </c>
      <c r="K753" t="s">
        <v>10732</v>
      </c>
      <c r="L753" t="s">
        <v>1581</v>
      </c>
      <c r="M753" t="s">
        <v>2179</v>
      </c>
      <c r="N753">
        <v>31059</v>
      </c>
      <c r="O753" t="s">
        <v>833</v>
      </c>
      <c r="Q753" t="s">
        <v>4283</v>
      </c>
      <c r="R753">
        <v>693</v>
      </c>
      <c r="S753" t="s">
        <v>10137</v>
      </c>
      <c r="T753">
        <v>-1</v>
      </c>
      <c r="W753">
        <f>COUNTIFS('Clinical Trials HCO'!$A:$A, K753, 'Clinical Trials HCO'!$D:$D, "&lt;&gt;")</f>
        <v>0</v>
      </c>
      <c r="AF753" t="s">
        <v>414</v>
      </c>
    </row>
    <row r="754" spans="2:33" hidden="1">
      <c r="F754">
        <f>COUNTIF(HCPs!W:W,HCO_Data!K754)</f>
        <v>0</v>
      </c>
      <c r="G754" t="str">
        <f>IF(COUNTIF('Testing Referrals'!B:B,HCO_Data!K754)&gt;0,"Yes","")</f>
        <v/>
      </c>
      <c r="H754">
        <f>COUNTIF('HCO referrals'!B:B,HCO_Data!K754)+COUNTIF('HCO referrals'!C:C,HCO_Data!K754)</f>
        <v>0</v>
      </c>
      <c r="I754">
        <v>310021571</v>
      </c>
      <c r="K754" t="s">
        <v>10733</v>
      </c>
      <c r="L754" t="s">
        <v>9522</v>
      </c>
      <c r="M754" t="s">
        <v>9523</v>
      </c>
      <c r="O754" t="s">
        <v>833</v>
      </c>
      <c r="P754" t="s">
        <v>702</v>
      </c>
      <c r="Q754" t="s">
        <v>4283</v>
      </c>
      <c r="R754">
        <v>872</v>
      </c>
      <c r="S754" t="s">
        <v>10137</v>
      </c>
      <c r="T754">
        <v>-1</v>
      </c>
      <c r="W754">
        <f>COUNTIFS('Clinical Trials HCO'!$A:$A, K754, 'Clinical Trials HCO'!$D:$D, "&lt;&gt;")</f>
        <v>0</v>
      </c>
    </row>
    <row r="755" spans="2:33" hidden="1">
      <c r="B755">
        <v>422</v>
      </c>
      <c r="F755">
        <f>COUNTIF(HCPs!W:W,HCO_Data!K755)</f>
        <v>0</v>
      </c>
      <c r="G755" t="str">
        <f>IF(COUNTIF('Testing Referrals'!B:B,HCO_Data!K755)&gt;0,"Yes","")</f>
        <v/>
      </c>
      <c r="H755">
        <f>COUNTIF('HCO referrals'!B:B,HCO_Data!K755)+COUNTIF('HCO referrals'!C:C,HCO_Data!K755)</f>
        <v>0</v>
      </c>
      <c r="I755">
        <v>310026083</v>
      </c>
      <c r="K755" t="s">
        <v>10734</v>
      </c>
      <c r="L755" t="s">
        <v>2432</v>
      </c>
      <c r="M755" t="s">
        <v>2724</v>
      </c>
      <c r="N755">
        <v>31076</v>
      </c>
      <c r="O755" t="s">
        <v>833</v>
      </c>
      <c r="Q755" t="s">
        <v>4283</v>
      </c>
      <c r="R755">
        <v>844</v>
      </c>
      <c r="S755" t="s">
        <v>10137</v>
      </c>
      <c r="T755">
        <v>-1</v>
      </c>
      <c r="W755">
        <f>COUNTIFS('Clinical Trials HCO'!$A:$A, K755, 'Clinical Trials HCO'!$D:$D, "&lt;&gt;")</f>
        <v>0</v>
      </c>
      <c r="AF755" t="s">
        <v>414</v>
      </c>
      <c r="AG755" t="s">
        <v>414</v>
      </c>
    </row>
    <row r="756" spans="2:33" hidden="1">
      <c r="F756">
        <f>COUNTIF(HCPs!W:W,HCO_Data!K756)</f>
        <v>0</v>
      </c>
      <c r="G756" t="str">
        <f>IF(COUNTIF('Testing Referrals'!B:B,HCO_Data!K756)&gt;0,"Yes","")</f>
        <v/>
      </c>
      <c r="H756">
        <f>COUNTIF('HCO referrals'!B:B,HCO_Data!K756)+COUNTIF('HCO referrals'!C:C,HCO_Data!K756)</f>
        <v>0</v>
      </c>
      <c r="I756">
        <v>310780366</v>
      </c>
      <c r="K756" t="s">
        <v>10735</v>
      </c>
      <c r="L756" t="s">
        <v>9524</v>
      </c>
      <c r="M756" t="s">
        <v>9525</v>
      </c>
      <c r="O756" t="s">
        <v>9526</v>
      </c>
      <c r="P756" t="s">
        <v>702</v>
      </c>
      <c r="Q756" t="s">
        <v>4283</v>
      </c>
      <c r="R756">
        <v>873</v>
      </c>
      <c r="S756" t="s">
        <v>10137</v>
      </c>
      <c r="T756">
        <v>-1</v>
      </c>
      <c r="W756">
        <f>COUNTIFS('Clinical Trials HCO'!$A:$A, K756, 'Clinical Trials HCO'!$D:$D, "&lt;&gt;")</f>
        <v>0</v>
      </c>
    </row>
    <row r="757" spans="2:33" hidden="1">
      <c r="F757">
        <f>COUNTIF(HCPs!W:W,HCO_Data!K757)</f>
        <v>0</v>
      </c>
      <c r="G757" t="str">
        <f>IF(COUNTIF('Testing Referrals'!B:B,HCO_Data!K757)&gt;0,"Yes","")</f>
        <v/>
      </c>
      <c r="H757">
        <f>COUNTIF('HCO referrals'!B:B,HCO_Data!K757)+COUNTIF('HCO referrals'!C:C,HCO_Data!K757)</f>
        <v>0</v>
      </c>
      <c r="I757">
        <v>310781695</v>
      </c>
      <c r="K757" t="s">
        <v>10736</v>
      </c>
      <c r="L757" t="s">
        <v>9453</v>
      </c>
      <c r="M757" t="s">
        <v>9454</v>
      </c>
      <c r="O757" t="s">
        <v>9455</v>
      </c>
      <c r="P757" t="s">
        <v>702</v>
      </c>
      <c r="Q757" t="s">
        <v>4283</v>
      </c>
      <c r="R757">
        <v>845</v>
      </c>
      <c r="S757" t="s">
        <v>10137</v>
      </c>
      <c r="T757">
        <v>-1</v>
      </c>
      <c r="W757">
        <f>COUNTIFS('Clinical Trials HCO'!$A:$A, K757, 'Clinical Trials HCO'!$D:$D, "&lt;&gt;")</f>
        <v>0</v>
      </c>
    </row>
    <row r="758" spans="2:33" hidden="1">
      <c r="F758">
        <f>COUNTIF(HCPs!W:W,HCO_Data!K758)</f>
        <v>0</v>
      </c>
      <c r="G758" t="str">
        <f>IF(COUNTIF('Testing Referrals'!B:B,HCO_Data!K758)&gt;0,"Yes","")</f>
        <v/>
      </c>
      <c r="H758">
        <f>COUNTIF('HCO referrals'!B:B,HCO_Data!K758)+COUNTIF('HCO referrals'!C:C,HCO_Data!K758)</f>
        <v>0</v>
      </c>
      <c r="I758">
        <v>310782016</v>
      </c>
      <c r="K758" t="s">
        <v>10737</v>
      </c>
      <c r="L758" t="s">
        <v>9340</v>
      </c>
      <c r="M758" t="s">
        <v>9341</v>
      </c>
      <c r="O758" t="s">
        <v>9342</v>
      </c>
      <c r="P758" t="s">
        <v>702</v>
      </c>
      <c r="Q758" t="s">
        <v>4283</v>
      </c>
      <c r="R758">
        <v>795</v>
      </c>
      <c r="S758" t="s">
        <v>10137</v>
      </c>
      <c r="T758">
        <v>-1</v>
      </c>
      <c r="W758">
        <f>COUNTIFS('Clinical Trials HCO'!$A:$A, K758, 'Clinical Trials HCO'!$D:$D, "&lt;&gt;")</f>
        <v>0</v>
      </c>
    </row>
    <row r="759" spans="2:33" hidden="1">
      <c r="F759">
        <f>COUNTIF(HCPs!W:W,HCO_Data!K759)</f>
        <v>0</v>
      </c>
      <c r="G759" t="str">
        <f>IF(COUNTIF('Testing Referrals'!B:B,HCO_Data!K759)&gt;0,"Yes","")</f>
        <v/>
      </c>
      <c r="H759">
        <f>COUNTIF('HCO referrals'!B:B,HCO_Data!K759)+COUNTIF('HCO referrals'!C:C,HCO_Data!K759)</f>
        <v>0</v>
      </c>
      <c r="I759">
        <v>320000102</v>
      </c>
      <c r="K759" t="s">
        <v>10738</v>
      </c>
      <c r="L759" t="s">
        <v>9195</v>
      </c>
      <c r="M759" t="s">
        <v>9196</v>
      </c>
      <c r="O759" t="s">
        <v>9197</v>
      </c>
      <c r="P759" t="s">
        <v>789</v>
      </c>
      <c r="Q759" t="s">
        <v>4283</v>
      </c>
      <c r="R759">
        <v>729</v>
      </c>
      <c r="S759" t="s">
        <v>10137</v>
      </c>
      <c r="T759">
        <v>-1</v>
      </c>
      <c r="W759">
        <f>COUNTIFS('Clinical Trials HCO'!$A:$A, K759, 'Clinical Trials HCO'!$D:$D, "&lt;&gt;")</f>
        <v>0</v>
      </c>
    </row>
    <row r="760" spans="2:33" hidden="1">
      <c r="F760">
        <f>COUNTIF(HCPs!W:W,HCO_Data!K760)</f>
        <v>0</v>
      </c>
      <c r="G760" t="str">
        <f>IF(COUNTIF('Testing Referrals'!B:B,HCO_Data!K760)&gt;0,"Yes","")</f>
        <v/>
      </c>
      <c r="H760">
        <f>COUNTIF('HCO referrals'!B:B,HCO_Data!K760)+COUNTIF('HCO referrals'!C:C,HCO_Data!K760)</f>
        <v>0</v>
      </c>
      <c r="I760">
        <v>320000110</v>
      </c>
      <c r="K760" t="s">
        <v>10739</v>
      </c>
      <c r="L760" t="s">
        <v>9456</v>
      </c>
      <c r="M760" t="s">
        <v>9457</v>
      </c>
      <c r="O760" t="s">
        <v>9458</v>
      </c>
      <c r="P760" t="s">
        <v>789</v>
      </c>
      <c r="Q760" t="s">
        <v>4283</v>
      </c>
      <c r="R760">
        <v>846</v>
      </c>
      <c r="S760" t="s">
        <v>10137</v>
      </c>
      <c r="T760">
        <v>-1</v>
      </c>
      <c r="W760">
        <f>COUNTIFS('Clinical Trials HCO'!$A:$A, K760, 'Clinical Trials HCO'!$D:$D, "&lt;&gt;")</f>
        <v>0</v>
      </c>
    </row>
    <row r="761" spans="2:33" hidden="1">
      <c r="F761">
        <f>COUNTIF(HCPs!W:W,HCO_Data!K761)</f>
        <v>0</v>
      </c>
      <c r="G761" t="str">
        <f>IF(COUNTIF('Testing Referrals'!B:B,HCO_Data!K761)&gt;0,"Yes","")</f>
        <v/>
      </c>
      <c r="H761">
        <f>COUNTIF('HCO referrals'!B:B,HCO_Data!K761)+COUNTIF('HCO referrals'!C:C,HCO_Data!K761)</f>
        <v>0</v>
      </c>
      <c r="I761">
        <v>320000128</v>
      </c>
      <c r="K761" t="s">
        <v>10740</v>
      </c>
      <c r="L761" t="s">
        <v>10035</v>
      </c>
      <c r="M761" t="s">
        <v>10036</v>
      </c>
      <c r="O761" t="s">
        <v>10037</v>
      </c>
      <c r="P761" t="s">
        <v>789</v>
      </c>
      <c r="Q761" t="s">
        <v>4283</v>
      </c>
      <c r="R761">
        <v>1089</v>
      </c>
      <c r="S761" t="s">
        <v>10137</v>
      </c>
      <c r="T761">
        <v>-1</v>
      </c>
      <c r="W761">
        <f>COUNTIFS('Clinical Trials HCO'!$A:$A, K761, 'Clinical Trials HCO'!$D:$D, "&lt;&gt;")</f>
        <v>0</v>
      </c>
    </row>
    <row r="762" spans="2:33" hidden="1">
      <c r="F762">
        <f>COUNTIF(HCPs!W:W,HCO_Data!K762)</f>
        <v>0</v>
      </c>
      <c r="G762" t="str">
        <f>IF(COUNTIF('Testing Referrals'!B:B,HCO_Data!K762)&gt;0,"Yes","")</f>
        <v/>
      </c>
      <c r="H762">
        <f>COUNTIF('HCO referrals'!B:B,HCO_Data!K762)+COUNTIF('HCO referrals'!C:C,HCO_Data!K762)</f>
        <v>0</v>
      </c>
      <c r="I762">
        <v>320000144</v>
      </c>
      <c r="K762" t="s">
        <v>10741</v>
      </c>
      <c r="L762" t="s">
        <v>9405</v>
      </c>
      <c r="M762" t="s">
        <v>9406</v>
      </c>
      <c r="O762" t="s">
        <v>9407</v>
      </c>
      <c r="P762" t="s">
        <v>789</v>
      </c>
      <c r="Q762" t="s">
        <v>4283</v>
      </c>
      <c r="R762">
        <v>824</v>
      </c>
      <c r="S762" t="s">
        <v>10137</v>
      </c>
      <c r="T762">
        <v>-1</v>
      </c>
      <c r="W762">
        <f>COUNTIFS('Clinical Trials HCO'!$A:$A, K762, 'Clinical Trials HCO'!$D:$D, "&lt;&gt;")</f>
        <v>0</v>
      </c>
    </row>
    <row r="763" spans="2:33" hidden="1">
      <c r="F763">
        <f>COUNTIF(HCPs!W:W,HCO_Data!K763)</f>
        <v>0</v>
      </c>
      <c r="G763" t="str">
        <f>IF(COUNTIF('Testing Referrals'!B:B,HCO_Data!K763)&gt;0,"Yes","")</f>
        <v/>
      </c>
      <c r="H763">
        <f>COUNTIF('HCO referrals'!B:B,HCO_Data!K763)+COUNTIF('HCO referrals'!C:C,HCO_Data!K763)</f>
        <v>0</v>
      </c>
      <c r="I763">
        <v>320000151</v>
      </c>
      <c r="K763" t="s">
        <v>10742</v>
      </c>
      <c r="L763" t="s">
        <v>10038</v>
      </c>
      <c r="M763" t="s">
        <v>10039</v>
      </c>
      <c r="O763" t="s">
        <v>10040</v>
      </c>
      <c r="P763" t="s">
        <v>789</v>
      </c>
      <c r="Q763" t="s">
        <v>4283</v>
      </c>
      <c r="R763">
        <v>1090</v>
      </c>
      <c r="S763" t="s">
        <v>10137</v>
      </c>
      <c r="T763">
        <v>-1</v>
      </c>
      <c r="W763">
        <f>COUNTIFS('Clinical Trials HCO'!$A:$A, K763, 'Clinical Trials HCO'!$D:$D, "&lt;&gt;")</f>
        <v>0</v>
      </c>
    </row>
    <row r="764" spans="2:33" hidden="1">
      <c r="F764">
        <f>COUNTIF(HCPs!W:W,HCO_Data!K764)</f>
        <v>0</v>
      </c>
      <c r="G764" t="str">
        <f>IF(COUNTIF('Testing Referrals'!B:B,HCO_Data!K764)&gt;0,"Yes","")</f>
        <v/>
      </c>
      <c r="H764">
        <f>COUNTIF('HCO referrals'!B:B,HCO_Data!K764)+COUNTIF('HCO referrals'!C:C,HCO_Data!K764)</f>
        <v>0</v>
      </c>
      <c r="I764">
        <v>320000177</v>
      </c>
      <c r="K764" t="s">
        <v>10743</v>
      </c>
      <c r="L764" t="s">
        <v>10041</v>
      </c>
      <c r="M764" t="s">
        <v>10042</v>
      </c>
      <c r="O764" t="s">
        <v>10043</v>
      </c>
      <c r="P764" t="s">
        <v>789</v>
      </c>
      <c r="Q764" t="s">
        <v>4283</v>
      </c>
      <c r="R764">
        <v>1091</v>
      </c>
      <c r="S764" t="s">
        <v>10137</v>
      </c>
      <c r="T764">
        <v>-1</v>
      </c>
      <c r="W764">
        <f>COUNTIFS('Clinical Trials HCO'!$A:$A, K764, 'Clinical Trials HCO'!$D:$D, "&lt;&gt;")</f>
        <v>0</v>
      </c>
    </row>
    <row r="765" spans="2:33" hidden="1">
      <c r="F765">
        <f>COUNTIF(HCPs!W:W,HCO_Data!K765)</f>
        <v>0</v>
      </c>
      <c r="G765" t="str">
        <f>IF(COUNTIF('Testing Referrals'!B:B,HCO_Data!K765)&gt;0,"Yes","")</f>
        <v/>
      </c>
      <c r="H765">
        <f>COUNTIF('HCO referrals'!B:B,HCO_Data!K765)+COUNTIF('HCO referrals'!C:C,HCO_Data!K765)</f>
        <v>0</v>
      </c>
      <c r="I765">
        <v>330000571</v>
      </c>
      <c r="K765" t="s">
        <v>10744</v>
      </c>
      <c r="L765" t="s">
        <v>9156</v>
      </c>
      <c r="M765" t="s">
        <v>9157</v>
      </c>
      <c r="O765" t="s">
        <v>9158</v>
      </c>
      <c r="P765" t="s">
        <v>716</v>
      </c>
      <c r="Q765" t="s">
        <v>4283</v>
      </c>
      <c r="R765">
        <v>705</v>
      </c>
      <c r="S765" t="s">
        <v>10137</v>
      </c>
      <c r="T765">
        <v>-1</v>
      </c>
      <c r="W765">
        <f>COUNTIFS('Clinical Trials HCO'!$A:$A, K765, 'Clinical Trials HCO'!$D:$D, "&lt;&gt;")</f>
        <v>0</v>
      </c>
    </row>
    <row r="766" spans="2:33" hidden="1">
      <c r="F766">
        <f>COUNTIF(HCPs!W:W,HCO_Data!K766)</f>
        <v>0</v>
      </c>
      <c r="G766" t="str">
        <f>IF(COUNTIF('Testing Referrals'!B:B,HCO_Data!K766)&gt;0,"Yes","")</f>
        <v/>
      </c>
      <c r="H766">
        <f>COUNTIF('HCO referrals'!B:B,HCO_Data!K766)+COUNTIF('HCO referrals'!C:C,HCO_Data!K766)</f>
        <v>0</v>
      </c>
      <c r="I766">
        <v>330000597</v>
      </c>
      <c r="K766" t="s">
        <v>10745</v>
      </c>
      <c r="L766" t="s">
        <v>9298</v>
      </c>
      <c r="M766" t="s">
        <v>9299</v>
      </c>
      <c r="O766" t="s">
        <v>9300</v>
      </c>
      <c r="P766" t="s">
        <v>716</v>
      </c>
      <c r="Q766" t="s">
        <v>4283</v>
      </c>
      <c r="R766">
        <v>780</v>
      </c>
      <c r="S766" t="s">
        <v>10137</v>
      </c>
      <c r="T766">
        <v>-1</v>
      </c>
      <c r="W766">
        <f>COUNTIFS('Clinical Trials HCO'!$A:$A, K766, 'Clinical Trials HCO'!$D:$D, "&lt;&gt;")</f>
        <v>0</v>
      </c>
    </row>
    <row r="767" spans="2:33" hidden="1">
      <c r="F767">
        <f>COUNTIF(HCPs!W:W,HCO_Data!K767)</f>
        <v>0</v>
      </c>
      <c r="G767" t="str">
        <f>IF(COUNTIF('Testing Referrals'!B:B,HCO_Data!K767)&gt;0,"Yes","")</f>
        <v/>
      </c>
      <c r="H767">
        <f>COUNTIF('HCO referrals'!B:B,HCO_Data!K767)+COUNTIF('HCO referrals'!C:C,HCO_Data!K767)</f>
        <v>0</v>
      </c>
      <c r="I767">
        <v>330000613</v>
      </c>
      <c r="K767" t="s">
        <v>10746</v>
      </c>
      <c r="L767" t="s">
        <v>9301</v>
      </c>
      <c r="M767" t="s">
        <v>9302</v>
      </c>
      <c r="O767" t="s">
        <v>9303</v>
      </c>
      <c r="P767" t="s">
        <v>716</v>
      </c>
      <c r="Q767" t="s">
        <v>4283</v>
      </c>
      <c r="R767">
        <v>781</v>
      </c>
      <c r="S767" t="s">
        <v>10137</v>
      </c>
      <c r="T767">
        <v>-1</v>
      </c>
      <c r="W767">
        <f>COUNTIFS('Clinical Trials HCO'!$A:$A, K767, 'Clinical Trials HCO'!$D:$D, "&lt;&gt;")</f>
        <v>0</v>
      </c>
    </row>
    <row r="768" spans="2:33" hidden="1">
      <c r="F768">
        <f>COUNTIF(HCPs!W:W,HCO_Data!K768)</f>
        <v>0</v>
      </c>
      <c r="G768" t="str">
        <f>IF(COUNTIF('Testing Referrals'!B:B,HCO_Data!K768)&gt;0,"Yes","")</f>
        <v/>
      </c>
      <c r="H768">
        <f>COUNTIF('HCO referrals'!B:B,HCO_Data!K768)+COUNTIF('HCO referrals'!C:C,HCO_Data!K768)</f>
        <v>0</v>
      </c>
      <c r="I768">
        <v>330060658</v>
      </c>
      <c r="K768" t="s">
        <v>10747</v>
      </c>
      <c r="L768" t="s">
        <v>10044</v>
      </c>
      <c r="M768" t="s">
        <v>10045</v>
      </c>
      <c r="O768" t="s">
        <v>2117</v>
      </c>
      <c r="P768" t="s">
        <v>716</v>
      </c>
      <c r="Q768" t="s">
        <v>4283</v>
      </c>
      <c r="R768">
        <v>1092</v>
      </c>
      <c r="S768" t="s">
        <v>10137</v>
      </c>
      <c r="T768">
        <v>-1</v>
      </c>
      <c r="W768">
        <f>COUNTIFS('Clinical Trials HCO'!$A:$A, K768, 'Clinical Trials HCO'!$D:$D, "&lt;&gt;")</f>
        <v>0</v>
      </c>
    </row>
    <row r="769" spans="2:33" hidden="1">
      <c r="F769">
        <f>COUNTIF(HCPs!W:W,HCO_Data!K769)</f>
        <v>0</v>
      </c>
      <c r="G769" t="str">
        <f>IF(COUNTIF('Testing Referrals'!B:B,HCO_Data!K769)&gt;0,"Yes","")</f>
        <v/>
      </c>
      <c r="H769">
        <f>COUNTIF('HCO referrals'!B:B,HCO_Data!K769)+COUNTIF('HCO referrals'!C:C,HCO_Data!K769)</f>
        <v>0</v>
      </c>
      <c r="I769">
        <v>330780503</v>
      </c>
      <c r="K769" t="s">
        <v>10748</v>
      </c>
      <c r="L769" t="s">
        <v>9343</v>
      </c>
      <c r="M769" t="s">
        <v>9344</v>
      </c>
      <c r="O769" t="s">
        <v>9345</v>
      </c>
      <c r="P769" t="s">
        <v>716</v>
      </c>
      <c r="Q769" t="s">
        <v>4283</v>
      </c>
      <c r="R769">
        <v>796</v>
      </c>
      <c r="S769" t="s">
        <v>10137</v>
      </c>
      <c r="T769">
        <v>-1</v>
      </c>
      <c r="W769">
        <f>COUNTIFS('Clinical Trials HCO'!$A:$A, K769, 'Clinical Trials HCO'!$D:$D, "&lt;&gt;")</f>
        <v>0</v>
      </c>
    </row>
    <row r="770" spans="2:33" hidden="1">
      <c r="B770">
        <v>726</v>
      </c>
      <c r="F770">
        <f>COUNTIF(HCPs!W:W,HCO_Data!K770)</f>
        <v>0</v>
      </c>
      <c r="G770" t="str">
        <f>IF(COUNTIF('Testing Referrals'!B:B,HCO_Data!K770)&gt;0,"Yes","")</f>
        <v/>
      </c>
      <c r="H770">
        <f>COUNTIF('HCO referrals'!B:B,HCO_Data!K770)+COUNTIF('HCO referrals'!C:C,HCO_Data!K770)</f>
        <v>0</v>
      </c>
      <c r="I770">
        <v>330780537</v>
      </c>
      <c r="K770" t="s">
        <v>10749</v>
      </c>
      <c r="L770" t="s">
        <v>2578</v>
      </c>
      <c r="M770" t="s">
        <v>2866</v>
      </c>
      <c r="N770">
        <v>33740</v>
      </c>
      <c r="O770" t="s">
        <v>2867</v>
      </c>
      <c r="Q770" t="s">
        <v>4283</v>
      </c>
      <c r="R770">
        <v>696</v>
      </c>
      <c r="S770" t="s">
        <v>10137</v>
      </c>
      <c r="T770">
        <v>-1</v>
      </c>
      <c r="W770">
        <f>COUNTIFS('Clinical Trials HCO'!$A:$A, K770, 'Clinical Trials HCO'!$D:$D, "&lt;&gt;")</f>
        <v>0</v>
      </c>
    </row>
    <row r="771" spans="2:33" hidden="1">
      <c r="F771">
        <f>COUNTIF(HCPs!W:W,HCO_Data!K771)</f>
        <v>0</v>
      </c>
      <c r="G771" t="str">
        <f>IF(COUNTIF('Testing Referrals'!B:B,HCO_Data!K771)&gt;0,"Yes","")</f>
        <v/>
      </c>
      <c r="H771">
        <f>COUNTIF('HCO referrals'!B:B,HCO_Data!K771)+COUNTIF('HCO referrals'!C:C,HCO_Data!K771)</f>
        <v>0</v>
      </c>
      <c r="I771">
        <v>330781337</v>
      </c>
      <c r="K771" t="s">
        <v>10750</v>
      </c>
      <c r="L771" t="s">
        <v>9769</v>
      </c>
      <c r="M771" t="s">
        <v>9770</v>
      </c>
      <c r="O771" t="s">
        <v>9345</v>
      </c>
      <c r="P771" t="s">
        <v>716</v>
      </c>
      <c r="Q771" t="s">
        <v>4283</v>
      </c>
      <c r="R771">
        <v>977</v>
      </c>
      <c r="S771" t="s">
        <v>10137</v>
      </c>
      <c r="T771">
        <v>-1</v>
      </c>
      <c r="W771">
        <f>COUNTIFS('Clinical Trials HCO'!$A:$A, K771, 'Clinical Trials HCO'!$D:$D, "&lt;&gt;")</f>
        <v>0</v>
      </c>
    </row>
    <row r="772" spans="2:33" hidden="1">
      <c r="F772">
        <f>COUNTIF(HCPs!W:W,HCO_Data!K772)</f>
        <v>0</v>
      </c>
      <c r="G772" t="str">
        <f>IF(COUNTIF('Testing Referrals'!B:B,HCO_Data!K772)&gt;0,"Yes","")</f>
        <v/>
      </c>
      <c r="H772">
        <f>COUNTIF('HCO referrals'!B:B,HCO_Data!K772)+COUNTIF('HCO referrals'!C:C,HCO_Data!K772)</f>
        <v>0</v>
      </c>
      <c r="I772">
        <v>330804501</v>
      </c>
      <c r="K772" t="s">
        <v>10751</v>
      </c>
      <c r="L772" t="s">
        <v>9666</v>
      </c>
      <c r="M772" t="s">
        <v>9667</v>
      </c>
      <c r="O772" t="s">
        <v>9668</v>
      </c>
      <c r="P772" t="s">
        <v>716</v>
      </c>
      <c r="Q772" t="s">
        <v>4283</v>
      </c>
      <c r="R772">
        <v>933</v>
      </c>
      <c r="S772" t="s">
        <v>10137</v>
      </c>
      <c r="T772">
        <v>-1</v>
      </c>
      <c r="W772">
        <f>COUNTIFS('Clinical Trials HCO'!$A:$A, K772, 'Clinical Trials HCO'!$D:$D, "&lt;&gt;")</f>
        <v>0</v>
      </c>
    </row>
    <row r="773" spans="2:33" hidden="1">
      <c r="F773">
        <f>COUNTIF(HCPs!W:W,HCO_Data!K773)</f>
        <v>0</v>
      </c>
      <c r="G773" t="str">
        <f>IF(COUNTIF('Testing Referrals'!B:B,HCO_Data!K773)&gt;0,"Yes","")</f>
        <v/>
      </c>
      <c r="H773">
        <f>COUNTIF('HCO referrals'!B:B,HCO_Data!K773)+COUNTIF('HCO referrals'!C:C,HCO_Data!K773)</f>
        <v>0</v>
      </c>
      <c r="I773">
        <v>340000173</v>
      </c>
      <c r="K773" t="s">
        <v>10752</v>
      </c>
      <c r="L773" t="s">
        <v>9771</v>
      </c>
      <c r="M773" t="s">
        <v>9772</v>
      </c>
      <c r="O773" t="s">
        <v>9773</v>
      </c>
      <c r="P773" t="s">
        <v>733</v>
      </c>
      <c r="Q773" t="s">
        <v>4283</v>
      </c>
      <c r="R773">
        <v>978</v>
      </c>
      <c r="S773" t="s">
        <v>10137</v>
      </c>
      <c r="T773">
        <v>-1</v>
      </c>
      <c r="W773">
        <f>COUNTIFS('Clinical Trials HCO'!$A:$A, K773, 'Clinical Trials HCO'!$D:$D, "&lt;&gt;")</f>
        <v>0</v>
      </c>
    </row>
    <row r="774" spans="2:33" hidden="1">
      <c r="F774">
        <f>COUNTIF(HCPs!W:W,HCO_Data!K774)</f>
        <v>0</v>
      </c>
      <c r="G774" t="str">
        <f>IF(COUNTIF('Testing Referrals'!B:B,HCO_Data!K774)&gt;0,"Yes","")</f>
        <v/>
      </c>
      <c r="H774">
        <f>COUNTIF('HCO referrals'!B:B,HCO_Data!K774)+COUNTIF('HCO referrals'!C:C,HCO_Data!K774)</f>
        <v>0</v>
      </c>
      <c r="I774">
        <v>340000231</v>
      </c>
      <c r="K774" t="s">
        <v>10753</v>
      </c>
      <c r="L774" t="s">
        <v>9304</v>
      </c>
      <c r="M774" t="s">
        <v>9305</v>
      </c>
      <c r="O774" t="s">
        <v>9306</v>
      </c>
      <c r="P774" t="s">
        <v>733</v>
      </c>
      <c r="Q774" t="s">
        <v>4283</v>
      </c>
      <c r="R774">
        <v>782</v>
      </c>
      <c r="S774" t="s">
        <v>10137</v>
      </c>
      <c r="T774">
        <v>-1</v>
      </c>
      <c r="W774">
        <f>COUNTIFS('Clinical Trials HCO'!$A:$A, K774, 'Clinical Trials HCO'!$D:$D, "&lt;&gt;")</f>
        <v>0</v>
      </c>
    </row>
    <row r="775" spans="2:33" hidden="1">
      <c r="F775">
        <f>COUNTIF(HCPs!W:W,HCO_Data!K775)</f>
        <v>0</v>
      </c>
      <c r="G775" t="str">
        <f>IF(COUNTIF('Testing Referrals'!B:B,HCO_Data!K775)&gt;0,"Yes","")</f>
        <v/>
      </c>
      <c r="H775">
        <f>COUNTIF('HCO referrals'!B:B,HCO_Data!K775)+COUNTIF('HCO referrals'!C:C,HCO_Data!K775)</f>
        <v>0</v>
      </c>
      <c r="I775">
        <v>340000249</v>
      </c>
      <c r="K775" t="s">
        <v>10754</v>
      </c>
      <c r="L775" t="s">
        <v>9527</v>
      </c>
      <c r="M775" t="s">
        <v>9528</v>
      </c>
      <c r="O775" t="s">
        <v>9529</v>
      </c>
      <c r="P775" t="s">
        <v>733</v>
      </c>
      <c r="Q775" t="s">
        <v>4283</v>
      </c>
      <c r="R775">
        <v>874</v>
      </c>
      <c r="S775" t="s">
        <v>10137</v>
      </c>
      <c r="T775">
        <v>-1</v>
      </c>
      <c r="W775">
        <f>COUNTIFS('Clinical Trials HCO'!$A:$A, K775, 'Clinical Trials HCO'!$D:$D, "&lt;&gt;")</f>
        <v>0</v>
      </c>
    </row>
    <row r="776" spans="2:33" hidden="1">
      <c r="F776">
        <f>COUNTIF(HCPs!W:W,HCO_Data!K776)</f>
        <v>0</v>
      </c>
      <c r="G776" t="str">
        <f>IF(COUNTIF('Testing Referrals'!B:B,HCO_Data!K776)&gt;0,"Yes","")</f>
        <v/>
      </c>
      <c r="H776">
        <f>COUNTIF('HCO referrals'!B:B,HCO_Data!K776)+COUNTIF('HCO referrals'!C:C,HCO_Data!K776)</f>
        <v>0</v>
      </c>
      <c r="I776">
        <v>340022979</v>
      </c>
      <c r="K776" t="s">
        <v>10755</v>
      </c>
      <c r="L776" t="s">
        <v>10046</v>
      </c>
      <c r="M776" t="s">
        <v>10047</v>
      </c>
      <c r="O776" t="s">
        <v>10048</v>
      </c>
      <c r="P776" t="s">
        <v>733</v>
      </c>
      <c r="Q776" t="s">
        <v>4283</v>
      </c>
      <c r="R776">
        <v>1093</v>
      </c>
      <c r="S776" t="s">
        <v>10137</v>
      </c>
      <c r="T776">
        <v>-1</v>
      </c>
      <c r="W776">
        <f>COUNTIFS('Clinical Trials HCO'!$A:$A, K776, 'Clinical Trials HCO'!$D:$D, "&lt;&gt;")</f>
        <v>0</v>
      </c>
    </row>
    <row r="777" spans="2:33" hidden="1">
      <c r="F777">
        <f>COUNTIF(HCPs!W:W,HCO_Data!K777)</f>
        <v>0</v>
      </c>
      <c r="G777" t="str">
        <f>IF(COUNTIF('Testing Referrals'!B:B,HCO_Data!K777)&gt;0,"Yes","")</f>
        <v/>
      </c>
      <c r="H777">
        <f>COUNTIF('HCO referrals'!B:B,HCO_Data!K777)+COUNTIF('HCO referrals'!C:C,HCO_Data!K777)</f>
        <v>0</v>
      </c>
      <c r="I777">
        <v>340780147</v>
      </c>
      <c r="K777" t="s">
        <v>10756</v>
      </c>
      <c r="L777" t="s">
        <v>9669</v>
      </c>
      <c r="M777" t="s">
        <v>9670</v>
      </c>
      <c r="O777" t="s">
        <v>9592</v>
      </c>
      <c r="P777" t="s">
        <v>733</v>
      </c>
      <c r="Q777" t="s">
        <v>4283</v>
      </c>
      <c r="R777">
        <v>934</v>
      </c>
      <c r="S777" t="s">
        <v>10137</v>
      </c>
      <c r="T777">
        <v>-1</v>
      </c>
      <c r="W777">
        <f>COUNTIFS('Clinical Trials HCO'!$A:$A, K777, 'Clinical Trials HCO'!$D:$D, "&lt;&gt;")</f>
        <v>0</v>
      </c>
    </row>
    <row r="778" spans="2:33" hidden="1">
      <c r="F778">
        <f>COUNTIF(HCPs!W:W,HCO_Data!K778)</f>
        <v>0</v>
      </c>
      <c r="G778" t="str">
        <f>IF(COUNTIF('Testing Referrals'!B:B,HCO_Data!K778)&gt;0,"Yes","")</f>
        <v/>
      </c>
      <c r="H778">
        <f>COUNTIF('HCO referrals'!B:B,HCO_Data!K778)+COUNTIF('HCO referrals'!C:C,HCO_Data!K778)</f>
        <v>0</v>
      </c>
      <c r="I778">
        <v>340780154</v>
      </c>
      <c r="K778" t="s">
        <v>10757</v>
      </c>
      <c r="L778" t="s">
        <v>10049</v>
      </c>
      <c r="M778" t="s">
        <v>10050</v>
      </c>
      <c r="O778" t="s">
        <v>9773</v>
      </c>
      <c r="P778" t="s">
        <v>733</v>
      </c>
      <c r="Q778" t="s">
        <v>4283</v>
      </c>
      <c r="R778">
        <v>1094</v>
      </c>
      <c r="S778" t="s">
        <v>10137</v>
      </c>
      <c r="T778">
        <v>-1</v>
      </c>
      <c r="W778">
        <f>COUNTIFS('Clinical Trials HCO'!$A:$A, K778, 'Clinical Trials HCO'!$D:$D, "&lt;&gt;")</f>
        <v>0</v>
      </c>
    </row>
    <row r="779" spans="2:33" hidden="1">
      <c r="F779">
        <f>COUNTIF(HCPs!W:W,HCO_Data!K779)</f>
        <v>0</v>
      </c>
      <c r="G779" t="str">
        <f>IF(COUNTIF('Testing Referrals'!B:B,HCO_Data!K779)&gt;0,"Yes","")</f>
        <v/>
      </c>
      <c r="H779">
        <f>COUNTIF('HCO referrals'!B:B,HCO_Data!K779)+COUNTIF('HCO referrals'!C:C,HCO_Data!K779)</f>
        <v>0</v>
      </c>
      <c r="I779">
        <v>340780436</v>
      </c>
      <c r="K779" t="s">
        <v>10758</v>
      </c>
      <c r="L779" t="s">
        <v>9346</v>
      </c>
      <c r="M779" t="s">
        <v>9347</v>
      </c>
      <c r="O779" t="s">
        <v>9348</v>
      </c>
      <c r="P779" t="s">
        <v>733</v>
      </c>
      <c r="Q779" t="s">
        <v>4283</v>
      </c>
      <c r="R779">
        <v>797</v>
      </c>
      <c r="S779" t="s">
        <v>10137</v>
      </c>
      <c r="T779">
        <v>-1</v>
      </c>
      <c r="W779">
        <f>COUNTIFS('Clinical Trials HCO'!$A:$A, K779, 'Clinical Trials HCO'!$D:$D, "&lt;&gt;")</f>
        <v>0</v>
      </c>
    </row>
    <row r="780" spans="2:33" hidden="1">
      <c r="F780">
        <f>COUNTIF(HCPs!W:W,HCO_Data!K780)</f>
        <v>0</v>
      </c>
      <c r="G780" t="str">
        <f>IF(COUNTIF('Testing Referrals'!B:B,HCO_Data!K780)&gt;0,"Yes","")</f>
        <v/>
      </c>
      <c r="H780">
        <f>COUNTIF('HCO referrals'!B:B,HCO_Data!K780)+COUNTIF('HCO referrals'!C:C,HCO_Data!K780)</f>
        <v>0</v>
      </c>
      <c r="I780">
        <v>340780444</v>
      </c>
      <c r="K780" t="s">
        <v>10759</v>
      </c>
      <c r="L780" t="s">
        <v>9590</v>
      </c>
      <c r="M780" t="s">
        <v>9591</v>
      </c>
      <c r="O780" t="s">
        <v>9592</v>
      </c>
      <c r="P780" t="s">
        <v>733</v>
      </c>
      <c r="Q780" t="s">
        <v>4283</v>
      </c>
      <c r="R780">
        <v>899</v>
      </c>
      <c r="S780" t="s">
        <v>10137</v>
      </c>
      <c r="T780">
        <v>-1</v>
      </c>
      <c r="W780">
        <f>COUNTIFS('Clinical Trials HCO'!$A:$A, K780, 'Clinical Trials HCO'!$D:$D, "&lt;&gt;")</f>
        <v>0</v>
      </c>
    </row>
    <row r="781" spans="2:33" hidden="1">
      <c r="F781">
        <f>COUNTIF(HCPs!W:W,HCO_Data!K781)</f>
        <v>0</v>
      </c>
      <c r="G781" t="str">
        <f>IF(COUNTIF('Testing Referrals'!B:B,HCO_Data!K781)&gt;0,"Yes","")</f>
        <v/>
      </c>
      <c r="H781">
        <f>COUNTIF('HCO referrals'!B:B,HCO_Data!K781)+COUNTIF('HCO referrals'!C:C,HCO_Data!K781)</f>
        <v>0</v>
      </c>
      <c r="I781">
        <v>340780485</v>
      </c>
      <c r="K781" t="s">
        <v>10760</v>
      </c>
      <c r="L781" t="s">
        <v>10051</v>
      </c>
      <c r="M781" t="s">
        <v>8960</v>
      </c>
      <c r="O781" t="s">
        <v>858</v>
      </c>
      <c r="P781" t="s">
        <v>733</v>
      </c>
      <c r="Q781" t="s">
        <v>4283</v>
      </c>
      <c r="R781">
        <v>1095</v>
      </c>
      <c r="S781" t="s">
        <v>10137</v>
      </c>
      <c r="T781">
        <v>-1</v>
      </c>
      <c r="W781">
        <f>COUNTIFS('Clinical Trials HCO'!$A:$A, K781, 'Clinical Trials HCO'!$D:$D, "&lt;&gt;")</f>
        <v>0</v>
      </c>
    </row>
    <row r="782" spans="2:33" hidden="1">
      <c r="F782">
        <f>COUNTIF(HCPs!W:W,HCO_Data!K782)</f>
        <v>0</v>
      </c>
      <c r="G782" t="str">
        <f>IF(COUNTIF('Testing Referrals'!B:B,HCO_Data!K782)&gt;0,"Yes","")</f>
        <v/>
      </c>
      <c r="H782">
        <f>COUNTIF('HCO referrals'!B:B,HCO_Data!K782)+COUNTIF('HCO referrals'!C:C,HCO_Data!K782)</f>
        <v>0</v>
      </c>
      <c r="I782">
        <v>340780725</v>
      </c>
      <c r="K782" t="s">
        <v>10761</v>
      </c>
      <c r="L782" t="s">
        <v>9903</v>
      </c>
      <c r="M782" t="s">
        <v>9305</v>
      </c>
      <c r="O782" t="s">
        <v>9904</v>
      </c>
      <c r="P782" t="s">
        <v>733</v>
      </c>
      <c r="Q782" t="s">
        <v>4283</v>
      </c>
      <c r="R782">
        <v>1032</v>
      </c>
      <c r="S782" t="s">
        <v>10137</v>
      </c>
      <c r="T782">
        <v>-1</v>
      </c>
      <c r="W782">
        <f>COUNTIFS('Clinical Trials HCO'!$A:$A, K782, 'Clinical Trials HCO'!$D:$D, "&lt;&gt;")</f>
        <v>0</v>
      </c>
    </row>
    <row r="783" spans="2:33" hidden="1">
      <c r="B783">
        <v>626</v>
      </c>
      <c r="F783">
        <f>COUNTIF(HCPs!W:W,HCO_Data!K783)</f>
        <v>0</v>
      </c>
      <c r="G783" t="str">
        <f>IF(COUNTIF('Testing Referrals'!B:B,HCO_Data!K783)&gt;0,"Yes","")</f>
        <v/>
      </c>
      <c r="H783">
        <f>COUNTIF('HCO referrals'!B:B,HCO_Data!K783)+COUNTIF('HCO referrals'!C:C,HCO_Data!K783)</f>
        <v>0</v>
      </c>
      <c r="I783">
        <v>340780741</v>
      </c>
      <c r="K783" t="s">
        <v>10762</v>
      </c>
      <c r="L783" t="s">
        <v>2606</v>
      </c>
      <c r="M783" t="s">
        <v>2881</v>
      </c>
      <c r="N783">
        <v>34200</v>
      </c>
      <c r="O783" t="s">
        <v>2266</v>
      </c>
      <c r="Q783" t="s">
        <v>4283</v>
      </c>
      <c r="R783">
        <v>1033</v>
      </c>
      <c r="S783" t="s">
        <v>10137</v>
      </c>
      <c r="T783">
        <v>-1</v>
      </c>
      <c r="W783">
        <f>COUNTIFS('Clinical Trials HCO'!$A:$A, K783, 'Clinical Trials HCO'!$D:$D, "&lt;&gt;")</f>
        <v>0</v>
      </c>
      <c r="AG783" t="s">
        <v>414</v>
      </c>
    </row>
    <row r="784" spans="2:33" hidden="1">
      <c r="F784">
        <f>COUNTIF(HCPs!W:W,HCO_Data!K784)</f>
        <v>0</v>
      </c>
      <c r="G784" t="str">
        <f>IF(COUNTIF('Testing Referrals'!B:B,HCO_Data!K784)&gt;0,"Yes","")</f>
        <v/>
      </c>
      <c r="H784">
        <f>COUNTIF('HCO referrals'!B:B,HCO_Data!K784)+COUNTIF('HCO referrals'!C:C,HCO_Data!K784)</f>
        <v>0</v>
      </c>
      <c r="I784">
        <v>350000063</v>
      </c>
      <c r="K784" t="s">
        <v>10763</v>
      </c>
      <c r="L784" t="s">
        <v>9307</v>
      </c>
      <c r="M784" t="s">
        <v>9308</v>
      </c>
      <c r="O784" t="s">
        <v>9309</v>
      </c>
      <c r="P784" t="s">
        <v>720</v>
      </c>
      <c r="Q784" t="s">
        <v>4283</v>
      </c>
      <c r="R784">
        <v>783</v>
      </c>
      <c r="S784" t="s">
        <v>10137</v>
      </c>
      <c r="T784">
        <v>-1</v>
      </c>
      <c r="W784">
        <f>COUNTIFS('Clinical Trials HCO'!$A:$A, K784, 'Clinical Trials HCO'!$D:$D, "&lt;&gt;")</f>
        <v>0</v>
      </c>
    </row>
    <row r="785" spans="2:33" hidden="1">
      <c r="F785">
        <f>COUNTIF(HCPs!W:W,HCO_Data!K785)</f>
        <v>0</v>
      </c>
      <c r="G785" t="str">
        <f>IF(COUNTIF('Testing Referrals'!B:B,HCO_Data!K785)&gt;0,"Yes","")</f>
        <v/>
      </c>
      <c r="H785">
        <f>COUNTIF('HCO referrals'!B:B,HCO_Data!K785)+COUNTIF('HCO referrals'!C:C,HCO_Data!K785)</f>
        <v>0</v>
      </c>
      <c r="I785">
        <v>350000071</v>
      </c>
      <c r="K785" t="s">
        <v>10764</v>
      </c>
      <c r="L785" t="s">
        <v>9408</v>
      </c>
      <c r="M785" t="s">
        <v>9409</v>
      </c>
      <c r="O785" t="s">
        <v>9410</v>
      </c>
      <c r="P785" t="s">
        <v>720</v>
      </c>
      <c r="Q785" t="s">
        <v>4283</v>
      </c>
      <c r="R785">
        <v>825</v>
      </c>
      <c r="S785" t="s">
        <v>10137</v>
      </c>
      <c r="T785">
        <v>-1</v>
      </c>
      <c r="W785">
        <f>COUNTIFS('Clinical Trials HCO'!$A:$A, K785, 'Clinical Trials HCO'!$D:$D, "&lt;&gt;")</f>
        <v>0</v>
      </c>
    </row>
    <row r="786" spans="2:33" hidden="1">
      <c r="B786">
        <v>247</v>
      </c>
      <c r="F786">
        <f>COUNTIF(HCPs!W:W,HCO_Data!K786)</f>
        <v>0</v>
      </c>
      <c r="G786" t="str">
        <f>IF(COUNTIF('Testing Referrals'!B:B,HCO_Data!K786)&gt;0,"Yes","")</f>
        <v/>
      </c>
      <c r="H786">
        <f>COUNTIF('HCO referrals'!B:B,HCO_Data!K786)+COUNTIF('HCO referrals'!C:C,HCO_Data!K786)</f>
        <v>0</v>
      </c>
      <c r="I786">
        <v>350000196</v>
      </c>
      <c r="K786" t="s">
        <v>10765</v>
      </c>
      <c r="L786" t="s">
        <v>1513</v>
      </c>
      <c r="M786" t="s">
        <v>2057</v>
      </c>
      <c r="N786">
        <v>35400</v>
      </c>
      <c r="O786" t="s">
        <v>1003</v>
      </c>
      <c r="Q786" t="s">
        <v>4283</v>
      </c>
      <c r="R786">
        <v>615</v>
      </c>
      <c r="S786" t="s">
        <v>10137</v>
      </c>
      <c r="T786">
        <v>-1</v>
      </c>
      <c r="W786">
        <f>COUNTIFS('Clinical Trials HCO'!$A:$A, K786, 'Clinical Trials HCO'!$D:$D, "&lt;&gt;")</f>
        <v>0</v>
      </c>
      <c r="AF786" t="s">
        <v>414</v>
      </c>
      <c r="AG786" t="s">
        <v>414</v>
      </c>
    </row>
    <row r="787" spans="2:33" hidden="1">
      <c r="F787">
        <f>COUNTIF(HCPs!W:W,HCO_Data!K787)</f>
        <v>0</v>
      </c>
      <c r="G787" t="str">
        <f>IF(COUNTIF('Testing Referrals'!B:B,HCO_Data!K787)&gt;0,"Yes","")</f>
        <v/>
      </c>
      <c r="H787">
        <f>COUNTIF('HCO referrals'!B:B,HCO_Data!K787)+COUNTIF('HCO referrals'!C:C,HCO_Data!K787)</f>
        <v>0</v>
      </c>
      <c r="I787">
        <v>350000204</v>
      </c>
      <c r="K787" t="s">
        <v>10766</v>
      </c>
      <c r="L787" t="s">
        <v>9212</v>
      </c>
      <c r="M787" t="s">
        <v>9213</v>
      </c>
      <c r="O787" t="s">
        <v>9214</v>
      </c>
      <c r="P787" t="s">
        <v>720</v>
      </c>
      <c r="Q787" t="s">
        <v>4283</v>
      </c>
      <c r="R787">
        <v>737</v>
      </c>
      <c r="S787" t="s">
        <v>10137</v>
      </c>
      <c r="T787">
        <v>-1</v>
      </c>
      <c r="W787">
        <f>COUNTIFS('Clinical Trials HCO'!$A:$A, K787, 'Clinical Trials HCO'!$D:$D, "&lt;&gt;")</f>
        <v>0</v>
      </c>
    </row>
    <row r="788" spans="2:33" hidden="1">
      <c r="F788">
        <f>COUNTIF(HCPs!W:W,HCO_Data!K788)</f>
        <v>0</v>
      </c>
      <c r="G788" t="str">
        <f>IF(COUNTIF('Testing Referrals'!B:B,HCO_Data!K788)&gt;0,"Yes","")</f>
        <v/>
      </c>
      <c r="H788">
        <f>COUNTIF('HCO referrals'!B:B,HCO_Data!K788)+COUNTIF('HCO referrals'!C:C,HCO_Data!K788)</f>
        <v>0</v>
      </c>
      <c r="I788">
        <v>350000212</v>
      </c>
      <c r="K788" t="s">
        <v>10767</v>
      </c>
      <c r="L788" t="s">
        <v>9671</v>
      </c>
      <c r="M788" t="s">
        <v>9672</v>
      </c>
      <c r="O788" t="s">
        <v>9673</v>
      </c>
      <c r="P788" t="s">
        <v>720</v>
      </c>
      <c r="Q788" t="s">
        <v>4283</v>
      </c>
      <c r="R788">
        <v>935</v>
      </c>
      <c r="S788" t="s">
        <v>10137</v>
      </c>
      <c r="T788">
        <v>-1</v>
      </c>
      <c r="W788">
        <f>COUNTIFS('Clinical Trials HCO'!$A:$A, K788, 'Clinical Trials HCO'!$D:$D, "&lt;&gt;")</f>
        <v>0</v>
      </c>
    </row>
    <row r="789" spans="2:33" hidden="1">
      <c r="F789">
        <f>COUNTIF(HCPs!W:W,HCO_Data!K789)</f>
        <v>0</v>
      </c>
      <c r="G789" t="str">
        <f>IF(COUNTIF('Testing Referrals'!B:B,HCO_Data!K789)&gt;0,"Yes","")</f>
        <v/>
      </c>
      <c r="H789">
        <f>COUNTIF('HCO referrals'!B:B,HCO_Data!K789)+COUNTIF('HCO referrals'!C:C,HCO_Data!K789)</f>
        <v>0</v>
      </c>
      <c r="I789">
        <v>350000410</v>
      </c>
      <c r="K789" t="s">
        <v>10768</v>
      </c>
      <c r="L789" t="s">
        <v>9459</v>
      </c>
      <c r="M789" t="s">
        <v>9460</v>
      </c>
      <c r="O789" t="s">
        <v>9461</v>
      </c>
      <c r="P789" t="s">
        <v>720</v>
      </c>
      <c r="Q789" t="s">
        <v>4283</v>
      </c>
      <c r="R789">
        <v>847</v>
      </c>
      <c r="S789" t="s">
        <v>10137</v>
      </c>
      <c r="T789">
        <v>-1</v>
      </c>
      <c r="W789">
        <f>COUNTIFS('Clinical Trials HCO'!$A:$A, K789, 'Clinical Trials HCO'!$D:$D, "&lt;&gt;")</f>
        <v>0</v>
      </c>
    </row>
    <row r="790" spans="2:33" hidden="1">
      <c r="F790">
        <f>COUNTIF(HCPs!W:W,HCO_Data!K790)</f>
        <v>0</v>
      </c>
      <c r="G790" t="str">
        <f>IF(COUNTIF('Testing Referrals'!B:B,HCO_Data!K790)&gt;0,"Yes","")</f>
        <v/>
      </c>
      <c r="H790">
        <f>COUNTIF('HCO referrals'!B:B,HCO_Data!K790)+COUNTIF('HCO referrals'!C:C,HCO_Data!K790)</f>
        <v>0</v>
      </c>
      <c r="I790">
        <v>350000436</v>
      </c>
      <c r="K790" t="s">
        <v>10769</v>
      </c>
      <c r="L790" t="s">
        <v>9774</v>
      </c>
      <c r="M790" t="s">
        <v>9775</v>
      </c>
      <c r="O790" t="s">
        <v>9776</v>
      </c>
      <c r="P790" t="s">
        <v>720</v>
      </c>
      <c r="Q790" t="s">
        <v>4283</v>
      </c>
      <c r="R790">
        <v>979</v>
      </c>
      <c r="S790" t="s">
        <v>10137</v>
      </c>
      <c r="T790">
        <v>-1</v>
      </c>
      <c r="W790">
        <f>COUNTIFS('Clinical Trials HCO'!$A:$A, K790, 'Clinical Trials HCO'!$D:$D, "&lt;&gt;")</f>
        <v>0</v>
      </c>
    </row>
    <row r="791" spans="2:33" hidden="1">
      <c r="F791">
        <f>COUNTIF(HCPs!W:W,HCO_Data!K791)</f>
        <v>0</v>
      </c>
      <c r="G791" t="str">
        <f>IF(COUNTIF('Testing Referrals'!B:B,HCO_Data!K791)&gt;0,"Yes","")</f>
        <v/>
      </c>
      <c r="H791">
        <f>COUNTIF('HCO referrals'!B:B,HCO_Data!K791)+COUNTIF('HCO referrals'!C:C,HCO_Data!K791)</f>
        <v>0</v>
      </c>
      <c r="I791">
        <v>350005021</v>
      </c>
      <c r="K791" t="s">
        <v>10770</v>
      </c>
      <c r="L791" t="s">
        <v>9310</v>
      </c>
      <c r="M791" t="s">
        <v>9311</v>
      </c>
      <c r="O791" t="s">
        <v>9312</v>
      </c>
      <c r="P791" t="s">
        <v>720</v>
      </c>
      <c r="Q791" t="s">
        <v>4283</v>
      </c>
      <c r="R791">
        <v>784</v>
      </c>
      <c r="S791" t="s">
        <v>10137</v>
      </c>
      <c r="T791">
        <v>-1</v>
      </c>
      <c r="W791">
        <f>COUNTIFS('Clinical Trials HCO'!$A:$A, K791, 'Clinical Trials HCO'!$D:$D, "&lt;&gt;")</f>
        <v>0</v>
      </c>
    </row>
    <row r="792" spans="2:33" hidden="1">
      <c r="F792">
        <f>COUNTIF(HCPs!W:W,HCO_Data!K792)</f>
        <v>0</v>
      </c>
      <c r="G792" t="str">
        <f>IF(COUNTIF('Testing Referrals'!B:B,HCO_Data!K792)&gt;0,"Yes","")</f>
        <v/>
      </c>
      <c r="H792">
        <f>COUNTIF('HCO referrals'!B:B,HCO_Data!K792)+COUNTIF('HCO referrals'!C:C,HCO_Data!K792)</f>
        <v>0</v>
      </c>
      <c r="I792">
        <v>360000038</v>
      </c>
      <c r="K792" t="s">
        <v>10771</v>
      </c>
      <c r="L792" t="s">
        <v>8924</v>
      </c>
      <c r="M792" t="s">
        <v>8925</v>
      </c>
      <c r="O792" t="s">
        <v>8926</v>
      </c>
      <c r="P792" t="s">
        <v>791</v>
      </c>
      <c r="Q792" t="s">
        <v>4283</v>
      </c>
      <c r="R792">
        <v>575</v>
      </c>
      <c r="S792" t="s">
        <v>10137</v>
      </c>
      <c r="T792">
        <v>-1</v>
      </c>
      <c r="W792">
        <f>COUNTIFS('Clinical Trials HCO'!$A:$A, K792, 'Clinical Trials HCO'!$D:$D, "&lt;&gt;")</f>
        <v>0</v>
      </c>
    </row>
    <row r="793" spans="2:33" hidden="1">
      <c r="B793">
        <v>686</v>
      </c>
      <c r="F793">
        <f>COUNTIF(HCPs!W:W,HCO_Data!K793)</f>
        <v>0</v>
      </c>
      <c r="G793" t="str">
        <f>IF(COUNTIF('Testing Referrals'!B:B,HCO_Data!K793)&gt;0,"Yes","")</f>
        <v/>
      </c>
      <c r="H793">
        <f>COUNTIF('HCO referrals'!B:B,HCO_Data!K793)+COUNTIF('HCO referrals'!C:C,HCO_Data!K793)</f>
        <v>0</v>
      </c>
      <c r="I793">
        <v>360000129</v>
      </c>
      <c r="K793" t="s">
        <v>10772</v>
      </c>
      <c r="L793" t="s">
        <v>2491</v>
      </c>
      <c r="M793" t="s">
        <v>2806</v>
      </c>
      <c r="N793">
        <v>36006</v>
      </c>
      <c r="O793" t="s">
        <v>1803</v>
      </c>
      <c r="Q793" t="s">
        <v>4283</v>
      </c>
      <c r="R793">
        <v>798</v>
      </c>
      <c r="S793" t="s">
        <v>10137</v>
      </c>
      <c r="T793">
        <v>-1</v>
      </c>
      <c r="W793">
        <f>COUNTIFS('Clinical Trials HCO'!$A:$A, K793, 'Clinical Trials HCO'!$D:$D, "&lt;&gt;")</f>
        <v>0</v>
      </c>
      <c r="AG793" t="s">
        <v>414</v>
      </c>
    </row>
    <row r="794" spans="2:33" hidden="1">
      <c r="F794">
        <f>COUNTIF(HCPs!W:W,HCO_Data!K794)</f>
        <v>0</v>
      </c>
      <c r="G794" t="str">
        <f>IF(COUNTIF('Testing Referrals'!B:B,HCO_Data!K794)&gt;0,"Yes","")</f>
        <v/>
      </c>
      <c r="H794">
        <f>COUNTIF('HCO referrals'!B:B,HCO_Data!K794)+COUNTIF('HCO referrals'!C:C,HCO_Data!K794)</f>
        <v>0</v>
      </c>
      <c r="I794">
        <v>360000145</v>
      </c>
      <c r="K794" t="s">
        <v>10773</v>
      </c>
      <c r="L794" t="s">
        <v>9777</v>
      </c>
      <c r="M794" t="s">
        <v>9778</v>
      </c>
      <c r="O794" t="s">
        <v>9779</v>
      </c>
      <c r="P794" t="s">
        <v>791</v>
      </c>
      <c r="Q794" t="s">
        <v>4283</v>
      </c>
      <c r="R794">
        <v>980</v>
      </c>
      <c r="S794" t="s">
        <v>10137</v>
      </c>
      <c r="T794">
        <v>-1</v>
      </c>
      <c r="W794">
        <f>COUNTIFS('Clinical Trials HCO'!$A:$A, K794, 'Clinical Trials HCO'!$D:$D, "&lt;&gt;")</f>
        <v>0</v>
      </c>
    </row>
    <row r="795" spans="2:33" hidden="1">
      <c r="F795">
        <f>COUNTIF(HCPs!W:W,HCO_Data!K795)</f>
        <v>0</v>
      </c>
      <c r="G795" t="str">
        <f>IF(COUNTIF('Testing Referrals'!B:B,HCO_Data!K795)&gt;0,"Yes","")</f>
        <v/>
      </c>
      <c r="H795">
        <f>COUNTIF('HCO referrals'!B:B,HCO_Data!K795)+COUNTIF('HCO referrals'!C:C,HCO_Data!K795)</f>
        <v>0</v>
      </c>
      <c r="I795">
        <v>360000160</v>
      </c>
      <c r="K795" t="s">
        <v>10774</v>
      </c>
      <c r="L795" t="s">
        <v>9593</v>
      </c>
      <c r="M795" t="s">
        <v>9594</v>
      </c>
      <c r="O795" t="s">
        <v>9595</v>
      </c>
      <c r="P795" t="s">
        <v>791</v>
      </c>
      <c r="Q795" t="s">
        <v>4283</v>
      </c>
      <c r="R795">
        <v>900</v>
      </c>
      <c r="S795" t="s">
        <v>10137</v>
      </c>
      <c r="T795">
        <v>-1</v>
      </c>
      <c r="W795">
        <f>COUNTIFS('Clinical Trials HCO'!$A:$A, K795, 'Clinical Trials HCO'!$D:$D, "&lt;&gt;")</f>
        <v>0</v>
      </c>
    </row>
    <row r="796" spans="2:33" hidden="1">
      <c r="F796">
        <f>COUNTIF(HCPs!W:W,HCO_Data!K796)</f>
        <v>0</v>
      </c>
      <c r="G796" t="str">
        <f>IF(COUNTIF('Testing Referrals'!B:B,HCO_Data!K796)&gt;0,"Yes","")</f>
        <v/>
      </c>
      <c r="H796">
        <f>COUNTIF('HCO referrals'!B:B,HCO_Data!K796)+COUNTIF('HCO referrals'!C:C,HCO_Data!K796)</f>
        <v>0</v>
      </c>
      <c r="I796">
        <v>370000580</v>
      </c>
      <c r="K796" t="s">
        <v>10775</v>
      </c>
      <c r="L796" t="s">
        <v>9674</v>
      </c>
      <c r="M796" t="s">
        <v>9675</v>
      </c>
      <c r="O796" t="s">
        <v>9676</v>
      </c>
      <c r="P796" t="s">
        <v>726</v>
      </c>
      <c r="Q796" t="s">
        <v>4283</v>
      </c>
      <c r="R796">
        <v>936</v>
      </c>
      <c r="S796" t="s">
        <v>10137</v>
      </c>
      <c r="T796">
        <v>-1</v>
      </c>
      <c r="W796">
        <f>COUNTIFS('Clinical Trials HCO'!$A:$A, K796, 'Clinical Trials HCO'!$D:$D, "&lt;&gt;")</f>
        <v>0</v>
      </c>
    </row>
    <row r="797" spans="2:33" hidden="1">
      <c r="F797">
        <f>COUNTIF(HCPs!W:W,HCO_Data!K797)</f>
        <v>0</v>
      </c>
      <c r="G797" t="str">
        <f>IF(COUNTIF('Testing Referrals'!B:B,HCO_Data!K797)&gt;0,"Yes","")</f>
        <v/>
      </c>
      <c r="H797">
        <f>COUNTIF('HCO referrals'!B:B,HCO_Data!K797)+COUNTIF('HCO referrals'!C:C,HCO_Data!K797)</f>
        <v>0</v>
      </c>
      <c r="I797">
        <v>370000879</v>
      </c>
      <c r="K797" t="s">
        <v>10776</v>
      </c>
      <c r="L797" t="s">
        <v>9050</v>
      </c>
      <c r="M797" t="s">
        <v>9051</v>
      </c>
      <c r="O797" t="s">
        <v>9052</v>
      </c>
      <c r="P797" t="s">
        <v>726</v>
      </c>
      <c r="Q797" t="s">
        <v>4283</v>
      </c>
      <c r="R797">
        <v>651</v>
      </c>
      <c r="S797" t="s">
        <v>10137</v>
      </c>
      <c r="T797">
        <v>-1</v>
      </c>
      <c r="W797">
        <f>COUNTIFS('Clinical Trials HCO'!$A:$A, K797, 'Clinical Trials HCO'!$D:$D, "&lt;&gt;")</f>
        <v>0</v>
      </c>
    </row>
    <row r="798" spans="2:33" hidden="1">
      <c r="F798">
        <f>COUNTIF(HCPs!W:W,HCO_Data!K798)</f>
        <v>0</v>
      </c>
      <c r="G798" t="str">
        <f>IF(COUNTIF('Testing Referrals'!B:B,HCO_Data!K798)&gt;0,"Yes","")</f>
        <v/>
      </c>
      <c r="H798">
        <f>COUNTIF('HCO referrals'!B:B,HCO_Data!K798)+COUNTIF('HCO referrals'!C:C,HCO_Data!K798)</f>
        <v>0</v>
      </c>
      <c r="I798">
        <v>370001158</v>
      </c>
      <c r="K798" t="s">
        <v>10777</v>
      </c>
      <c r="L798" t="s">
        <v>10052</v>
      </c>
      <c r="M798" t="s">
        <v>10053</v>
      </c>
      <c r="O798" t="s">
        <v>10054</v>
      </c>
      <c r="P798" t="s">
        <v>726</v>
      </c>
      <c r="Q798" t="s">
        <v>4283</v>
      </c>
      <c r="R798">
        <v>1096</v>
      </c>
      <c r="S798" t="s">
        <v>10137</v>
      </c>
      <c r="T798">
        <v>-1</v>
      </c>
      <c r="W798">
        <f>COUNTIFS('Clinical Trials HCO'!$A:$A, K798, 'Clinical Trials HCO'!$D:$D, "&lt;&gt;")</f>
        <v>0</v>
      </c>
    </row>
    <row r="799" spans="2:33" hidden="1">
      <c r="F799">
        <f>COUNTIF(HCPs!W:W,HCO_Data!K799)</f>
        <v>0</v>
      </c>
      <c r="G799" t="str">
        <f>IF(COUNTIF('Testing Referrals'!B:B,HCO_Data!K799)&gt;0,"Yes","")</f>
        <v/>
      </c>
      <c r="H799">
        <f>COUNTIF('HCO referrals'!B:B,HCO_Data!K799)+COUNTIF('HCO referrals'!C:C,HCO_Data!K799)</f>
        <v>0</v>
      </c>
      <c r="I799">
        <v>380000026</v>
      </c>
      <c r="K799" t="s">
        <v>10778</v>
      </c>
      <c r="L799" t="s">
        <v>9198</v>
      </c>
      <c r="M799" t="s">
        <v>9199</v>
      </c>
      <c r="O799" t="s">
        <v>9200</v>
      </c>
      <c r="P799" t="s">
        <v>743</v>
      </c>
      <c r="Q799" t="s">
        <v>4283</v>
      </c>
      <c r="R799">
        <v>730</v>
      </c>
      <c r="S799" t="s">
        <v>10137</v>
      </c>
      <c r="T799">
        <v>-1</v>
      </c>
      <c r="W799">
        <f>COUNTIFS('Clinical Trials HCO'!$A:$A, K799, 'Clinical Trials HCO'!$D:$D, "&lt;&gt;")</f>
        <v>0</v>
      </c>
    </row>
    <row r="800" spans="2:33" hidden="1">
      <c r="F800">
        <f>COUNTIF(HCPs!W:W,HCO_Data!K800)</f>
        <v>0</v>
      </c>
      <c r="G800" t="str">
        <f>IF(COUNTIF('Testing Referrals'!B:B,HCO_Data!K800)&gt;0,"Yes","")</f>
        <v/>
      </c>
      <c r="H800">
        <f>COUNTIF('HCO referrals'!B:B,HCO_Data!K800)+COUNTIF('HCO referrals'!C:C,HCO_Data!K800)</f>
        <v>0</v>
      </c>
      <c r="I800">
        <v>380000042</v>
      </c>
      <c r="K800" t="s">
        <v>10779</v>
      </c>
      <c r="L800" t="s">
        <v>9094</v>
      </c>
      <c r="M800" t="s">
        <v>9095</v>
      </c>
      <c r="O800" t="s">
        <v>9096</v>
      </c>
      <c r="P800" t="s">
        <v>743</v>
      </c>
      <c r="Q800" t="s">
        <v>4283</v>
      </c>
      <c r="R800">
        <v>670</v>
      </c>
      <c r="S800" t="s">
        <v>10137</v>
      </c>
      <c r="T800">
        <v>-1</v>
      </c>
      <c r="W800">
        <f>COUNTIFS('Clinical Trials HCO'!$A:$A, K800, 'Clinical Trials HCO'!$D:$D, "&lt;&gt;")</f>
        <v>0</v>
      </c>
    </row>
    <row r="801" spans="2:33" hidden="1">
      <c r="F801">
        <f>COUNTIF(HCPs!W:W,HCO_Data!K801)</f>
        <v>0</v>
      </c>
      <c r="G801" t="str">
        <f>IF(COUNTIF('Testing Referrals'!B:B,HCO_Data!K801)&gt;0,"Yes","")</f>
        <v/>
      </c>
      <c r="H801">
        <f>COUNTIF('HCO referrals'!B:B,HCO_Data!K801)+COUNTIF('HCO referrals'!C:C,HCO_Data!K801)</f>
        <v>0</v>
      </c>
      <c r="I801">
        <v>380000059</v>
      </c>
      <c r="K801" t="s">
        <v>10780</v>
      </c>
      <c r="L801" t="s">
        <v>9780</v>
      </c>
      <c r="M801" t="s">
        <v>9753</v>
      </c>
      <c r="O801" t="s">
        <v>9781</v>
      </c>
      <c r="P801" t="s">
        <v>743</v>
      </c>
      <c r="Q801" t="s">
        <v>4283</v>
      </c>
      <c r="R801">
        <v>981</v>
      </c>
      <c r="S801" t="s">
        <v>10137</v>
      </c>
      <c r="T801">
        <v>-1</v>
      </c>
      <c r="W801">
        <f>COUNTIFS('Clinical Trials HCO'!$A:$A, K801, 'Clinical Trials HCO'!$D:$D, "&lt;&gt;")</f>
        <v>0</v>
      </c>
    </row>
    <row r="802" spans="2:33" hidden="1">
      <c r="F802">
        <f>COUNTIF(HCPs!W:W,HCO_Data!K802)</f>
        <v>0</v>
      </c>
      <c r="G802" t="str">
        <f>IF(COUNTIF('Testing Referrals'!B:B,HCO_Data!K802)&gt;0,"Yes","")</f>
        <v/>
      </c>
      <c r="H802">
        <f>COUNTIF('HCO referrals'!B:B,HCO_Data!K802)+COUNTIF('HCO referrals'!C:C,HCO_Data!K802)</f>
        <v>0</v>
      </c>
      <c r="I802">
        <v>380020123</v>
      </c>
      <c r="K802" t="s">
        <v>10781</v>
      </c>
      <c r="L802" t="s">
        <v>9313</v>
      </c>
      <c r="M802" t="s">
        <v>9314</v>
      </c>
      <c r="O802" t="s">
        <v>9315</v>
      </c>
      <c r="P802" t="s">
        <v>743</v>
      </c>
      <c r="Q802" t="s">
        <v>4283</v>
      </c>
      <c r="R802">
        <v>785</v>
      </c>
      <c r="S802" t="s">
        <v>10137</v>
      </c>
      <c r="T802">
        <v>-1</v>
      </c>
      <c r="W802">
        <f>COUNTIFS('Clinical Trials HCO'!$A:$A, K802, 'Clinical Trials HCO'!$D:$D, "&lt;&gt;")</f>
        <v>0</v>
      </c>
    </row>
    <row r="803" spans="2:33" hidden="1">
      <c r="B803">
        <v>610</v>
      </c>
      <c r="F803">
        <f>COUNTIF(HCPs!W:W,HCO_Data!K803)</f>
        <v>0</v>
      </c>
      <c r="G803" t="str">
        <f>IF(COUNTIF('Testing Referrals'!B:B,HCO_Data!K803)&gt;0,"Yes","")</f>
        <v/>
      </c>
      <c r="H803">
        <f>COUNTIF('HCO referrals'!B:B,HCO_Data!K803)+COUNTIF('HCO referrals'!C:C,HCO_Data!K803)</f>
        <v>0</v>
      </c>
      <c r="I803">
        <v>380780288</v>
      </c>
      <c r="K803" t="s">
        <v>10782</v>
      </c>
      <c r="L803" t="s">
        <v>2600</v>
      </c>
      <c r="M803" t="s">
        <v>2875</v>
      </c>
      <c r="N803">
        <v>38503</v>
      </c>
      <c r="O803" t="s">
        <v>2160</v>
      </c>
      <c r="Q803" t="s">
        <v>4283</v>
      </c>
      <c r="R803">
        <v>1097</v>
      </c>
      <c r="S803" t="s">
        <v>10137</v>
      </c>
      <c r="T803">
        <v>-1</v>
      </c>
      <c r="W803">
        <f>COUNTIFS('Clinical Trials HCO'!$A:$A, K803, 'Clinical Trials HCO'!$D:$D, "&lt;&gt;")</f>
        <v>0</v>
      </c>
      <c r="AF803" t="s">
        <v>414</v>
      </c>
      <c r="AG803" t="s">
        <v>414</v>
      </c>
    </row>
    <row r="804" spans="2:33" hidden="1">
      <c r="B804">
        <v>345</v>
      </c>
      <c r="F804">
        <f>COUNTIF(HCPs!W:W,HCO_Data!K804)</f>
        <v>0</v>
      </c>
      <c r="G804" t="str">
        <f>IF(COUNTIF('Testing Referrals'!B:B,HCO_Data!K804)&gt;0,"Yes","")</f>
        <v/>
      </c>
      <c r="H804">
        <f>COUNTIF('HCO referrals'!B:B,HCO_Data!K804)+COUNTIF('HCO referrals'!C:C,HCO_Data!K804)</f>
        <v>0</v>
      </c>
      <c r="I804">
        <v>380786442</v>
      </c>
      <c r="K804" t="s">
        <v>10783</v>
      </c>
      <c r="L804" t="s">
        <v>2439</v>
      </c>
      <c r="M804" t="s">
        <v>2731</v>
      </c>
      <c r="N804">
        <v>38400</v>
      </c>
      <c r="O804" t="s">
        <v>2732</v>
      </c>
      <c r="Q804" t="s">
        <v>4283</v>
      </c>
      <c r="R804">
        <v>826</v>
      </c>
      <c r="S804" t="s">
        <v>10137</v>
      </c>
      <c r="T804">
        <v>-1</v>
      </c>
      <c r="W804">
        <f>COUNTIFS('Clinical Trials HCO'!$A:$A, K804, 'Clinical Trials HCO'!$D:$D, "&lt;&gt;")</f>
        <v>0</v>
      </c>
      <c r="AD804" s="12" t="s">
        <v>414</v>
      </c>
      <c r="AE804" t="s">
        <v>3927</v>
      </c>
      <c r="AF804" s="12"/>
      <c r="AG804" s="12"/>
    </row>
    <row r="805" spans="2:33" hidden="1">
      <c r="F805">
        <f>COUNTIF(HCPs!W:W,HCO_Data!K805)</f>
        <v>0</v>
      </c>
      <c r="G805" t="str">
        <f>IF(COUNTIF('Testing Referrals'!B:B,HCO_Data!K805)&gt;0,"Yes","")</f>
        <v/>
      </c>
      <c r="H805">
        <f>COUNTIF('HCO referrals'!B:B,HCO_Data!K805)+COUNTIF('HCO referrals'!C:C,HCO_Data!K805)</f>
        <v>0</v>
      </c>
      <c r="I805">
        <v>390000057</v>
      </c>
      <c r="K805" t="s">
        <v>10784</v>
      </c>
      <c r="L805" t="s">
        <v>9905</v>
      </c>
      <c r="M805" t="s">
        <v>9906</v>
      </c>
      <c r="O805" t="s">
        <v>9907</v>
      </c>
      <c r="P805" t="s">
        <v>788</v>
      </c>
      <c r="Q805" t="s">
        <v>4283</v>
      </c>
      <c r="R805">
        <v>1034</v>
      </c>
      <c r="S805" t="s">
        <v>10137</v>
      </c>
      <c r="T805">
        <v>-1</v>
      </c>
      <c r="W805">
        <f>COUNTIFS('Clinical Trials HCO'!$A:$A, K805, 'Clinical Trials HCO'!$D:$D, "&lt;&gt;")</f>
        <v>0</v>
      </c>
    </row>
    <row r="806" spans="2:33" hidden="1">
      <c r="F806">
        <f>COUNTIF(HCPs!W:W,HCO_Data!K806)</f>
        <v>0</v>
      </c>
      <c r="G806" t="str">
        <f>IF(COUNTIF('Testing Referrals'!B:B,HCO_Data!K806)&gt;0,"Yes","")</f>
        <v/>
      </c>
      <c r="H806">
        <f>COUNTIF('HCO referrals'!B:B,HCO_Data!K806)+COUNTIF('HCO referrals'!C:C,HCO_Data!K806)</f>
        <v>0</v>
      </c>
      <c r="I806">
        <v>390000065</v>
      </c>
      <c r="K806" t="s">
        <v>10785</v>
      </c>
      <c r="L806" t="s">
        <v>9530</v>
      </c>
      <c r="M806" t="s">
        <v>9531</v>
      </c>
      <c r="O806" t="s">
        <v>9532</v>
      </c>
      <c r="P806" t="s">
        <v>788</v>
      </c>
      <c r="Q806" t="s">
        <v>4283</v>
      </c>
      <c r="R806">
        <v>875</v>
      </c>
      <c r="S806" t="s">
        <v>10137</v>
      </c>
      <c r="T806">
        <v>-1</v>
      </c>
      <c r="W806">
        <f>COUNTIFS('Clinical Trials HCO'!$A:$A, K806, 'Clinical Trials HCO'!$D:$D, "&lt;&gt;")</f>
        <v>0</v>
      </c>
    </row>
    <row r="807" spans="2:33" hidden="1">
      <c r="F807">
        <f>COUNTIF(HCPs!W:W,HCO_Data!K807)</f>
        <v>0</v>
      </c>
      <c r="G807" t="str">
        <f>IF(COUNTIF('Testing Referrals'!B:B,HCO_Data!K807)&gt;0,"Yes","")</f>
        <v/>
      </c>
      <c r="H807">
        <f>COUNTIF('HCO referrals'!B:B,HCO_Data!K807)+COUNTIF('HCO referrals'!C:C,HCO_Data!K807)</f>
        <v>0</v>
      </c>
      <c r="I807">
        <v>400000261</v>
      </c>
      <c r="K807" t="s">
        <v>10786</v>
      </c>
      <c r="L807" t="s">
        <v>9596</v>
      </c>
      <c r="M807" t="s">
        <v>9597</v>
      </c>
      <c r="O807" t="s">
        <v>9598</v>
      </c>
      <c r="P807" t="s">
        <v>777</v>
      </c>
      <c r="Q807" t="s">
        <v>4283</v>
      </c>
      <c r="R807">
        <v>901</v>
      </c>
      <c r="S807" t="s">
        <v>10137</v>
      </c>
      <c r="T807">
        <v>-1</v>
      </c>
      <c r="W807">
        <f>COUNTIFS('Clinical Trials HCO'!$A:$A, K807, 'Clinical Trials HCO'!$D:$D, "&lt;&gt;")</f>
        <v>0</v>
      </c>
    </row>
    <row r="808" spans="2:33" hidden="1">
      <c r="F808">
        <f>COUNTIF(HCPs!W:W,HCO_Data!K808)</f>
        <v>0</v>
      </c>
      <c r="G808" t="str">
        <f>IF(COUNTIF('Testing Referrals'!B:B,HCO_Data!K808)&gt;0,"Yes","")</f>
        <v/>
      </c>
      <c r="H808">
        <f>COUNTIF('HCO referrals'!B:B,HCO_Data!K808)+COUNTIF('HCO referrals'!C:C,HCO_Data!K808)</f>
        <v>0</v>
      </c>
      <c r="I808">
        <v>400015103</v>
      </c>
      <c r="K808" t="s">
        <v>10787</v>
      </c>
      <c r="L808" t="s">
        <v>9349</v>
      </c>
      <c r="M808" t="s">
        <v>9350</v>
      </c>
      <c r="O808" t="s">
        <v>9351</v>
      </c>
      <c r="P808" t="s">
        <v>777</v>
      </c>
      <c r="Q808" t="s">
        <v>4283</v>
      </c>
      <c r="R808">
        <v>799</v>
      </c>
      <c r="S808" t="s">
        <v>10137</v>
      </c>
      <c r="T808">
        <v>-1</v>
      </c>
      <c r="W808">
        <f>COUNTIFS('Clinical Trials HCO'!$A:$A, K808, 'Clinical Trials HCO'!$D:$D, "&lt;&gt;")</f>
        <v>0</v>
      </c>
    </row>
    <row r="809" spans="2:33" hidden="1">
      <c r="F809">
        <f>COUNTIF(HCPs!W:W,HCO_Data!K809)</f>
        <v>0</v>
      </c>
      <c r="G809" t="str">
        <f>IF(COUNTIF('Testing Referrals'!B:B,HCO_Data!K809)&gt;0,"Yes","")</f>
        <v/>
      </c>
      <c r="H809">
        <f>COUNTIF('HCO referrals'!B:B,HCO_Data!K809)+COUNTIF('HCO referrals'!C:C,HCO_Data!K809)</f>
        <v>0</v>
      </c>
      <c r="I809">
        <v>400787354</v>
      </c>
      <c r="K809" t="s">
        <v>10788</v>
      </c>
      <c r="L809" t="s">
        <v>9782</v>
      </c>
      <c r="M809" t="s">
        <v>9783</v>
      </c>
      <c r="O809" t="s">
        <v>1715</v>
      </c>
      <c r="P809" t="s">
        <v>777</v>
      </c>
      <c r="Q809" t="s">
        <v>4283</v>
      </c>
      <c r="R809">
        <v>982</v>
      </c>
      <c r="S809" t="s">
        <v>10137</v>
      </c>
      <c r="T809">
        <v>-1</v>
      </c>
      <c r="W809">
        <f>COUNTIFS('Clinical Trials HCO'!$A:$A, K809, 'Clinical Trials HCO'!$D:$D, "&lt;&gt;")</f>
        <v>0</v>
      </c>
    </row>
    <row r="810" spans="2:33" hidden="1">
      <c r="F810">
        <f>COUNTIF(HCPs!W:W,HCO_Data!K810)</f>
        <v>0</v>
      </c>
      <c r="G810" t="str">
        <f>IF(COUNTIF('Testing Referrals'!B:B,HCO_Data!K810)&gt;0,"Yes","")</f>
        <v/>
      </c>
      <c r="H810">
        <f>COUNTIF('HCO referrals'!B:B,HCO_Data!K810)+COUNTIF('HCO referrals'!C:C,HCO_Data!K810)</f>
        <v>0</v>
      </c>
      <c r="I810">
        <v>410000053</v>
      </c>
      <c r="K810" t="s">
        <v>10789</v>
      </c>
      <c r="L810" t="s">
        <v>9784</v>
      </c>
      <c r="M810" t="s">
        <v>9785</v>
      </c>
      <c r="O810" t="s">
        <v>9786</v>
      </c>
      <c r="P810" t="s">
        <v>763</v>
      </c>
      <c r="Q810" t="s">
        <v>4283</v>
      </c>
      <c r="R810">
        <v>983</v>
      </c>
      <c r="S810" t="s">
        <v>10137</v>
      </c>
      <c r="T810">
        <v>-1</v>
      </c>
      <c r="W810">
        <f>COUNTIFS('Clinical Trials HCO'!$A:$A, K810, 'Clinical Trials HCO'!$D:$D, "&lt;&gt;")</f>
        <v>0</v>
      </c>
    </row>
    <row r="811" spans="2:33" hidden="1">
      <c r="B811">
        <v>448</v>
      </c>
      <c r="F811">
        <f>COUNTIF(HCPs!W:W,HCO_Data!K811)</f>
        <v>0</v>
      </c>
      <c r="G811" t="str">
        <f>IF(COUNTIF('Testing Referrals'!B:B,HCO_Data!K811)&gt;0,"Yes","")</f>
        <v/>
      </c>
      <c r="H811">
        <f>COUNTIF('HCO referrals'!B:B,HCO_Data!K811)+COUNTIF('HCO referrals'!C:C,HCO_Data!K811)</f>
        <v>0</v>
      </c>
      <c r="I811">
        <v>410004998</v>
      </c>
      <c r="K811" t="s">
        <v>10790</v>
      </c>
      <c r="L811" t="s">
        <v>2459</v>
      </c>
      <c r="M811" t="s">
        <v>2773</v>
      </c>
      <c r="N811">
        <v>41100</v>
      </c>
      <c r="O811" t="s">
        <v>2774</v>
      </c>
      <c r="Q811" t="s">
        <v>4283</v>
      </c>
      <c r="R811">
        <v>1035</v>
      </c>
      <c r="S811" t="s">
        <v>10137</v>
      </c>
      <c r="T811">
        <v>-1</v>
      </c>
      <c r="W811">
        <f>COUNTIFS('Clinical Trials HCO'!$A:$A, K811, 'Clinical Trials HCO'!$D:$D, "&lt;&gt;")</f>
        <v>0</v>
      </c>
      <c r="AF811" t="s">
        <v>414</v>
      </c>
    </row>
    <row r="812" spans="2:33" hidden="1">
      <c r="F812">
        <f>COUNTIF(HCPs!W:W,HCO_Data!K812)</f>
        <v>0</v>
      </c>
      <c r="G812" t="str">
        <f>IF(COUNTIF('Testing Referrals'!B:B,HCO_Data!K812)&gt;0,"Yes","")</f>
        <v/>
      </c>
      <c r="H812">
        <f>COUNTIF('HCO referrals'!B:B,HCO_Data!K812)+COUNTIF('HCO referrals'!C:C,HCO_Data!K812)</f>
        <v>0</v>
      </c>
      <c r="I812">
        <v>420000192</v>
      </c>
      <c r="K812" t="s">
        <v>10791</v>
      </c>
      <c r="L812" t="s">
        <v>9677</v>
      </c>
      <c r="M812" t="s">
        <v>9678</v>
      </c>
      <c r="O812" t="s">
        <v>9679</v>
      </c>
      <c r="P812" t="s">
        <v>717</v>
      </c>
      <c r="Q812" t="s">
        <v>4283</v>
      </c>
      <c r="R812">
        <v>937</v>
      </c>
      <c r="S812" t="s">
        <v>10137</v>
      </c>
      <c r="T812">
        <v>-1</v>
      </c>
      <c r="W812">
        <f>COUNTIFS('Clinical Trials HCO'!$A:$A, K812, 'Clinical Trials HCO'!$D:$D, "&lt;&gt;")</f>
        <v>0</v>
      </c>
    </row>
    <row r="813" spans="2:33" hidden="1">
      <c r="F813">
        <f>COUNTIF(HCPs!W:W,HCO_Data!K813)</f>
        <v>0</v>
      </c>
      <c r="G813" t="str">
        <f>IF(COUNTIF('Testing Referrals'!B:B,HCO_Data!K813)&gt;0,"Yes","")</f>
        <v/>
      </c>
      <c r="H813">
        <f>COUNTIF('HCO referrals'!B:B,HCO_Data!K813)+COUNTIF('HCO referrals'!C:C,HCO_Data!K813)</f>
        <v>0</v>
      </c>
      <c r="I813">
        <v>420000267</v>
      </c>
      <c r="K813" t="s">
        <v>10792</v>
      </c>
      <c r="L813" t="s">
        <v>9680</v>
      </c>
      <c r="M813" t="s">
        <v>9681</v>
      </c>
      <c r="O813" t="s">
        <v>9682</v>
      </c>
      <c r="P813" t="s">
        <v>717</v>
      </c>
      <c r="Q813" t="s">
        <v>4283</v>
      </c>
      <c r="R813">
        <v>938</v>
      </c>
      <c r="S813" t="s">
        <v>10137</v>
      </c>
      <c r="T813">
        <v>-1</v>
      </c>
      <c r="W813">
        <f>COUNTIFS('Clinical Trials HCO'!$A:$A, K813, 'Clinical Trials HCO'!$D:$D, "&lt;&gt;")</f>
        <v>0</v>
      </c>
    </row>
    <row r="814" spans="2:33" hidden="1">
      <c r="F814">
        <f>COUNTIF(HCPs!W:W,HCO_Data!K814)</f>
        <v>0</v>
      </c>
      <c r="G814" t="str">
        <f>IF(COUNTIF('Testing Referrals'!B:B,HCO_Data!K814)&gt;0,"Yes","")</f>
        <v/>
      </c>
      <c r="H814">
        <f>COUNTIF('HCO referrals'!B:B,HCO_Data!K814)+COUNTIF('HCO referrals'!C:C,HCO_Data!K814)</f>
        <v>0</v>
      </c>
      <c r="I814">
        <v>420009599</v>
      </c>
      <c r="K814" t="s">
        <v>10793</v>
      </c>
      <c r="L814" t="s">
        <v>9599</v>
      </c>
      <c r="M814" t="s">
        <v>9600</v>
      </c>
      <c r="O814" t="s">
        <v>9601</v>
      </c>
      <c r="P814" t="s">
        <v>717</v>
      </c>
      <c r="Q814" t="s">
        <v>4283</v>
      </c>
      <c r="R814">
        <v>902</v>
      </c>
      <c r="S814" t="s">
        <v>10137</v>
      </c>
      <c r="T814">
        <v>-1</v>
      </c>
      <c r="W814">
        <f>COUNTIFS('Clinical Trials HCO'!$A:$A, K814, 'Clinical Trials HCO'!$D:$D, "&lt;&gt;")</f>
        <v>0</v>
      </c>
    </row>
    <row r="815" spans="2:33" hidden="1">
      <c r="B815">
        <v>446</v>
      </c>
      <c r="F815">
        <f>COUNTIF(HCPs!W:W,HCO_Data!K815)</f>
        <v>0</v>
      </c>
      <c r="G815" t="str">
        <f>IF(COUNTIF('Testing Referrals'!B:B,HCO_Data!K815)&gt;0,"Yes","")</f>
        <v/>
      </c>
      <c r="H815">
        <f>COUNTIF('HCO referrals'!B:B,HCO_Data!K815)+COUNTIF('HCO referrals'!C:C,HCO_Data!K815)</f>
        <v>0</v>
      </c>
      <c r="I815">
        <v>420780504</v>
      </c>
      <c r="K815" t="s">
        <v>10794</v>
      </c>
      <c r="L815" t="s">
        <v>2457</v>
      </c>
      <c r="M815" t="s">
        <v>2770</v>
      </c>
      <c r="N815">
        <v>42276</v>
      </c>
      <c r="O815" t="s">
        <v>877</v>
      </c>
      <c r="Q815" t="s">
        <v>4283</v>
      </c>
      <c r="R815">
        <v>679</v>
      </c>
      <c r="S815" t="s">
        <v>10137</v>
      </c>
      <c r="T815">
        <v>-1</v>
      </c>
      <c r="W815">
        <f>COUNTIFS('Clinical Trials HCO'!$A:$A, K815, 'Clinical Trials HCO'!$D:$D, "&lt;&gt;")</f>
        <v>0</v>
      </c>
      <c r="AF815" t="s">
        <v>414</v>
      </c>
      <c r="AG815" t="s">
        <v>414</v>
      </c>
    </row>
    <row r="816" spans="2:33" hidden="1">
      <c r="F816">
        <f>COUNTIF(HCPs!W:W,HCO_Data!K816)</f>
        <v>0</v>
      </c>
      <c r="G816" t="str">
        <f>IF(COUNTIF('Testing Referrals'!B:B,HCO_Data!K816)&gt;0,"Yes","")</f>
        <v/>
      </c>
      <c r="H816">
        <f>COUNTIF('HCO referrals'!B:B,HCO_Data!K816)+COUNTIF('HCO referrals'!C:C,HCO_Data!K816)</f>
        <v>0</v>
      </c>
      <c r="I816">
        <v>420780744</v>
      </c>
      <c r="K816" t="s">
        <v>10795</v>
      </c>
      <c r="L816" t="s">
        <v>9683</v>
      </c>
      <c r="M816" t="s">
        <v>9684</v>
      </c>
      <c r="O816" t="s">
        <v>9685</v>
      </c>
      <c r="P816" t="s">
        <v>717</v>
      </c>
      <c r="Q816" t="s">
        <v>4283</v>
      </c>
      <c r="R816">
        <v>939</v>
      </c>
      <c r="S816" t="s">
        <v>10137</v>
      </c>
      <c r="T816">
        <v>-1</v>
      </c>
      <c r="W816">
        <f>COUNTIFS('Clinical Trials HCO'!$A:$A, K816, 'Clinical Trials HCO'!$D:$D, "&lt;&gt;")</f>
        <v>0</v>
      </c>
    </row>
    <row r="817" spans="2:33" hidden="1">
      <c r="F817">
        <f>COUNTIF(HCPs!W:W,HCO_Data!K817)</f>
        <v>0</v>
      </c>
      <c r="G817" t="str">
        <f>IF(COUNTIF('Testing Referrals'!B:B,HCO_Data!K817)&gt;0,"Yes","")</f>
        <v/>
      </c>
      <c r="H817">
        <f>COUNTIF('HCO referrals'!B:B,HCO_Data!K817)+COUNTIF('HCO referrals'!C:C,HCO_Data!K817)</f>
        <v>0</v>
      </c>
      <c r="I817">
        <v>420782559</v>
      </c>
      <c r="K817" t="s">
        <v>10796</v>
      </c>
      <c r="L817" t="s">
        <v>9686</v>
      </c>
      <c r="M817" t="s">
        <v>9687</v>
      </c>
      <c r="O817" t="s">
        <v>9688</v>
      </c>
      <c r="P817" t="s">
        <v>717</v>
      </c>
      <c r="Q817" t="s">
        <v>4283</v>
      </c>
      <c r="R817">
        <v>940</v>
      </c>
      <c r="S817" t="s">
        <v>10137</v>
      </c>
      <c r="T817">
        <v>-1</v>
      </c>
      <c r="W817">
        <f>COUNTIFS('Clinical Trials HCO'!$A:$A, K817, 'Clinical Trials HCO'!$D:$D, "&lt;&gt;")</f>
        <v>0</v>
      </c>
    </row>
    <row r="818" spans="2:33" hidden="1">
      <c r="F818">
        <f>COUNTIF(HCPs!W:W,HCO_Data!K818)</f>
        <v>0</v>
      </c>
      <c r="G818" t="str">
        <f>IF(COUNTIF('Testing Referrals'!B:B,HCO_Data!K818)&gt;0,"Yes","")</f>
        <v/>
      </c>
      <c r="H818">
        <f>COUNTIF('HCO referrals'!B:B,HCO_Data!K818)+COUNTIF('HCO referrals'!C:C,HCO_Data!K818)</f>
        <v>0</v>
      </c>
      <c r="I818">
        <v>420782567</v>
      </c>
      <c r="K818" t="s">
        <v>10797</v>
      </c>
      <c r="L818" t="s">
        <v>9787</v>
      </c>
      <c r="M818" t="s">
        <v>9788</v>
      </c>
      <c r="O818" t="s">
        <v>9688</v>
      </c>
      <c r="P818" t="s">
        <v>717</v>
      </c>
      <c r="Q818" t="s">
        <v>4283</v>
      </c>
      <c r="R818">
        <v>984</v>
      </c>
      <c r="S818" t="s">
        <v>10137</v>
      </c>
      <c r="T818">
        <v>-1</v>
      </c>
      <c r="W818">
        <f>COUNTIFS('Clinical Trials HCO'!$A:$A, K818, 'Clinical Trials HCO'!$D:$D, "&lt;&gt;")</f>
        <v>0</v>
      </c>
    </row>
    <row r="819" spans="2:33" hidden="1">
      <c r="F819">
        <f>COUNTIF(HCPs!W:W,HCO_Data!K819)</f>
        <v>0</v>
      </c>
      <c r="G819" t="str">
        <f>IF(COUNTIF('Testing Referrals'!B:B,HCO_Data!K819)&gt;0,"Yes","")</f>
        <v/>
      </c>
      <c r="H819">
        <f>COUNTIF('HCO referrals'!B:B,HCO_Data!K819)+COUNTIF('HCO referrals'!C:C,HCO_Data!K819)</f>
        <v>0</v>
      </c>
      <c r="I819">
        <v>430000299</v>
      </c>
      <c r="K819" t="s">
        <v>10798</v>
      </c>
      <c r="L819" t="s">
        <v>9462</v>
      </c>
      <c r="M819" t="s">
        <v>9463</v>
      </c>
      <c r="O819" t="s">
        <v>9464</v>
      </c>
      <c r="P819" t="s">
        <v>787</v>
      </c>
      <c r="Q819" t="s">
        <v>4283</v>
      </c>
      <c r="R819">
        <v>848</v>
      </c>
      <c r="S819" t="s">
        <v>10137</v>
      </c>
      <c r="T819">
        <v>-1</v>
      </c>
      <c r="W819">
        <f>COUNTIFS('Clinical Trials HCO'!$A:$A, K819, 'Clinical Trials HCO'!$D:$D, "&lt;&gt;")</f>
        <v>0</v>
      </c>
    </row>
    <row r="820" spans="2:33" hidden="1">
      <c r="F820">
        <f>COUNTIF(HCPs!W:W,HCO_Data!K820)</f>
        <v>0</v>
      </c>
      <c r="G820" t="str">
        <f>IF(COUNTIF('Testing Referrals'!B:B,HCO_Data!K820)&gt;0,"Yes","")</f>
        <v/>
      </c>
      <c r="H820">
        <f>COUNTIF('HCO referrals'!B:B,HCO_Data!K820)+COUNTIF('HCO referrals'!C:C,HCO_Data!K820)</f>
        <v>0</v>
      </c>
      <c r="I820">
        <v>430000307</v>
      </c>
      <c r="K820" t="s">
        <v>10799</v>
      </c>
      <c r="L820" t="s">
        <v>9533</v>
      </c>
      <c r="M820" t="s">
        <v>9534</v>
      </c>
      <c r="O820" t="s">
        <v>9535</v>
      </c>
      <c r="P820" t="s">
        <v>787</v>
      </c>
      <c r="Q820" t="s">
        <v>4283</v>
      </c>
      <c r="R820">
        <v>876</v>
      </c>
      <c r="S820" t="s">
        <v>10137</v>
      </c>
      <c r="T820">
        <v>-1</v>
      </c>
      <c r="W820">
        <f>COUNTIFS('Clinical Trials HCO'!$A:$A, K820, 'Clinical Trials HCO'!$D:$D, "&lt;&gt;")</f>
        <v>0</v>
      </c>
    </row>
    <row r="821" spans="2:33" hidden="1">
      <c r="F821">
        <f>COUNTIF(HCPs!W:W,HCO_Data!K821)</f>
        <v>0</v>
      </c>
      <c r="G821" t="str">
        <f>IF(COUNTIF('Testing Referrals'!B:B,HCO_Data!K821)&gt;0,"Yes","")</f>
        <v/>
      </c>
      <c r="H821">
        <f>COUNTIF('HCO referrals'!B:B,HCO_Data!K821)+COUNTIF('HCO referrals'!C:C,HCO_Data!K821)</f>
        <v>0</v>
      </c>
      <c r="I821">
        <v>430000356</v>
      </c>
      <c r="K821" t="s">
        <v>10800</v>
      </c>
      <c r="L821" t="s">
        <v>9411</v>
      </c>
      <c r="M821" t="s">
        <v>9412</v>
      </c>
      <c r="O821" t="s">
        <v>9413</v>
      </c>
      <c r="P821" t="s">
        <v>787</v>
      </c>
      <c r="Q821" t="s">
        <v>4283</v>
      </c>
      <c r="R821">
        <v>827</v>
      </c>
      <c r="S821" t="s">
        <v>10137</v>
      </c>
      <c r="T821">
        <v>-1</v>
      </c>
      <c r="W821">
        <f>COUNTIFS('Clinical Trials HCO'!$A:$A, K821, 'Clinical Trials HCO'!$D:$D, "&lt;&gt;")</f>
        <v>0</v>
      </c>
    </row>
    <row r="822" spans="2:33" hidden="1">
      <c r="F822">
        <f>COUNTIF(HCPs!W:W,HCO_Data!K822)</f>
        <v>0</v>
      </c>
      <c r="G822" t="str">
        <f>IF(COUNTIF('Testing Referrals'!B:B,HCO_Data!K822)&gt;0,"Yes","")</f>
        <v/>
      </c>
      <c r="H822">
        <f>COUNTIF('HCO referrals'!B:B,HCO_Data!K822)+COUNTIF('HCO referrals'!C:C,HCO_Data!K822)</f>
        <v>0</v>
      </c>
      <c r="I822">
        <v>440000396</v>
      </c>
      <c r="K822" t="s">
        <v>10801</v>
      </c>
      <c r="L822" t="s">
        <v>9352</v>
      </c>
      <c r="M822" t="s">
        <v>9353</v>
      </c>
      <c r="O822" t="s">
        <v>9354</v>
      </c>
      <c r="P822" t="s">
        <v>711</v>
      </c>
      <c r="Q822" t="s">
        <v>4283</v>
      </c>
      <c r="R822">
        <v>800</v>
      </c>
      <c r="S822" t="s">
        <v>10137</v>
      </c>
      <c r="T822">
        <v>-1</v>
      </c>
      <c r="W822">
        <f>COUNTIFS('Clinical Trials HCO'!$A:$A, K822, 'Clinical Trials HCO'!$D:$D, "&lt;&gt;")</f>
        <v>0</v>
      </c>
    </row>
    <row r="823" spans="2:33" hidden="1">
      <c r="F823">
        <f>COUNTIF(HCPs!W:W,HCO_Data!K823)</f>
        <v>0</v>
      </c>
      <c r="G823" t="str">
        <f>IF(COUNTIF('Testing Referrals'!B:B,HCO_Data!K823)&gt;0,"Yes","")</f>
        <v/>
      </c>
      <c r="H823">
        <f>COUNTIF('HCO referrals'!B:B,HCO_Data!K823)+COUNTIF('HCO referrals'!C:C,HCO_Data!K823)</f>
        <v>0</v>
      </c>
      <c r="I823">
        <v>440000453</v>
      </c>
      <c r="K823" t="s">
        <v>10802</v>
      </c>
      <c r="L823" t="s">
        <v>9355</v>
      </c>
      <c r="M823" t="s">
        <v>9356</v>
      </c>
      <c r="O823" t="s">
        <v>9357</v>
      </c>
      <c r="P823" t="s">
        <v>711</v>
      </c>
      <c r="Q823" t="s">
        <v>4283</v>
      </c>
      <c r="R823">
        <v>801</v>
      </c>
      <c r="S823" t="s">
        <v>10137</v>
      </c>
      <c r="T823">
        <v>-1</v>
      </c>
      <c r="W823">
        <f>COUNTIFS('Clinical Trials HCO'!$A:$A, K823, 'Clinical Trials HCO'!$D:$D, "&lt;&gt;")</f>
        <v>0</v>
      </c>
    </row>
    <row r="824" spans="2:33" hidden="1">
      <c r="B824">
        <v>472</v>
      </c>
      <c r="F824">
        <f>COUNTIF(HCPs!W:W,HCO_Data!K824)</f>
        <v>0</v>
      </c>
      <c r="G824" t="str">
        <f>IF(COUNTIF('Testing Referrals'!B:B,HCO_Data!K824)&gt;0,"Yes","")</f>
        <v/>
      </c>
      <c r="H824">
        <f>COUNTIF('HCO referrals'!B:B,HCO_Data!K824)+COUNTIF('HCO referrals'!C:C,HCO_Data!K824)</f>
        <v>0</v>
      </c>
      <c r="I824">
        <v>440000503</v>
      </c>
      <c r="K824" t="s">
        <v>10803</v>
      </c>
      <c r="L824" t="s">
        <v>2498</v>
      </c>
      <c r="M824" t="s">
        <v>2813</v>
      </c>
      <c r="N824">
        <v>44110</v>
      </c>
      <c r="O824" t="s">
        <v>2814</v>
      </c>
      <c r="Q824" t="s">
        <v>4283</v>
      </c>
      <c r="R824">
        <v>702</v>
      </c>
      <c r="S824" t="s">
        <v>10137</v>
      </c>
      <c r="T824">
        <v>-1</v>
      </c>
      <c r="W824">
        <f>COUNTIFS('Clinical Trials HCO'!$A:$A, K824, 'Clinical Trials HCO'!$D:$D, "&lt;&gt;")</f>
        <v>0</v>
      </c>
      <c r="AG824" t="s">
        <v>414</v>
      </c>
    </row>
    <row r="825" spans="2:33" hidden="1">
      <c r="F825">
        <f>COUNTIF(HCPs!W:W,HCO_Data!K825)</f>
        <v>0</v>
      </c>
      <c r="G825" t="str">
        <f>IF(COUNTIF('Testing Referrals'!B:B,HCO_Data!K825)&gt;0,"Yes","")</f>
        <v/>
      </c>
      <c r="H825">
        <f>COUNTIF('HCO referrals'!B:B,HCO_Data!K825)+COUNTIF('HCO referrals'!C:C,HCO_Data!K825)</f>
        <v>0</v>
      </c>
      <c r="I825">
        <v>440000560</v>
      </c>
      <c r="K825" t="s">
        <v>10804</v>
      </c>
      <c r="L825" t="s">
        <v>9789</v>
      </c>
      <c r="M825" t="s">
        <v>9790</v>
      </c>
      <c r="O825" t="s">
        <v>9791</v>
      </c>
      <c r="P825" t="s">
        <v>711</v>
      </c>
      <c r="Q825" t="s">
        <v>4283</v>
      </c>
      <c r="R825">
        <v>985</v>
      </c>
      <c r="S825" t="s">
        <v>10137</v>
      </c>
      <c r="T825">
        <v>-1</v>
      </c>
      <c r="W825">
        <f>COUNTIFS('Clinical Trials HCO'!$A:$A, K825, 'Clinical Trials HCO'!$D:$D, "&lt;&gt;")</f>
        <v>0</v>
      </c>
    </row>
    <row r="826" spans="2:33" hidden="1">
      <c r="F826">
        <f>COUNTIF(HCPs!W:W,HCO_Data!K826)</f>
        <v>0</v>
      </c>
      <c r="G826" t="str">
        <f>IF(COUNTIF('Testing Referrals'!B:B,HCO_Data!K826)&gt;0,"Yes","")</f>
        <v/>
      </c>
      <c r="H826">
        <f>COUNTIF('HCO referrals'!B:B,HCO_Data!K826)+COUNTIF('HCO referrals'!C:C,HCO_Data!K826)</f>
        <v>0</v>
      </c>
      <c r="I826">
        <v>440000883</v>
      </c>
      <c r="K826" t="s">
        <v>10805</v>
      </c>
      <c r="L826" t="s">
        <v>9792</v>
      </c>
      <c r="M826" t="s">
        <v>9793</v>
      </c>
      <c r="O826" t="s">
        <v>9794</v>
      </c>
      <c r="P826" t="s">
        <v>711</v>
      </c>
      <c r="Q826" t="s">
        <v>4283</v>
      </c>
      <c r="R826">
        <v>986</v>
      </c>
      <c r="S826" t="s">
        <v>10137</v>
      </c>
      <c r="T826">
        <v>-1</v>
      </c>
      <c r="W826">
        <f>COUNTIFS('Clinical Trials HCO'!$A:$A, K826, 'Clinical Trials HCO'!$D:$D, "&lt;&gt;")</f>
        <v>0</v>
      </c>
    </row>
    <row r="827" spans="2:33" hidden="1">
      <c r="F827">
        <f>COUNTIF(HCPs!W:W,HCO_Data!K827)</f>
        <v>0</v>
      </c>
      <c r="G827" t="str">
        <f>IF(COUNTIF('Testing Referrals'!B:B,HCO_Data!K827)&gt;0,"Yes","")</f>
        <v/>
      </c>
      <c r="H827">
        <f>COUNTIF('HCO referrals'!B:B,HCO_Data!K827)+COUNTIF('HCO referrals'!C:C,HCO_Data!K827)</f>
        <v>0</v>
      </c>
      <c r="I827">
        <v>440001253</v>
      </c>
      <c r="K827" t="s">
        <v>10806</v>
      </c>
      <c r="L827" t="s">
        <v>9908</v>
      </c>
      <c r="M827" t="s">
        <v>9909</v>
      </c>
      <c r="O827" t="s">
        <v>9910</v>
      </c>
      <c r="P827" t="s">
        <v>711</v>
      </c>
      <c r="Q827" t="s">
        <v>4283</v>
      </c>
      <c r="R827">
        <v>1036</v>
      </c>
      <c r="S827" t="s">
        <v>10137</v>
      </c>
      <c r="T827">
        <v>-1</v>
      </c>
      <c r="W827">
        <f>COUNTIFS('Clinical Trials HCO'!$A:$A, K827, 'Clinical Trials HCO'!$D:$D, "&lt;&gt;")</f>
        <v>0</v>
      </c>
    </row>
    <row r="828" spans="2:33" hidden="1">
      <c r="B828">
        <v>628</v>
      </c>
      <c r="F828">
        <f>COUNTIF(HCPs!W:W,HCO_Data!K828)</f>
        <v>0</v>
      </c>
      <c r="G828" t="str">
        <f>IF(COUNTIF('Testing Referrals'!B:B,HCO_Data!K828)&gt;0,"Yes","")</f>
        <v/>
      </c>
      <c r="H828">
        <f>COUNTIF('HCO referrals'!B:B,HCO_Data!K828)+COUNTIF('HCO referrals'!C:C,HCO_Data!K828)</f>
        <v>0</v>
      </c>
      <c r="I828">
        <v>440002020</v>
      </c>
      <c r="K828" t="s">
        <v>10807</v>
      </c>
      <c r="L828" t="s">
        <v>2613</v>
      </c>
      <c r="M828" t="s">
        <v>2890</v>
      </c>
      <c r="N828">
        <v>44615</v>
      </c>
      <c r="O828" t="s">
        <v>2891</v>
      </c>
      <c r="Q828" t="s">
        <v>4283</v>
      </c>
      <c r="R828">
        <v>903</v>
      </c>
      <c r="S828" t="s">
        <v>10137</v>
      </c>
      <c r="T828">
        <v>-1</v>
      </c>
      <c r="W828">
        <f>COUNTIFS('Clinical Trials HCO'!$A:$A, K828, 'Clinical Trials HCO'!$D:$D, "&lt;&gt;")</f>
        <v>0</v>
      </c>
      <c r="AG828" t="s">
        <v>414</v>
      </c>
    </row>
    <row r="829" spans="2:33" hidden="1">
      <c r="F829">
        <f>COUNTIF(HCPs!W:W,HCO_Data!K829)</f>
        <v>0</v>
      </c>
      <c r="G829" t="str">
        <f>IF(COUNTIF('Testing Referrals'!B:B,HCO_Data!K829)&gt;0,"Yes","")</f>
        <v/>
      </c>
      <c r="H829">
        <f>COUNTIF('HCO referrals'!B:B,HCO_Data!K829)+COUNTIF('HCO referrals'!C:C,HCO_Data!K829)</f>
        <v>0</v>
      </c>
      <c r="I829">
        <v>440007607</v>
      </c>
      <c r="K829" t="s">
        <v>10808</v>
      </c>
      <c r="L829" t="s">
        <v>9058</v>
      </c>
      <c r="M829" t="s">
        <v>9059</v>
      </c>
      <c r="O829" t="s">
        <v>9060</v>
      </c>
      <c r="P829" t="s">
        <v>711</v>
      </c>
      <c r="Q829" t="s">
        <v>4283</v>
      </c>
      <c r="R829">
        <v>655</v>
      </c>
      <c r="S829" t="s">
        <v>10137</v>
      </c>
      <c r="T829">
        <v>-1</v>
      </c>
      <c r="W829">
        <f>COUNTIFS('Clinical Trials HCO'!$A:$A, K829, 'Clinical Trials HCO'!$D:$D, "&lt;&gt;")</f>
        <v>0</v>
      </c>
    </row>
    <row r="830" spans="2:33" hidden="1">
      <c r="F830">
        <f>COUNTIF(HCPs!W:W,HCO_Data!K830)</f>
        <v>0</v>
      </c>
      <c r="G830" t="str">
        <f>IF(COUNTIF('Testing Referrals'!B:B,HCO_Data!K830)&gt;0,"Yes","")</f>
        <v/>
      </c>
      <c r="H830">
        <f>COUNTIF('HCO referrals'!B:B,HCO_Data!K830)+COUNTIF('HCO referrals'!C:C,HCO_Data!K830)</f>
        <v>0</v>
      </c>
      <c r="I830">
        <v>450000047</v>
      </c>
      <c r="K830" t="s">
        <v>10809</v>
      </c>
      <c r="L830" t="s">
        <v>9138</v>
      </c>
      <c r="M830" t="s">
        <v>9139</v>
      </c>
      <c r="O830" t="s">
        <v>9140</v>
      </c>
      <c r="P830" t="s">
        <v>747</v>
      </c>
      <c r="Q830" t="s">
        <v>4283</v>
      </c>
      <c r="R830">
        <v>691</v>
      </c>
      <c r="S830" t="s">
        <v>10137</v>
      </c>
      <c r="T830">
        <v>-1</v>
      </c>
      <c r="W830">
        <f>COUNTIFS('Clinical Trials HCO'!$A:$A, K830, 'Clinical Trials HCO'!$D:$D, "&lt;&gt;")</f>
        <v>0</v>
      </c>
    </row>
    <row r="831" spans="2:33" hidden="1">
      <c r="F831">
        <f>COUNTIF(HCPs!W:W,HCO_Data!K831)</f>
        <v>0</v>
      </c>
      <c r="G831" t="str">
        <f>IF(COUNTIF('Testing Referrals'!B:B,HCO_Data!K831)&gt;0,"Yes","")</f>
        <v/>
      </c>
      <c r="H831">
        <f>COUNTIF('HCO referrals'!B:B,HCO_Data!K831)+COUNTIF('HCO referrals'!C:C,HCO_Data!K831)</f>
        <v>0</v>
      </c>
      <c r="I831">
        <v>450000070</v>
      </c>
      <c r="K831" t="s">
        <v>10810</v>
      </c>
      <c r="L831" t="s">
        <v>8976</v>
      </c>
      <c r="M831" t="s">
        <v>8977</v>
      </c>
      <c r="O831" t="s">
        <v>8978</v>
      </c>
      <c r="P831" t="s">
        <v>747</v>
      </c>
      <c r="Q831" t="s">
        <v>4283</v>
      </c>
      <c r="R831">
        <v>612</v>
      </c>
      <c r="S831" t="s">
        <v>10137</v>
      </c>
      <c r="T831">
        <v>-1</v>
      </c>
      <c r="W831">
        <f>COUNTIFS('Clinical Trials HCO'!$A:$A, K831, 'Clinical Trials HCO'!$D:$D, "&lt;&gt;")</f>
        <v>0</v>
      </c>
    </row>
    <row r="832" spans="2:33" hidden="1">
      <c r="B832">
        <v>584</v>
      </c>
      <c r="F832">
        <f>COUNTIF(HCPs!W:W,HCO_Data!K832)</f>
        <v>0</v>
      </c>
      <c r="G832" t="str">
        <f>IF(COUNTIF('Testing Referrals'!B:B,HCO_Data!K832)&gt;0,"Yes","")</f>
        <v/>
      </c>
      <c r="H832">
        <f>COUNTIF('HCO referrals'!B:B,HCO_Data!K832)+COUNTIF('HCO referrals'!C:C,HCO_Data!K832)</f>
        <v>0</v>
      </c>
      <c r="I832">
        <v>450000245</v>
      </c>
      <c r="K832" t="s">
        <v>10811</v>
      </c>
      <c r="L832" t="s">
        <v>2468</v>
      </c>
      <c r="M832" t="s">
        <v>2783</v>
      </c>
      <c r="N832">
        <v>45160</v>
      </c>
      <c r="O832" t="s">
        <v>2784</v>
      </c>
      <c r="Q832" t="s">
        <v>4283</v>
      </c>
      <c r="R832">
        <v>766</v>
      </c>
      <c r="S832" t="s">
        <v>10137</v>
      </c>
      <c r="T832">
        <v>-1</v>
      </c>
      <c r="W832">
        <f>COUNTIFS('Clinical Trials HCO'!$A:$A, K832, 'Clinical Trials HCO'!$D:$D, "&lt;&gt;")</f>
        <v>0</v>
      </c>
      <c r="AF832" t="s">
        <v>414</v>
      </c>
      <c r="AG832" t="s">
        <v>414</v>
      </c>
    </row>
    <row r="833" spans="2:32" hidden="1">
      <c r="F833">
        <f>COUNTIF(HCPs!W:W,HCO_Data!K833)</f>
        <v>0</v>
      </c>
      <c r="G833" t="str">
        <f>IF(COUNTIF('Testing Referrals'!B:B,HCO_Data!K833)&gt;0,"Yes","")</f>
        <v/>
      </c>
      <c r="H833">
        <f>COUNTIF('HCO referrals'!B:B,HCO_Data!K833)+COUNTIF('HCO referrals'!C:C,HCO_Data!K833)</f>
        <v>0</v>
      </c>
      <c r="I833">
        <v>450000260</v>
      </c>
      <c r="K833" t="s">
        <v>10812</v>
      </c>
      <c r="L833" t="s">
        <v>10055</v>
      </c>
      <c r="M833" t="s">
        <v>10056</v>
      </c>
      <c r="O833" t="s">
        <v>10057</v>
      </c>
      <c r="P833" t="s">
        <v>747</v>
      </c>
      <c r="Q833" t="s">
        <v>4283</v>
      </c>
      <c r="R833">
        <v>1098</v>
      </c>
      <c r="S833" t="s">
        <v>10137</v>
      </c>
      <c r="T833">
        <v>-1</v>
      </c>
      <c r="W833">
        <f>COUNTIFS('Clinical Trials HCO'!$A:$A, K833, 'Clinical Trials HCO'!$D:$D, "&lt;&gt;")</f>
        <v>0</v>
      </c>
    </row>
    <row r="834" spans="2:32" hidden="1">
      <c r="F834">
        <f>COUNTIF(HCPs!W:W,HCO_Data!K834)</f>
        <v>0</v>
      </c>
      <c r="G834" t="str">
        <f>IF(COUNTIF('Testing Referrals'!B:B,HCO_Data!K834)&gt;0,"Yes","")</f>
        <v/>
      </c>
      <c r="H834">
        <f>COUNTIF('HCO referrals'!B:B,HCO_Data!K834)+COUNTIF('HCO referrals'!C:C,HCO_Data!K834)</f>
        <v>0</v>
      </c>
      <c r="I834">
        <v>460000045</v>
      </c>
      <c r="K834" t="s">
        <v>10813</v>
      </c>
      <c r="L834" t="s">
        <v>8919</v>
      </c>
      <c r="M834" t="s">
        <v>8920</v>
      </c>
      <c r="O834" t="s">
        <v>8921</v>
      </c>
      <c r="P834" t="s">
        <v>796</v>
      </c>
      <c r="Q834" t="s">
        <v>4283</v>
      </c>
      <c r="R834">
        <v>566</v>
      </c>
      <c r="S834" t="s">
        <v>10137</v>
      </c>
      <c r="T834">
        <v>-1</v>
      </c>
      <c r="W834">
        <f>COUNTIFS('Clinical Trials HCO'!$A:$A, K834, 'Clinical Trials HCO'!$D:$D, "&lt;&gt;")</f>
        <v>0</v>
      </c>
    </row>
    <row r="835" spans="2:32" hidden="1">
      <c r="F835">
        <f>COUNTIF(HCPs!W:W,HCO_Data!K835)</f>
        <v>0</v>
      </c>
      <c r="G835" t="str">
        <f>IF(COUNTIF('Testing Referrals'!B:B,HCO_Data!K835)&gt;0,"Yes","")</f>
        <v/>
      </c>
      <c r="H835">
        <f>COUNTIF('HCO referrals'!B:B,HCO_Data!K835)+COUNTIF('HCO referrals'!C:C,HCO_Data!K835)</f>
        <v>0</v>
      </c>
      <c r="I835">
        <v>460000052</v>
      </c>
      <c r="K835" t="s">
        <v>10814</v>
      </c>
      <c r="L835" t="s">
        <v>9465</v>
      </c>
      <c r="M835" t="s">
        <v>9466</v>
      </c>
      <c r="O835" t="s">
        <v>9467</v>
      </c>
      <c r="P835" t="s">
        <v>796</v>
      </c>
      <c r="Q835" t="s">
        <v>4283</v>
      </c>
      <c r="R835">
        <v>849</v>
      </c>
      <c r="S835" t="s">
        <v>10137</v>
      </c>
      <c r="T835">
        <v>-1</v>
      </c>
      <c r="W835">
        <f>COUNTIFS('Clinical Trials HCO'!$A:$A, K835, 'Clinical Trials HCO'!$D:$D, "&lt;&gt;")</f>
        <v>0</v>
      </c>
    </row>
    <row r="836" spans="2:32" hidden="1">
      <c r="F836">
        <f>COUNTIF(HCPs!W:W,HCO_Data!K836)</f>
        <v>0</v>
      </c>
      <c r="G836" t="str">
        <f>IF(COUNTIF('Testing Referrals'!B:B,HCO_Data!K836)&gt;0,"Yes","")</f>
        <v/>
      </c>
      <c r="H836">
        <f>COUNTIF('HCO referrals'!B:B,HCO_Data!K836)+COUNTIF('HCO referrals'!C:C,HCO_Data!K836)</f>
        <v>0</v>
      </c>
      <c r="I836">
        <v>460000102</v>
      </c>
      <c r="K836" t="s">
        <v>10815</v>
      </c>
      <c r="L836" t="s">
        <v>9468</v>
      </c>
      <c r="M836" t="s">
        <v>9469</v>
      </c>
      <c r="O836" t="s">
        <v>9470</v>
      </c>
      <c r="P836" t="s">
        <v>796</v>
      </c>
      <c r="Q836" t="s">
        <v>4283</v>
      </c>
      <c r="R836">
        <v>850</v>
      </c>
      <c r="S836" t="s">
        <v>10137</v>
      </c>
      <c r="T836">
        <v>-1</v>
      </c>
      <c r="W836">
        <f>COUNTIFS('Clinical Trials HCO'!$A:$A, K836, 'Clinical Trials HCO'!$D:$D, "&lt;&gt;")</f>
        <v>0</v>
      </c>
    </row>
    <row r="837" spans="2:32" hidden="1">
      <c r="F837">
        <f>COUNTIF(HCPs!W:W,HCO_Data!K837)</f>
        <v>0</v>
      </c>
      <c r="G837" t="str">
        <f>IF(COUNTIF('Testing Referrals'!B:B,HCO_Data!K837)&gt;0,"Yes","")</f>
        <v/>
      </c>
      <c r="H837">
        <f>COUNTIF('HCO referrals'!B:B,HCO_Data!K837)+COUNTIF('HCO referrals'!C:C,HCO_Data!K837)</f>
        <v>0</v>
      </c>
      <c r="I837">
        <v>460000227</v>
      </c>
      <c r="K837" t="s">
        <v>10816</v>
      </c>
      <c r="L837" t="s">
        <v>9536</v>
      </c>
      <c r="M837" t="s">
        <v>9537</v>
      </c>
      <c r="O837" t="s">
        <v>9538</v>
      </c>
      <c r="P837" t="s">
        <v>796</v>
      </c>
      <c r="Q837" t="s">
        <v>4283</v>
      </c>
      <c r="R837">
        <v>877</v>
      </c>
      <c r="S837" t="s">
        <v>10137</v>
      </c>
      <c r="T837">
        <v>-1</v>
      </c>
      <c r="W837">
        <f>COUNTIFS('Clinical Trials HCO'!$A:$A, K837, 'Clinical Trials HCO'!$D:$D, "&lt;&gt;")</f>
        <v>0</v>
      </c>
    </row>
    <row r="838" spans="2:32" hidden="1">
      <c r="B838">
        <v>599</v>
      </c>
      <c r="F838">
        <f>COUNTIF(HCPs!W:W,HCO_Data!K838)</f>
        <v>0</v>
      </c>
      <c r="G838" t="str">
        <f>IF(COUNTIF('Testing Referrals'!B:B,HCO_Data!K838)&gt;0,"Yes","")</f>
        <v/>
      </c>
      <c r="H838">
        <f>COUNTIF('HCO referrals'!B:B,HCO_Data!K838)+COUNTIF('HCO referrals'!C:C,HCO_Data!K838)</f>
        <v>0</v>
      </c>
      <c r="I838">
        <v>470000480</v>
      </c>
      <c r="K838" t="s">
        <v>10817</v>
      </c>
      <c r="L838" t="s">
        <v>2379</v>
      </c>
      <c r="M838" t="s">
        <v>2651</v>
      </c>
      <c r="N838">
        <v>47207</v>
      </c>
      <c r="O838" t="s">
        <v>2652</v>
      </c>
      <c r="Q838" t="s">
        <v>4283</v>
      </c>
      <c r="R838">
        <v>660</v>
      </c>
      <c r="S838" t="s">
        <v>10137</v>
      </c>
      <c r="T838">
        <v>-1</v>
      </c>
      <c r="W838">
        <f>COUNTIFS('Clinical Trials HCO'!$A:$A, K838, 'Clinical Trials HCO'!$D:$D, "&lt;&gt;")</f>
        <v>0</v>
      </c>
      <c r="AF838" t="s">
        <v>414</v>
      </c>
    </row>
    <row r="839" spans="2:32" hidden="1">
      <c r="F839">
        <f>COUNTIF(HCPs!W:W,HCO_Data!K839)</f>
        <v>0</v>
      </c>
      <c r="G839" t="str">
        <f>IF(COUNTIF('Testing Referrals'!B:B,HCO_Data!K839)&gt;0,"Yes","")</f>
        <v/>
      </c>
      <c r="H839">
        <f>COUNTIF('HCO referrals'!B:B,HCO_Data!K839)+COUNTIF('HCO referrals'!C:C,HCO_Data!K839)</f>
        <v>0</v>
      </c>
      <c r="I839">
        <v>470000522</v>
      </c>
      <c r="K839" t="s">
        <v>10818</v>
      </c>
      <c r="L839" t="s">
        <v>9911</v>
      </c>
      <c r="M839" t="s">
        <v>9912</v>
      </c>
      <c r="O839" t="s">
        <v>9913</v>
      </c>
      <c r="P839" t="s">
        <v>744</v>
      </c>
      <c r="Q839" t="s">
        <v>4283</v>
      </c>
      <c r="R839">
        <v>1037</v>
      </c>
      <c r="S839" t="s">
        <v>10137</v>
      </c>
      <c r="T839">
        <v>-1</v>
      </c>
      <c r="W839">
        <f>COUNTIFS('Clinical Trials HCO'!$A:$A, K839, 'Clinical Trials HCO'!$D:$D, "&lt;&gt;")</f>
        <v>0</v>
      </c>
    </row>
    <row r="840" spans="2:32" hidden="1">
      <c r="F840">
        <f>COUNTIF(HCPs!W:W,HCO_Data!K840)</f>
        <v>0</v>
      </c>
      <c r="G840" t="str">
        <f>IF(COUNTIF('Testing Referrals'!B:B,HCO_Data!K840)&gt;0,"Yes","")</f>
        <v/>
      </c>
      <c r="H840">
        <f>COUNTIF('HCO referrals'!B:B,HCO_Data!K840)+COUNTIF('HCO referrals'!C:C,HCO_Data!K840)</f>
        <v>0</v>
      </c>
      <c r="I840">
        <v>470016049</v>
      </c>
      <c r="K840" t="s">
        <v>10819</v>
      </c>
      <c r="L840" t="s">
        <v>9185</v>
      </c>
      <c r="M840">
        <v>0</v>
      </c>
      <c r="O840" t="s">
        <v>8953</v>
      </c>
      <c r="P840" t="s">
        <v>744</v>
      </c>
      <c r="Q840" t="s">
        <v>4283</v>
      </c>
      <c r="R840">
        <v>724</v>
      </c>
      <c r="S840" t="s">
        <v>10137</v>
      </c>
      <c r="T840">
        <v>-1</v>
      </c>
      <c r="W840">
        <f>COUNTIFS('Clinical Trials HCO'!$A:$A, K840, 'Clinical Trials HCO'!$D:$D, "&lt;&gt;")</f>
        <v>0</v>
      </c>
    </row>
    <row r="841" spans="2:32" hidden="1">
      <c r="F841">
        <f>COUNTIF(HCPs!W:W,HCO_Data!K841)</f>
        <v>0</v>
      </c>
      <c r="G841" t="str">
        <f>IF(COUNTIF('Testing Referrals'!B:B,HCO_Data!K841)&gt;0,"Yes","")</f>
        <v/>
      </c>
      <c r="H841">
        <f>COUNTIF('HCO referrals'!B:B,HCO_Data!K841)+COUNTIF('HCO referrals'!C:C,HCO_Data!K841)</f>
        <v>0</v>
      </c>
      <c r="I841">
        <v>480000033</v>
      </c>
      <c r="K841" t="s">
        <v>10820</v>
      </c>
      <c r="L841" t="s">
        <v>10058</v>
      </c>
      <c r="M841" t="s">
        <v>10059</v>
      </c>
      <c r="O841" t="s">
        <v>10060</v>
      </c>
      <c r="P841" t="s">
        <v>799</v>
      </c>
      <c r="Q841" t="s">
        <v>4283</v>
      </c>
      <c r="R841">
        <v>1099</v>
      </c>
      <c r="S841" t="s">
        <v>10137</v>
      </c>
      <c r="T841">
        <v>-1</v>
      </c>
      <c r="W841">
        <f>COUNTIFS('Clinical Trials HCO'!$A:$A, K841, 'Clinical Trials HCO'!$D:$D, "&lt;&gt;")</f>
        <v>0</v>
      </c>
    </row>
    <row r="842" spans="2:32" hidden="1">
      <c r="F842">
        <f>COUNTIF(HCPs!W:W,HCO_Data!K842)</f>
        <v>0</v>
      </c>
      <c r="G842" t="str">
        <f>IF(COUNTIF('Testing Referrals'!B:B,HCO_Data!K842)&gt;0,"Yes","")</f>
        <v/>
      </c>
      <c r="H842">
        <f>COUNTIF('HCO referrals'!B:B,HCO_Data!K842)+COUNTIF('HCO referrals'!C:C,HCO_Data!K842)</f>
        <v>0</v>
      </c>
      <c r="I842">
        <v>480000041</v>
      </c>
      <c r="K842" t="s">
        <v>10821</v>
      </c>
      <c r="L842" t="s">
        <v>9914</v>
      </c>
      <c r="M842" t="s">
        <v>9915</v>
      </c>
      <c r="O842" t="s">
        <v>9916</v>
      </c>
      <c r="P842" t="s">
        <v>799</v>
      </c>
      <c r="Q842" t="s">
        <v>4283</v>
      </c>
      <c r="R842">
        <v>1038</v>
      </c>
      <c r="S842" t="s">
        <v>10137</v>
      </c>
      <c r="T842">
        <v>-1</v>
      </c>
      <c r="W842">
        <f>COUNTIFS('Clinical Trials HCO'!$A:$A, K842, 'Clinical Trials HCO'!$D:$D, "&lt;&gt;")</f>
        <v>0</v>
      </c>
    </row>
    <row r="843" spans="2:32" hidden="1">
      <c r="F843">
        <f>COUNTIF(HCPs!W:W,HCO_Data!K843)</f>
        <v>0</v>
      </c>
      <c r="G843" t="str">
        <f>IF(COUNTIF('Testing Referrals'!B:B,HCO_Data!K843)&gt;0,"Yes","")</f>
        <v/>
      </c>
      <c r="H843">
        <f>COUNTIF('HCO referrals'!B:B,HCO_Data!K843)+COUNTIF('HCO referrals'!C:C,HCO_Data!K843)</f>
        <v>0</v>
      </c>
      <c r="I843">
        <v>480000066</v>
      </c>
      <c r="K843" t="s">
        <v>10822</v>
      </c>
      <c r="L843" t="s">
        <v>9539</v>
      </c>
      <c r="M843" t="s">
        <v>9540</v>
      </c>
      <c r="O843" t="s">
        <v>9541</v>
      </c>
      <c r="P843" t="s">
        <v>799</v>
      </c>
      <c r="Q843" t="s">
        <v>4283</v>
      </c>
      <c r="R843">
        <v>878</v>
      </c>
      <c r="S843" t="s">
        <v>10137</v>
      </c>
      <c r="T843">
        <v>-1</v>
      </c>
      <c r="W843">
        <f>COUNTIFS('Clinical Trials HCO'!$A:$A, K843, 'Clinical Trials HCO'!$D:$D, "&lt;&gt;")</f>
        <v>0</v>
      </c>
    </row>
    <row r="844" spans="2:32" hidden="1">
      <c r="F844">
        <f>COUNTIF(HCPs!W:W,HCO_Data!K844)</f>
        <v>0</v>
      </c>
      <c r="G844" t="str">
        <f>IF(COUNTIF('Testing Referrals'!B:B,HCO_Data!K844)&gt;0,"Yes","")</f>
        <v/>
      </c>
      <c r="H844">
        <f>COUNTIF('HCO referrals'!B:B,HCO_Data!K844)+COUNTIF('HCO referrals'!C:C,HCO_Data!K844)</f>
        <v>0</v>
      </c>
      <c r="I844">
        <v>480000074</v>
      </c>
      <c r="K844" t="s">
        <v>10823</v>
      </c>
      <c r="L844" t="s">
        <v>9602</v>
      </c>
      <c r="M844" t="s">
        <v>9603</v>
      </c>
      <c r="O844" t="s">
        <v>9604</v>
      </c>
      <c r="P844" t="s">
        <v>799</v>
      </c>
      <c r="Q844" t="s">
        <v>4283</v>
      </c>
      <c r="R844">
        <v>904</v>
      </c>
      <c r="S844" t="s">
        <v>10137</v>
      </c>
      <c r="T844">
        <v>-1</v>
      </c>
      <c r="W844">
        <f>COUNTIFS('Clinical Trials HCO'!$A:$A, K844, 'Clinical Trials HCO'!$D:$D, "&lt;&gt;")</f>
        <v>0</v>
      </c>
    </row>
    <row r="845" spans="2:32" hidden="1">
      <c r="F845">
        <f>COUNTIF(HCPs!W:W,HCO_Data!K845)</f>
        <v>0</v>
      </c>
      <c r="G845" t="str">
        <f>IF(COUNTIF('Testing Referrals'!B:B,HCO_Data!K845)&gt;0,"Yes","")</f>
        <v/>
      </c>
      <c r="H845">
        <f>COUNTIF('HCO referrals'!B:B,HCO_Data!K845)+COUNTIF('HCO referrals'!C:C,HCO_Data!K845)</f>
        <v>0</v>
      </c>
      <c r="I845">
        <v>480002948</v>
      </c>
      <c r="K845" t="s">
        <v>10824</v>
      </c>
      <c r="L845" t="s">
        <v>9795</v>
      </c>
      <c r="M845" t="s">
        <v>9540</v>
      </c>
      <c r="O845" t="s">
        <v>9541</v>
      </c>
      <c r="P845" t="s">
        <v>799</v>
      </c>
      <c r="Q845" t="s">
        <v>4283</v>
      </c>
      <c r="R845">
        <v>987</v>
      </c>
      <c r="S845" t="s">
        <v>10137</v>
      </c>
      <c r="T845">
        <v>-1</v>
      </c>
      <c r="W845">
        <f>COUNTIFS('Clinical Trials HCO'!$A:$A, K845, 'Clinical Trials HCO'!$D:$D, "&lt;&gt;")</f>
        <v>0</v>
      </c>
    </row>
    <row r="846" spans="2:32" hidden="1">
      <c r="F846">
        <f>COUNTIF(HCPs!W:W,HCO_Data!K846)</f>
        <v>0</v>
      </c>
      <c r="G846" t="str">
        <f>IF(COUNTIF('Testing Referrals'!B:B,HCO_Data!K846)&gt;0,"Yes","")</f>
        <v/>
      </c>
      <c r="H846">
        <f>COUNTIF('HCO referrals'!B:B,HCO_Data!K846)+COUNTIF('HCO referrals'!C:C,HCO_Data!K846)</f>
        <v>0</v>
      </c>
      <c r="I846">
        <v>490000494</v>
      </c>
      <c r="K846" t="s">
        <v>10825</v>
      </c>
      <c r="L846" t="s">
        <v>10061</v>
      </c>
      <c r="M846" t="s">
        <v>10062</v>
      </c>
      <c r="O846" t="s">
        <v>10063</v>
      </c>
      <c r="P846" t="s">
        <v>708</v>
      </c>
      <c r="Q846" t="s">
        <v>4283</v>
      </c>
      <c r="R846">
        <v>1100</v>
      </c>
      <c r="S846" t="s">
        <v>10137</v>
      </c>
      <c r="T846">
        <v>-1</v>
      </c>
      <c r="W846">
        <f>COUNTIFS('Clinical Trials HCO'!$A:$A, K846, 'Clinical Trials HCO'!$D:$D, "&lt;&gt;")</f>
        <v>0</v>
      </c>
    </row>
    <row r="847" spans="2:32" hidden="1">
      <c r="F847">
        <f>COUNTIF(HCPs!W:W,HCO_Data!K847)</f>
        <v>0</v>
      </c>
      <c r="G847" t="str">
        <f>IF(COUNTIF('Testing Referrals'!B:B,HCO_Data!K847)&gt;0,"Yes","")</f>
        <v/>
      </c>
      <c r="H847">
        <f>COUNTIF('HCO referrals'!B:B,HCO_Data!K847)+COUNTIF('HCO referrals'!C:C,HCO_Data!K847)</f>
        <v>0</v>
      </c>
      <c r="I847">
        <v>490000650</v>
      </c>
      <c r="K847" t="s">
        <v>10826</v>
      </c>
      <c r="L847" t="s">
        <v>10064</v>
      </c>
      <c r="M847" t="s">
        <v>10065</v>
      </c>
      <c r="O847" t="s">
        <v>10066</v>
      </c>
      <c r="P847" t="s">
        <v>708</v>
      </c>
      <c r="Q847" t="s">
        <v>4283</v>
      </c>
      <c r="R847">
        <v>1101</v>
      </c>
      <c r="S847" t="s">
        <v>10137</v>
      </c>
      <c r="T847">
        <v>-1</v>
      </c>
      <c r="W847">
        <f>COUNTIFS('Clinical Trials HCO'!$A:$A, K847, 'Clinical Trials HCO'!$D:$D, "&lt;&gt;")</f>
        <v>0</v>
      </c>
    </row>
    <row r="848" spans="2:32" hidden="1">
      <c r="F848">
        <f>COUNTIF(HCPs!W:W,HCO_Data!K848)</f>
        <v>0</v>
      </c>
      <c r="G848" t="str">
        <f>IF(COUNTIF('Testing Referrals'!B:B,HCO_Data!K848)&gt;0,"Yes","")</f>
        <v/>
      </c>
      <c r="H848">
        <f>COUNTIF('HCO referrals'!B:B,HCO_Data!K848)+COUNTIF('HCO referrals'!C:C,HCO_Data!K848)</f>
        <v>0</v>
      </c>
      <c r="I848">
        <v>490004256</v>
      </c>
      <c r="K848" t="s">
        <v>10827</v>
      </c>
      <c r="L848" t="s">
        <v>9689</v>
      </c>
      <c r="M848" t="s">
        <v>9690</v>
      </c>
      <c r="O848" t="s">
        <v>9691</v>
      </c>
      <c r="P848" t="s">
        <v>708</v>
      </c>
      <c r="Q848" t="s">
        <v>4283</v>
      </c>
      <c r="R848">
        <v>941</v>
      </c>
      <c r="S848" t="s">
        <v>10137</v>
      </c>
      <c r="T848">
        <v>-1</v>
      </c>
      <c r="W848">
        <f>COUNTIFS('Clinical Trials HCO'!$A:$A, K848, 'Clinical Trials HCO'!$D:$D, "&lt;&gt;")</f>
        <v>0</v>
      </c>
    </row>
    <row r="849" spans="2:33" hidden="1">
      <c r="F849">
        <f>COUNTIF(HCPs!W:W,HCO_Data!K849)</f>
        <v>0</v>
      </c>
      <c r="G849" t="str">
        <f>IF(COUNTIF('Testing Referrals'!B:B,HCO_Data!K849)&gt;0,"Yes","")</f>
        <v/>
      </c>
      <c r="H849">
        <f>COUNTIF('HCO referrals'!B:B,HCO_Data!K849)+COUNTIF('HCO referrals'!C:C,HCO_Data!K849)</f>
        <v>0</v>
      </c>
      <c r="I849">
        <v>490020245</v>
      </c>
      <c r="K849" t="s">
        <v>10828</v>
      </c>
      <c r="L849" t="s">
        <v>9917</v>
      </c>
      <c r="M849" t="s">
        <v>9918</v>
      </c>
      <c r="O849" t="s">
        <v>9919</v>
      </c>
      <c r="P849" t="s">
        <v>708</v>
      </c>
      <c r="Q849" t="s">
        <v>4283</v>
      </c>
      <c r="R849">
        <v>1039</v>
      </c>
      <c r="S849" t="s">
        <v>10137</v>
      </c>
      <c r="T849">
        <v>-1</v>
      </c>
      <c r="W849">
        <f>COUNTIFS('Clinical Trials HCO'!$A:$A, K849, 'Clinical Trials HCO'!$D:$D, "&lt;&gt;")</f>
        <v>0</v>
      </c>
    </row>
    <row r="850" spans="2:33" hidden="1">
      <c r="F850">
        <f>COUNTIF(HCPs!W:W,HCO_Data!K850)</f>
        <v>0</v>
      </c>
      <c r="G850" t="str">
        <f>IF(COUNTIF('Testing Referrals'!B:B,HCO_Data!K850)&gt;0,"Yes","")</f>
        <v/>
      </c>
      <c r="H850">
        <f>COUNTIF('HCO referrals'!B:B,HCO_Data!K850)+COUNTIF('HCO referrals'!C:C,HCO_Data!K850)</f>
        <v>0</v>
      </c>
      <c r="I850">
        <v>500000476</v>
      </c>
      <c r="K850" t="s">
        <v>10829</v>
      </c>
      <c r="L850" t="s">
        <v>9920</v>
      </c>
      <c r="M850" t="s">
        <v>9921</v>
      </c>
      <c r="O850" t="s">
        <v>9922</v>
      </c>
      <c r="P850" t="s">
        <v>778</v>
      </c>
      <c r="Q850" t="s">
        <v>4283</v>
      </c>
      <c r="R850">
        <v>1040</v>
      </c>
      <c r="S850" t="s">
        <v>10137</v>
      </c>
      <c r="T850">
        <v>-1</v>
      </c>
      <c r="W850">
        <f>COUNTIFS('Clinical Trials HCO'!$A:$A, K850, 'Clinical Trials HCO'!$D:$D, "&lt;&gt;")</f>
        <v>0</v>
      </c>
    </row>
    <row r="851" spans="2:33" hidden="1">
      <c r="F851">
        <f>COUNTIF(HCPs!W:W,HCO_Data!K851)</f>
        <v>0</v>
      </c>
      <c r="G851" t="str">
        <f>IF(COUNTIF('Testing Referrals'!B:B,HCO_Data!K851)&gt;0,"Yes","")</f>
        <v/>
      </c>
      <c r="H851">
        <f>COUNTIF('HCO referrals'!B:B,HCO_Data!K851)+COUNTIF('HCO referrals'!C:C,HCO_Data!K851)</f>
        <v>0</v>
      </c>
      <c r="I851">
        <v>500000591</v>
      </c>
      <c r="K851" t="s">
        <v>10830</v>
      </c>
      <c r="L851" t="s">
        <v>9236</v>
      </c>
      <c r="M851" t="s">
        <v>9237</v>
      </c>
      <c r="O851" t="s">
        <v>9238</v>
      </c>
      <c r="P851" t="s">
        <v>778</v>
      </c>
      <c r="Q851" t="s">
        <v>4283</v>
      </c>
      <c r="R851">
        <v>747</v>
      </c>
      <c r="S851" t="s">
        <v>10137</v>
      </c>
      <c r="T851">
        <v>-1</v>
      </c>
      <c r="W851">
        <f>COUNTIFS('Clinical Trials HCO'!$A:$A, K851, 'Clinical Trials HCO'!$D:$D, "&lt;&gt;")</f>
        <v>0</v>
      </c>
    </row>
    <row r="852" spans="2:33" hidden="1">
      <c r="F852">
        <f>COUNTIF(HCPs!W:W,HCO_Data!K852)</f>
        <v>0</v>
      </c>
      <c r="G852" t="str">
        <f>IF(COUNTIF('Testing Referrals'!B:B,HCO_Data!K852)&gt;0,"Yes","")</f>
        <v/>
      </c>
      <c r="H852">
        <f>COUNTIF('HCO referrals'!B:B,HCO_Data!K852)+COUNTIF('HCO referrals'!C:C,HCO_Data!K852)</f>
        <v>0</v>
      </c>
      <c r="I852">
        <v>510000177</v>
      </c>
      <c r="K852" t="s">
        <v>10831</v>
      </c>
      <c r="L852" t="s">
        <v>9692</v>
      </c>
      <c r="M852" t="s">
        <v>9693</v>
      </c>
      <c r="O852" t="s">
        <v>9694</v>
      </c>
      <c r="P852" t="s">
        <v>706</v>
      </c>
      <c r="Q852" t="s">
        <v>4283</v>
      </c>
      <c r="R852">
        <v>942</v>
      </c>
      <c r="S852" t="s">
        <v>10137</v>
      </c>
      <c r="T852">
        <v>-1</v>
      </c>
      <c r="W852">
        <f>COUNTIFS('Clinical Trials HCO'!$A:$A, K852, 'Clinical Trials HCO'!$D:$D, "&lt;&gt;")</f>
        <v>0</v>
      </c>
    </row>
    <row r="853" spans="2:33" hidden="1">
      <c r="F853">
        <f>COUNTIF(HCPs!W:W,HCO_Data!K853)</f>
        <v>0</v>
      </c>
      <c r="G853" t="str">
        <f>IF(COUNTIF('Testing Referrals'!B:B,HCO_Data!K853)&gt;0,"Yes","")</f>
        <v/>
      </c>
      <c r="H853">
        <f>COUNTIF('HCO referrals'!B:B,HCO_Data!K853)+COUNTIF('HCO referrals'!C:C,HCO_Data!K853)</f>
        <v>0</v>
      </c>
      <c r="I853">
        <v>510000235</v>
      </c>
      <c r="K853" t="s">
        <v>10832</v>
      </c>
      <c r="L853" t="s">
        <v>9141</v>
      </c>
      <c r="M853" t="s">
        <v>9142</v>
      </c>
      <c r="O853" t="s">
        <v>9143</v>
      </c>
      <c r="P853" t="s">
        <v>706</v>
      </c>
      <c r="Q853" t="s">
        <v>4283</v>
      </c>
      <c r="R853">
        <v>692</v>
      </c>
      <c r="S853" t="s">
        <v>10137</v>
      </c>
      <c r="T853">
        <v>-1</v>
      </c>
      <c r="W853">
        <f>COUNTIFS('Clinical Trials HCO'!$A:$A, K853, 'Clinical Trials HCO'!$D:$D, "&lt;&gt;")</f>
        <v>0</v>
      </c>
    </row>
    <row r="854" spans="2:33" hidden="1">
      <c r="F854">
        <f>COUNTIF(HCPs!W:W,HCO_Data!K854)</f>
        <v>0</v>
      </c>
      <c r="G854" t="str">
        <f>IF(COUNTIF('Testing Referrals'!B:B,HCO_Data!K854)&gt;0,"Yes","")</f>
        <v/>
      </c>
      <c r="H854">
        <f>COUNTIF('HCO referrals'!B:B,HCO_Data!K854)+COUNTIF('HCO referrals'!C:C,HCO_Data!K854)</f>
        <v>0</v>
      </c>
      <c r="I854">
        <v>510000243</v>
      </c>
      <c r="K854" t="s">
        <v>10833</v>
      </c>
      <c r="L854" t="s">
        <v>9605</v>
      </c>
      <c r="M854" t="s">
        <v>9606</v>
      </c>
      <c r="O854" t="s">
        <v>9143</v>
      </c>
      <c r="P854" t="s">
        <v>706</v>
      </c>
      <c r="Q854" t="s">
        <v>4283</v>
      </c>
      <c r="R854">
        <v>905</v>
      </c>
      <c r="S854" t="s">
        <v>10137</v>
      </c>
      <c r="T854">
        <v>-1</v>
      </c>
      <c r="W854">
        <f>COUNTIFS('Clinical Trials HCO'!$A:$A, K854, 'Clinical Trials HCO'!$D:$D, "&lt;&gt;")</f>
        <v>0</v>
      </c>
    </row>
    <row r="855" spans="2:33" hidden="1">
      <c r="F855">
        <f>COUNTIF(HCPs!W:W,HCO_Data!K855)</f>
        <v>0</v>
      </c>
      <c r="G855" t="str">
        <f>IF(COUNTIF('Testing Referrals'!B:B,HCO_Data!K855)&gt;0,"Yes","")</f>
        <v/>
      </c>
      <c r="H855">
        <f>COUNTIF('HCO referrals'!B:B,HCO_Data!K855)+COUNTIF('HCO referrals'!C:C,HCO_Data!K855)</f>
        <v>0</v>
      </c>
      <c r="I855">
        <v>510000250</v>
      </c>
      <c r="K855" t="s">
        <v>10834</v>
      </c>
      <c r="L855" t="s">
        <v>9274</v>
      </c>
      <c r="M855" t="s">
        <v>9275</v>
      </c>
      <c r="O855" t="s">
        <v>9276</v>
      </c>
      <c r="P855" t="s">
        <v>706</v>
      </c>
      <c r="Q855" t="s">
        <v>4283</v>
      </c>
      <c r="R855">
        <v>767</v>
      </c>
      <c r="S855" t="s">
        <v>10137</v>
      </c>
      <c r="T855">
        <v>-1</v>
      </c>
      <c r="W855">
        <f>COUNTIFS('Clinical Trials HCO'!$A:$A, K855, 'Clinical Trials HCO'!$D:$D, "&lt;&gt;")</f>
        <v>0</v>
      </c>
    </row>
    <row r="856" spans="2:33" hidden="1">
      <c r="F856">
        <f>COUNTIF(HCPs!W:W,HCO_Data!K856)</f>
        <v>0</v>
      </c>
      <c r="G856" t="str">
        <f>IF(COUNTIF('Testing Referrals'!B:B,HCO_Data!K856)&gt;0,"Yes","")</f>
        <v/>
      </c>
      <c r="H856">
        <f>COUNTIF('HCO referrals'!B:B,HCO_Data!K856)+COUNTIF('HCO referrals'!C:C,HCO_Data!K856)</f>
        <v>0</v>
      </c>
      <c r="I856">
        <v>510012040</v>
      </c>
      <c r="K856" t="s">
        <v>10835</v>
      </c>
      <c r="L856" t="s">
        <v>9923</v>
      </c>
      <c r="M856" t="s">
        <v>9924</v>
      </c>
      <c r="O856" t="s">
        <v>880</v>
      </c>
      <c r="P856" t="s">
        <v>706</v>
      </c>
      <c r="Q856" t="s">
        <v>4283</v>
      </c>
      <c r="R856">
        <v>1041</v>
      </c>
      <c r="S856" t="s">
        <v>10137</v>
      </c>
      <c r="T856">
        <v>-1</v>
      </c>
      <c r="W856">
        <f>COUNTIFS('Clinical Trials HCO'!$A:$A, K856, 'Clinical Trials HCO'!$D:$D, "&lt;&gt;")</f>
        <v>0</v>
      </c>
    </row>
    <row r="857" spans="2:33" hidden="1">
      <c r="F857">
        <f>COUNTIF(HCPs!W:W,HCO_Data!K857)</f>
        <v>0</v>
      </c>
      <c r="G857" t="str">
        <f>IF(COUNTIF('Testing Referrals'!B:B,HCO_Data!K857)&gt;0,"Yes","")</f>
        <v/>
      </c>
      <c r="H857">
        <f>COUNTIF('HCO referrals'!B:B,HCO_Data!K857)+COUNTIF('HCO referrals'!C:C,HCO_Data!K857)</f>
        <v>0</v>
      </c>
      <c r="I857">
        <v>520000019</v>
      </c>
      <c r="K857" t="s">
        <v>10836</v>
      </c>
      <c r="L857" t="s">
        <v>9925</v>
      </c>
      <c r="M857" t="s">
        <v>9926</v>
      </c>
      <c r="O857" t="s">
        <v>9927</v>
      </c>
      <c r="P857" t="s">
        <v>779</v>
      </c>
      <c r="Q857" t="s">
        <v>4283</v>
      </c>
      <c r="R857">
        <v>1042</v>
      </c>
      <c r="S857" t="s">
        <v>10137</v>
      </c>
      <c r="T857">
        <v>-1</v>
      </c>
      <c r="W857">
        <f>COUNTIFS('Clinical Trials HCO'!$A:$A, K857, 'Clinical Trials HCO'!$D:$D, "&lt;&gt;")</f>
        <v>0</v>
      </c>
    </row>
    <row r="858" spans="2:33" hidden="1">
      <c r="F858">
        <f>COUNTIF(HCPs!W:W,HCO_Data!K858)</f>
        <v>0</v>
      </c>
      <c r="G858" t="str">
        <f>IF(COUNTIF('Testing Referrals'!B:B,HCO_Data!K858)&gt;0,"Yes","")</f>
        <v/>
      </c>
      <c r="H858">
        <f>COUNTIF('HCO referrals'!B:B,HCO_Data!K858)+COUNTIF('HCO referrals'!C:C,HCO_Data!K858)</f>
        <v>0</v>
      </c>
      <c r="I858">
        <v>520000027</v>
      </c>
      <c r="K858" t="s">
        <v>10837</v>
      </c>
      <c r="L858" t="s">
        <v>9091</v>
      </c>
      <c r="M858" t="s">
        <v>9092</v>
      </c>
      <c r="O858" t="s">
        <v>9093</v>
      </c>
      <c r="P858" t="s">
        <v>779</v>
      </c>
      <c r="Q858" t="s">
        <v>4283</v>
      </c>
      <c r="R858">
        <v>669</v>
      </c>
      <c r="S858" t="s">
        <v>10137</v>
      </c>
      <c r="T858">
        <v>-1</v>
      </c>
      <c r="W858">
        <f>COUNTIFS('Clinical Trials HCO'!$A:$A, K858, 'Clinical Trials HCO'!$D:$D, "&lt;&gt;")</f>
        <v>0</v>
      </c>
    </row>
    <row r="859" spans="2:33" hidden="1">
      <c r="F859">
        <f>COUNTIF(HCPs!W:W,HCO_Data!K859)</f>
        <v>0</v>
      </c>
      <c r="G859" t="str">
        <f>IF(COUNTIF('Testing Referrals'!B:B,HCO_Data!K859)&gt;0,"Yes","")</f>
        <v/>
      </c>
      <c r="H859">
        <f>COUNTIF('HCO referrals'!B:B,HCO_Data!K859)+COUNTIF('HCO referrals'!C:C,HCO_Data!K859)</f>
        <v>0</v>
      </c>
      <c r="I859">
        <v>520000035</v>
      </c>
      <c r="K859" t="s">
        <v>10838</v>
      </c>
      <c r="L859" t="s">
        <v>10067</v>
      </c>
      <c r="M859" t="s">
        <v>10068</v>
      </c>
      <c r="O859" t="s">
        <v>10069</v>
      </c>
      <c r="P859" t="s">
        <v>779</v>
      </c>
      <c r="Q859" t="s">
        <v>4283</v>
      </c>
      <c r="R859">
        <v>1102</v>
      </c>
      <c r="S859" t="s">
        <v>10137</v>
      </c>
      <c r="T859">
        <v>-1</v>
      </c>
      <c r="W859">
        <f>COUNTIFS('Clinical Trials HCO'!$A:$A, K859, 'Clinical Trials HCO'!$D:$D, "&lt;&gt;")</f>
        <v>0</v>
      </c>
    </row>
    <row r="860" spans="2:33" hidden="1">
      <c r="F860">
        <f>COUNTIF(HCPs!W:W,HCO_Data!K860)</f>
        <v>0</v>
      </c>
      <c r="G860" t="str">
        <f>IF(COUNTIF('Testing Referrals'!B:B,HCO_Data!K860)&gt;0,"Yes","")</f>
        <v/>
      </c>
      <c r="H860">
        <f>COUNTIF('HCO referrals'!B:B,HCO_Data!K860)+COUNTIF('HCO referrals'!C:C,HCO_Data!K860)</f>
        <v>0</v>
      </c>
      <c r="I860">
        <v>520000043</v>
      </c>
      <c r="K860" t="s">
        <v>10839</v>
      </c>
      <c r="L860" t="s">
        <v>9165</v>
      </c>
      <c r="M860" t="s">
        <v>9166</v>
      </c>
      <c r="O860" t="s">
        <v>9167</v>
      </c>
      <c r="P860" t="s">
        <v>779</v>
      </c>
      <c r="Q860" t="s">
        <v>4283</v>
      </c>
      <c r="R860">
        <v>710</v>
      </c>
      <c r="S860" t="s">
        <v>10137</v>
      </c>
      <c r="T860">
        <v>-1</v>
      </c>
      <c r="W860">
        <f>COUNTIFS('Clinical Trials HCO'!$A:$A, K860, 'Clinical Trials HCO'!$D:$D, "&lt;&gt;")</f>
        <v>0</v>
      </c>
    </row>
    <row r="861" spans="2:33" hidden="1">
      <c r="B861">
        <v>492</v>
      </c>
      <c r="F861">
        <f>COUNTIF(HCPs!W:W,HCO_Data!K861)</f>
        <v>0</v>
      </c>
      <c r="G861" t="str">
        <f>IF(COUNTIF('Testing Referrals'!B:B,HCO_Data!K861)&gt;0,"Yes","")</f>
        <v/>
      </c>
      <c r="H861">
        <f>COUNTIF('HCO referrals'!B:B,HCO_Data!K861)+COUNTIF('HCO referrals'!C:C,HCO_Data!K861)</f>
        <v>0</v>
      </c>
      <c r="I861">
        <v>520004680</v>
      </c>
      <c r="K861" t="s">
        <v>10840</v>
      </c>
      <c r="L861" t="s">
        <v>2509</v>
      </c>
      <c r="M861" t="s">
        <v>2830</v>
      </c>
      <c r="N861">
        <v>52000</v>
      </c>
      <c r="O861" t="s">
        <v>1755</v>
      </c>
      <c r="Q861" t="s">
        <v>4283</v>
      </c>
      <c r="R861">
        <v>1043</v>
      </c>
      <c r="S861" t="s">
        <v>10137</v>
      </c>
      <c r="T861">
        <v>-1</v>
      </c>
      <c r="W861">
        <f>COUNTIFS('Clinical Trials HCO'!$A:$A, K861, 'Clinical Trials HCO'!$D:$D, "&lt;&gt;")</f>
        <v>0</v>
      </c>
      <c r="AF861" t="s">
        <v>414</v>
      </c>
      <c r="AG861" t="s">
        <v>414</v>
      </c>
    </row>
    <row r="862" spans="2:33" hidden="1">
      <c r="B862">
        <v>386</v>
      </c>
      <c r="F862">
        <f>COUNTIF(HCPs!W:W,HCO_Data!K862)</f>
        <v>0</v>
      </c>
      <c r="G862" t="str">
        <f>IF(COUNTIF('Testing Referrals'!B:B,HCO_Data!K862)&gt;0,"Yes","")</f>
        <v/>
      </c>
      <c r="H862">
        <f>COUNTIF('HCO referrals'!B:B,HCO_Data!K862)+COUNTIF('HCO referrals'!C:C,HCO_Data!K862)</f>
        <v>0</v>
      </c>
      <c r="I862">
        <v>520780214</v>
      </c>
      <c r="K862" t="s">
        <v>10841</v>
      </c>
      <c r="L862" t="s">
        <v>1363</v>
      </c>
      <c r="M862" t="s">
        <v>1754</v>
      </c>
      <c r="N862">
        <v>52001</v>
      </c>
      <c r="O862" t="s">
        <v>1755</v>
      </c>
      <c r="Q862" t="s">
        <v>4283</v>
      </c>
      <c r="R862">
        <v>598</v>
      </c>
      <c r="S862" t="s">
        <v>10137</v>
      </c>
      <c r="T862">
        <v>-1</v>
      </c>
      <c r="W862">
        <f>COUNTIFS('Clinical Trials HCO'!$A:$A, K862, 'Clinical Trials HCO'!$D:$D, "&lt;&gt;")</f>
        <v>0</v>
      </c>
      <c r="AF862" t="s">
        <v>414</v>
      </c>
      <c r="AG862" t="s">
        <v>414</v>
      </c>
    </row>
    <row r="863" spans="2:33" hidden="1">
      <c r="F863">
        <f>COUNTIF(HCPs!W:W,HCO_Data!K863)</f>
        <v>0</v>
      </c>
      <c r="G863" t="str">
        <f>IF(COUNTIF('Testing Referrals'!B:B,HCO_Data!K863)&gt;0,"Yes","")</f>
        <v/>
      </c>
      <c r="H863">
        <f>COUNTIF('HCO referrals'!B:B,HCO_Data!K863)+COUNTIF('HCO referrals'!C:C,HCO_Data!K863)</f>
        <v>0</v>
      </c>
      <c r="I863">
        <v>530000132</v>
      </c>
      <c r="K863" t="s">
        <v>10842</v>
      </c>
      <c r="L863" t="s">
        <v>9695</v>
      </c>
      <c r="M863" t="s">
        <v>9696</v>
      </c>
      <c r="O863" t="s">
        <v>9697</v>
      </c>
      <c r="P863" t="s">
        <v>750</v>
      </c>
      <c r="Q863" t="s">
        <v>4283</v>
      </c>
      <c r="R863">
        <v>943</v>
      </c>
      <c r="S863" t="s">
        <v>10137</v>
      </c>
      <c r="T863">
        <v>-1</v>
      </c>
      <c r="W863">
        <f>COUNTIFS('Clinical Trials HCO'!$A:$A, K863, 'Clinical Trials HCO'!$D:$D, "&lt;&gt;")</f>
        <v>0</v>
      </c>
    </row>
    <row r="864" spans="2:33" hidden="1">
      <c r="F864">
        <f>COUNTIF(HCPs!W:W,HCO_Data!K864)</f>
        <v>0</v>
      </c>
      <c r="G864" t="str">
        <f>IF(COUNTIF('Testing Referrals'!B:B,HCO_Data!K864)&gt;0,"Yes","")</f>
        <v/>
      </c>
      <c r="H864">
        <f>COUNTIF('HCO referrals'!B:B,HCO_Data!K864)+COUNTIF('HCO referrals'!C:C,HCO_Data!K864)</f>
        <v>0</v>
      </c>
      <c r="I864">
        <v>530000140</v>
      </c>
      <c r="K864" t="s">
        <v>10843</v>
      </c>
      <c r="L864" t="s">
        <v>9698</v>
      </c>
      <c r="M864" t="s">
        <v>9699</v>
      </c>
      <c r="O864" t="s">
        <v>9700</v>
      </c>
      <c r="P864" t="s">
        <v>750</v>
      </c>
      <c r="Q864" t="s">
        <v>4283</v>
      </c>
      <c r="R864">
        <v>944</v>
      </c>
      <c r="S864" t="s">
        <v>10137</v>
      </c>
      <c r="T864">
        <v>-1</v>
      </c>
      <c r="W864">
        <f>COUNTIFS('Clinical Trials HCO'!$A:$A, K864, 'Clinical Trials HCO'!$D:$D, "&lt;&gt;")</f>
        <v>0</v>
      </c>
    </row>
    <row r="865" spans="2:33" hidden="1">
      <c r="F865">
        <f>COUNTIF(HCPs!W:W,HCO_Data!K865)</f>
        <v>0</v>
      </c>
      <c r="G865" t="str">
        <f>IF(COUNTIF('Testing Referrals'!B:B,HCO_Data!K865)&gt;0,"Yes","")</f>
        <v/>
      </c>
      <c r="H865">
        <f>COUNTIF('HCO referrals'!B:B,HCO_Data!K865)+COUNTIF('HCO referrals'!C:C,HCO_Data!K865)</f>
        <v>0</v>
      </c>
      <c r="I865">
        <v>530000165</v>
      </c>
      <c r="K865" t="s">
        <v>10844</v>
      </c>
      <c r="L865" t="s">
        <v>9088</v>
      </c>
      <c r="M865" t="s">
        <v>9089</v>
      </c>
      <c r="O865" t="s">
        <v>9090</v>
      </c>
      <c r="P865" t="s">
        <v>750</v>
      </c>
      <c r="Q865" t="s">
        <v>4283</v>
      </c>
      <c r="R865">
        <v>667</v>
      </c>
      <c r="S865" t="s">
        <v>10137</v>
      </c>
      <c r="T865">
        <v>-1</v>
      </c>
      <c r="W865">
        <f>COUNTIFS('Clinical Trials HCO'!$A:$A, K865, 'Clinical Trials HCO'!$D:$D, "&lt;&gt;")</f>
        <v>0</v>
      </c>
    </row>
    <row r="866" spans="2:33" hidden="1">
      <c r="F866">
        <f>COUNTIF(HCPs!W:W,HCO_Data!K866)</f>
        <v>0</v>
      </c>
      <c r="G866" t="str">
        <f>IF(COUNTIF('Testing Referrals'!B:B,HCO_Data!K866)&gt;0,"Yes","")</f>
        <v/>
      </c>
      <c r="H866">
        <f>COUNTIF('HCO referrals'!B:B,HCO_Data!K866)+COUNTIF('HCO referrals'!C:C,HCO_Data!K866)</f>
        <v>0</v>
      </c>
      <c r="I866">
        <v>530000173</v>
      </c>
      <c r="K866" t="s">
        <v>10845</v>
      </c>
      <c r="L866" t="s">
        <v>9239</v>
      </c>
      <c r="M866" t="s">
        <v>9240</v>
      </c>
      <c r="O866" t="s">
        <v>9241</v>
      </c>
      <c r="P866" t="s">
        <v>750</v>
      </c>
      <c r="Q866" t="s">
        <v>4283</v>
      </c>
      <c r="R866">
        <v>748</v>
      </c>
      <c r="S866" t="s">
        <v>10137</v>
      </c>
      <c r="T866">
        <v>-1</v>
      </c>
      <c r="W866">
        <f>COUNTIFS('Clinical Trials HCO'!$A:$A, K866, 'Clinical Trials HCO'!$D:$D, "&lt;&gt;")</f>
        <v>0</v>
      </c>
    </row>
    <row r="867" spans="2:33" hidden="1">
      <c r="B867">
        <v>684</v>
      </c>
      <c r="F867">
        <f>COUNTIF(HCPs!W:W,HCO_Data!K867)</f>
        <v>0</v>
      </c>
      <c r="G867" t="str">
        <f>IF(COUNTIF('Testing Referrals'!B:B,HCO_Data!K867)&gt;0,"Yes","")</f>
        <v/>
      </c>
      <c r="H867">
        <f>COUNTIF('HCO referrals'!B:B,HCO_Data!K867)+COUNTIF('HCO referrals'!C:C,HCO_Data!K867)</f>
        <v>0</v>
      </c>
      <c r="I867">
        <v>540000023</v>
      </c>
      <c r="K867" t="s">
        <v>10846</v>
      </c>
      <c r="L867" t="s">
        <v>2386</v>
      </c>
      <c r="M867" t="s">
        <v>2664</v>
      </c>
      <c r="N867">
        <v>54201</v>
      </c>
      <c r="O867" t="s">
        <v>2665</v>
      </c>
      <c r="Q867" t="s">
        <v>4283</v>
      </c>
      <c r="R867">
        <v>749</v>
      </c>
      <c r="S867" t="s">
        <v>10137</v>
      </c>
      <c r="T867">
        <v>-1</v>
      </c>
      <c r="W867">
        <f>COUNTIFS('Clinical Trials HCO'!$A:$A, K867, 'Clinical Trials HCO'!$D:$D, "&lt;&gt;")</f>
        <v>0</v>
      </c>
      <c r="AG867" t="s">
        <v>414</v>
      </c>
    </row>
    <row r="868" spans="2:33" hidden="1">
      <c r="F868">
        <f>COUNTIF(HCPs!W:W,HCO_Data!K868)</f>
        <v>0</v>
      </c>
      <c r="G868" t="str">
        <f>IF(COUNTIF('Testing Referrals'!B:B,HCO_Data!K868)&gt;0,"Yes","")</f>
        <v/>
      </c>
      <c r="H868">
        <f>COUNTIF('HCO referrals'!B:B,HCO_Data!K868)+COUNTIF('HCO referrals'!C:C,HCO_Data!K868)</f>
        <v>0</v>
      </c>
      <c r="I868">
        <v>540000072</v>
      </c>
      <c r="K868" t="s">
        <v>10847</v>
      </c>
      <c r="L868" s="90" t="s">
        <v>9471</v>
      </c>
      <c r="M868" t="s">
        <v>9472</v>
      </c>
      <c r="O868" t="s">
        <v>9473</v>
      </c>
      <c r="P868" t="s">
        <v>742</v>
      </c>
      <c r="Q868" t="s">
        <v>4283</v>
      </c>
      <c r="R868">
        <v>851</v>
      </c>
      <c r="S868" t="s">
        <v>10137</v>
      </c>
      <c r="T868">
        <v>-1</v>
      </c>
      <c r="W868">
        <f>COUNTIFS('Clinical Trials HCO'!$A:$A, K868, 'Clinical Trials HCO'!$D:$D, "&lt;&gt;")</f>
        <v>0</v>
      </c>
    </row>
    <row r="869" spans="2:33" hidden="1">
      <c r="F869">
        <f>COUNTIF(HCPs!W:W,HCO_Data!K869)</f>
        <v>0</v>
      </c>
      <c r="G869" t="str">
        <f>IF(COUNTIF('Testing Referrals'!B:B,HCO_Data!K869)&gt;0,"Yes","")</f>
        <v/>
      </c>
      <c r="H869">
        <f>COUNTIF('HCO referrals'!B:B,HCO_Data!K869)+COUNTIF('HCO referrals'!C:C,HCO_Data!K869)</f>
        <v>0</v>
      </c>
      <c r="I869">
        <v>540000296</v>
      </c>
      <c r="K869" t="s">
        <v>10848</v>
      </c>
      <c r="L869" t="s">
        <v>9171</v>
      </c>
      <c r="M869" t="s">
        <v>9172</v>
      </c>
      <c r="O869" t="s">
        <v>9173</v>
      </c>
      <c r="P869" t="s">
        <v>742</v>
      </c>
      <c r="Q869" t="s">
        <v>4283</v>
      </c>
      <c r="R869">
        <v>716</v>
      </c>
      <c r="S869" t="s">
        <v>10137</v>
      </c>
      <c r="T869">
        <v>-1</v>
      </c>
      <c r="W869">
        <f>COUNTIFS('Clinical Trials HCO'!$A:$A, K869, 'Clinical Trials HCO'!$D:$D, "&lt;&gt;")</f>
        <v>0</v>
      </c>
    </row>
    <row r="870" spans="2:33" hidden="1">
      <c r="F870">
        <f>COUNTIF(HCPs!W:W,HCO_Data!K870)</f>
        <v>0</v>
      </c>
      <c r="G870" t="str">
        <f>IF(COUNTIF('Testing Referrals'!B:B,HCO_Data!K870)&gt;0,"Yes","")</f>
        <v/>
      </c>
      <c r="H870">
        <f>COUNTIF('HCO referrals'!B:B,HCO_Data!K870)+COUNTIF('HCO referrals'!C:C,HCO_Data!K870)</f>
        <v>0</v>
      </c>
      <c r="I870">
        <v>540000312</v>
      </c>
      <c r="K870" t="s">
        <v>10849</v>
      </c>
      <c r="L870" t="s">
        <v>9474</v>
      </c>
      <c r="M870" t="s">
        <v>9475</v>
      </c>
      <c r="O870" t="s">
        <v>9476</v>
      </c>
      <c r="P870" t="s">
        <v>742</v>
      </c>
      <c r="Q870" t="s">
        <v>4283</v>
      </c>
      <c r="R870">
        <v>852</v>
      </c>
      <c r="S870" t="s">
        <v>10137</v>
      </c>
      <c r="T870">
        <v>-1</v>
      </c>
      <c r="W870">
        <f>COUNTIFS('Clinical Trials HCO'!$A:$A, K870, 'Clinical Trials HCO'!$D:$D, "&lt;&gt;")</f>
        <v>0</v>
      </c>
    </row>
    <row r="871" spans="2:33" hidden="1">
      <c r="F871">
        <f>COUNTIF(HCPs!W:W,HCO_Data!K871)</f>
        <v>0</v>
      </c>
      <c r="G871" t="str">
        <f>IF(COUNTIF('Testing Referrals'!B:B,HCO_Data!K871)&gt;0,"Yes","")</f>
        <v/>
      </c>
      <c r="H871">
        <f>COUNTIF('HCO referrals'!B:B,HCO_Data!K871)+COUNTIF('HCO referrals'!C:C,HCO_Data!K871)</f>
        <v>0</v>
      </c>
      <c r="I871">
        <v>540000361</v>
      </c>
      <c r="K871" t="s">
        <v>10850</v>
      </c>
      <c r="L871" t="s">
        <v>9928</v>
      </c>
      <c r="M871" t="s">
        <v>9929</v>
      </c>
      <c r="O871" t="s">
        <v>8722</v>
      </c>
      <c r="P871" t="s">
        <v>742</v>
      </c>
      <c r="Q871" t="s">
        <v>4283</v>
      </c>
      <c r="R871">
        <v>1044</v>
      </c>
      <c r="S871" t="s">
        <v>10137</v>
      </c>
      <c r="T871">
        <v>-1</v>
      </c>
      <c r="W871">
        <f>COUNTIFS('Clinical Trials HCO'!$A:$A, K871, 'Clinical Trials HCO'!$D:$D, "&lt;&gt;")</f>
        <v>0</v>
      </c>
    </row>
    <row r="872" spans="2:33" hidden="1">
      <c r="B872">
        <v>351</v>
      </c>
      <c r="F872">
        <f>COUNTIF(HCPs!W:W,HCO_Data!K872)</f>
        <v>0</v>
      </c>
      <c r="G872" t="str">
        <f>IF(COUNTIF('Testing Referrals'!B:B,HCO_Data!K872)&gt;0,"Yes","")</f>
        <v/>
      </c>
      <c r="H872">
        <f>COUNTIF('HCO referrals'!B:B,HCO_Data!K872)+COUNTIF('HCO referrals'!C:C,HCO_Data!K872)</f>
        <v>0</v>
      </c>
      <c r="I872">
        <v>540001070</v>
      </c>
      <c r="K872" t="s">
        <v>10851</v>
      </c>
      <c r="L872" t="s">
        <v>2392</v>
      </c>
      <c r="M872" t="s">
        <v>2677</v>
      </c>
      <c r="N872">
        <v>54151</v>
      </c>
      <c r="O872" t="s">
        <v>2678</v>
      </c>
      <c r="Q872" t="s">
        <v>4283</v>
      </c>
      <c r="R872">
        <v>722</v>
      </c>
      <c r="S872" t="s">
        <v>10137</v>
      </c>
      <c r="T872">
        <v>-1</v>
      </c>
      <c r="W872">
        <f>COUNTIFS('Clinical Trials HCO'!$A:$A, K872, 'Clinical Trials HCO'!$D:$D, "&lt;&gt;")</f>
        <v>0</v>
      </c>
      <c r="AF872" t="s">
        <v>414</v>
      </c>
      <c r="AG872" t="s">
        <v>414</v>
      </c>
    </row>
    <row r="873" spans="2:33" hidden="1">
      <c r="F873">
        <f>COUNTIF(HCPs!W:W,HCO_Data!K873)</f>
        <v>0</v>
      </c>
      <c r="G873" t="str">
        <f>IF(COUNTIF('Testing Referrals'!B:B,HCO_Data!K873)&gt;0,"Yes","")</f>
        <v/>
      </c>
      <c r="H873">
        <f>COUNTIF('HCO referrals'!B:B,HCO_Data!K873)+COUNTIF('HCO referrals'!C:C,HCO_Data!K873)</f>
        <v>0</v>
      </c>
      <c r="I873">
        <v>540001096</v>
      </c>
      <c r="K873" t="s">
        <v>10852</v>
      </c>
      <c r="L873" t="s">
        <v>9145</v>
      </c>
      <c r="M873" t="s">
        <v>9146</v>
      </c>
      <c r="O873" t="s">
        <v>9147</v>
      </c>
      <c r="P873" t="s">
        <v>742</v>
      </c>
      <c r="Q873" t="s">
        <v>4283</v>
      </c>
      <c r="R873">
        <v>698</v>
      </c>
      <c r="S873" t="s">
        <v>10137</v>
      </c>
      <c r="T873">
        <v>-1</v>
      </c>
      <c r="W873">
        <f>COUNTIFS('Clinical Trials HCO'!$A:$A, K873, 'Clinical Trials HCO'!$D:$D, "&lt;&gt;")</f>
        <v>0</v>
      </c>
    </row>
    <row r="874" spans="2:33" hidden="1">
      <c r="F874">
        <f>COUNTIF(HCPs!W:W,HCO_Data!K874)</f>
        <v>0</v>
      </c>
      <c r="G874" t="str">
        <f>IF(COUNTIF('Testing Referrals'!B:B,HCO_Data!K874)&gt;0,"Yes","")</f>
        <v/>
      </c>
      <c r="H874">
        <f>COUNTIF('HCO referrals'!B:B,HCO_Data!K874)+COUNTIF('HCO referrals'!C:C,HCO_Data!K874)</f>
        <v>0</v>
      </c>
      <c r="I874">
        <v>540001104</v>
      </c>
      <c r="K874" t="s">
        <v>10853</v>
      </c>
      <c r="L874" t="s">
        <v>9796</v>
      </c>
      <c r="M874" t="s">
        <v>9797</v>
      </c>
      <c r="O874" t="s">
        <v>9798</v>
      </c>
      <c r="P874" t="s">
        <v>742</v>
      </c>
      <c r="Q874" t="s">
        <v>4283</v>
      </c>
      <c r="R874">
        <v>988</v>
      </c>
      <c r="S874" t="s">
        <v>10137</v>
      </c>
      <c r="T874">
        <v>-1</v>
      </c>
      <c r="W874">
        <f>COUNTIFS('Clinical Trials HCO'!$A:$A, K874, 'Clinical Trials HCO'!$D:$D, "&lt;&gt;")</f>
        <v>0</v>
      </c>
    </row>
    <row r="875" spans="2:33" hidden="1">
      <c r="F875">
        <f>COUNTIF(HCPs!W:W,HCO_Data!K875)</f>
        <v>0</v>
      </c>
      <c r="G875" t="str">
        <f>IF(COUNTIF('Testing Referrals'!B:B,HCO_Data!K875)&gt;0,"Yes","")</f>
        <v/>
      </c>
      <c r="H875">
        <f>COUNTIF('HCO referrals'!B:B,HCO_Data!K875)+COUNTIF('HCO referrals'!C:C,HCO_Data!K875)</f>
        <v>0</v>
      </c>
      <c r="I875">
        <v>550000038</v>
      </c>
      <c r="K875" t="s">
        <v>10854</v>
      </c>
      <c r="L875" t="s">
        <v>9701</v>
      </c>
      <c r="M875" t="s">
        <v>9702</v>
      </c>
      <c r="O875" t="s">
        <v>9703</v>
      </c>
      <c r="P875" t="s">
        <v>793</v>
      </c>
      <c r="Q875" t="s">
        <v>4283</v>
      </c>
      <c r="R875">
        <v>945</v>
      </c>
      <c r="S875" t="s">
        <v>10137</v>
      </c>
      <c r="T875">
        <v>-1</v>
      </c>
      <c r="W875">
        <f>COUNTIFS('Clinical Trials HCO'!$A:$A, K875, 'Clinical Trials HCO'!$D:$D, "&lt;&gt;")</f>
        <v>0</v>
      </c>
    </row>
    <row r="876" spans="2:33" hidden="1">
      <c r="F876">
        <f>COUNTIF(HCPs!W:W,HCO_Data!K876)</f>
        <v>0</v>
      </c>
      <c r="G876" t="str">
        <f>IF(COUNTIF('Testing Referrals'!B:B,HCO_Data!K876)&gt;0,"Yes","")</f>
        <v/>
      </c>
      <c r="H876">
        <f>COUNTIF('HCO referrals'!B:B,HCO_Data!K876)+COUNTIF('HCO referrals'!C:C,HCO_Data!K876)</f>
        <v>0</v>
      </c>
      <c r="I876">
        <v>560000291</v>
      </c>
      <c r="K876" t="s">
        <v>10855</v>
      </c>
      <c r="L876" t="s">
        <v>9477</v>
      </c>
      <c r="M876" t="s">
        <v>9478</v>
      </c>
      <c r="O876" t="s">
        <v>9479</v>
      </c>
      <c r="P876" t="s">
        <v>734</v>
      </c>
      <c r="Q876" t="s">
        <v>4283</v>
      </c>
      <c r="R876">
        <v>853</v>
      </c>
      <c r="S876" t="s">
        <v>10137</v>
      </c>
      <c r="T876">
        <v>-1</v>
      </c>
      <c r="W876">
        <f>COUNTIFS('Clinical Trials HCO'!$A:$A, K876, 'Clinical Trials HCO'!$D:$D, "&lt;&gt;")</f>
        <v>0</v>
      </c>
    </row>
    <row r="877" spans="2:33" hidden="1">
      <c r="F877">
        <f>COUNTIF(HCPs!W:W,HCO_Data!K877)</f>
        <v>0</v>
      </c>
      <c r="G877" t="str">
        <f>IF(COUNTIF('Testing Referrals'!B:B,HCO_Data!K877)&gt;0,"Yes","")</f>
        <v/>
      </c>
      <c r="H877">
        <f>COUNTIF('HCO referrals'!B:B,HCO_Data!K877)+COUNTIF('HCO referrals'!C:C,HCO_Data!K877)</f>
        <v>0</v>
      </c>
      <c r="I877">
        <v>560000366</v>
      </c>
      <c r="K877" t="s">
        <v>10856</v>
      </c>
      <c r="L877" t="s">
        <v>9542</v>
      </c>
      <c r="M877" t="s">
        <v>9543</v>
      </c>
      <c r="O877" t="s">
        <v>9544</v>
      </c>
      <c r="P877" t="s">
        <v>734</v>
      </c>
      <c r="Q877" t="s">
        <v>4283</v>
      </c>
      <c r="R877">
        <v>879</v>
      </c>
      <c r="S877" t="s">
        <v>10137</v>
      </c>
      <c r="T877">
        <v>-1</v>
      </c>
      <c r="W877">
        <f>COUNTIFS('Clinical Trials HCO'!$A:$A, K877, 'Clinical Trials HCO'!$D:$D, "&lt;&gt;")</f>
        <v>0</v>
      </c>
    </row>
    <row r="878" spans="2:33" hidden="1">
      <c r="F878">
        <f>COUNTIF(HCPs!W:W,HCO_Data!K878)</f>
        <v>0</v>
      </c>
      <c r="G878" t="str">
        <f>IF(COUNTIF('Testing Referrals'!B:B,HCO_Data!K878)&gt;0,"Yes","")</f>
        <v/>
      </c>
      <c r="H878">
        <f>COUNTIF('HCO referrals'!B:B,HCO_Data!K878)+COUNTIF('HCO referrals'!C:C,HCO_Data!K878)</f>
        <v>0</v>
      </c>
      <c r="I878">
        <v>560000465</v>
      </c>
      <c r="K878" t="s">
        <v>10857</v>
      </c>
      <c r="L878" t="s">
        <v>10070</v>
      </c>
      <c r="M878" t="s">
        <v>10071</v>
      </c>
      <c r="O878" t="s">
        <v>10072</v>
      </c>
      <c r="P878" t="s">
        <v>734</v>
      </c>
      <c r="Q878" t="s">
        <v>4283</v>
      </c>
      <c r="R878">
        <v>1103</v>
      </c>
      <c r="S878" t="s">
        <v>10137</v>
      </c>
      <c r="T878">
        <v>-1</v>
      </c>
      <c r="W878">
        <f>COUNTIFS('Clinical Trials HCO'!$A:$A, K878, 'Clinical Trials HCO'!$D:$D, "&lt;&gt;")</f>
        <v>0</v>
      </c>
    </row>
    <row r="879" spans="2:33" hidden="1">
      <c r="B879">
        <v>679</v>
      </c>
      <c r="F879">
        <f>COUNTIF(HCPs!W:W,HCO_Data!K879)</f>
        <v>0</v>
      </c>
      <c r="G879" t="str">
        <f>IF(COUNTIF('Testing Referrals'!B:B,HCO_Data!K879)&gt;0,"Yes","")</f>
        <v/>
      </c>
      <c r="H879">
        <f>COUNTIF('HCO referrals'!B:B,HCO_Data!K879)+COUNTIF('HCO referrals'!C:C,HCO_Data!K879)</f>
        <v>0</v>
      </c>
      <c r="I879">
        <v>560007510</v>
      </c>
      <c r="K879" t="s">
        <v>10858</v>
      </c>
      <c r="L879" t="s">
        <v>2612</v>
      </c>
      <c r="M879" t="s">
        <v>1946</v>
      </c>
      <c r="N879">
        <v>56920</v>
      </c>
      <c r="O879" t="s">
        <v>1947</v>
      </c>
      <c r="Q879" t="s">
        <v>4283</v>
      </c>
      <c r="R879">
        <v>946</v>
      </c>
      <c r="S879" t="s">
        <v>10137</v>
      </c>
      <c r="T879">
        <v>-1</v>
      </c>
      <c r="W879">
        <f>COUNTIFS('Clinical Trials HCO'!$A:$A, K879, 'Clinical Trials HCO'!$D:$D, "&lt;&gt;")</f>
        <v>0</v>
      </c>
      <c r="AG879" t="s">
        <v>414</v>
      </c>
    </row>
    <row r="880" spans="2:33" hidden="1">
      <c r="F880">
        <f>COUNTIF(HCPs!W:W,HCO_Data!K880)</f>
        <v>0</v>
      </c>
      <c r="G880" t="str">
        <f>IF(COUNTIF('Testing Referrals'!B:B,HCO_Data!K880)&gt;0,"Yes","")</f>
        <v/>
      </c>
      <c r="H880">
        <f>COUNTIF('HCO referrals'!B:B,HCO_Data!K880)+COUNTIF('HCO referrals'!C:C,HCO_Data!K880)</f>
        <v>0</v>
      </c>
      <c r="I880">
        <v>560015422</v>
      </c>
      <c r="K880" t="s">
        <v>10859</v>
      </c>
      <c r="L880" t="s">
        <v>9480</v>
      </c>
      <c r="M880" t="s">
        <v>9481</v>
      </c>
      <c r="O880" t="s">
        <v>9482</v>
      </c>
      <c r="P880" t="s">
        <v>734</v>
      </c>
      <c r="Q880" t="s">
        <v>4283</v>
      </c>
      <c r="R880">
        <v>854</v>
      </c>
      <c r="S880" t="s">
        <v>10137</v>
      </c>
      <c r="T880">
        <v>-1</v>
      </c>
      <c r="W880">
        <f>COUNTIFS('Clinical Trials HCO'!$A:$A, K880, 'Clinical Trials HCO'!$D:$D, "&lt;&gt;")</f>
        <v>0</v>
      </c>
    </row>
    <row r="881" spans="2:33" hidden="1">
      <c r="B881">
        <v>710</v>
      </c>
      <c r="F881">
        <f>COUNTIF(HCPs!W:W,HCO_Data!K881)</f>
        <v>0</v>
      </c>
      <c r="G881" t="str">
        <f>IF(COUNTIF('Testing Referrals'!B:B,HCO_Data!K881)&gt;0,"Yes","")</f>
        <v/>
      </c>
      <c r="H881">
        <f>COUNTIF('HCO referrals'!B:B,HCO_Data!K881)+COUNTIF('HCO referrals'!C:C,HCO_Data!K881)</f>
        <v>0</v>
      </c>
      <c r="I881">
        <v>560030165</v>
      </c>
      <c r="K881" t="s">
        <v>10860</v>
      </c>
      <c r="L881" t="s">
        <v>2506</v>
      </c>
      <c r="M881" t="s">
        <v>2824</v>
      </c>
      <c r="N881">
        <v>56270</v>
      </c>
      <c r="O881" t="s">
        <v>2825</v>
      </c>
      <c r="Q881" t="s">
        <v>4283</v>
      </c>
      <c r="R881">
        <v>989</v>
      </c>
      <c r="S881" t="s">
        <v>10137</v>
      </c>
      <c r="T881">
        <v>-1</v>
      </c>
      <c r="W881">
        <f>COUNTIFS('Clinical Trials HCO'!$A:$A, K881, 'Clinical Trials HCO'!$D:$D, "&lt;&gt;")</f>
        <v>0</v>
      </c>
    </row>
    <row r="882" spans="2:33" hidden="1">
      <c r="B882">
        <v>374</v>
      </c>
      <c r="F882">
        <f>COUNTIF(HCPs!W:W,HCO_Data!K882)</f>
        <v>0</v>
      </c>
      <c r="G882" t="str">
        <f>IF(COUNTIF('Testing Referrals'!B:B,HCO_Data!K882)&gt;0,"Yes","")</f>
        <v/>
      </c>
      <c r="H882">
        <f>COUNTIF('HCO referrals'!B:B,HCO_Data!K882)+COUNTIF('HCO referrals'!C:C,HCO_Data!K882)</f>
        <v>0</v>
      </c>
      <c r="I882">
        <v>570000059</v>
      </c>
      <c r="K882" t="s">
        <v>10861</v>
      </c>
      <c r="L882" t="s">
        <v>1427</v>
      </c>
      <c r="M882" t="s">
        <v>1894</v>
      </c>
      <c r="N882">
        <v>57604</v>
      </c>
      <c r="O882" t="s">
        <v>1895</v>
      </c>
      <c r="Q882" t="s">
        <v>4283</v>
      </c>
      <c r="R882">
        <v>828</v>
      </c>
      <c r="S882" t="s">
        <v>10137</v>
      </c>
      <c r="T882">
        <v>-1</v>
      </c>
      <c r="W882">
        <f>COUNTIFS('Clinical Trials HCO'!$A:$A, K882, 'Clinical Trials HCO'!$D:$D, "&lt;&gt;")</f>
        <v>0</v>
      </c>
      <c r="AF882" t="s">
        <v>414</v>
      </c>
      <c r="AG882" t="s">
        <v>414</v>
      </c>
    </row>
    <row r="883" spans="2:33" hidden="1">
      <c r="F883">
        <f>COUNTIF(HCPs!W:W,HCO_Data!K883)</f>
        <v>0</v>
      </c>
      <c r="G883" t="str">
        <f>IF(COUNTIF('Testing Referrals'!B:B,HCO_Data!K883)&gt;0,"Yes","")</f>
        <v/>
      </c>
      <c r="H883">
        <f>COUNTIF('HCO referrals'!B:B,HCO_Data!K883)+COUNTIF('HCO referrals'!C:C,HCO_Data!K883)</f>
        <v>0</v>
      </c>
      <c r="I883">
        <v>570000083</v>
      </c>
      <c r="K883" t="s">
        <v>10862</v>
      </c>
      <c r="L883" t="s">
        <v>10073</v>
      </c>
      <c r="M883" t="s">
        <v>10074</v>
      </c>
      <c r="O883" t="s">
        <v>10075</v>
      </c>
      <c r="P883" t="s">
        <v>710</v>
      </c>
      <c r="Q883" t="s">
        <v>4283</v>
      </c>
      <c r="R883">
        <v>1104</v>
      </c>
      <c r="S883" t="s">
        <v>10137</v>
      </c>
      <c r="T883">
        <v>-1</v>
      </c>
      <c r="W883">
        <f>COUNTIFS('Clinical Trials HCO'!$A:$A, K883, 'Clinical Trials HCO'!$D:$D, "&lt;&gt;")</f>
        <v>0</v>
      </c>
    </row>
    <row r="884" spans="2:33" hidden="1">
      <c r="B884">
        <v>335</v>
      </c>
      <c r="F884">
        <f>COUNTIF(HCPs!W:W,HCO_Data!K884)</f>
        <v>0</v>
      </c>
      <c r="G884" t="str">
        <f>IF(COUNTIF('Testing Referrals'!B:B,HCO_Data!K884)&gt;0,"Yes","")</f>
        <v/>
      </c>
      <c r="H884">
        <f>COUNTIF('HCO referrals'!B:B,HCO_Data!K884)+COUNTIF('HCO referrals'!C:C,HCO_Data!K884)</f>
        <v>0</v>
      </c>
      <c r="I884">
        <v>570000356</v>
      </c>
      <c r="K884" t="s">
        <v>10863</v>
      </c>
      <c r="L884" t="s">
        <v>2437</v>
      </c>
      <c r="M884" t="s">
        <v>2729</v>
      </c>
      <c r="N884">
        <v>57106</v>
      </c>
      <c r="O884" t="s">
        <v>2149</v>
      </c>
      <c r="Q884" t="s">
        <v>4283</v>
      </c>
      <c r="R884">
        <v>1105</v>
      </c>
      <c r="S884" t="s">
        <v>10137</v>
      </c>
      <c r="T884">
        <v>-1</v>
      </c>
      <c r="W884">
        <f>COUNTIFS('Clinical Trials HCO'!$A:$A, K884, 'Clinical Trials HCO'!$D:$D, "&lt;&gt;")</f>
        <v>0</v>
      </c>
      <c r="AF884" t="s">
        <v>414</v>
      </c>
    </row>
    <row r="885" spans="2:33" hidden="1">
      <c r="F885">
        <f>COUNTIF(HCPs!W:W,HCO_Data!K885)</f>
        <v>0</v>
      </c>
      <c r="G885" t="str">
        <f>IF(COUNTIF('Testing Referrals'!B:B,HCO_Data!K885)&gt;0,"Yes","")</f>
        <v/>
      </c>
      <c r="H885">
        <f>COUNTIF('HCO referrals'!B:B,HCO_Data!K885)+COUNTIF('HCO referrals'!C:C,HCO_Data!K885)</f>
        <v>0</v>
      </c>
      <c r="I885">
        <v>570000455</v>
      </c>
      <c r="K885" t="s">
        <v>10864</v>
      </c>
      <c r="L885" t="s">
        <v>9930</v>
      </c>
      <c r="M885" t="s">
        <v>9931</v>
      </c>
      <c r="O885" t="s">
        <v>9932</v>
      </c>
      <c r="P885" t="s">
        <v>710</v>
      </c>
      <c r="Q885" t="s">
        <v>4283</v>
      </c>
      <c r="R885">
        <v>1045</v>
      </c>
      <c r="S885" t="s">
        <v>10137</v>
      </c>
      <c r="T885">
        <v>-1</v>
      </c>
      <c r="W885">
        <f>COUNTIFS('Clinical Trials HCO'!$A:$A, K885, 'Clinical Trials HCO'!$D:$D, "&lt;&gt;")</f>
        <v>0</v>
      </c>
    </row>
    <row r="886" spans="2:33" hidden="1">
      <c r="F886">
        <f>COUNTIF(HCPs!W:W,HCO_Data!K886)</f>
        <v>0</v>
      </c>
      <c r="G886" t="str">
        <f>IF(COUNTIF('Testing Referrals'!B:B,HCO_Data!K886)&gt;0,"Yes","")</f>
        <v/>
      </c>
      <c r="H886">
        <f>COUNTIF('HCO referrals'!B:B,HCO_Data!K886)+COUNTIF('HCO referrals'!C:C,HCO_Data!K886)</f>
        <v>0</v>
      </c>
      <c r="I886">
        <v>570000562</v>
      </c>
      <c r="K886" t="s">
        <v>10865</v>
      </c>
      <c r="L886" t="s">
        <v>10076</v>
      </c>
      <c r="M886" t="s">
        <v>10077</v>
      </c>
      <c r="O886" t="s">
        <v>10078</v>
      </c>
      <c r="P886" t="s">
        <v>710</v>
      </c>
      <c r="Q886" t="s">
        <v>4283</v>
      </c>
      <c r="R886">
        <v>1106</v>
      </c>
      <c r="S886" t="s">
        <v>10137</v>
      </c>
      <c r="T886">
        <v>-1</v>
      </c>
      <c r="W886">
        <f>COUNTIFS('Clinical Trials HCO'!$A:$A, K886, 'Clinical Trials HCO'!$D:$D, "&lt;&gt;")</f>
        <v>0</v>
      </c>
    </row>
    <row r="887" spans="2:33" hidden="1">
      <c r="F887">
        <f>COUNTIF(HCPs!W:W,HCO_Data!K887)</f>
        <v>0</v>
      </c>
      <c r="G887" t="str">
        <f>IF(COUNTIF('Testing Referrals'!B:B,HCO_Data!K887)&gt;0,"Yes","")</f>
        <v/>
      </c>
      <c r="H887">
        <f>COUNTIF('HCO referrals'!B:B,HCO_Data!K887)+COUNTIF('HCO referrals'!C:C,HCO_Data!K887)</f>
        <v>0</v>
      </c>
      <c r="I887">
        <v>570000596</v>
      </c>
      <c r="K887" t="s">
        <v>10866</v>
      </c>
      <c r="L887" t="s">
        <v>9704</v>
      </c>
      <c r="M887" t="s">
        <v>9484</v>
      </c>
      <c r="O887" t="s">
        <v>2271</v>
      </c>
      <c r="P887" t="s">
        <v>710</v>
      </c>
      <c r="Q887" t="s">
        <v>4283</v>
      </c>
      <c r="R887">
        <v>947</v>
      </c>
      <c r="S887" t="s">
        <v>10137</v>
      </c>
      <c r="T887">
        <v>-1</v>
      </c>
      <c r="W887">
        <f>COUNTIFS('Clinical Trials HCO'!$A:$A, K887, 'Clinical Trials HCO'!$D:$D, "&lt;&gt;")</f>
        <v>0</v>
      </c>
    </row>
    <row r="888" spans="2:33" hidden="1">
      <c r="F888">
        <f>COUNTIF(HCPs!W:W,HCO_Data!K888)</f>
        <v>0</v>
      </c>
      <c r="G888" t="str">
        <f>IF(COUNTIF('Testing Referrals'!B:B,HCO_Data!K888)&gt;0,"Yes","")</f>
        <v/>
      </c>
      <c r="H888">
        <f>COUNTIF('HCO referrals'!B:B,HCO_Data!K888)+COUNTIF('HCO referrals'!C:C,HCO_Data!K888)</f>
        <v>0</v>
      </c>
      <c r="I888">
        <v>570000950</v>
      </c>
      <c r="K888" t="s">
        <v>10867</v>
      </c>
      <c r="L888" t="s">
        <v>9545</v>
      </c>
      <c r="M888" t="s">
        <v>9546</v>
      </c>
      <c r="O888" t="s">
        <v>9547</v>
      </c>
      <c r="P888" t="s">
        <v>710</v>
      </c>
      <c r="Q888" t="s">
        <v>4283</v>
      </c>
      <c r="R888">
        <v>880</v>
      </c>
      <c r="S888" t="s">
        <v>10137</v>
      </c>
      <c r="T888">
        <v>-1</v>
      </c>
      <c r="W888">
        <f>COUNTIFS('Clinical Trials HCO'!$A:$A, K888, 'Clinical Trials HCO'!$D:$D, "&lt;&gt;")</f>
        <v>0</v>
      </c>
    </row>
    <row r="889" spans="2:33" hidden="1">
      <c r="F889">
        <f>COUNTIF(HCPs!W:W,HCO_Data!K889)</f>
        <v>0</v>
      </c>
      <c r="G889" t="str">
        <f>IF(COUNTIF('Testing Referrals'!B:B,HCO_Data!K889)&gt;0,"Yes","")</f>
        <v/>
      </c>
      <c r="H889">
        <f>COUNTIF('HCO referrals'!B:B,HCO_Data!K889)+COUNTIF('HCO referrals'!C:C,HCO_Data!K889)</f>
        <v>0</v>
      </c>
      <c r="I889">
        <v>570000992</v>
      </c>
      <c r="K889" t="s">
        <v>10868</v>
      </c>
      <c r="L889" t="s">
        <v>9933</v>
      </c>
      <c r="M889" t="s">
        <v>9934</v>
      </c>
      <c r="O889" t="s">
        <v>9935</v>
      </c>
      <c r="P889" t="s">
        <v>710</v>
      </c>
      <c r="Q889" t="s">
        <v>4283</v>
      </c>
      <c r="R889">
        <v>1046</v>
      </c>
      <c r="S889" t="s">
        <v>10137</v>
      </c>
      <c r="T889">
        <v>-1</v>
      </c>
      <c r="W889">
        <f>COUNTIFS('Clinical Trials HCO'!$A:$A, K889, 'Clinical Trials HCO'!$D:$D, "&lt;&gt;")</f>
        <v>0</v>
      </c>
    </row>
    <row r="890" spans="2:33" hidden="1">
      <c r="F890">
        <f>COUNTIF(HCPs!W:W,HCO_Data!K890)</f>
        <v>0</v>
      </c>
      <c r="G890" t="str">
        <f>IF(COUNTIF('Testing Referrals'!B:B,HCO_Data!K890)&gt;0,"Yes","")</f>
        <v/>
      </c>
      <c r="H890">
        <f>COUNTIF('HCO referrals'!B:B,HCO_Data!K890)+COUNTIF('HCO referrals'!C:C,HCO_Data!K890)</f>
        <v>0</v>
      </c>
      <c r="I890">
        <v>570001057</v>
      </c>
      <c r="K890" t="s">
        <v>10869</v>
      </c>
      <c r="L890" t="s">
        <v>9607</v>
      </c>
      <c r="M890" t="s">
        <v>9608</v>
      </c>
      <c r="O890" t="s">
        <v>2271</v>
      </c>
      <c r="P890" t="s">
        <v>710</v>
      </c>
      <c r="Q890" t="s">
        <v>4283</v>
      </c>
      <c r="R890">
        <v>906</v>
      </c>
      <c r="S890" t="s">
        <v>10137</v>
      </c>
      <c r="T890">
        <v>-1</v>
      </c>
      <c r="W890">
        <f>COUNTIFS('Clinical Trials HCO'!$A:$A, K890, 'Clinical Trials HCO'!$D:$D, "&lt;&gt;")</f>
        <v>0</v>
      </c>
    </row>
    <row r="891" spans="2:33" hidden="1">
      <c r="F891">
        <f>COUNTIF(HCPs!W:W,HCO_Data!K891)</f>
        <v>0</v>
      </c>
      <c r="G891" t="str">
        <f>IF(COUNTIF('Testing Referrals'!B:B,HCO_Data!K891)&gt;0,"Yes","")</f>
        <v/>
      </c>
      <c r="H891">
        <f>COUNTIF('HCO referrals'!B:B,HCO_Data!K891)+COUNTIF('HCO referrals'!C:C,HCO_Data!K891)</f>
        <v>0</v>
      </c>
      <c r="I891">
        <v>570009670</v>
      </c>
      <c r="K891" t="s">
        <v>10870</v>
      </c>
      <c r="L891" t="s">
        <v>9548</v>
      </c>
      <c r="M891" t="s">
        <v>9549</v>
      </c>
      <c r="O891" t="s">
        <v>9550</v>
      </c>
      <c r="P891" t="s">
        <v>710</v>
      </c>
      <c r="Q891" t="s">
        <v>4283</v>
      </c>
      <c r="R891">
        <v>881</v>
      </c>
      <c r="S891" t="s">
        <v>10137</v>
      </c>
      <c r="T891">
        <v>-1</v>
      </c>
      <c r="W891">
        <f>COUNTIFS('Clinical Trials HCO'!$A:$A, K891, 'Clinical Trials HCO'!$D:$D, "&lt;&gt;")</f>
        <v>0</v>
      </c>
    </row>
    <row r="892" spans="2:33" hidden="1">
      <c r="F892">
        <f>COUNTIF(HCPs!W:W,HCO_Data!K892)</f>
        <v>0</v>
      </c>
      <c r="G892" t="str">
        <f>IF(COUNTIF('Testing Referrals'!B:B,HCO_Data!K892)&gt;0,"Yes","")</f>
        <v/>
      </c>
      <c r="H892">
        <f>COUNTIF('HCO referrals'!B:B,HCO_Data!K892)+COUNTIF('HCO referrals'!C:C,HCO_Data!K892)</f>
        <v>0</v>
      </c>
      <c r="I892">
        <v>570029801</v>
      </c>
      <c r="K892" t="s">
        <v>10871</v>
      </c>
      <c r="L892" t="s">
        <v>9483</v>
      </c>
      <c r="M892" t="s">
        <v>9484</v>
      </c>
      <c r="O892" t="s">
        <v>9485</v>
      </c>
      <c r="P892" t="s">
        <v>710</v>
      </c>
      <c r="Q892" t="s">
        <v>4283</v>
      </c>
      <c r="R892">
        <v>855</v>
      </c>
      <c r="S892" t="s">
        <v>10137</v>
      </c>
      <c r="T892">
        <v>-1</v>
      </c>
      <c r="W892">
        <f>COUNTIFS('Clinical Trials HCO'!$A:$A, K892, 'Clinical Trials HCO'!$D:$D, "&lt;&gt;")</f>
        <v>0</v>
      </c>
    </row>
    <row r="893" spans="2:33" hidden="1">
      <c r="F893">
        <f>COUNTIF(HCPs!W:W,HCO_Data!K893)</f>
        <v>0</v>
      </c>
      <c r="G893" t="str">
        <f>IF(COUNTIF('Testing Referrals'!B:B,HCO_Data!K893)&gt;0,"Yes","")</f>
        <v/>
      </c>
      <c r="H893">
        <f>COUNTIF('HCO referrals'!B:B,HCO_Data!K893)+COUNTIF('HCO referrals'!C:C,HCO_Data!K893)</f>
        <v>0</v>
      </c>
      <c r="I893">
        <v>580004836</v>
      </c>
      <c r="K893" t="s">
        <v>10872</v>
      </c>
      <c r="L893" t="s">
        <v>9936</v>
      </c>
      <c r="M893" t="s">
        <v>9937</v>
      </c>
      <c r="O893" t="s">
        <v>915</v>
      </c>
      <c r="P893" t="s">
        <v>780</v>
      </c>
      <c r="Q893" t="s">
        <v>4283</v>
      </c>
      <c r="R893">
        <v>1047</v>
      </c>
      <c r="S893" t="s">
        <v>10137</v>
      </c>
      <c r="T893">
        <v>-1</v>
      </c>
      <c r="W893">
        <f>COUNTIFS('Clinical Trials HCO'!$A:$A, K893, 'Clinical Trials HCO'!$D:$D, "&lt;&gt;")</f>
        <v>0</v>
      </c>
    </row>
    <row r="894" spans="2:33" hidden="1">
      <c r="F894">
        <f>COUNTIF(HCPs!W:W,HCO_Data!K894)</f>
        <v>0</v>
      </c>
      <c r="G894" t="str">
        <f>IF(COUNTIF('Testing Referrals'!B:B,HCO_Data!K894)&gt;0,"Yes","")</f>
        <v/>
      </c>
      <c r="H894">
        <f>COUNTIF('HCO referrals'!B:B,HCO_Data!K894)+COUNTIF('HCO referrals'!C:C,HCO_Data!K894)</f>
        <v>0</v>
      </c>
      <c r="I894">
        <v>580780187</v>
      </c>
      <c r="K894" t="s">
        <v>10873</v>
      </c>
      <c r="L894" s="90" t="s">
        <v>9705</v>
      </c>
      <c r="M894" t="s">
        <v>9706</v>
      </c>
      <c r="O894" t="s">
        <v>9707</v>
      </c>
      <c r="P894" t="s">
        <v>780</v>
      </c>
      <c r="Q894" t="s">
        <v>4283</v>
      </c>
      <c r="R894">
        <v>948</v>
      </c>
      <c r="S894" t="s">
        <v>10137</v>
      </c>
      <c r="T894">
        <v>-1</v>
      </c>
      <c r="W894">
        <f>COUNTIFS('Clinical Trials HCO'!$A:$A, K894, 'Clinical Trials HCO'!$D:$D, "&lt;&gt;")</f>
        <v>0</v>
      </c>
    </row>
    <row r="895" spans="2:33" hidden="1">
      <c r="F895">
        <f>COUNTIF(HCPs!W:W,HCO_Data!K895)</f>
        <v>0</v>
      </c>
      <c r="G895" t="str">
        <f>IF(COUNTIF('Testing Referrals'!B:B,HCO_Data!K895)&gt;0,"Yes","")</f>
        <v/>
      </c>
      <c r="H895">
        <f>COUNTIF('HCO referrals'!B:B,HCO_Data!K895)+COUNTIF('HCO referrals'!C:C,HCO_Data!K895)</f>
        <v>0</v>
      </c>
      <c r="I895">
        <v>580972610</v>
      </c>
      <c r="K895" t="s">
        <v>10874</v>
      </c>
      <c r="L895" t="s">
        <v>9938</v>
      </c>
      <c r="M895" t="s">
        <v>9939</v>
      </c>
      <c r="O895" t="s">
        <v>9940</v>
      </c>
      <c r="P895" t="s">
        <v>780</v>
      </c>
      <c r="Q895" t="s">
        <v>4283</v>
      </c>
      <c r="R895">
        <v>1048</v>
      </c>
      <c r="S895" t="s">
        <v>10137</v>
      </c>
      <c r="T895">
        <v>-1</v>
      </c>
      <c r="W895">
        <f>COUNTIFS('Clinical Trials HCO'!$A:$A, K895, 'Clinical Trials HCO'!$D:$D, "&lt;&gt;")</f>
        <v>0</v>
      </c>
    </row>
    <row r="896" spans="2:33" hidden="1">
      <c r="F896">
        <f>COUNTIF(HCPs!W:W,HCO_Data!K896)</f>
        <v>0</v>
      </c>
      <c r="G896" t="str">
        <f>IF(COUNTIF('Testing Referrals'!B:B,HCO_Data!K896)&gt;0,"Yes","")</f>
        <v/>
      </c>
      <c r="H896">
        <f>COUNTIF('HCO referrals'!B:B,HCO_Data!K896)+COUNTIF('HCO referrals'!C:C,HCO_Data!K896)</f>
        <v>0</v>
      </c>
      <c r="I896">
        <v>580972669</v>
      </c>
      <c r="K896" t="s">
        <v>10875</v>
      </c>
      <c r="L896" t="s">
        <v>9168</v>
      </c>
      <c r="M896" t="s">
        <v>9169</v>
      </c>
      <c r="O896" t="s">
        <v>9170</v>
      </c>
      <c r="P896" t="s">
        <v>780</v>
      </c>
      <c r="Q896" t="s">
        <v>4283</v>
      </c>
      <c r="R896">
        <v>713</v>
      </c>
      <c r="S896" t="s">
        <v>10137</v>
      </c>
      <c r="T896">
        <v>-1</v>
      </c>
      <c r="W896">
        <f>COUNTIFS('Clinical Trials HCO'!$A:$A, K896, 'Clinical Trials HCO'!$D:$D, "&lt;&gt;")</f>
        <v>0</v>
      </c>
    </row>
    <row r="897" spans="2:33" hidden="1">
      <c r="F897">
        <f>COUNTIF(HCPs!W:W,HCO_Data!K897)</f>
        <v>0</v>
      </c>
      <c r="G897" t="str">
        <f>IF(COUNTIF('Testing Referrals'!B:B,HCO_Data!K897)&gt;0,"Yes","")</f>
        <v/>
      </c>
      <c r="H897">
        <f>COUNTIF('HCO referrals'!B:B,HCO_Data!K897)+COUNTIF('HCO referrals'!C:C,HCO_Data!K897)</f>
        <v>0</v>
      </c>
      <c r="I897">
        <v>580972677</v>
      </c>
      <c r="K897" t="s">
        <v>10876</v>
      </c>
      <c r="L897" t="s">
        <v>9358</v>
      </c>
      <c r="M897" t="s">
        <v>9359</v>
      </c>
      <c r="O897" t="s">
        <v>9360</v>
      </c>
      <c r="P897" t="s">
        <v>780</v>
      </c>
      <c r="Q897" t="s">
        <v>4283</v>
      </c>
      <c r="R897">
        <v>803</v>
      </c>
      <c r="S897" t="s">
        <v>10137</v>
      </c>
      <c r="T897">
        <v>-1</v>
      </c>
      <c r="W897">
        <f>COUNTIFS('Clinical Trials HCO'!$A:$A, K897, 'Clinical Trials HCO'!$D:$D, "&lt;&gt;")</f>
        <v>0</v>
      </c>
    </row>
    <row r="898" spans="2:33" hidden="1">
      <c r="F898">
        <f>COUNTIF(HCPs!W:W,HCO_Data!K898)</f>
        <v>0</v>
      </c>
      <c r="G898" t="str">
        <f>IF(COUNTIF('Testing Referrals'!B:B,HCO_Data!K898)&gt;0,"Yes","")</f>
        <v/>
      </c>
      <c r="H898">
        <f>COUNTIF('HCO referrals'!B:B,HCO_Data!K898)+COUNTIF('HCO referrals'!C:C,HCO_Data!K898)</f>
        <v>0</v>
      </c>
      <c r="I898">
        <v>580972685</v>
      </c>
      <c r="K898" t="s">
        <v>10877</v>
      </c>
      <c r="L898" t="s">
        <v>9215</v>
      </c>
      <c r="M898" t="s">
        <v>9216</v>
      </c>
      <c r="O898" t="s">
        <v>9217</v>
      </c>
      <c r="P898" t="s">
        <v>780</v>
      </c>
      <c r="Q898" t="s">
        <v>4283</v>
      </c>
      <c r="R898">
        <v>738</v>
      </c>
      <c r="S898" t="s">
        <v>10137</v>
      </c>
      <c r="T898">
        <v>-1</v>
      </c>
      <c r="W898">
        <f>COUNTIFS('Clinical Trials HCO'!$A:$A, K898, 'Clinical Trials HCO'!$D:$D, "&lt;&gt;")</f>
        <v>0</v>
      </c>
    </row>
    <row r="899" spans="2:33" hidden="1">
      <c r="F899">
        <f>COUNTIF(HCPs!W:W,HCO_Data!K899)</f>
        <v>0</v>
      </c>
      <c r="G899" t="str">
        <f>IF(COUNTIF('Testing Referrals'!B:B,HCO_Data!K899)&gt;0,"Yes","")</f>
        <v/>
      </c>
      <c r="H899">
        <f>COUNTIF('HCO referrals'!B:B,HCO_Data!K899)+COUNTIF('HCO referrals'!C:C,HCO_Data!K899)</f>
        <v>0</v>
      </c>
      <c r="I899">
        <v>590000014</v>
      </c>
      <c r="K899" t="s">
        <v>10878</v>
      </c>
      <c r="L899" t="s">
        <v>10079</v>
      </c>
      <c r="M899" t="s">
        <v>10080</v>
      </c>
      <c r="O899" t="s">
        <v>10081</v>
      </c>
      <c r="P899" t="s">
        <v>704</v>
      </c>
      <c r="Q899" t="s">
        <v>4283</v>
      </c>
      <c r="R899">
        <v>1107</v>
      </c>
      <c r="S899" t="s">
        <v>10137</v>
      </c>
      <c r="T899">
        <v>-1</v>
      </c>
      <c r="W899">
        <f>COUNTIFS('Clinical Trials HCO'!$A:$A, K899, 'Clinical Trials HCO'!$D:$D, "&lt;&gt;")</f>
        <v>0</v>
      </c>
    </row>
    <row r="900" spans="2:33" hidden="1">
      <c r="B900">
        <v>381</v>
      </c>
      <c r="F900">
        <f>COUNTIF(HCPs!W:W,HCO_Data!K900)</f>
        <v>0</v>
      </c>
      <c r="G900" t="str">
        <f>IF(COUNTIF('Testing Referrals'!B:B,HCO_Data!K900)&gt;0,"Yes","")</f>
        <v/>
      </c>
      <c r="H900">
        <f>COUNTIF('HCO referrals'!B:B,HCO_Data!K900)+COUNTIF('HCO referrals'!C:C,HCO_Data!K900)</f>
        <v>0</v>
      </c>
      <c r="I900">
        <v>590000121</v>
      </c>
      <c r="K900" t="s">
        <v>10879</v>
      </c>
      <c r="L900" t="s">
        <v>2405</v>
      </c>
      <c r="M900" t="s">
        <v>2705</v>
      </c>
      <c r="N900">
        <v>59113</v>
      </c>
      <c r="O900" t="s">
        <v>2706</v>
      </c>
      <c r="Q900" t="s">
        <v>4283</v>
      </c>
      <c r="R900">
        <v>552</v>
      </c>
      <c r="S900" t="s">
        <v>10137</v>
      </c>
      <c r="T900">
        <v>-1</v>
      </c>
      <c r="W900">
        <f>COUNTIFS('Clinical Trials HCO'!$A:$A, K900, 'Clinical Trials HCO'!$D:$D, "&lt;&gt;")</f>
        <v>0</v>
      </c>
      <c r="AF900" t="s">
        <v>414</v>
      </c>
    </row>
    <row r="901" spans="2:33" hidden="1">
      <c r="B901">
        <v>442</v>
      </c>
      <c r="F901">
        <f>COUNTIF(HCPs!W:W,HCO_Data!K901)</f>
        <v>0</v>
      </c>
      <c r="G901" t="str">
        <f>IF(COUNTIF('Testing Referrals'!B:B,HCO_Data!K901)&gt;0,"Yes","")</f>
        <v/>
      </c>
      <c r="H901">
        <f>COUNTIF('HCO referrals'!B:B,HCO_Data!K901)+COUNTIF('HCO referrals'!C:C,HCO_Data!K901)</f>
        <v>0</v>
      </c>
      <c r="I901">
        <v>590000436</v>
      </c>
      <c r="K901" t="s">
        <v>10880</v>
      </c>
      <c r="L901" t="s">
        <v>661</v>
      </c>
      <c r="M901" t="s">
        <v>2764</v>
      </c>
      <c r="N901">
        <v>59360</v>
      </c>
      <c r="O901" t="s">
        <v>2765</v>
      </c>
      <c r="Q901" t="s">
        <v>4283</v>
      </c>
      <c r="R901">
        <v>829</v>
      </c>
      <c r="S901" t="s">
        <v>10137</v>
      </c>
      <c r="T901">
        <v>-1</v>
      </c>
      <c r="W901">
        <f>COUNTIFS('Clinical Trials HCO'!$A:$A, K901, 'Clinical Trials HCO'!$D:$D, "&lt;&gt;")</f>
        <v>0</v>
      </c>
      <c r="AG901" t="s">
        <v>414</v>
      </c>
    </row>
    <row r="902" spans="2:33" hidden="1">
      <c r="F902">
        <f>COUNTIF(HCPs!W:W,HCO_Data!K902)</f>
        <v>0</v>
      </c>
      <c r="G902" t="str">
        <f>IF(COUNTIF('Testing Referrals'!B:B,HCO_Data!K902)&gt;0,"Yes","")</f>
        <v/>
      </c>
      <c r="H902">
        <f>COUNTIF('HCO referrals'!B:B,HCO_Data!K902)+COUNTIF('HCO referrals'!C:C,HCO_Data!K902)</f>
        <v>0</v>
      </c>
      <c r="I902">
        <v>590000469</v>
      </c>
      <c r="K902" t="s">
        <v>10881</v>
      </c>
      <c r="L902" t="s">
        <v>9277</v>
      </c>
      <c r="M902" t="s">
        <v>9278</v>
      </c>
      <c r="O902" t="s">
        <v>9279</v>
      </c>
      <c r="P902" t="s">
        <v>704</v>
      </c>
      <c r="Q902" t="s">
        <v>4283</v>
      </c>
      <c r="R902">
        <v>768</v>
      </c>
      <c r="S902" t="s">
        <v>10137</v>
      </c>
      <c r="T902">
        <v>-1</v>
      </c>
      <c r="W902">
        <f>COUNTIFS('Clinical Trials HCO'!$A:$A, K902, 'Clinical Trials HCO'!$D:$D, "&lt;&gt;")</f>
        <v>0</v>
      </c>
    </row>
    <row r="903" spans="2:33" hidden="1">
      <c r="F903">
        <f>COUNTIF(HCPs!W:W,HCO_Data!K903)</f>
        <v>0</v>
      </c>
      <c r="G903" t="str">
        <f>IF(COUNTIF('Testing Referrals'!B:B,HCO_Data!K903)&gt;0,"Yes","")</f>
        <v/>
      </c>
      <c r="H903">
        <f>COUNTIF('HCO referrals'!B:B,HCO_Data!K903)+COUNTIF('HCO referrals'!C:C,HCO_Data!K903)</f>
        <v>0</v>
      </c>
      <c r="I903">
        <v>590000477</v>
      </c>
      <c r="K903" t="s">
        <v>10882</v>
      </c>
      <c r="L903" t="s">
        <v>9280</v>
      </c>
      <c r="M903" t="s">
        <v>9281</v>
      </c>
      <c r="O903" t="s">
        <v>9282</v>
      </c>
      <c r="P903" t="s">
        <v>704</v>
      </c>
      <c r="Q903" t="s">
        <v>4283</v>
      </c>
      <c r="R903">
        <v>769</v>
      </c>
      <c r="S903" t="s">
        <v>10137</v>
      </c>
      <c r="T903">
        <v>-1</v>
      </c>
      <c r="W903">
        <f>COUNTIFS('Clinical Trials HCO'!$A:$A, K903, 'Clinical Trials HCO'!$D:$D, "&lt;&gt;")</f>
        <v>0</v>
      </c>
    </row>
    <row r="904" spans="2:33" hidden="1">
      <c r="F904">
        <f>COUNTIF(HCPs!W:W,HCO_Data!K904)</f>
        <v>0</v>
      </c>
      <c r="G904" t="str">
        <f>IF(COUNTIF('Testing Referrals'!B:B,HCO_Data!K904)&gt;0,"Yes","")</f>
        <v/>
      </c>
      <c r="H904">
        <f>COUNTIF('HCO referrals'!B:B,HCO_Data!K904)+COUNTIF('HCO referrals'!C:C,HCO_Data!K904)</f>
        <v>0</v>
      </c>
      <c r="I904">
        <v>590000527</v>
      </c>
      <c r="K904" t="s">
        <v>10883</v>
      </c>
      <c r="L904" t="s">
        <v>9551</v>
      </c>
      <c r="M904" t="s">
        <v>9552</v>
      </c>
      <c r="O904" t="s">
        <v>9553</v>
      </c>
      <c r="P904" t="s">
        <v>704</v>
      </c>
      <c r="Q904" t="s">
        <v>4283</v>
      </c>
      <c r="R904">
        <v>882</v>
      </c>
      <c r="S904" t="s">
        <v>10137</v>
      </c>
      <c r="T904">
        <v>-1</v>
      </c>
      <c r="W904">
        <f>COUNTIFS('Clinical Trials HCO'!$A:$A, K904, 'Clinical Trials HCO'!$D:$D, "&lt;&gt;")</f>
        <v>0</v>
      </c>
    </row>
    <row r="905" spans="2:33" hidden="1">
      <c r="F905">
        <f>COUNTIF(HCPs!W:W,HCO_Data!K905)</f>
        <v>0</v>
      </c>
      <c r="G905" t="str">
        <f>IF(COUNTIF('Testing Referrals'!B:B,HCO_Data!K905)&gt;0,"Yes","")</f>
        <v/>
      </c>
      <c r="H905">
        <f>COUNTIF('HCO referrals'!B:B,HCO_Data!K905)+COUNTIF('HCO referrals'!C:C,HCO_Data!K905)</f>
        <v>0</v>
      </c>
      <c r="I905">
        <v>590000766</v>
      </c>
      <c r="K905" t="s">
        <v>10884</v>
      </c>
      <c r="L905" t="s">
        <v>10082</v>
      </c>
      <c r="M905" t="s">
        <v>10083</v>
      </c>
      <c r="O905" t="s">
        <v>10084</v>
      </c>
      <c r="P905" t="s">
        <v>704</v>
      </c>
      <c r="Q905" t="s">
        <v>4283</v>
      </c>
      <c r="R905">
        <v>1108</v>
      </c>
      <c r="S905" t="s">
        <v>10137</v>
      </c>
      <c r="T905">
        <v>-1</v>
      </c>
      <c r="W905">
        <f>COUNTIFS('Clinical Trials HCO'!$A:$A, K905, 'Clinical Trials HCO'!$D:$D, "&lt;&gt;")</f>
        <v>0</v>
      </c>
    </row>
    <row r="906" spans="2:33" hidden="1">
      <c r="F906">
        <f>COUNTIF(HCPs!W:W,HCO_Data!K906)</f>
        <v>0</v>
      </c>
      <c r="G906" t="str">
        <f>IF(COUNTIF('Testing Referrals'!B:B,HCO_Data!K906)&gt;0,"Yes","")</f>
        <v/>
      </c>
      <c r="H906">
        <f>COUNTIF('HCO referrals'!B:B,HCO_Data!K906)+COUNTIF('HCO referrals'!C:C,HCO_Data!K906)</f>
        <v>2</v>
      </c>
      <c r="I906">
        <v>590782298</v>
      </c>
      <c r="K906" t="s">
        <v>10885</v>
      </c>
      <c r="L906" t="s">
        <v>633</v>
      </c>
      <c r="M906" t="s">
        <v>10085</v>
      </c>
      <c r="O906" t="s">
        <v>10086</v>
      </c>
      <c r="P906" t="s">
        <v>704</v>
      </c>
      <c r="Q906" t="s">
        <v>4283</v>
      </c>
      <c r="R906">
        <v>1109</v>
      </c>
      <c r="S906" t="s">
        <v>10137</v>
      </c>
      <c r="T906">
        <v>-1</v>
      </c>
      <c r="W906">
        <f>COUNTIFS('Clinical Trials HCO'!$A:$A, K906, 'Clinical Trials HCO'!$D:$D, "&lt;&gt;")</f>
        <v>0</v>
      </c>
    </row>
    <row r="907" spans="2:33" hidden="1">
      <c r="F907">
        <f>COUNTIF(HCPs!W:W,HCO_Data!K907)</f>
        <v>0</v>
      </c>
      <c r="G907" t="str">
        <f>IF(COUNTIF('Testing Referrals'!B:B,HCO_Data!K907)&gt;0,"Yes","")</f>
        <v/>
      </c>
      <c r="H907">
        <f>COUNTIF('HCO referrals'!B:B,HCO_Data!K907)+COUNTIF('HCO referrals'!C:C,HCO_Data!K907)</f>
        <v>0</v>
      </c>
      <c r="I907">
        <v>590782546</v>
      </c>
      <c r="K907" t="s">
        <v>10886</v>
      </c>
      <c r="L907" t="s">
        <v>9708</v>
      </c>
      <c r="M907" t="s">
        <v>9709</v>
      </c>
      <c r="O907" t="s">
        <v>2217</v>
      </c>
      <c r="P907" t="s">
        <v>704</v>
      </c>
      <c r="Q907" t="s">
        <v>4283</v>
      </c>
      <c r="R907">
        <v>949</v>
      </c>
      <c r="S907" t="s">
        <v>10137</v>
      </c>
      <c r="T907">
        <v>-1</v>
      </c>
      <c r="W907">
        <f>COUNTIFS('Clinical Trials HCO'!$A:$A, K907, 'Clinical Trials HCO'!$D:$D, "&lt;&gt;")</f>
        <v>0</v>
      </c>
    </row>
    <row r="908" spans="2:33" hidden="1">
      <c r="F908">
        <f>COUNTIF(HCPs!W:W,HCO_Data!K908)</f>
        <v>0</v>
      </c>
      <c r="G908" t="str">
        <f>IF(COUNTIF('Testing Referrals'!B:B,HCO_Data!K908)&gt;0,"Yes","")</f>
        <v/>
      </c>
      <c r="H908">
        <f>COUNTIF('HCO referrals'!B:B,HCO_Data!K908)+COUNTIF('HCO referrals'!C:C,HCO_Data!K908)</f>
        <v>0</v>
      </c>
      <c r="I908">
        <v>590784864</v>
      </c>
      <c r="K908" t="s">
        <v>10887</v>
      </c>
      <c r="L908" t="s">
        <v>9361</v>
      </c>
      <c r="M908" t="s">
        <v>8923</v>
      </c>
      <c r="O908" t="s">
        <v>8878</v>
      </c>
      <c r="P908" t="s">
        <v>704</v>
      </c>
      <c r="Q908" t="s">
        <v>4283</v>
      </c>
      <c r="R908">
        <v>804</v>
      </c>
      <c r="S908" t="s">
        <v>10137</v>
      </c>
      <c r="T908">
        <v>-1</v>
      </c>
      <c r="W908">
        <f>COUNTIFS('Clinical Trials HCO'!$A:$A, K908, 'Clinical Trials HCO'!$D:$D, "&lt;&gt;")</f>
        <v>0</v>
      </c>
    </row>
    <row r="909" spans="2:33" hidden="1">
      <c r="B909">
        <v>709</v>
      </c>
      <c r="F909">
        <f>COUNTIF(HCPs!W:W,HCO_Data!K909)</f>
        <v>0</v>
      </c>
      <c r="G909" t="str">
        <f>IF(COUNTIF('Testing Referrals'!B:B,HCO_Data!K909)&gt;0,"Yes","")</f>
        <v/>
      </c>
      <c r="H909">
        <f>COUNTIF('HCO referrals'!B:B,HCO_Data!K909)+COUNTIF('HCO referrals'!C:C,HCO_Data!K909)</f>
        <v>0</v>
      </c>
      <c r="I909">
        <v>590785374</v>
      </c>
      <c r="K909" t="s">
        <v>10888</v>
      </c>
      <c r="L909" t="s">
        <v>1533</v>
      </c>
      <c r="M909" t="s">
        <v>2104</v>
      </c>
      <c r="N909">
        <v>59304</v>
      </c>
      <c r="O909" t="s">
        <v>1934</v>
      </c>
      <c r="Q909" t="s">
        <v>4283</v>
      </c>
      <c r="R909">
        <v>1049</v>
      </c>
      <c r="S909" t="s">
        <v>10137</v>
      </c>
      <c r="T909">
        <v>-1</v>
      </c>
      <c r="W909">
        <f>COUNTIFS('Clinical Trials HCO'!$A:$A, K909, 'Clinical Trials HCO'!$D:$D, "&lt;&gt;")</f>
        <v>0</v>
      </c>
      <c r="AG909" t="s">
        <v>414</v>
      </c>
    </row>
    <row r="910" spans="2:33" hidden="1">
      <c r="F910">
        <f>COUNTIF(HCPs!W:W,HCO_Data!K910)</f>
        <v>0</v>
      </c>
      <c r="G910" t="str">
        <f>IF(COUNTIF('Testing Referrals'!B:B,HCO_Data!K910)&gt;0,"Yes","")</f>
        <v/>
      </c>
      <c r="H910">
        <f>COUNTIF('HCO referrals'!B:B,HCO_Data!K910)+COUNTIF('HCO referrals'!C:C,HCO_Data!K910)</f>
        <v>0</v>
      </c>
      <c r="I910">
        <v>590791091</v>
      </c>
      <c r="K910" t="s">
        <v>10889</v>
      </c>
      <c r="L910" t="s">
        <v>9554</v>
      </c>
      <c r="M910" t="s">
        <v>9555</v>
      </c>
      <c r="O910" t="s">
        <v>8878</v>
      </c>
      <c r="P910" t="s">
        <v>704</v>
      </c>
      <c r="Q910" t="s">
        <v>4283</v>
      </c>
      <c r="R910">
        <v>883</v>
      </c>
      <c r="S910" t="s">
        <v>10137</v>
      </c>
      <c r="T910">
        <v>-1</v>
      </c>
      <c r="W910">
        <f>COUNTIFS('Clinical Trials HCO'!$A:$A, K910, 'Clinical Trials HCO'!$D:$D, "&lt;&gt;")</f>
        <v>0</v>
      </c>
    </row>
    <row r="911" spans="2:33" hidden="1">
      <c r="B911">
        <v>331</v>
      </c>
      <c r="F911">
        <f>COUNTIF(HCPs!W:W,HCO_Data!K911)</f>
        <v>0</v>
      </c>
      <c r="G911" t="str">
        <f>IF(COUNTIF('Testing Referrals'!B:B,HCO_Data!K911)&gt;0,"Yes","")</f>
        <v/>
      </c>
      <c r="H911">
        <f>COUNTIF('HCO referrals'!B:B,HCO_Data!K911)+COUNTIF('HCO referrals'!C:C,HCO_Data!K911)</f>
        <v>0</v>
      </c>
      <c r="I911">
        <v>590817458</v>
      </c>
      <c r="K911" t="s">
        <v>10890</v>
      </c>
      <c r="L911" t="s">
        <v>1515</v>
      </c>
      <c r="M911" t="s">
        <v>2059</v>
      </c>
      <c r="N911">
        <v>59200</v>
      </c>
      <c r="O911" t="s">
        <v>1731</v>
      </c>
      <c r="Q911" t="s">
        <v>4283</v>
      </c>
      <c r="R911">
        <v>484</v>
      </c>
      <c r="S911" t="s">
        <v>10137</v>
      </c>
      <c r="T911">
        <v>-1</v>
      </c>
      <c r="W911">
        <f>COUNTIFS('Clinical Trials HCO'!$A:$A, K911, 'Clinical Trials HCO'!$D:$D, "&lt;&gt;")</f>
        <v>0</v>
      </c>
      <c r="AG911" t="s">
        <v>414</v>
      </c>
    </row>
    <row r="912" spans="2:33" hidden="1">
      <c r="F912">
        <f>COUNTIF(HCPs!W:W,HCO_Data!K912)</f>
        <v>0</v>
      </c>
      <c r="G912" t="str">
        <f>IF(COUNTIF('Testing Referrals'!B:B,HCO_Data!K912)&gt;0,"Yes","")</f>
        <v/>
      </c>
      <c r="H912">
        <f>COUNTIF('HCO referrals'!B:B,HCO_Data!K912)+COUNTIF('HCO referrals'!C:C,HCO_Data!K912)</f>
        <v>0</v>
      </c>
      <c r="I912">
        <v>600000053</v>
      </c>
      <c r="K912" t="s">
        <v>10891</v>
      </c>
      <c r="L912" t="s">
        <v>9201</v>
      </c>
      <c r="M912" t="s">
        <v>9202</v>
      </c>
      <c r="O912" t="s">
        <v>9203</v>
      </c>
      <c r="P912" t="s">
        <v>707</v>
      </c>
      <c r="Q912" t="s">
        <v>4283</v>
      </c>
      <c r="R912">
        <v>731</v>
      </c>
      <c r="S912" t="s">
        <v>10137</v>
      </c>
      <c r="T912">
        <v>-1</v>
      </c>
      <c r="W912">
        <f>COUNTIFS('Clinical Trials HCO'!$A:$A, K912, 'Clinical Trials HCO'!$D:$D, "&lt;&gt;")</f>
        <v>0</v>
      </c>
    </row>
    <row r="913" spans="2:33" hidden="1">
      <c r="F913">
        <f>COUNTIF(HCPs!W:W,HCO_Data!K913)</f>
        <v>0</v>
      </c>
      <c r="G913" t="str">
        <f>IF(COUNTIF('Testing Referrals'!B:B,HCO_Data!K913)&gt;0,"Yes","")</f>
        <v/>
      </c>
      <c r="H913">
        <f>COUNTIF('HCO referrals'!B:B,HCO_Data!K913)+COUNTIF('HCO referrals'!C:C,HCO_Data!K913)</f>
        <v>0</v>
      </c>
      <c r="I913">
        <v>600000186</v>
      </c>
      <c r="K913" t="s">
        <v>10892</v>
      </c>
      <c r="L913" t="s">
        <v>9362</v>
      </c>
      <c r="M913" t="s">
        <v>9363</v>
      </c>
      <c r="O913" t="s">
        <v>9364</v>
      </c>
      <c r="P913" t="s">
        <v>707</v>
      </c>
      <c r="Q913" t="s">
        <v>4283</v>
      </c>
      <c r="R913">
        <v>805</v>
      </c>
      <c r="S913" t="s">
        <v>10137</v>
      </c>
      <c r="T913">
        <v>-1</v>
      </c>
      <c r="W913">
        <f>COUNTIFS('Clinical Trials HCO'!$A:$A, K913, 'Clinical Trials HCO'!$D:$D, "&lt;&gt;")</f>
        <v>0</v>
      </c>
    </row>
    <row r="914" spans="2:33" hidden="1">
      <c r="F914">
        <f>COUNTIF(HCPs!W:W,HCO_Data!K914)</f>
        <v>0</v>
      </c>
      <c r="G914" t="str">
        <f>IF(COUNTIF('Testing Referrals'!B:B,HCO_Data!K914)&gt;0,"Yes","")</f>
        <v/>
      </c>
      <c r="H914">
        <f>COUNTIF('HCO referrals'!B:B,HCO_Data!K914)+COUNTIF('HCO referrals'!C:C,HCO_Data!K914)</f>
        <v>0</v>
      </c>
      <c r="I914">
        <v>600000285</v>
      </c>
      <c r="K914" t="s">
        <v>10893</v>
      </c>
      <c r="L914" t="s">
        <v>9609</v>
      </c>
      <c r="M914" t="s">
        <v>9610</v>
      </c>
      <c r="O914" t="s">
        <v>9611</v>
      </c>
      <c r="P914" t="s">
        <v>707</v>
      </c>
      <c r="Q914" t="s">
        <v>4283</v>
      </c>
      <c r="R914">
        <v>907</v>
      </c>
      <c r="S914" t="s">
        <v>10137</v>
      </c>
      <c r="T914">
        <v>-1</v>
      </c>
      <c r="W914">
        <f>COUNTIFS('Clinical Trials HCO'!$A:$A, K914, 'Clinical Trials HCO'!$D:$D, "&lt;&gt;")</f>
        <v>0</v>
      </c>
    </row>
    <row r="915" spans="2:33" hidden="1">
      <c r="F915">
        <f>COUNTIF(HCPs!W:W,HCO_Data!K915)</f>
        <v>0</v>
      </c>
      <c r="G915" t="str">
        <f>IF(COUNTIF('Testing Referrals'!B:B,HCO_Data!K915)&gt;0,"Yes","")</f>
        <v/>
      </c>
      <c r="H915">
        <f>COUNTIF('HCO referrals'!B:B,HCO_Data!K915)+COUNTIF('HCO referrals'!C:C,HCO_Data!K915)</f>
        <v>0</v>
      </c>
      <c r="I915">
        <v>600018188</v>
      </c>
      <c r="K915" t="s">
        <v>10894</v>
      </c>
      <c r="L915" t="s">
        <v>8853</v>
      </c>
      <c r="M915" t="s">
        <v>8854</v>
      </c>
      <c r="O915" t="s">
        <v>1757</v>
      </c>
      <c r="P915" t="s">
        <v>707</v>
      </c>
      <c r="Q915" t="s">
        <v>4283</v>
      </c>
      <c r="R915">
        <v>506</v>
      </c>
      <c r="S915" t="s">
        <v>10137</v>
      </c>
      <c r="T915">
        <v>-1</v>
      </c>
      <c r="W915">
        <f>COUNTIFS('Clinical Trials HCO'!$A:$A, K915, 'Clinical Trials HCO'!$D:$D, "&lt;&gt;")</f>
        <v>0</v>
      </c>
    </row>
    <row r="916" spans="2:33" hidden="1">
      <c r="F916">
        <f>COUNTIF(HCPs!W:W,HCO_Data!K916)</f>
        <v>0</v>
      </c>
      <c r="G916" t="str">
        <f>IF(COUNTIF('Testing Referrals'!B:B,HCO_Data!K916)&gt;0,"Yes","")</f>
        <v/>
      </c>
      <c r="H916">
        <f>COUNTIF('HCO referrals'!B:B,HCO_Data!K916)+COUNTIF('HCO referrals'!C:C,HCO_Data!K916)</f>
        <v>0</v>
      </c>
      <c r="I916">
        <v>600018196</v>
      </c>
      <c r="K916" t="s">
        <v>10895</v>
      </c>
      <c r="L916" t="s">
        <v>10087</v>
      </c>
      <c r="M916" t="s">
        <v>8854</v>
      </c>
      <c r="O916" t="s">
        <v>1757</v>
      </c>
      <c r="P916" t="s">
        <v>707</v>
      </c>
      <c r="Q916" t="s">
        <v>4283</v>
      </c>
      <c r="R916">
        <v>1110</v>
      </c>
      <c r="S916" t="s">
        <v>10137</v>
      </c>
      <c r="T916">
        <v>-1</v>
      </c>
      <c r="W916">
        <f>COUNTIFS('Clinical Trials HCO'!$A:$A, K916, 'Clinical Trials HCO'!$D:$D, "&lt;&gt;")</f>
        <v>0</v>
      </c>
    </row>
    <row r="917" spans="2:33" hidden="1">
      <c r="B917">
        <v>291</v>
      </c>
      <c r="F917">
        <f>COUNTIF(HCPs!W:W,HCO_Data!K917)</f>
        <v>0</v>
      </c>
      <c r="G917" t="str">
        <f>IF(COUNTIF('Testing Referrals'!B:B,HCO_Data!K917)&gt;0,"Yes","")</f>
        <v/>
      </c>
      <c r="H917">
        <f>COUNTIF('HCO referrals'!B:B,HCO_Data!K917)+COUNTIF('HCO referrals'!C:C,HCO_Data!K917)</f>
        <v>0</v>
      </c>
      <c r="I917">
        <v>600100168</v>
      </c>
      <c r="K917" t="s">
        <v>10896</v>
      </c>
      <c r="L917" t="s">
        <v>1364</v>
      </c>
      <c r="M917" t="s">
        <v>1756</v>
      </c>
      <c r="N917">
        <v>60270</v>
      </c>
      <c r="O917" t="s">
        <v>1757</v>
      </c>
      <c r="Q917" t="s">
        <v>4283</v>
      </c>
      <c r="R917">
        <v>515</v>
      </c>
      <c r="S917" t="s">
        <v>10137</v>
      </c>
      <c r="T917">
        <v>-1</v>
      </c>
      <c r="W917">
        <f>COUNTIFS('Clinical Trials HCO'!$A:$A, K917, 'Clinical Trials HCO'!$D:$D, "&lt;&gt;")</f>
        <v>0</v>
      </c>
      <c r="AG917" t="s">
        <v>414</v>
      </c>
    </row>
    <row r="918" spans="2:33" hidden="1">
      <c r="F918">
        <f>COUNTIF(HCPs!W:W,HCO_Data!K918)</f>
        <v>0</v>
      </c>
      <c r="G918" t="str">
        <f>IF(COUNTIF('Testing Referrals'!B:B,HCO_Data!K918)&gt;0,"Yes","")</f>
        <v/>
      </c>
      <c r="H918">
        <f>COUNTIF('HCO referrals'!B:B,HCO_Data!K918)+COUNTIF('HCO referrals'!C:C,HCO_Data!K918)</f>
        <v>0</v>
      </c>
      <c r="I918">
        <v>600100861</v>
      </c>
      <c r="K918" t="s">
        <v>10897</v>
      </c>
      <c r="L918" t="s">
        <v>10088</v>
      </c>
      <c r="M918" t="s">
        <v>10089</v>
      </c>
      <c r="O918" t="s">
        <v>10090</v>
      </c>
      <c r="P918" t="s">
        <v>707</v>
      </c>
      <c r="Q918" t="s">
        <v>4283</v>
      </c>
      <c r="R918">
        <v>1111</v>
      </c>
      <c r="S918" t="s">
        <v>10137</v>
      </c>
      <c r="T918">
        <v>-1</v>
      </c>
      <c r="W918">
        <f>COUNTIFS('Clinical Trials HCO'!$A:$A, K918, 'Clinical Trials HCO'!$D:$D, "&lt;&gt;")</f>
        <v>0</v>
      </c>
    </row>
    <row r="919" spans="2:33" hidden="1">
      <c r="F919">
        <f>COUNTIF(HCPs!W:W,HCO_Data!K919)</f>
        <v>0</v>
      </c>
      <c r="G919" t="str">
        <f>IF(COUNTIF('Testing Referrals'!B:B,HCO_Data!K919)&gt;0,"Yes","")</f>
        <v/>
      </c>
      <c r="H919">
        <f>COUNTIF('HCO referrals'!B:B,HCO_Data!K919)+COUNTIF('HCO referrals'!C:C,HCO_Data!K919)</f>
        <v>0</v>
      </c>
      <c r="I919">
        <v>610000044</v>
      </c>
      <c r="K919" t="s">
        <v>10898</v>
      </c>
      <c r="L919" t="s">
        <v>9365</v>
      </c>
      <c r="M919" t="s">
        <v>9366</v>
      </c>
      <c r="O919" t="s">
        <v>9367</v>
      </c>
      <c r="P919" t="s">
        <v>794</v>
      </c>
      <c r="Q919" t="s">
        <v>4283</v>
      </c>
      <c r="R919">
        <v>806</v>
      </c>
      <c r="S919" t="s">
        <v>10137</v>
      </c>
      <c r="T919">
        <v>-1</v>
      </c>
      <c r="W919">
        <f>COUNTIFS('Clinical Trials HCO'!$A:$A, K919, 'Clinical Trials HCO'!$D:$D, "&lt;&gt;")</f>
        <v>0</v>
      </c>
    </row>
    <row r="920" spans="2:33" hidden="1">
      <c r="F920">
        <f>COUNTIF(HCPs!W:W,HCO_Data!K920)</f>
        <v>0</v>
      </c>
      <c r="G920" t="str">
        <f>IF(COUNTIF('Testing Referrals'!B:B,HCO_Data!K920)&gt;0,"Yes","")</f>
        <v/>
      </c>
      <c r="H920">
        <f>COUNTIF('HCO referrals'!B:B,HCO_Data!K920)+COUNTIF('HCO referrals'!C:C,HCO_Data!K920)</f>
        <v>0</v>
      </c>
      <c r="I920">
        <v>610000077</v>
      </c>
      <c r="K920" t="s">
        <v>10899</v>
      </c>
      <c r="L920" t="s">
        <v>9799</v>
      </c>
      <c r="M920" t="s">
        <v>9800</v>
      </c>
      <c r="O920" t="s">
        <v>9801</v>
      </c>
      <c r="P920" t="s">
        <v>794</v>
      </c>
      <c r="Q920" t="s">
        <v>4283</v>
      </c>
      <c r="R920">
        <v>990</v>
      </c>
      <c r="S920" t="s">
        <v>10137</v>
      </c>
      <c r="T920">
        <v>-1</v>
      </c>
      <c r="W920">
        <f>COUNTIFS('Clinical Trials HCO'!$A:$A, K920, 'Clinical Trials HCO'!$D:$D, "&lt;&gt;")</f>
        <v>0</v>
      </c>
    </row>
    <row r="921" spans="2:33" hidden="1">
      <c r="F921">
        <f>COUNTIF(HCPs!W:W,HCO_Data!K921)</f>
        <v>0</v>
      </c>
      <c r="G921" t="str">
        <f>IF(COUNTIF('Testing Referrals'!B:B,HCO_Data!K921)&gt;0,"Yes","")</f>
        <v/>
      </c>
      <c r="H921">
        <f>COUNTIF('HCO referrals'!B:B,HCO_Data!K921)+COUNTIF('HCO referrals'!C:C,HCO_Data!K921)</f>
        <v>0</v>
      </c>
      <c r="I921">
        <v>610000093</v>
      </c>
      <c r="K921" t="s">
        <v>10900</v>
      </c>
      <c r="L921" t="s">
        <v>9710</v>
      </c>
      <c r="M921" t="s">
        <v>9711</v>
      </c>
      <c r="O921" t="s">
        <v>9712</v>
      </c>
      <c r="P921" t="s">
        <v>794</v>
      </c>
      <c r="Q921" t="s">
        <v>4283</v>
      </c>
      <c r="R921">
        <v>950</v>
      </c>
      <c r="S921" t="s">
        <v>10137</v>
      </c>
      <c r="T921">
        <v>-1</v>
      </c>
      <c r="W921">
        <f>COUNTIFS('Clinical Trials HCO'!$A:$A, K921, 'Clinical Trials HCO'!$D:$D, "&lt;&gt;")</f>
        <v>0</v>
      </c>
    </row>
    <row r="922" spans="2:33" hidden="1">
      <c r="F922">
        <f>COUNTIF(HCPs!W:W,HCO_Data!K922)</f>
        <v>0</v>
      </c>
      <c r="G922" t="str">
        <f>IF(COUNTIF('Testing Referrals'!B:B,HCO_Data!K922)&gt;0,"Yes","")</f>
        <v/>
      </c>
      <c r="H922">
        <f>COUNTIF('HCO referrals'!B:B,HCO_Data!K922)+COUNTIF('HCO referrals'!C:C,HCO_Data!K922)</f>
        <v>0</v>
      </c>
      <c r="I922">
        <v>610780116</v>
      </c>
      <c r="K922" t="s">
        <v>10901</v>
      </c>
      <c r="L922" t="s">
        <v>9368</v>
      </c>
      <c r="M922" t="s">
        <v>9369</v>
      </c>
      <c r="O922" t="s">
        <v>9370</v>
      </c>
      <c r="P922" t="s">
        <v>794</v>
      </c>
      <c r="Q922" t="s">
        <v>4283</v>
      </c>
      <c r="R922">
        <v>807</v>
      </c>
      <c r="S922" t="s">
        <v>10137</v>
      </c>
      <c r="T922">
        <v>-1</v>
      </c>
      <c r="W922">
        <f>COUNTIFS('Clinical Trials HCO'!$A:$A, K922, 'Clinical Trials HCO'!$D:$D, "&lt;&gt;")</f>
        <v>0</v>
      </c>
    </row>
    <row r="923" spans="2:33" hidden="1">
      <c r="F923">
        <f>COUNTIF(HCPs!W:W,HCO_Data!K923)</f>
        <v>0</v>
      </c>
      <c r="G923" t="str">
        <f>IF(COUNTIF('Testing Referrals'!B:B,HCO_Data!K923)&gt;0,"Yes","")</f>
        <v/>
      </c>
      <c r="H923">
        <f>COUNTIF('HCO referrals'!B:B,HCO_Data!K923)+COUNTIF('HCO referrals'!C:C,HCO_Data!K923)</f>
        <v>0</v>
      </c>
      <c r="I923">
        <v>620000026</v>
      </c>
      <c r="K923" t="s">
        <v>10902</v>
      </c>
      <c r="L923" t="s">
        <v>9941</v>
      </c>
      <c r="M923" t="s">
        <v>9942</v>
      </c>
      <c r="O923" t="s">
        <v>9943</v>
      </c>
      <c r="P923" t="s">
        <v>721</v>
      </c>
      <c r="Q923" t="s">
        <v>4283</v>
      </c>
      <c r="R923">
        <v>1050</v>
      </c>
      <c r="S923" t="s">
        <v>10137</v>
      </c>
      <c r="T923">
        <v>-1</v>
      </c>
      <c r="W923">
        <f>COUNTIFS('Clinical Trials HCO'!$A:$A, K923, 'Clinical Trials HCO'!$D:$D, "&lt;&gt;")</f>
        <v>0</v>
      </c>
    </row>
    <row r="924" spans="2:33" hidden="1">
      <c r="B924">
        <v>425</v>
      </c>
      <c r="F924">
        <f>COUNTIF(HCPs!W:W,HCO_Data!K924)</f>
        <v>0</v>
      </c>
      <c r="G924" t="str">
        <f>IF(COUNTIF('Testing Referrals'!B:B,HCO_Data!K924)&gt;0,"Yes","")</f>
        <v/>
      </c>
      <c r="H924">
        <f>COUNTIF('HCO referrals'!B:B,HCO_Data!K924)+COUNTIF('HCO referrals'!C:C,HCO_Data!K924)</f>
        <v>0</v>
      </c>
      <c r="I924">
        <v>620025346</v>
      </c>
      <c r="K924" t="s">
        <v>10903</v>
      </c>
      <c r="L924" t="s">
        <v>2892</v>
      </c>
      <c r="M924" t="s">
        <v>2893</v>
      </c>
      <c r="N924">
        <v>62460</v>
      </c>
      <c r="O924" t="s">
        <v>2894</v>
      </c>
      <c r="Q924" t="s">
        <v>4283</v>
      </c>
      <c r="R924">
        <v>717</v>
      </c>
      <c r="S924" t="s">
        <v>10137</v>
      </c>
      <c r="T924">
        <v>-1</v>
      </c>
      <c r="W924">
        <f>COUNTIFS('Clinical Trials HCO'!$A:$A, K924, 'Clinical Trials HCO'!$D:$D, "&lt;&gt;")</f>
        <v>0</v>
      </c>
      <c r="AG924" t="s">
        <v>414</v>
      </c>
    </row>
    <row r="925" spans="2:33" hidden="1">
      <c r="F925">
        <f>COUNTIF(HCPs!W:W,HCO_Data!K925)</f>
        <v>0</v>
      </c>
      <c r="G925" t="str">
        <f>IF(COUNTIF('Testing Referrals'!B:B,HCO_Data!K925)&gt;0,"Yes","")</f>
        <v/>
      </c>
      <c r="H925">
        <f>COUNTIF('HCO referrals'!B:B,HCO_Data!K925)+COUNTIF('HCO referrals'!C:C,HCO_Data!K925)</f>
        <v>2</v>
      </c>
      <c r="I925">
        <v>620026690</v>
      </c>
      <c r="K925" t="s">
        <v>10904</v>
      </c>
      <c r="L925" t="s">
        <v>8807</v>
      </c>
      <c r="M925" t="s">
        <v>8808</v>
      </c>
      <c r="O925" t="s">
        <v>8809</v>
      </c>
      <c r="P925" t="s">
        <v>721</v>
      </c>
      <c r="Q925" t="s">
        <v>4283</v>
      </c>
      <c r="R925">
        <v>465</v>
      </c>
      <c r="S925" t="s">
        <v>10137</v>
      </c>
      <c r="T925">
        <v>-1</v>
      </c>
      <c r="W925">
        <f>COUNTIFS('Clinical Trials HCO'!$A:$A, K925, 'Clinical Trials HCO'!$D:$D, "&lt;&gt;")</f>
        <v>0</v>
      </c>
    </row>
    <row r="926" spans="2:33" hidden="1">
      <c r="B926">
        <v>439</v>
      </c>
      <c r="F926">
        <f>COUNTIF(HCPs!W:W,HCO_Data!K926)</f>
        <v>0</v>
      </c>
      <c r="G926" t="str">
        <f>IF(COUNTIF('Testing Referrals'!B:B,HCO_Data!K926)&gt;0,"Yes","")</f>
        <v/>
      </c>
      <c r="H926">
        <f>COUNTIF('HCO referrals'!B:B,HCO_Data!K926)+COUNTIF('HCO referrals'!C:C,HCO_Data!K926)</f>
        <v>0</v>
      </c>
      <c r="I926">
        <v>620100487</v>
      </c>
      <c r="K926" t="s">
        <v>10905</v>
      </c>
      <c r="L926" t="s">
        <v>662</v>
      </c>
      <c r="M926" t="s">
        <v>2758</v>
      </c>
      <c r="N926">
        <v>62780</v>
      </c>
      <c r="O926" t="s">
        <v>2759</v>
      </c>
      <c r="Q926" t="s">
        <v>4283</v>
      </c>
      <c r="R926">
        <v>908</v>
      </c>
      <c r="S926" t="s">
        <v>10137</v>
      </c>
      <c r="T926">
        <v>-1</v>
      </c>
      <c r="W926">
        <f>COUNTIFS('Clinical Trials HCO'!$A:$A, K926, 'Clinical Trials HCO'!$D:$D, "&lt;&gt;")</f>
        <v>0</v>
      </c>
      <c r="AF926" t="s">
        <v>414</v>
      </c>
      <c r="AG926" t="s">
        <v>414</v>
      </c>
    </row>
    <row r="927" spans="2:33" hidden="1">
      <c r="B927">
        <v>696</v>
      </c>
      <c r="F927">
        <f>COUNTIF(HCPs!W:W,HCO_Data!K927)</f>
        <v>0</v>
      </c>
      <c r="G927" t="str">
        <f>IF(COUNTIF('Testing Referrals'!B:B,HCO_Data!K927)&gt;0,"Yes","")</f>
        <v/>
      </c>
      <c r="H927">
        <f>COUNTIF('HCO referrals'!B:B,HCO_Data!K927)+COUNTIF('HCO referrals'!C:C,HCO_Data!K927)</f>
        <v>0</v>
      </c>
      <c r="I927">
        <v>620100750</v>
      </c>
      <c r="K927" t="s">
        <v>10906</v>
      </c>
      <c r="L927" t="s">
        <v>639</v>
      </c>
      <c r="M927" t="s">
        <v>2038</v>
      </c>
      <c r="N927">
        <v>62660</v>
      </c>
      <c r="O927" t="s">
        <v>2039</v>
      </c>
      <c r="Q927" t="s">
        <v>4283</v>
      </c>
      <c r="R927">
        <v>508</v>
      </c>
      <c r="S927" t="s">
        <v>10137</v>
      </c>
      <c r="T927">
        <v>-1</v>
      </c>
      <c r="W927">
        <f>COUNTIFS('Clinical Trials HCO'!$A:$A, K927, 'Clinical Trials HCO'!$D:$D, "&lt;&gt;")</f>
        <v>0</v>
      </c>
      <c r="AF927" t="s">
        <v>414</v>
      </c>
      <c r="AG927" t="s">
        <v>414</v>
      </c>
    </row>
    <row r="928" spans="2:33" hidden="1">
      <c r="B928">
        <v>237</v>
      </c>
      <c r="F928">
        <f>COUNTIF(HCPs!W:W,HCO_Data!K928)</f>
        <v>0</v>
      </c>
      <c r="G928" t="str">
        <f>IF(COUNTIF('Testing Referrals'!B:B,HCO_Data!K928)&gt;0,"Yes","")</f>
        <v/>
      </c>
      <c r="H928">
        <f>COUNTIF('HCO referrals'!B:B,HCO_Data!K928)+COUNTIF('HCO referrals'!C:C,HCO_Data!K928)</f>
        <v>0</v>
      </c>
      <c r="I928">
        <v>620101311</v>
      </c>
      <c r="K928" t="s">
        <v>10907</v>
      </c>
      <c r="L928" t="s">
        <v>663</v>
      </c>
      <c r="M928" t="s">
        <v>2062</v>
      </c>
      <c r="N928">
        <v>62231</v>
      </c>
      <c r="O928" t="s">
        <v>2063</v>
      </c>
      <c r="Q928" t="s">
        <v>4283</v>
      </c>
      <c r="R928">
        <v>529</v>
      </c>
      <c r="S928" t="s">
        <v>10137</v>
      </c>
      <c r="T928">
        <v>-1</v>
      </c>
      <c r="W928">
        <f>COUNTIFS('Clinical Trials HCO'!$A:$A, K928, 'Clinical Trials HCO'!$D:$D, "&lt;&gt;")</f>
        <v>0</v>
      </c>
      <c r="AF928" t="s">
        <v>414</v>
      </c>
    </row>
    <row r="929" spans="2:33" hidden="1">
      <c r="B929">
        <v>349</v>
      </c>
      <c r="F929">
        <f>COUNTIF(HCPs!W:W,HCO_Data!K929)</f>
        <v>0</v>
      </c>
      <c r="G929" t="str">
        <f>IF(COUNTIF('Testing Referrals'!B:B,HCO_Data!K929)&gt;0,"Yes","")</f>
        <v/>
      </c>
      <c r="H929">
        <f>COUNTIF('HCO referrals'!B:B,HCO_Data!K929)+COUNTIF('HCO referrals'!C:C,HCO_Data!K929)</f>
        <v>0</v>
      </c>
      <c r="I929">
        <v>620101501</v>
      </c>
      <c r="K929" t="s">
        <v>10908</v>
      </c>
      <c r="L929" t="s">
        <v>2538</v>
      </c>
      <c r="M929" t="s">
        <v>2843</v>
      </c>
      <c r="N929">
        <v>62320</v>
      </c>
      <c r="O929" t="s">
        <v>2844</v>
      </c>
      <c r="Q929" t="s">
        <v>4283</v>
      </c>
      <c r="R929">
        <v>857</v>
      </c>
      <c r="S929" t="s">
        <v>10137</v>
      </c>
      <c r="T929">
        <v>-1</v>
      </c>
      <c r="W929">
        <f>COUNTIFS('Clinical Trials HCO'!$A:$A, K929, 'Clinical Trials HCO'!$D:$D, "&lt;&gt;")</f>
        <v>0</v>
      </c>
      <c r="AF929" t="s">
        <v>414</v>
      </c>
      <c r="AG929" t="s">
        <v>414</v>
      </c>
    </row>
    <row r="930" spans="2:33" hidden="1">
      <c r="F930">
        <f>COUNTIF(HCPs!W:W,HCO_Data!K930)</f>
        <v>0</v>
      </c>
      <c r="G930" t="str">
        <f>IF(COUNTIF('Testing Referrals'!B:B,HCO_Data!K930)&gt;0,"Yes","")</f>
        <v/>
      </c>
      <c r="H930">
        <f>COUNTIF('HCO referrals'!B:B,HCO_Data!K930)+COUNTIF('HCO referrals'!C:C,HCO_Data!K930)</f>
        <v>0</v>
      </c>
      <c r="I930">
        <v>620105940</v>
      </c>
      <c r="K930" t="s">
        <v>10909</v>
      </c>
      <c r="L930" t="s">
        <v>10091</v>
      </c>
      <c r="M930" t="s">
        <v>10092</v>
      </c>
      <c r="O930" t="s">
        <v>10093</v>
      </c>
      <c r="P930" t="s">
        <v>721</v>
      </c>
      <c r="Q930" t="s">
        <v>4283</v>
      </c>
      <c r="R930">
        <v>1112</v>
      </c>
      <c r="S930" t="s">
        <v>10137</v>
      </c>
      <c r="T930">
        <v>-1</v>
      </c>
      <c r="W930">
        <f>COUNTIFS('Clinical Trials HCO'!$A:$A, K930, 'Clinical Trials HCO'!$D:$D, "&lt;&gt;")</f>
        <v>0</v>
      </c>
    </row>
    <row r="931" spans="2:33" hidden="1">
      <c r="F931">
        <f>COUNTIF(HCPs!W:W,HCO_Data!K931)</f>
        <v>0</v>
      </c>
      <c r="G931" t="str">
        <f>IF(COUNTIF('Testing Referrals'!B:B,HCO_Data!K931)&gt;0,"Yes","")</f>
        <v/>
      </c>
      <c r="H931">
        <f>COUNTIF('HCO referrals'!B:B,HCO_Data!K931)+COUNTIF('HCO referrals'!C:C,HCO_Data!K931)</f>
        <v>0</v>
      </c>
      <c r="I931">
        <v>630000016</v>
      </c>
      <c r="K931" t="s">
        <v>10910</v>
      </c>
      <c r="L931" t="s">
        <v>9944</v>
      </c>
      <c r="M931" t="s">
        <v>9945</v>
      </c>
      <c r="O931" t="s">
        <v>9946</v>
      </c>
      <c r="P931" t="s">
        <v>735</v>
      </c>
      <c r="Q931" t="s">
        <v>4283</v>
      </c>
      <c r="R931">
        <v>1051</v>
      </c>
      <c r="S931" t="s">
        <v>10137</v>
      </c>
      <c r="T931">
        <v>-1</v>
      </c>
      <c r="W931">
        <f>COUNTIFS('Clinical Trials HCO'!$A:$A, K931, 'Clinical Trials HCO'!$D:$D, "&lt;&gt;")</f>
        <v>0</v>
      </c>
    </row>
    <row r="932" spans="2:33" hidden="1">
      <c r="F932">
        <f>COUNTIF(HCPs!W:W,HCO_Data!K932)</f>
        <v>0</v>
      </c>
      <c r="G932" t="str">
        <f>IF(COUNTIF('Testing Referrals'!B:B,HCO_Data!K932)&gt;0,"Yes","")</f>
        <v/>
      </c>
      <c r="H932">
        <f>COUNTIF('HCO referrals'!B:B,HCO_Data!K932)+COUNTIF('HCO referrals'!C:C,HCO_Data!K932)</f>
        <v>0</v>
      </c>
      <c r="I932">
        <v>630000560</v>
      </c>
      <c r="K932" t="s">
        <v>10911</v>
      </c>
      <c r="L932" t="s">
        <v>9802</v>
      </c>
      <c r="M932" t="s">
        <v>9803</v>
      </c>
      <c r="O932" t="s">
        <v>9804</v>
      </c>
      <c r="P932" t="s">
        <v>735</v>
      </c>
      <c r="Q932" t="s">
        <v>4283</v>
      </c>
      <c r="R932">
        <v>991</v>
      </c>
      <c r="S932" t="s">
        <v>10137</v>
      </c>
      <c r="T932">
        <v>-1</v>
      </c>
      <c r="W932">
        <f>COUNTIFS('Clinical Trials HCO'!$A:$A, K932, 'Clinical Trials HCO'!$D:$D, "&lt;&gt;")</f>
        <v>0</v>
      </c>
    </row>
    <row r="933" spans="2:33" hidden="1">
      <c r="B933">
        <v>613</v>
      </c>
      <c r="F933">
        <f>COUNTIF(HCPs!W:W,HCO_Data!K933)</f>
        <v>0</v>
      </c>
      <c r="G933" t="str">
        <f>IF(COUNTIF('Testing Referrals'!B:B,HCO_Data!K933)&gt;0,"Yes","")</f>
        <v/>
      </c>
      <c r="H933">
        <f>COUNTIF('HCO referrals'!B:B,HCO_Data!K933)+COUNTIF('HCO referrals'!C:C,HCO_Data!K933)</f>
        <v>0</v>
      </c>
      <c r="I933">
        <v>630781839</v>
      </c>
      <c r="K933" t="s">
        <v>10912</v>
      </c>
      <c r="L933" t="s">
        <v>1616</v>
      </c>
      <c r="M933" t="s">
        <v>2232</v>
      </c>
      <c r="N933">
        <v>63110</v>
      </c>
      <c r="O933" t="s">
        <v>2233</v>
      </c>
      <c r="Q933" t="s">
        <v>4283</v>
      </c>
      <c r="R933">
        <v>951</v>
      </c>
      <c r="S933" t="s">
        <v>10137</v>
      </c>
      <c r="T933">
        <v>-1</v>
      </c>
      <c r="W933">
        <f>COUNTIFS('Clinical Trials HCO'!$A:$A, K933, 'Clinical Trials HCO'!$D:$D, "&lt;&gt;")</f>
        <v>0</v>
      </c>
      <c r="AF933" t="s">
        <v>414</v>
      </c>
      <c r="AG933" t="s">
        <v>414</v>
      </c>
    </row>
    <row r="934" spans="2:33" hidden="1">
      <c r="F934">
        <f>COUNTIF(HCPs!W:W,HCO_Data!K934)</f>
        <v>0</v>
      </c>
      <c r="G934" t="str">
        <f>IF(COUNTIF('Testing Referrals'!B:B,HCO_Data!K934)&gt;0,"Yes","")</f>
        <v/>
      </c>
      <c r="H934">
        <f>COUNTIF('HCO referrals'!B:B,HCO_Data!K934)+COUNTIF('HCO referrals'!C:C,HCO_Data!K934)</f>
        <v>0</v>
      </c>
      <c r="I934">
        <v>640000402</v>
      </c>
      <c r="K934" t="s">
        <v>10913</v>
      </c>
      <c r="L934" t="s">
        <v>8833</v>
      </c>
      <c r="M934" t="s">
        <v>8834</v>
      </c>
      <c r="O934" t="s">
        <v>8835</v>
      </c>
      <c r="P934" t="s">
        <v>730</v>
      </c>
      <c r="Q934" t="s">
        <v>4283</v>
      </c>
      <c r="R934">
        <v>483</v>
      </c>
      <c r="S934" t="s">
        <v>10137</v>
      </c>
      <c r="T934">
        <v>-1</v>
      </c>
      <c r="W934">
        <f>COUNTIFS('Clinical Trials HCO'!$A:$A, K934, 'Clinical Trials HCO'!$D:$D, "&lt;&gt;")</f>
        <v>0</v>
      </c>
    </row>
    <row r="935" spans="2:33" hidden="1">
      <c r="F935">
        <f>COUNTIF(HCPs!W:W,HCO_Data!K935)</f>
        <v>0</v>
      </c>
      <c r="G935" t="str">
        <f>IF(COUNTIF('Testing Referrals'!B:B,HCO_Data!K935)&gt;0,"Yes","")</f>
        <v/>
      </c>
      <c r="H935">
        <f>COUNTIF('HCO referrals'!B:B,HCO_Data!K935)+COUNTIF('HCO referrals'!C:C,HCO_Data!K935)</f>
        <v>0</v>
      </c>
      <c r="I935">
        <v>640000428</v>
      </c>
      <c r="K935" t="s">
        <v>10914</v>
      </c>
      <c r="L935" t="s">
        <v>10094</v>
      </c>
      <c r="M935" t="s">
        <v>10095</v>
      </c>
      <c r="O935" t="s">
        <v>10096</v>
      </c>
      <c r="P935" t="s">
        <v>730</v>
      </c>
      <c r="Q935" t="s">
        <v>4283</v>
      </c>
      <c r="R935">
        <v>1113</v>
      </c>
      <c r="S935" t="s">
        <v>10137</v>
      </c>
      <c r="T935">
        <v>-1</v>
      </c>
      <c r="W935">
        <f>COUNTIFS('Clinical Trials HCO'!$A:$A, K935, 'Clinical Trials HCO'!$D:$D, "&lt;&gt;")</f>
        <v>0</v>
      </c>
    </row>
    <row r="936" spans="2:33" hidden="1">
      <c r="F936">
        <f>COUNTIF(HCPs!W:W,HCO_Data!K936)</f>
        <v>0</v>
      </c>
      <c r="G936" t="str">
        <f>IF(COUNTIF('Testing Referrals'!B:B,HCO_Data!K936)&gt;0,"Yes","")</f>
        <v/>
      </c>
      <c r="H936">
        <f>COUNTIF('HCO referrals'!B:B,HCO_Data!K936)+COUNTIF('HCO referrals'!C:C,HCO_Data!K936)</f>
        <v>0</v>
      </c>
      <c r="I936">
        <v>640019634</v>
      </c>
      <c r="K936" t="s">
        <v>10915</v>
      </c>
      <c r="L936" t="s">
        <v>9947</v>
      </c>
      <c r="M936" t="s">
        <v>9948</v>
      </c>
      <c r="O936" t="s">
        <v>9949</v>
      </c>
      <c r="P936" t="s">
        <v>730</v>
      </c>
      <c r="Q936" t="s">
        <v>4283</v>
      </c>
      <c r="R936">
        <v>1052</v>
      </c>
      <c r="S936" t="s">
        <v>10137</v>
      </c>
      <c r="T936">
        <v>-1</v>
      </c>
      <c r="W936">
        <f>COUNTIFS('Clinical Trials HCO'!$A:$A, K936, 'Clinical Trials HCO'!$D:$D, "&lt;&gt;")</f>
        <v>0</v>
      </c>
    </row>
    <row r="937" spans="2:33" hidden="1">
      <c r="F937">
        <f>COUNTIF(HCPs!W:W,HCO_Data!K937)</f>
        <v>0</v>
      </c>
      <c r="G937" t="str">
        <f>IF(COUNTIF('Testing Referrals'!B:B,HCO_Data!K937)&gt;0,"Yes","")</f>
        <v/>
      </c>
      <c r="H937">
        <f>COUNTIF('HCO referrals'!B:B,HCO_Data!K937)+COUNTIF('HCO referrals'!C:C,HCO_Data!K937)</f>
        <v>0</v>
      </c>
      <c r="I937">
        <v>640020681</v>
      </c>
      <c r="K937" t="s">
        <v>10916</v>
      </c>
      <c r="L937" t="s">
        <v>9950</v>
      </c>
      <c r="M937" t="s">
        <v>8834</v>
      </c>
      <c r="O937" t="s">
        <v>9951</v>
      </c>
      <c r="P937" t="s">
        <v>730</v>
      </c>
      <c r="Q937" t="s">
        <v>4283</v>
      </c>
      <c r="R937">
        <v>1053</v>
      </c>
      <c r="S937" t="s">
        <v>10137</v>
      </c>
      <c r="T937">
        <v>-1</v>
      </c>
      <c r="W937">
        <f>COUNTIFS('Clinical Trials HCO'!$A:$A, K937, 'Clinical Trials HCO'!$D:$D, "&lt;&gt;")</f>
        <v>0</v>
      </c>
    </row>
    <row r="938" spans="2:33" hidden="1">
      <c r="B938">
        <v>189</v>
      </c>
      <c r="F938">
        <f>COUNTIF(HCPs!W:W,HCO_Data!K938)</f>
        <v>0</v>
      </c>
      <c r="G938" t="str">
        <f>IF(COUNTIF('Testing Referrals'!B:B,HCO_Data!K938)&gt;0,"Yes","")</f>
        <v/>
      </c>
      <c r="H938">
        <f>COUNTIF('HCO referrals'!B:B,HCO_Data!K938)+COUNTIF('HCO referrals'!C:C,HCO_Data!K938)</f>
        <v>0</v>
      </c>
      <c r="I938">
        <v>650000045</v>
      </c>
      <c r="K938" t="s">
        <v>10917</v>
      </c>
      <c r="L938" t="s">
        <v>1441</v>
      </c>
      <c r="M938" t="s">
        <v>1931</v>
      </c>
      <c r="N938">
        <v>65107</v>
      </c>
      <c r="O938" t="s">
        <v>1932</v>
      </c>
      <c r="Q938" t="s">
        <v>4283</v>
      </c>
      <c r="R938">
        <v>706</v>
      </c>
      <c r="S938" t="s">
        <v>10137</v>
      </c>
      <c r="T938">
        <v>-1</v>
      </c>
      <c r="W938">
        <f>COUNTIFS('Clinical Trials HCO'!$A:$A, K938, 'Clinical Trials HCO'!$D:$D, "&lt;&gt;")</f>
        <v>0</v>
      </c>
      <c r="AF938" t="s">
        <v>414</v>
      </c>
      <c r="AG938" t="s">
        <v>414</v>
      </c>
    </row>
    <row r="939" spans="2:33" hidden="1">
      <c r="F939">
        <f>COUNTIF(HCPs!W:W,HCO_Data!K939)</f>
        <v>0</v>
      </c>
      <c r="G939" t="str">
        <f>IF(COUNTIF('Testing Referrals'!B:B,HCO_Data!K939)&gt;0,"Yes","")</f>
        <v/>
      </c>
      <c r="H939">
        <f>COUNTIF('HCO referrals'!B:B,HCO_Data!K939)+COUNTIF('HCO referrals'!C:C,HCO_Data!K939)</f>
        <v>0</v>
      </c>
      <c r="I939">
        <v>650006638</v>
      </c>
      <c r="K939" t="s">
        <v>10918</v>
      </c>
      <c r="L939" t="s">
        <v>10097</v>
      </c>
      <c r="M939" t="s">
        <v>10098</v>
      </c>
      <c r="O939" t="s">
        <v>10099</v>
      </c>
      <c r="P939" t="s">
        <v>781</v>
      </c>
      <c r="Q939" t="s">
        <v>4283</v>
      </c>
      <c r="R939">
        <v>1114</v>
      </c>
      <c r="S939" t="s">
        <v>10137</v>
      </c>
      <c r="T939">
        <v>-1</v>
      </c>
      <c r="W939">
        <f>COUNTIFS('Clinical Trials HCO'!$A:$A, K939, 'Clinical Trials HCO'!$D:$D, "&lt;&gt;")</f>
        <v>0</v>
      </c>
    </row>
    <row r="940" spans="2:33" hidden="1">
      <c r="F940">
        <f>COUNTIF(HCPs!W:W,HCO_Data!K940)</f>
        <v>0</v>
      </c>
      <c r="G940" t="str">
        <f>IF(COUNTIF('Testing Referrals'!B:B,HCO_Data!K940)&gt;0,"Yes","")</f>
        <v/>
      </c>
      <c r="H940">
        <f>COUNTIF('HCO referrals'!B:B,HCO_Data!K940)+COUNTIF('HCO referrals'!C:C,HCO_Data!K940)</f>
        <v>0</v>
      </c>
      <c r="I940">
        <v>650784218</v>
      </c>
      <c r="K940" t="s">
        <v>10919</v>
      </c>
      <c r="L940" t="s">
        <v>9176</v>
      </c>
      <c r="M940" t="s">
        <v>9177</v>
      </c>
      <c r="O940" t="s">
        <v>9178</v>
      </c>
      <c r="P940" t="s">
        <v>781</v>
      </c>
      <c r="Q940" t="s">
        <v>4283</v>
      </c>
      <c r="R940">
        <v>719</v>
      </c>
      <c r="S940" t="s">
        <v>10137</v>
      </c>
      <c r="T940">
        <v>-1</v>
      </c>
      <c r="W940">
        <f>COUNTIFS('Clinical Trials HCO'!$A:$A, K940, 'Clinical Trials HCO'!$D:$D, "&lt;&gt;")</f>
        <v>0</v>
      </c>
    </row>
    <row r="941" spans="2:33" hidden="1">
      <c r="B941">
        <v>419</v>
      </c>
      <c r="C941" t="s">
        <v>8569</v>
      </c>
      <c r="F941">
        <f>COUNTIF(HCPs!W:W,HCO_Data!K941)</f>
        <v>0</v>
      </c>
      <c r="G941" t="str">
        <f>IF(COUNTIF('Testing Referrals'!B:B,HCO_Data!K941)&gt;0,"Yes","")</f>
        <v/>
      </c>
      <c r="H941">
        <f>COUNTIF('HCO referrals'!B:B,HCO_Data!K941)+COUNTIF('HCO referrals'!C:C,HCO_Data!K941)</f>
        <v>0</v>
      </c>
      <c r="I941">
        <v>660006305</v>
      </c>
      <c r="K941" t="s">
        <v>10920</v>
      </c>
      <c r="L941" t="s">
        <v>2430</v>
      </c>
      <c r="M941" t="s">
        <v>2723</v>
      </c>
      <c r="N941">
        <v>66000</v>
      </c>
      <c r="O941" t="s">
        <v>1907</v>
      </c>
      <c r="Q941" t="s">
        <v>4283</v>
      </c>
      <c r="R941">
        <v>786</v>
      </c>
      <c r="S941" t="s">
        <v>10137</v>
      </c>
      <c r="T941">
        <v>-1</v>
      </c>
      <c r="W941">
        <f>COUNTIFS('Clinical Trials HCO'!$A:$A, K941, 'Clinical Trials HCO'!$D:$D, "&lt;&gt;")</f>
        <v>0</v>
      </c>
      <c r="AG941" t="s">
        <v>414</v>
      </c>
    </row>
    <row r="942" spans="2:33" hidden="1">
      <c r="F942">
        <f>COUNTIF(HCPs!W:W,HCO_Data!K942)</f>
        <v>0</v>
      </c>
      <c r="G942" t="str">
        <f>IF(COUNTIF('Testing Referrals'!B:B,HCO_Data!K942)&gt;0,"Yes","")</f>
        <v/>
      </c>
      <c r="H942">
        <f>COUNTIF('HCO referrals'!B:B,HCO_Data!K942)+COUNTIF('HCO referrals'!C:C,HCO_Data!K942)</f>
        <v>0</v>
      </c>
      <c r="I942">
        <v>660009689</v>
      </c>
      <c r="K942" t="s">
        <v>10921</v>
      </c>
      <c r="L942" t="s">
        <v>9952</v>
      </c>
      <c r="M942" t="s">
        <v>9953</v>
      </c>
      <c r="O942" t="s">
        <v>9954</v>
      </c>
      <c r="P942" t="s">
        <v>732</v>
      </c>
      <c r="Q942" t="s">
        <v>4283</v>
      </c>
      <c r="R942">
        <v>1054</v>
      </c>
      <c r="S942" t="s">
        <v>10137</v>
      </c>
      <c r="T942">
        <v>-1</v>
      </c>
      <c r="W942">
        <f>COUNTIFS('Clinical Trials HCO'!$A:$A, K942, 'Clinical Trials HCO'!$D:$D, "&lt;&gt;")</f>
        <v>0</v>
      </c>
    </row>
    <row r="943" spans="2:33" hidden="1">
      <c r="F943">
        <f>COUNTIF(HCPs!W:W,HCO_Data!K943)</f>
        <v>0</v>
      </c>
      <c r="G943" t="str">
        <f>IF(COUNTIF('Testing Referrals'!B:B,HCO_Data!K943)&gt;0,"Yes","")</f>
        <v/>
      </c>
      <c r="H943">
        <f>COUNTIF('HCO referrals'!B:B,HCO_Data!K943)+COUNTIF('HCO referrals'!C:C,HCO_Data!K943)</f>
        <v>0</v>
      </c>
      <c r="I943">
        <v>660013012</v>
      </c>
      <c r="K943" t="s">
        <v>10922</v>
      </c>
      <c r="L943" t="s">
        <v>9955</v>
      </c>
      <c r="M943" t="s">
        <v>9956</v>
      </c>
      <c r="O943" t="s">
        <v>9957</v>
      </c>
      <c r="P943" t="s">
        <v>732</v>
      </c>
      <c r="Q943" t="s">
        <v>4283</v>
      </c>
      <c r="R943">
        <v>1055</v>
      </c>
      <c r="S943" t="s">
        <v>10137</v>
      </c>
      <c r="T943">
        <v>-1</v>
      </c>
      <c r="W943">
        <f>COUNTIFS('Clinical Trials HCO'!$A:$A, K943, 'Clinical Trials HCO'!$D:$D, "&lt;&gt;")</f>
        <v>0</v>
      </c>
    </row>
    <row r="944" spans="2:33" hidden="1">
      <c r="F944">
        <f>COUNTIF(HCPs!W:W,HCO_Data!K944)</f>
        <v>0</v>
      </c>
      <c r="G944" t="str">
        <f>IF(COUNTIF('Testing Referrals'!B:B,HCO_Data!K944)&gt;0,"Yes","")</f>
        <v/>
      </c>
      <c r="H944">
        <f>COUNTIF('HCO referrals'!B:B,HCO_Data!K944)+COUNTIF('HCO referrals'!C:C,HCO_Data!K944)</f>
        <v>0</v>
      </c>
      <c r="I944">
        <v>660780628</v>
      </c>
      <c r="K944" t="s">
        <v>10923</v>
      </c>
      <c r="L944" t="s">
        <v>9958</v>
      </c>
      <c r="M944" t="s">
        <v>9959</v>
      </c>
      <c r="O944" t="s">
        <v>9960</v>
      </c>
      <c r="P944" t="s">
        <v>732</v>
      </c>
      <c r="Q944" t="s">
        <v>4283</v>
      </c>
      <c r="R944">
        <v>1056</v>
      </c>
      <c r="S944" t="s">
        <v>10137</v>
      </c>
      <c r="T944">
        <v>-1</v>
      </c>
      <c r="W944">
        <f>COUNTIFS('Clinical Trials HCO'!$A:$A, K944, 'Clinical Trials HCO'!$D:$D, "&lt;&gt;")</f>
        <v>0</v>
      </c>
    </row>
    <row r="945" spans="2:33" hidden="1">
      <c r="B945">
        <v>625</v>
      </c>
      <c r="F945">
        <f>COUNTIF(HCPs!W:W,HCO_Data!K945)</f>
        <v>0</v>
      </c>
      <c r="G945" t="str">
        <f>IF(COUNTIF('Testing Referrals'!B:B,HCO_Data!K945)&gt;0,"Yes","")</f>
        <v/>
      </c>
      <c r="H945">
        <f>COUNTIF('HCO referrals'!B:B,HCO_Data!K945)+COUNTIF('HCO referrals'!C:C,HCO_Data!K945)</f>
        <v>0</v>
      </c>
      <c r="I945">
        <v>660790387</v>
      </c>
      <c r="K945" t="s">
        <v>10924</v>
      </c>
      <c r="L945" t="s">
        <v>2605</v>
      </c>
      <c r="M945" t="s">
        <v>2879</v>
      </c>
      <c r="N945">
        <v>66330</v>
      </c>
      <c r="O945" t="s">
        <v>2880</v>
      </c>
      <c r="Q945" t="s">
        <v>4283</v>
      </c>
      <c r="R945">
        <v>808</v>
      </c>
      <c r="S945" t="s">
        <v>10137</v>
      </c>
      <c r="T945">
        <v>-1</v>
      </c>
      <c r="W945">
        <f>COUNTIFS('Clinical Trials HCO'!$A:$A, K945, 'Clinical Trials HCO'!$D:$D, "&lt;&gt;")</f>
        <v>0</v>
      </c>
      <c r="AG945" t="s">
        <v>414</v>
      </c>
    </row>
    <row r="946" spans="2:33" hidden="1">
      <c r="F946">
        <f>COUNTIF(HCPs!W:W,HCO_Data!K946)</f>
        <v>0</v>
      </c>
      <c r="G946" t="str">
        <f>IF(COUNTIF('Testing Referrals'!B:B,HCO_Data!K946)&gt;0,"Yes","")</f>
        <v/>
      </c>
      <c r="H946">
        <f>COUNTIF('HCO referrals'!B:B,HCO_Data!K946)+COUNTIF('HCO referrals'!C:C,HCO_Data!K946)</f>
        <v>0</v>
      </c>
      <c r="I946">
        <v>670000215</v>
      </c>
      <c r="K946" t="s">
        <v>10925</v>
      </c>
      <c r="L946" t="s">
        <v>9371</v>
      </c>
      <c r="M946" t="s">
        <v>9372</v>
      </c>
      <c r="O946" t="s">
        <v>9373</v>
      </c>
      <c r="P946" t="s">
        <v>718</v>
      </c>
      <c r="Q946" t="s">
        <v>4283</v>
      </c>
      <c r="R946">
        <v>809</v>
      </c>
      <c r="S946" t="s">
        <v>10137</v>
      </c>
      <c r="T946">
        <v>-1</v>
      </c>
      <c r="W946">
        <f>COUNTIFS('Clinical Trials HCO'!$A:$A, K946, 'Clinical Trials HCO'!$D:$D, "&lt;&gt;")</f>
        <v>0</v>
      </c>
    </row>
    <row r="947" spans="2:33" hidden="1">
      <c r="F947">
        <f>COUNTIF(HCPs!W:W,HCO_Data!K947)</f>
        <v>0</v>
      </c>
      <c r="G947" t="str">
        <f>IF(COUNTIF('Testing Referrals'!B:B,HCO_Data!K947)&gt;0,"Yes","")</f>
        <v/>
      </c>
      <c r="H947">
        <f>COUNTIF('HCO referrals'!B:B,HCO_Data!K947)+COUNTIF('HCO referrals'!C:C,HCO_Data!K947)</f>
        <v>0</v>
      </c>
      <c r="I947">
        <v>670000272</v>
      </c>
      <c r="K947" t="s">
        <v>10926</v>
      </c>
      <c r="L947" t="s">
        <v>9242</v>
      </c>
      <c r="M947" t="s">
        <v>9243</v>
      </c>
      <c r="O947" t="s">
        <v>9244</v>
      </c>
      <c r="P947" t="s">
        <v>718</v>
      </c>
      <c r="Q947" t="s">
        <v>4283</v>
      </c>
      <c r="R947">
        <v>750</v>
      </c>
      <c r="S947" t="s">
        <v>10137</v>
      </c>
      <c r="T947">
        <v>-1</v>
      </c>
      <c r="W947">
        <f>COUNTIFS('Clinical Trials HCO'!$A:$A, K947, 'Clinical Trials HCO'!$D:$D, "&lt;&gt;")</f>
        <v>0</v>
      </c>
    </row>
    <row r="948" spans="2:33" hidden="1">
      <c r="F948">
        <f>COUNTIF(HCPs!W:W,HCO_Data!K948)</f>
        <v>0</v>
      </c>
      <c r="G948" t="str">
        <f>IF(COUNTIF('Testing Referrals'!B:B,HCO_Data!K948)&gt;0,"Yes","")</f>
        <v/>
      </c>
      <c r="H948">
        <f>COUNTIF('HCO referrals'!B:B,HCO_Data!K948)+COUNTIF('HCO referrals'!C:C,HCO_Data!K948)</f>
        <v>0</v>
      </c>
      <c r="I948">
        <v>670000306</v>
      </c>
      <c r="K948" t="s">
        <v>10927</v>
      </c>
      <c r="L948" t="s">
        <v>9374</v>
      </c>
      <c r="M948" t="s">
        <v>9375</v>
      </c>
      <c r="O948" t="s">
        <v>9376</v>
      </c>
      <c r="P948" t="s">
        <v>718</v>
      </c>
      <c r="Q948" t="s">
        <v>4283</v>
      </c>
      <c r="R948">
        <v>810</v>
      </c>
      <c r="S948" t="s">
        <v>10137</v>
      </c>
      <c r="T948">
        <v>-1</v>
      </c>
      <c r="W948">
        <f>COUNTIFS('Clinical Trials HCO'!$A:$A, K948, 'Clinical Trials HCO'!$D:$D, "&lt;&gt;")</f>
        <v>0</v>
      </c>
    </row>
    <row r="949" spans="2:33" hidden="1">
      <c r="F949">
        <f>COUNTIF(HCPs!W:W,HCO_Data!K949)</f>
        <v>0</v>
      </c>
      <c r="G949" t="str">
        <f>IF(COUNTIF('Testing Referrals'!B:B,HCO_Data!K949)&gt;0,"Yes","")</f>
        <v/>
      </c>
      <c r="H949">
        <f>COUNTIF('HCO referrals'!B:B,HCO_Data!K949)+COUNTIF('HCO referrals'!C:C,HCO_Data!K949)</f>
        <v>0</v>
      </c>
      <c r="I949">
        <v>670000405</v>
      </c>
      <c r="K949" t="s">
        <v>10928</v>
      </c>
      <c r="L949" t="s">
        <v>9486</v>
      </c>
      <c r="M949" t="s">
        <v>9487</v>
      </c>
      <c r="O949" t="s">
        <v>9488</v>
      </c>
      <c r="P949" t="s">
        <v>718</v>
      </c>
      <c r="Q949" t="s">
        <v>4283</v>
      </c>
      <c r="R949">
        <v>858</v>
      </c>
      <c r="S949" t="s">
        <v>10137</v>
      </c>
      <c r="T949">
        <v>-1</v>
      </c>
      <c r="W949">
        <f>COUNTIFS('Clinical Trials HCO'!$A:$A, K949, 'Clinical Trials HCO'!$D:$D, "&lt;&gt;")</f>
        <v>0</v>
      </c>
    </row>
    <row r="950" spans="2:33" hidden="1">
      <c r="F950">
        <f>COUNTIF(HCPs!W:W,HCO_Data!K950)</f>
        <v>0</v>
      </c>
      <c r="G950" t="str">
        <f>IF(COUNTIF('Testing Referrals'!B:B,HCO_Data!K950)&gt;0,"Yes","")</f>
        <v/>
      </c>
      <c r="H950">
        <f>COUNTIF('HCO referrals'!B:B,HCO_Data!K950)+COUNTIF('HCO referrals'!C:C,HCO_Data!K950)</f>
        <v>0</v>
      </c>
      <c r="I950">
        <v>670013325</v>
      </c>
      <c r="K950" t="s">
        <v>10929</v>
      </c>
      <c r="L950" t="s">
        <v>9805</v>
      </c>
      <c r="M950" t="s">
        <v>9806</v>
      </c>
      <c r="O950" t="s">
        <v>2056</v>
      </c>
      <c r="P950" t="s">
        <v>718</v>
      </c>
      <c r="Q950" t="s">
        <v>4283</v>
      </c>
      <c r="R950">
        <v>992</v>
      </c>
      <c r="S950" t="s">
        <v>10137</v>
      </c>
      <c r="T950">
        <v>-1</v>
      </c>
      <c r="W950">
        <f>COUNTIFS('Clinical Trials HCO'!$A:$A, K950, 'Clinical Trials HCO'!$D:$D, "&lt;&gt;")</f>
        <v>0</v>
      </c>
    </row>
    <row r="951" spans="2:33" hidden="1">
      <c r="F951">
        <f>COUNTIF(HCPs!W:W,HCO_Data!K951)</f>
        <v>0</v>
      </c>
      <c r="G951" t="str">
        <f>IF(COUNTIF('Testing Referrals'!B:B,HCO_Data!K951)&gt;0,"Yes","")</f>
        <v/>
      </c>
      <c r="H951">
        <f>COUNTIF('HCO referrals'!B:B,HCO_Data!K951)+COUNTIF('HCO referrals'!C:C,HCO_Data!K951)</f>
        <v>0</v>
      </c>
      <c r="I951">
        <v>670017458</v>
      </c>
      <c r="K951" t="s">
        <v>10930</v>
      </c>
      <c r="L951" t="s">
        <v>9556</v>
      </c>
      <c r="M951" t="s">
        <v>9557</v>
      </c>
      <c r="O951" t="s">
        <v>2056</v>
      </c>
      <c r="P951" t="s">
        <v>718</v>
      </c>
      <c r="Q951" t="s">
        <v>4283</v>
      </c>
      <c r="R951">
        <v>884</v>
      </c>
      <c r="S951" t="s">
        <v>10137</v>
      </c>
      <c r="T951">
        <v>-1</v>
      </c>
      <c r="W951">
        <f>COUNTIFS('Clinical Trials HCO'!$A:$A, K951, 'Clinical Trials HCO'!$D:$D, "&lt;&gt;")</f>
        <v>0</v>
      </c>
    </row>
    <row r="952" spans="2:33" hidden="1">
      <c r="F952">
        <f>COUNTIF(HCPs!W:W,HCO_Data!K952)</f>
        <v>0</v>
      </c>
      <c r="G952" t="str">
        <f>IF(COUNTIF('Testing Referrals'!B:B,HCO_Data!K952)&gt;0,"Yes","")</f>
        <v/>
      </c>
      <c r="H952">
        <f>COUNTIF('HCO referrals'!B:B,HCO_Data!K952)+COUNTIF('HCO referrals'!C:C,HCO_Data!K952)</f>
        <v>0</v>
      </c>
      <c r="I952">
        <v>670797539</v>
      </c>
      <c r="K952" t="s">
        <v>10931</v>
      </c>
      <c r="L952" t="s">
        <v>8990</v>
      </c>
      <c r="M952" t="s">
        <v>8991</v>
      </c>
      <c r="O952" t="s">
        <v>8992</v>
      </c>
      <c r="P952" t="s">
        <v>718</v>
      </c>
      <c r="Q952" t="s">
        <v>4283</v>
      </c>
      <c r="R952">
        <v>621</v>
      </c>
      <c r="S952" t="s">
        <v>10137</v>
      </c>
      <c r="T952">
        <v>-1</v>
      </c>
      <c r="W952">
        <f>COUNTIFS('Clinical Trials HCO'!$A:$A, K952, 'Clinical Trials HCO'!$D:$D, "&lt;&gt;")</f>
        <v>0</v>
      </c>
    </row>
    <row r="953" spans="2:33" hidden="1">
      <c r="F953">
        <f>COUNTIF(HCPs!W:W,HCO_Data!K953)</f>
        <v>0</v>
      </c>
      <c r="G953" t="str">
        <f>IF(COUNTIF('Testing Referrals'!B:B,HCO_Data!K953)&gt;0,"Yes","")</f>
        <v/>
      </c>
      <c r="H953">
        <f>COUNTIF('HCO referrals'!B:B,HCO_Data!K953)+COUNTIF('HCO referrals'!C:C,HCO_Data!K953)</f>
        <v>0</v>
      </c>
      <c r="I953">
        <v>670798636</v>
      </c>
      <c r="K953" t="s">
        <v>10932</v>
      </c>
      <c r="L953" t="s">
        <v>8938</v>
      </c>
      <c r="M953" t="s">
        <v>8939</v>
      </c>
      <c r="O953" t="s">
        <v>8940</v>
      </c>
      <c r="P953" t="s">
        <v>718</v>
      </c>
      <c r="Q953" t="s">
        <v>4283</v>
      </c>
      <c r="R953">
        <v>582</v>
      </c>
      <c r="S953" t="s">
        <v>10137</v>
      </c>
      <c r="T953">
        <v>-1</v>
      </c>
      <c r="W953">
        <f>COUNTIFS('Clinical Trials HCO'!$A:$A, K953, 'Clinical Trials HCO'!$D:$D, "&lt;&gt;")</f>
        <v>0</v>
      </c>
    </row>
    <row r="954" spans="2:33" hidden="1">
      <c r="F954">
        <f>COUNTIF(HCPs!W:W,HCO_Data!K954)</f>
        <v>0</v>
      </c>
      <c r="G954" t="str">
        <f>IF(COUNTIF('Testing Referrals'!B:B,HCO_Data!K954)&gt;0,"Yes","")</f>
        <v/>
      </c>
      <c r="H954">
        <f>COUNTIF('HCO referrals'!B:B,HCO_Data!K954)+COUNTIF('HCO referrals'!C:C,HCO_Data!K954)</f>
        <v>0</v>
      </c>
      <c r="I954">
        <v>680000320</v>
      </c>
      <c r="K954" t="s">
        <v>10933</v>
      </c>
      <c r="L954" t="s">
        <v>9558</v>
      </c>
      <c r="M954" t="s">
        <v>9559</v>
      </c>
      <c r="O954" t="s">
        <v>9491</v>
      </c>
      <c r="P954" t="s">
        <v>768</v>
      </c>
      <c r="Q954" t="s">
        <v>4283</v>
      </c>
      <c r="R954">
        <v>885</v>
      </c>
      <c r="S954" t="s">
        <v>10137</v>
      </c>
      <c r="T954">
        <v>-1</v>
      </c>
      <c r="W954">
        <f>COUNTIFS('Clinical Trials HCO'!$A:$A, K954, 'Clinical Trials HCO'!$D:$D, "&lt;&gt;")</f>
        <v>0</v>
      </c>
    </row>
    <row r="955" spans="2:33" hidden="1">
      <c r="B955">
        <v>443</v>
      </c>
      <c r="F955">
        <f>COUNTIF(HCPs!W:W,HCO_Data!K955)</f>
        <v>0</v>
      </c>
      <c r="G955" t="str">
        <f>IF(COUNTIF('Testing Referrals'!B:B,HCO_Data!K955)&gt;0,"Yes","")</f>
        <v/>
      </c>
      <c r="H955">
        <f>COUNTIF('HCO referrals'!B:B,HCO_Data!K955)+COUNTIF('HCO referrals'!C:C,HCO_Data!K955)</f>
        <v>0</v>
      </c>
      <c r="I955">
        <v>680000494</v>
      </c>
      <c r="K955" t="s">
        <v>10934</v>
      </c>
      <c r="L955" t="s">
        <v>668</v>
      </c>
      <c r="M955" t="s">
        <v>2766</v>
      </c>
      <c r="N955">
        <v>68200</v>
      </c>
      <c r="O955" t="s">
        <v>2163</v>
      </c>
      <c r="Q955" t="s">
        <v>4283</v>
      </c>
      <c r="R955">
        <v>770</v>
      </c>
      <c r="S955" t="s">
        <v>10137</v>
      </c>
      <c r="T955">
        <v>-1</v>
      </c>
      <c r="W955">
        <f>COUNTIFS('Clinical Trials HCO'!$A:$A, K955, 'Clinical Trials HCO'!$D:$D, "&lt;&gt;")</f>
        <v>0</v>
      </c>
      <c r="AG955" t="s">
        <v>414</v>
      </c>
    </row>
    <row r="956" spans="2:33" hidden="1">
      <c r="F956">
        <f>COUNTIF(HCPs!W:W,HCO_Data!K956)</f>
        <v>0</v>
      </c>
      <c r="G956" t="str">
        <f>IF(COUNTIF('Testing Referrals'!B:B,HCO_Data!K956)&gt;0,"Yes","")</f>
        <v/>
      </c>
      <c r="H956">
        <f>COUNTIF('HCO referrals'!B:B,HCO_Data!K956)+COUNTIF('HCO referrals'!C:C,HCO_Data!K956)</f>
        <v>0</v>
      </c>
      <c r="I956">
        <v>680000544</v>
      </c>
      <c r="K956" t="s">
        <v>10935</v>
      </c>
      <c r="L956" t="s">
        <v>9612</v>
      </c>
      <c r="M956" t="s">
        <v>9613</v>
      </c>
      <c r="O956" t="s">
        <v>9614</v>
      </c>
      <c r="P956" t="s">
        <v>768</v>
      </c>
      <c r="Q956" t="s">
        <v>4283</v>
      </c>
      <c r="R956">
        <v>909</v>
      </c>
      <c r="S956" t="s">
        <v>10137</v>
      </c>
      <c r="T956">
        <v>-1</v>
      </c>
      <c r="W956">
        <f>COUNTIFS('Clinical Trials HCO'!$A:$A, K956, 'Clinical Trials HCO'!$D:$D, "&lt;&gt;")</f>
        <v>0</v>
      </c>
    </row>
    <row r="957" spans="2:33" hidden="1">
      <c r="F957">
        <f>COUNTIF(HCPs!W:W,HCO_Data!K957)</f>
        <v>0</v>
      </c>
      <c r="G957" t="str">
        <f>IF(COUNTIF('Testing Referrals'!B:B,HCO_Data!K957)&gt;0,"Yes","")</f>
        <v/>
      </c>
      <c r="H957">
        <f>COUNTIF('HCO referrals'!B:B,HCO_Data!K957)+COUNTIF('HCO referrals'!C:C,HCO_Data!K957)</f>
        <v>0</v>
      </c>
      <c r="I957">
        <v>680000601</v>
      </c>
      <c r="K957" t="s">
        <v>10936</v>
      </c>
      <c r="L957" t="s">
        <v>9560</v>
      </c>
      <c r="M957" t="s">
        <v>9561</v>
      </c>
      <c r="O957" t="s">
        <v>9562</v>
      </c>
      <c r="P957" t="s">
        <v>768</v>
      </c>
      <c r="Q957" t="s">
        <v>4283</v>
      </c>
      <c r="R957">
        <v>886</v>
      </c>
      <c r="S957" t="s">
        <v>10137</v>
      </c>
      <c r="T957">
        <v>-1</v>
      </c>
      <c r="W957">
        <f>COUNTIFS('Clinical Trials HCO'!$A:$A, K957, 'Clinical Trials HCO'!$D:$D, "&lt;&gt;")</f>
        <v>0</v>
      </c>
    </row>
    <row r="958" spans="2:33" hidden="1">
      <c r="F958">
        <f>COUNTIF(HCPs!W:W,HCO_Data!K958)</f>
        <v>0</v>
      </c>
      <c r="G958" t="str">
        <f>IF(COUNTIF('Testing Referrals'!B:B,HCO_Data!K958)&gt;0,"Yes","")</f>
        <v/>
      </c>
      <c r="H958">
        <f>COUNTIF('HCO referrals'!B:B,HCO_Data!K958)+COUNTIF('HCO referrals'!C:C,HCO_Data!K958)</f>
        <v>0</v>
      </c>
      <c r="I958">
        <v>680000700</v>
      </c>
      <c r="K958" t="s">
        <v>10937</v>
      </c>
      <c r="L958" t="s">
        <v>9414</v>
      </c>
      <c r="M958" t="s">
        <v>9415</v>
      </c>
      <c r="O958" t="s">
        <v>9416</v>
      </c>
      <c r="P958" t="s">
        <v>768</v>
      </c>
      <c r="Q958" t="s">
        <v>4283</v>
      </c>
      <c r="R958">
        <v>830</v>
      </c>
      <c r="S958" t="s">
        <v>10137</v>
      </c>
      <c r="T958">
        <v>-1</v>
      </c>
      <c r="W958">
        <f>COUNTIFS('Clinical Trials HCO'!$A:$A, K958, 'Clinical Trials HCO'!$D:$D, "&lt;&gt;")</f>
        <v>0</v>
      </c>
    </row>
    <row r="959" spans="2:33" hidden="1">
      <c r="F959">
        <f>COUNTIF(HCPs!W:W,HCO_Data!K959)</f>
        <v>0</v>
      </c>
      <c r="G959" t="str">
        <f>IF(COUNTIF('Testing Referrals'!B:B,HCO_Data!K959)&gt;0,"Yes","")</f>
        <v/>
      </c>
      <c r="H959">
        <f>COUNTIF('HCO referrals'!B:B,HCO_Data!K959)+COUNTIF('HCO referrals'!C:C,HCO_Data!K959)</f>
        <v>0</v>
      </c>
      <c r="I959">
        <v>680000882</v>
      </c>
      <c r="K959" t="s">
        <v>10938</v>
      </c>
      <c r="L959" t="s">
        <v>9807</v>
      </c>
      <c r="M959" t="s">
        <v>9808</v>
      </c>
      <c r="O959" t="s">
        <v>9809</v>
      </c>
      <c r="P959" t="s">
        <v>768</v>
      </c>
      <c r="Q959" t="s">
        <v>4283</v>
      </c>
      <c r="R959">
        <v>993</v>
      </c>
      <c r="S959" t="s">
        <v>10137</v>
      </c>
      <c r="T959">
        <v>-1</v>
      </c>
      <c r="W959">
        <f>COUNTIFS('Clinical Trials HCO'!$A:$A, K959, 'Clinical Trials HCO'!$D:$D, "&lt;&gt;")</f>
        <v>0</v>
      </c>
    </row>
    <row r="960" spans="2:33" hidden="1">
      <c r="F960">
        <f>COUNTIF(HCPs!W:W,HCO_Data!K960)</f>
        <v>0</v>
      </c>
      <c r="G960" t="str">
        <f>IF(COUNTIF('Testing Referrals'!B:B,HCO_Data!K960)&gt;0,"Yes","")</f>
        <v/>
      </c>
      <c r="H960">
        <f>COUNTIF('HCO referrals'!B:B,HCO_Data!K960)+COUNTIF('HCO referrals'!C:C,HCO_Data!K960)</f>
        <v>0</v>
      </c>
      <c r="I960">
        <v>680004553</v>
      </c>
      <c r="K960" t="s">
        <v>10939</v>
      </c>
      <c r="L960" s="90" t="s">
        <v>9489</v>
      </c>
      <c r="M960" t="s">
        <v>9490</v>
      </c>
      <c r="O960" t="s">
        <v>9491</v>
      </c>
      <c r="P960" t="s">
        <v>768</v>
      </c>
      <c r="Q960" t="s">
        <v>4283</v>
      </c>
      <c r="R960">
        <v>859</v>
      </c>
      <c r="S960" t="s">
        <v>10137</v>
      </c>
      <c r="T960">
        <v>-1</v>
      </c>
      <c r="W960">
        <f>COUNTIFS('Clinical Trials HCO'!$A:$A, K960, 'Clinical Trials HCO'!$D:$D, "&lt;&gt;")</f>
        <v>0</v>
      </c>
    </row>
    <row r="961" spans="2:33" hidden="1">
      <c r="F961">
        <f>COUNTIF(HCPs!W:W,HCO_Data!K961)</f>
        <v>0</v>
      </c>
      <c r="G961" t="str">
        <f>IF(COUNTIF('Testing Referrals'!B:B,HCO_Data!K961)&gt;0,"Yes","")</f>
        <v/>
      </c>
      <c r="H961">
        <f>COUNTIF('HCO referrals'!B:B,HCO_Data!K961)+COUNTIF('HCO referrals'!C:C,HCO_Data!K961)</f>
        <v>0</v>
      </c>
      <c r="I961">
        <v>680004579</v>
      </c>
      <c r="K961" t="s">
        <v>10940</v>
      </c>
      <c r="L961" t="s">
        <v>9961</v>
      </c>
      <c r="M961" t="s">
        <v>9962</v>
      </c>
      <c r="O961" t="s">
        <v>9809</v>
      </c>
      <c r="P961" t="s">
        <v>768</v>
      </c>
      <c r="Q961" t="s">
        <v>4283</v>
      </c>
      <c r="R961">
        <v>1057</v>
      </c>
      <c r="S961" t="s">
        <v>10137</v>
      </c>
      <c r="T961">
        <v>-1</v>
      </c>
      <c r="W961">
        <f>COUNTIFS('Clinical Trials HCO'!$A:$A, K961, 'Clinical Trials HCO'!$D:$D, "&lt;&gt;")</f>
        <v>0</v>
      </c>
    </row>
    <row r="962" spans="2:33" hidden="1">
      <c r="F962">
        <f>COUNTIF(HCPs!W:W,HCO_Data!K962)</f>
        <v>0</v>
      </c>
      <c r="G962" t="str">
        <f>IF(COUNTIF('Testing Referrals'!B:B,HCO_Data!K962)&gt;0,"Yes","")</f>
        <v/>
      </c>
      <c r="H962">
        <f>COUNTIF('HCO referrals'!B:B,HCO_Data!K962)+COUNTIF('HCO referrals'!C:C,HCO_Data!K962)</f>
        <v>0</v>
      </c>
      <c r="I962">
        <v>680020096</v>
      </c>
      <c r="K962" t="s">
        <v>10941</v>
      </c>
      <c r="L962" t="s">
        <v>9563</v>
      </c>
      <c r="M962" t="s">
        <v>9564</v>
      </c>
      <c r="O962" t="s">
        <v>9565</v>
      </c>
      <c r="P962" t="s">
        <v>768</v>
      </c>
      <c r="Q962" t="s">
        <v>4283</v>
      </c>
      <c r="R962">
        <v>887</v>
      </c>
      <c r="S962" t="s">
        <v>10137</v>
      </c>
      <c r="T962">
        <v>-1</v>
      </c>
      <c r="W962">
        <f>COUNTIFS('Clinical Trials HCO'!$A:$A, K962, 'Clinical Trials HCO'!$D:$D, "&lt;&gt;")</f>
        <v>0</v>
      </c>
    </row>
    <row r="963" spans="2:33" hidden="1">
      <c r="F963">
        <f>COUNTIF(HCPs!W:W,HCO_Data!K963)</f>
        <v>0</v>
      </c>
      <c r="G963" t="str">
        <f>IF(COUNTIF('Testing Referrals'!B:B,HCO_Data!K963)&gt;0,"Yes","")</f>
        <v/>
      </c>
      <c r="H963">
        <f>COUNTIF('HCO referrals'!B:B,HCO_Data!K963)+COUNTIF('HCO referrals'!C:C,HCO_Data!K963)</f>
        <v>0</v>
      </c>
      <c r="I963">
        <v>690000013</v>
      </c>
      <c r="K963" t="s">
        <v>10942</v>
      </c>
      <c r="L963" t="s">
        <v>9245</v>
      </c>
      <c r="M963" t="s">
        <v>9246</v>
      </c>
      <c r="O963" t="s">
        <v>9247</v>
      </c>
      <c r="P963" t="s">
        <v>701</v>
      </c>
      <c r="Q963" t="s">
        <v>4283</v>
      </c>
      <c r="R963">
        <v>751</v>
      </c>
      <c r="S963" t="s">
        <v>10137</v>
      </c>
      <c r="T963">
        <v>-1</v>
      </c>
      <c r="W963">
        <f>COUNTIFS('Clinical Trials HCO'!$A:$A, K963, 'Clinical Trials HCO'!$D:$D, "&lt;&gt;")</f>
        <v>0</v>
      </c>
    </row>
    <row r="964" spans="2:33" hidden="1">
      <c r="F964">
        <f>COUNTIF(HCPs!W:W,HCO_Data!K964)</f>
        <v>0</v>
      </c>
      <c r="G964" t="str">
        <f>IF(COUNTIF('Testing Referrals'!B:B,HCO_Data!K964)&gt;0,"Yes","")</f>
        <v/>
      </c>
      <c r="H964">
        <f>COUNTIF('HCO referrals'!B:B,HCO_Data!K964)+COUNTIF('HCO referrals'!C:C,HCO_Data!K964)</f>
        <v>0</v>
      </c>
      <c r="I964">
        <v>690000021</v>
      </c>
      <c r="K964" t="s">
        <v>10943</v>
      </c>
      <c r="L964" t="s">
        <v>9963</v>
      </c>
      <c r="M964" t="s">
        <v>9964</v>
      </c>
      <c r="O964" t="s">
        <v>9965</v>
      </c>
      <c r="P964" t="s">
        <v>701</v>
      </c>
      <c r="Q964" t="s">
        <v>4283</v>
      </c>
      <c r="R964">
        <v>1058</v>
      </c>
      <c r="S964" t="s">
        <v>10137</v>
      </c>
      <c r="T964">
        <v>-1</v>
      </c>
      <c r="W964">
        <f>COUNTIFS('Clinical Trials HCO'!$A:$A, K964, 'Clinical Trials HCO'!$D:$D, "&lt;&gt;")</f>
        <v>0</v>
      </c>
    </row>
    <row r="965" spans="2:33" hidden="1">
      <c r="F965">
        <f>COUNTIF(HCPs!W:W,HCO_Data!K965)</f>
        <v>0</v>
      </c>
      <c r="G965" t="str">
        <f>IF(COUNTIF('Testing Referrals'!B:B,HCO_Data!K965)&gt;0,"Yes","")</f>
        <v/>
      </c>
      <c r="H965">
        <f>COUNTIF('HCO referrals'!B:B,HCO_Data!K965)+COUNTIF('HCO referrals'!C:C,HCO_Data!K965)</f>
        <v>0</v>
      </c>
      <c r="I965">
        <v>690000047</v>
      </c>
      <c r="K965" t="s">
        <v>10944</v>
      </c>
      <c r="L965" t="s">
        <v>9713</v>
      </c>
      <c r="M965" t="s">
        <v>9714</v>
      </c>
      <c r="O965" t="s">
        <v>9715</v>
      </c>
      <c r="P965" t="s">
        <v>701</v>
      </c>
      <c r="Q965" t="s">
        <v>4283</v>
      </c>
      <c r="R965">
        <v>952</v>
      </c>
      <c r="S965" t="s">
        <v>10137</v>
      </c>
      <c r="T965">
        <v>-1</v>
      </c>
      <c r="W965">
        <f>COUNTIFS('Clinical Trials HCO'!$A:$A, K965, 'Clinical Trials HCO'!$D:$D, "&lt;&gt;")</f>
        <v>0</v>
      </c>
    </row>
    <row r="966" spans="2:33" hidden="1">
      <c r="F966">
        <f>COUNTIF(HCPs!W:W,HCO_Data!K966)</f>
        <v>0</v>
      </c>
      <c r="G966" t="str">
        <f>IF(COUNTIF('Testing Referrals'!B:B,HCO_Data!K966)&gt;0,"Yes","")</f>
        <v/>
      </c>
      <c r="H966">
        <f>COUNTIF('HCO referrals'!B:B,HCO_Data!K966)+COUNTIF('HCO referrals'!C:C,HCO_Data!K966)</f>
        <v>0</v>
      </c>
      <c r="I966">
        <v>690000245</v>
      </c>
      <c r="K966" t="s">
        <v>10945</v>
      </c>
      <c r="L966" t="s">
        <v>10100</v>
      </c>
      <c r="M966" t="s">
        <v>10101</v>
      </c>
      <c r="O966" t="s">
        <v>903</v>
      </c>
      <c r="P966" t="s">
        <v>701</v>
      </c>
      <c r="Q966" t="s">
        <v>4283</v>
      </c>
      <c r="R966">
        <v>1115</v>
      </c>
      <c r="S966" t="s">
        <v>10137</v>
      </c>
      <c r="T966">
        <v>-1</v>
      </c>
      <c r="W966">
        <f>COUNTIFS('Clinical Trials HCO'!$A:$A, K966, 'Clinical Trials HCO'!$D:$D, "&lt;&gt;")</f>
        <v>0</v>
      </c>
    </row>
    <row r="967" spans="2:33" hidden="1">
      <c r="F967">
        <f>COUNTIF(HCPs!W:W,HCO_Data!K967)</f>
        <v>0</v>
      </c>
      <c r="G967" t="str">
        <f>IF(COUNTIF('Testing Referrals'!B:B,HCO_Data!K967)&gt;0,"Yes","")</f>
        <v/>
      </c>
      <c r="H967">
        <f>COUNTIF('HCO referrals'!B:B,HCO_Data!K967)+COUNTIF('HCO referrals'!C:C,HCO_Data!K967)</f>
        <v>0</v>
      </c>
      <c r="I967">
        <v>690000583</v>
      </c>
      <c r="K967" t="s">
        <v>10946</v>
      </c>
      <c r="L967" t="s">
        <v>9966</v>
      </c>
      <c r="M967" t="s">
        <v>9967</v>
      </c>
      <c r="O967" t="s">
        <v>9968</v>
      </c>
      <c r="P967" t="s">
        <v>701</v>
      </c>
      <c r="Q967" t="s">
        <v>4283</v>
      </c>
      <c r="R967">
        <v>1059</v>
      </c>
      <c r="S967" t="s">
        <v>10137</v>
      </c>
      <c r="T967">
        <v>-1</v>
      </c>
      <c r="W967">
        <f>COUNTIFS('Clinical Trials HCO'!$A:$A, K967, 'Clinical Trials HCO'!$D:$D, "&lt;&gt;")</f>
        <v>0</v>
      </c>
    </row>
    <row r="968" spans="2:33" hidden="1">
      <c r="F968">
        <f>COUNTIF(HCPs!W:W,HCO_Data!K968)</f>
        <v>0</v>
      </c>
      <c r="G968" t="str">
        <f>IF(COUNTIF('Testing Referrals'!B:B,HCO_Data!K968)&gt;0,"Yes","")</f>
        <v/>
      </c>
      <c r="H968">
        <f>COUNTIF('HCO referrals'!B:B,HCO_Data!K968)+COUNTIF('HCO referrals'!C:C,HCO_Data!K968)</f>
        <v>0</v>
      </c>
      <c r="I968">
        <v>690000625</v>
      </c>
      <c r="K968" t="s">
        <v>10947</v>
      </c>
      <c r="L968" t="s">
        <v>9112</v>
      </c>
      <c r="M968" t="s">
        <v>9113</v>
      </c>
      <c r="O968" t="s">
        <v>9114</v>
      </c>
      <c r="P968" t="s">
        <v>701</v>
      </c>
      <c r="Q968" t="s">
        <v>4283</v>
      </c>
      <c r="R968">
        <v>680</v>
      </c>
      <c r="S968" t="s">
        <v>10137</v>
      </c>
      <c r="T968">
        <v>-1</v>
      </c>
      <c r="W968">
        <f>COUNTIFS('Clinical Trials HCO'!$A:$A, K968, 'Clinical Trials HCO'!$D:$D, "&lt;&gt;")</f>
        <v>0</v>
      </c>
    </row>
    <row r="969" spans="2:33" hidden="1">
      <c r="F969">
        <f>COUNTIF(HCPs!W:W,HCO_Data!K969)</f>
        <v>0</v>
      </c>
      <c r="G969" t="str">
        <f>IF(COUNTIF('Testing Referrals'!B:B,HCO_Data!K969)&gt;0,"Yes","")</f>
        <v/>
      </c>
      <c r="H969">
        <f>COUNTIF('HCO referrals'!B:B,HCO_Data!K969)+COUNTIF('HCO referrals'!C:C,HCO_Data!K969)</f>
        <v>0</v>
      </c>
      <c r="I969">
        <v>690000773</v>
      </c>
      <c r="K969" t="s">
        <v>10948</v>
      </c>
      <c r="L969" t="s">
        <v>9716</v>
      </c>
      <c r="M969" t="s">
        <v>9717</v>
      </c>
      <c r="O969" t="s">
        <v>9718</v>
      </c>
      <c r="P969" t="s">
        <v>701</v>
      </c>
      <c r="Q969" t="s">
        <v>4283</v>
      </c>
      <c r="R969">
        <v>953</v>
      </c>
      <c r="S969" t="s">
        <v>10137</v>
      </c>
      <c r="T969">
        <v>-1</v>
      </c>
      <c r="W969">
        <f>COUNTIFS('Clinical Trials HCO'!$A:$A, K969, 'Clinical Trials HCO'!$D:$D, "&lt;&gt;")</f>
        <v>0</v>
      </c>
    </row>
    <row r="970" spans="2:33" hidden="1">
      <c r="F970">
        <f>COUNTIF(HCPs!W:W,HCO_Data!K970)</f>
        <v>0</v>
      </c>
      <c r="G970" t="str">
        <f>IF(COUNTIF('Testing Referrals'!B:B,HCO_Data!K970)&gt;0,"Yes","")</f>
        <v/>
      </c>
      <c r="H970">
        <f>COUNTIF('HCO referrals'!B:B,HCO_Data!K970)+COUNTIF('HCO referrals'!C:C,HCO_Data!K970)</f>
        <v>0</v>
      </c>
      <c r="I970">
        <v>690007539</v>
      </c>
      <c r="K970" t="s">
        <v>10949</v>
      </c>
      <c r="L970" t="s">
        <v>1574</v>
      </c>
      <c r="M970" t="s">
        <v>9719</v>
      </c>
      <c r="O970" t="s">
        <v>9720</v>
      </c>
      <c r="P970" t="s">
        <v>701</v>
      </c>
      <c r="Q970" t="s">
        <v>4283</v>
      </c>
      <c r="R970">
        <v>954</v>
      </c>
      <c r="S970" t="s">
        <v>10137</v>
      </c>
      <c r="T970">
        <v>-1</v>
      </c>
      <c r="W970">
        <f>COUNTIFS('Clinical Trials HCO'!$A:$A, K970, 'Clinical Trials HCO'!$D:$D, "&lt;&gt;")</f>
        <v>0</v>
      </c>
    </row>
    <row r="971" spans="2:33" hidden="1">
      <c r="F971">
        <f>COUNTIF(HCPs!W:W,HCO_Data!K971)</f>
        <v>0</v>
      </c>
      <c r="G971" t="str">
        <f>IF(COUNTIF('Testing Referrals'!B:B,HCO_Data!K971)&gt;0,"Yes","")</f>
        <v/>
      </c>
      <c r="H971">
        <f>COUNTIF('HCO referrals'!B:B,HCO_Data!K971)+COUNTIF('HCO referrals'!C:C,HCO_Data!K971)</f>
        <v>0</v>
      </c>
      <c r="I971">
        <v>690022959</v>
      </c>
      <c r="K971" t="s">
        <v>10950</v>
      </c>
      <c r="L971" t="s">
        <v>9810</v>
      </c>
      <c r="M971" t="s">
        <v>9811</v>
      </c>
      <c r="O971" t="s">
        <v>903</v>
      </c>
      <c r="P971" t="s">
        <v>701</v>
      </c>
      <c r="Q971" t="s">
        <v>4283</v>
      </c>
      <c r="R971">
        <v>994</v>
      </c>
      <c r="S971" t="s">
        <v>10137</v>
      </c>
      <c r="T971">
        <v>-1</v>
      </c>
      <c r="W971">
        <f>COUNTIFS('Clinical Trials HCO'!$A:$A, K971, 'Clinical Trials HCO'!$D:$D, "&lt;&gt;")</f>
        <v>0</v>
      </c>
    </row>
    <row r="972" spans="2:33" hidden="1">
      <c r="F972">
        <f>COUNTIF(HCPs!W:W,HCO_Data!K972)</f>
        <v>0</v>
      </c>
      <c r="G972" t="str">
        <f>IF(COUNTIF('Testing Referrals'!B:B,HCO_Data!K972)&gt;0,"Yes","")</f>
        <v/>
      </c>
      <c r="H972">
        <f>COUNTIF('HCO referrals'!B:B,HCO_Data!K972)+COUNTIF('HCO referrals'!C:C,HCO_Data!K972)</f>
        <v>0</v>
      </c>
      <c r="I972">
        <v>690044649</v>
      </c>
      <c r="K972" t="s">
        <v>10951</v>
      </c>
      <c r="L972" t="s">
        <v>8855</v>
      </c>
      <c r="M972" t="s">
        <v>8856</v>
      </c>
      <c r="O972" t="s">
        <v>1903</v>
      </c>
      <c r="P972" t="s">
        <v>701</v>
      </c>
      <c r="Q972" t="s">
        <v>4283</v>
      </c>
      <c r="R972">
        <v>509</v>
      </c>
      <c r="S972" t="s">
        <v>10137</v>
      </c>
      <c r="T972">
        <v>-1</v>
      </c>
      <c r="W972">
        <f>COUNTIFS('Clinical Trials HCO'!$A:$A, K972, 'Clinical Trials HCO'!$D:$D, "&lt;&gt;")</f>
        <v>0</v>
      </c>
    </row>
    <row r="973" spans="2:33" hidden="1">
      <c r="B973">
        <v>606</v>
      </c>
      <c r="F973">
        <f>COUNTIF(HCPs!W:W,HCO_Data!K973)</f>
        <v>0</v>
      </c>
      <c r="G973" t="str">
        <f>IF(COUNTIF('Testing Referrals'!B:B,HCO_Data!K973)&gt;0,"Yes","")</f>
        <v/>
      </c>
      <c r="H973">
        <f>COUNTIF('HCO referrals'!B:B,HCO_Data!K973)+COUNTIF('HCO referrals'!C:C,HCO_Data!K973)</f>
        <v>0</v>
      </c>
      <c r="I973">
        <v>690784178</v>
      </c>
      <c r="K973" t="s">
        <v>10952</v>
      </c>
      <c r="L973" t="s">
        <v>1593</v>
      </c>
      <c r="M973" t="s">
        <v>2168</v>
      </c>
      <c r="N973">
        <v>69394</v>
      </c>
      <c r="O973" t="s">
        <v>903</v>
      </c>
      <c r="Q973" t="s">
        <v>4283</v>
      </c>
      <c r="R973">
        <v>434</v>
      </c>
      <c r="S973" t="s">
        <v>10137</v>
      </c>
      <c r="T973">
        <v>-1</v>
      </c>
      <c r="W973">
        <f>COUNTIFS('Clinical Trials HCO'!$A:$A, K973, 'Clinical Trials HCO'!$D:$D, "&lt;&gt;")</f>
        <v>0</v>
      </c>
      <c r="AF973" t="s">
        <v>414</v>
      </c>
      <c r="AG973" t="s">
        <v>414</v>
      </c>
    </row>
    <row r="974" spans="2:33" hidden="1">
      <c r="F974">
        <f>COUNTIF(HCPs!W:W,HCO_Data!K974)</f>
        <v>0</v>
      </c>
      <c r="G974" t="str">
        <f>IF(COUNTIF('Testing Referrals'!B:B,HCO_Data!K974)&gt;0,"Yes","")</f>
        <v/>
      </c>
      <c r="H974">
        <f>COUNTIF('HCO referrals'!B:B,HCO_Data!K974)+COUNTIF('HCO referrals'!C:C,HCO_Data!K974)</f>
        <v>0</v>
      </c>
      <c r="I974">
        <v>690787429</v>
      </c>
      <c r="K974" t="s">
        <v>10953</v>
      </c>
      <c r="L974" t="s">
        <v>9812</v>
      </c>
      <c r="M974" t="s">
        <v>9813</v>
      </c>
      <c r="O974" t="s">
        <v>2310</v>
      </c>
      <c r="P974" t="s">
        <v>701</v>
      </c>
      <c r="Q974" t="s">
        <v>4283</v>
      </c>
      <c r="R974">
        <v>995</v>
      </c>
      <c r="S974" t="s">
        <v>10137</v>
      </c>
      <c r="T974">
        <v>-1</v>
      </c>
      <c r="W974">
        <f>COUNTIFS('Clinical Trials HCO'!$A:$A, K974, 'Clinical Trials HCO'!$D:$D, "&lt;&gt;")</f>
        <v>0</v>
      </c>
    </row>
    <row r="975" spans="2:33" hidden="1">
      <c r="F975">
        <f>COUNTIF(HCPs!W:W,HCO_Data!K975)</f>
        <v>0</v>
      </c>
      <c r="G975" t="str">
        <f>IF(COUNTIF('Testing Referrals'!B:B,HCO_Data!K975)&gt;0,"Yes","")</f>
        <v/>
      </c>
      <c r="H975">
        <f>COUNTIF('HCO referrals'!B:B,HCO_Data!K975)+COUNTIF('HCO referrals'!C:C,HCO_Data!K975)</f>
        <v>0</v>
      </c>
      <c r="I975">
        <v>690787478</v>
      </c>
      <c r="K975" t="s">
        <v>10954</v>
      </c>
      <c r="L975" t="s">
        <v>9100</v>
      </c>
      <c r="M975" t="s">
        <v>9101</v>
      </c>
      <c r="O975" t="s">
        <v>8749</v>
      </c>
      <c r="P975" t="s">
        <v>701</v>
      </c>
      <c r="Q975" t="s">
        <v>4283</v>
      </c>
      <c r="R975">
        <v>673</v>
      </c>
      <c r="S975" t="s">
        <v>10137</v>
      </c>
      <c r="T975">
        <v>-1</v>
      </c>
      <c r="W975">
        <f>COUNTIFS('Clinical Trials HCO'!$A:$A, K975, 'Clinical Trials HCO'!$D:$D, "&lt;&gt;")</f>
        <v>0</v>
      </c>
    </row>
    <row r="976" spans="2:33" hidden="1">
      <c r="F976">
        <f>COUNTIF(HCPs!W:W,HCO_Data!K976)</f>
        <v>0</v>
      </c>
      <c r="G976" t="str">
        <f>IF(COUNTIF('Testing Referrals'!B:B,HCO_Data!K976)&gt;0,"Yes","")</f>
        <v/>
      </c>
      <c r="H976">
        <f>COUNTIF('HCO referrals'!B:B,HCO_Data!K976)+COUNTIF('HCO referrals'!C:C,HCO_Data!K976)</f>
        <v>0</v>
      </c>
      <c r="I976">
        <v>700000011</v>
      </c>
      <c r="K976" t="s">
        <v>10955</v>
      </c>
      <c r="L976" t="s">
        <v>9283</v>
      </c>
      <c r="M976" t="s">
        <v>9284</v>
      </c>
      <c r="O976" t="s">
        <v>9285</v>
      </c>
      <c r="P976" t="s">
        <v>786</v>
      </c>
      <c r="Q976" t="s">
        <v>4283</v>
      </c>
      <c r="R976">
        <v>771</v>
      </c>
      <c r="S976" t="s">
        <v>10137</v>
      </c>
      <c r="T976">
        <v>-1</v>
      </c>
      <c r="W976">
        <f>COUNTIFS('Clinical Trials HCO'!$A:$A, K976, 'Clinical Trials HCO'!$D:$D, "&lt;&gt;")</f>
        <v>0</v>
      </c>
    </row>
    <row r="977" spans="2:33" hidden="1">
      <c r="F977">
        <f>COUNTIF(HCPs!W:W,HCO_Data!K977)</f>
        <v>0</v>
      </c>
      <c r="G977" t="str">
        <f>IF(COUNTIF('Testing Referrals'!B:B,HCO_Data!K977)&gt;0,"Yes","")</f>
        <v/>
      </c>
      <c r="H977">
        <f>COUNTIF('HCO referrals'!B:B,HCO_Data!K977)+COUNTIF('HCO referrals'!C:C,HCO_Data!K977)</f>
        <v>0</v>
      </c>
      <c r="I977">
        <v>700780059</v>
      </c>
      <c r="K977" t="s">
        <v>10956</v>
      </c>
      <c r="L977" t="s">
        <v>9721</v>
      </c>
      <c r="M977" t="s">
        <v>9722</v>
      </c>
      <c r="O977" t="s">
        <v>9723</v>
      </c>
      <c r="P977" t="s">
        <v>786</v>
      </c>
      <c r="Q977" t="s">
        <v>4283</v>
      </c>
      <c r="R977">
        <v>955</v>
      </c>
      <c r="S977" t="s">
        <v>10137</v>
      </c>
      <c r="T977">
        <v>-1</v>
      </c>
      <c r="W977">
        <f>COUNTIFS('Clinical Trials HCO'!$A:$A, K977, 'Clinical Trials HCO'!$D:$D, "&lt;&gt;")</f>
        <v>0</v>
      </c>
    </row>
    <row r="978" spans="2:33" hidden="1">
      <c r="F978">
        <f>COUNTIF(HCPs!W:W,HCO_Data!K978)</f>
        <v>0</v>
      </c>
      <c r="G978" t="str">
        <f>IF(COUNTIF('Testing Referrals'!B:B,HCO_Data!K978)&gt;0,"Yes","")</f>
        <v/>
      </c>
      <c r="H978">
        <f>COUNTIF('HCO referrals'!B:B,HCO_Data!K978)+COUNTIF('HCO referrals'!C:C,HCO_Data!K978)</f>
        <v>0</v>
      </c>
      <c r="I978">
        <v>700780174</v>
      </c>
      <c r="K978" t="s">
        <v>10957</v>
      </c>
      <c r="L978" t="s">
        <v>9969</v>
      </c>
      <c r="M978" t="s">
        <v>9970</v>
      </c>
      <c r="O978" t="s">
        <v>9971</v>
      </c>
      <c r="P978" t="s">
        <v>786</v>
      </c>
      <c r="Q978" t="s">
        <v>4283</v>
      </c>
      <c r="R978">
        <v>1060</v>
      </c>
      <c r="S978" t="s">
        <v>10137</v>
      </c>
      <c r="T978">
        <v>-1</v>
      </c>
      <c r="W978">
        <f>COUNTIFS('Clinical Trials HCO'!$A:$A, K978, 'Clinical Trials HCO'!$D:$D, "&lt;&gt;")</f>
        <v>0</v>
      </c>
    </row>
    <row r="979" spans="2:33" hidden="1">
      <c r="F979">
        <f>COUNTIF(HCPs!W:W,HCO_Data!K979)</f>
        <v>0</v>
      </c>
      <c r="G979" t="str">
        <f>IF(COUNTIF('Testing Referrals'!B:B,HCO_Data!K979)&gt;0,"Yes","")</f>
        <v/>
      </c>
      <c r="H979">
        <f>COUNTIF('HCO referrals'!B:B,HCO_Data!K979)+COUNTIF('HCO referrals'!C:C,HCO_Data!K979)</f>
        <v>0</v>
      </c>
      <c r="I979">
        <v>700780208</v>
      </c>
      <c r="K979" t="s">
        <v>10958</v>
      </c>
      <c r="L979" t="s">
        <v>9417</v>
      </c>
      <c r="M979" t="s">
        <v>9418</v>
      </c>
      <c r="O979" t="s">
        <v>9419</v>
      </c>
      <c r="P979" t="s">
        <v>786</v>
      </c>
      <c r="Q979" t="s">
        <v>4283</v>
      </c>
      <c r="R979">
        <v>831</v>
      </c>
      <c r="S979" t="s">
        <v>10137</v>
      </c>
      <c r="T979">
        <v>-1</v>
      </c>
      <c r="W979">
        <f>COUNTIFS('Clinical Trials HCO'!$A:$A, K979, 'Clinical Trials HCO'!$D:$D, "&lt;&gt;")</f>
        <v>0</v>
      </c>
    </row>
    <row r="980" spans="2:33" hidden="1">
      <c r="B980">
        <v>546</v>
      </c>
      <c r="F980">
        <f>COUNTIF(HCPs!W:W,HCO_Data!K980)</f>
        <v>0</v>
      </c>
      <c r="G980" t="str">
        <f>IF(COUNTIF('Testing Referrals'!B:B,HCO_Data!K980)&gt;0,"Yes","")</f>
        <v/>
      </c>
      <c r="H980">
        <f>COUNTIF('HCO referrals'!B:B,HCO_Data!K980)+COUNTIF('HCO referrals'!C:C,HCO_Data!K980)</f>
        <v>0</v>
      </c>
      <c r="I980">
        <v>710006859</v>
      </c>
      <c r="K980" t="s">
        <v>10959</v>
      </c>
      <c r="L980" t="s">
        <v>671</v>
      </c>
      <c r="M980" t="s">
        <v>2350</v>
      </c>
      <c r="N980">
        <v>71031</v>
      </c>
      <c r="O980" t="s">
        <v>1886</v>
      </c>
      <c r="Q980" t="s">
        <v>4283</v>
      </c>
      <c r="R980">
        <v>498</v>
      </c>
      <c r="S980" t="s">
        <v>10137</v>
      </c>
      <c r="T980">
        <v>-1</v>
      </c>
      <c r="W980">
        <f>COUNTIFS('Clinical Trials HCO'!$A:$A, K980, 'Clinical Trials HCO'!$D:$D, "&lt;&gt;")</f>
        <v>0</v>
      </c>
      <c r="AG980" t="s">
        <v>414</v>
      </c>
    </row>
    <row r="981" spans="2:33" hidden="1">
      <c r="F981">
        <f>COUNTIF(HCPs!W:W,HCO_Data!K981)</f>
        <v>0</v>
      </c>
      <c r="G981" t="str">
        <f>IF(COUNTIF('Testing Referrals'!B:B,HCO_Data!K981)&gt;0,"Yes","")</f>
        <v/>
      </c>
      <c r="H981">
        <f>COUNTIF('HCO referrals'!B:B,HCO_Data!K981)+COUNTIF('HCO referrals'!C:C,HCO_Data!K981)</f>
        <v>0</v>
      </c>
      <c r="I981">
        <v>710010786</v>
      </c>
      <c r="K981" t="s">
        <v>10960</v>
      </c>
      <c r="L981" t="s">
        <v>9148</v>
      </c>
      <c r="M981" t="s">
        <v>9149</v>
      </c>
      <c r="O981" t="s">
        <v>9150</v>
      </c>
      <c r="P981" t="s">
        <v>727</v>
      </c>
      <c r="Q981" t="s">
        <v>4283</v>
      </c>
      <c r="R981">
        <v>699</v>
      </c>
      <c r="S981" t="s">
        <v>10137</v>
      </c>
      <c r="T981">
        <v>-1</v>
      </c>
      <c r="W981">
        <f>COUNTIFS('Clinical Trials HCO'!$A:$A, K981, 'Clinical Trials HCO'!$D:$D, "&lt;&gt;")</f>
        <v>0</v>
      </c>
    </row>
    <row r="982" spans="2:33" hidden="1">
      <c r="F982">
        <f>COUNTIF(HCPs!W:W,HCO_Data!K982)</f>
        <v>0</v>
      </c>
      <c r="G982" t="str">
        <f>IF(COUNTIF('Testing Referrals'!B:B,HCO_Data!K982)&gt;0,"Yes","")</f>
        <v/>
      </c>
      <c r="H982">
        <f>COUNTIF('HCO referrals'!B:B,HCO_Data!K982)+COUNTIF('HCO referrals'!C:C,HCO_Data!K982)</f>
        <v>0</v>
      </c>
      <c r="I982">
        <v>710978107</v>
      </c>
      <c r="K982" t="s">
        <v>10961</v>
      </c>
      <c r="L982" t="s">
        <v>10102</v>
      </c>
      <c r="M982" t="s">
        <v>10103</v>
      </c>
      <c r="O982" t="s">
        <v>10104</v>
      </c>
      <c r="P982" t="s">
        <v>727</v>
      </c>
      <c r="Q982" t="s">
        <v>4283</v>
      </c>
      <c r="R982">
        <v>1116</v>
      </c>
      <c r="S982" t="s">
        <v>10137</v>
      </c>
      <c r="T982">
        <v>-1</v>
      </c>
      <c r="W982">
        <f>COUNTIFS('Clinical Trials HCO'!$A:$A, K982, 'Clinical Trials HCO'!$D:$D, "&lt;&gt;")</f>
        <v>0</v>
      </c>
    </row>
    <row r="983" spans="2:33" hidden="1">
      <c r="F983">
        <f>COUNTIF(HCPs!W:W,HCO_Data!K983)</f>
        <v>0</v>
      </c>
      <c r="G983" t="str">
        <f>IF(COUNTIF('Testing Referrals'!B:B,HCO_Data!K983)&gt;0,"Yes","")</f>
        <v/>
      </c>
      <c r="H983">
        <f>COUNTIF('HCO referrals'!B:B,HCO_Data!K983)+COUNTIF('HCO referrals'!C:C,HCO_Data!K983)</f>
        <v>0</v>
      </c>
      <c r="I983">
        <v>710978123</v>
      </c>
      <c r="K983" t="s">
        <v>10962</v>
      </c>
      <c r="L983" t="s">
        <v>10105</v>
      </c>
      <c r="M983" t="s">
        <v>10106</v>
      </c>
      <c r="O983" t="s">
        <v>10107</v>
      </c>
      <c r="P983" t="s">
        <v>727</v>
      </c>
      <c r="Q983" t="s">
        <v>4283</v>
      </c>
      <c r="R983">
        <v>1117</v>
      </c>
      <c r="S983" t="s">
        <v>10137</v>
      </c>
      <c r="T983">
        <v>-1</v>
      </c>
      <c r="W983">
        <f>COUNTIFS('Clinical Trials HCO'!$A:$A, K983, 'Clinical Trials HCO'!$D:$D, "&lt;&gt;")</f>
        <v>0</v>
      </c>
    </row>
    <row r="984" spans="2:33" hidden="1">
      <c r="F984">
        <f>COUNTIF(HCPs!W:W,HCO_Data!K984)</f>
        <v>0</v>
      </c>
      <c r="G984" t="str">
        <f>IF(COUNTIF('Testing Referrals'!B:B,HCO_Data!K984)&gt;0,"Yes","")</f>
        <v/>
      </c>
      <c r="H984">
        <f>COUNTIF('HCO referrals'!B:B,HCO_Data!K984)+COUNTIF('HCO referrals'!C:C,HCO_Data!K984)</f>
        <v>0</v>
      </c>
      <c r="I984">
        <v>710978131</v>
      </c>
      <c r="K984" t="s">
        <v>10963</v>
      </c>
      <c r="L984" t="s">
        <v>9724</v>
      </c>
      <c r="M984" t="s">
        <v>9725</v>
      </c>
      <c r="O984" t="s">
        <v>9726</v>
      </c>
      <c r="P984" t="s">
        <v>727</v>
      </c>
      <c r="Q984" t="s">
        <v>4283</v>
      </c>
      <c r="R984">
        <v>956</v>
      </c>
      <c r="S984" t="s">
        <v>10137</v>
      </c>
      <c r="T984">
        <v>-1</v>
      </c>
      <c r="W984">
        <f>COUNTIFS('Clinical Trials HCO'!$A:$A, K984, 'Clinical Trials HCO'!$D:$D, "&lt;&gt;")</f>
        <v>0</v>
      </c>
    </row>
    <row r="985" spans="2:33" hidden="1">
      <c r="F985">
        <f>COUNTIF(HCPs!W:W,HCO_Data!K985)</f>
        <v>0</v>
      </c>
      <c r="G985" t="str">
        <f>IF(COUNTIF('Testing Referrals'!B:B,HCO_Data!K985)&gt;0,"Yes","")</f>
        <v/>
      </c>
      <c r="H985">
        <f>COUNTIF('HCO referrals'!B:B,HCO_Data!K985)+COUNTIF('HCO referrals'!C:C,HCO_Data!K985)</f>
        <v>0</v>
      </c>
      <c r="I985">
        <v>710978156</v>
      </c>
      <c r="K985" t="s">
        <v>10964</v>
      </c>
      <c r="L985" t="s">
        <v>9615</v>
      </c>
      <c r="M985" t="s">
        <v>9616</v>
      </c>
      <c r="O985" t="s">
        <v>9617</v>
      </c>
      <c r="P985" t="s">
        <v>727</v>
      </c>
      <c r="Q985" t="s">
        <v>4283</v>
      </c>
      <c r="R985">
        <v>910</v>
      </c>
      <c r="S985" t="s">
        <v>10137</v>
      </c>
      <c r="T985">
        <v>-1</v>
      </c>
      <c r="W985">
        <f>COUNTIFS('Clinical Trials HCO'!$A:$A, K985, 'Clinical Trials HCO'!$D:$D, "&lt;&gt;")</f>
        <v>0</v>
      </c>
    </row>
    <row r="986" spans="2:33" hidden="1">
      <c r="F986">
        <f>COUNTIF(HCPs!W:W,HCO_Data!K986)</f>
        <v>0</v>
      </c>
      <c r="G986" t="str">
        <f>IF(COUNTIF('Testing Referrals'!B:B,HCO_Data!K986)&gt;0,"Yes","")</f>
        <v/>
      </c>
      <c r="H986">
        <f>COUNTIF('HCO referrals'!B:B,HCO_Data!K986)+COUNTIF('HCO referrals'!C:C,HCO_Data!K986)</f>
        <v>0</v>
      </c>
      <c r="I986">
        <v>710978180</v>
      </c>
      <c r="K986" t="s">
        <v>10965</v>
      </c>
      <c r="L986" t="s">
        <v>9972</v>
      </c>
      <c r="M986" t="s">
        <v>9973</v>
      </c>
      <c r="O986" t="s">
        <v>9974</v>
      </c>
      <c r="P986" t="s">
        <v>727</v>
      </c>
      <c r="Q986" t="s">
        <v>4283</v>
      </c>
      <c r="R986">
        <v>1061</v>
      </c>
      <c r="S986" t="s">
        <v>10137</v>
      </c>
      <c r="T986">
        <v>-1</v>
      </c>
      <c r="W986">
        <f>COUNTIFS('Clinical Trials HCO'!$A:$A, K986, 'Clinical Trials HCO'!$D:$D, "&lt;&gt;")</f>
        <v>0</v>
      </c>
    </row>
    <row r="987" spans="2:33" hidden="1">
      <c r="F987">
        <f>COUNTIF(HCPs!W:W,HCO_Data!K987)</f>
        <v>0</v>
      </c>
      <c r="G987" t="str">
        <f>IF(COUNTIF('Testing Referrals'!B:B,HCO_Data!K987)&gt;0,"Yes","")</f>
        <v/>
      </c>
      <c r="H987">
        <f>COUNTIF('HCO referrals'!B:B,HCO_Data!K987)+COUNTIF('HCO referrals'!C:C,HCO_Data!K987)</f>
        <v>0</v>
      </c>
      <c r="I987">
        <v>710978255</v>
      </c>
      <c r="K987" t="s">
        <v>10966</v>
      </c>
      <c r="L987" t="s">
        <v>9377</v>
      </c>
      <c r="M987" t="s">
        <v>9378</v>
      </c>
      <c r="O987" t="s">
        <v>9379</v>
      </c>
      <c r="P987" t="s">
        <v>727</v>
      </c>
      <c r="Q987" t="s">
        <v>4283</v>
      </c>
      <c r="R987">
        <v>811</v>
      </c>
      <c r="S987" t="s">
        <v>10137</v>
      </c>
      <c r="T987">
        <v>-1</v>
      </c>
      <c r="W987">
        <f>COUNTIFS('Clinical Trials HCO'!$A:$A, K987, 'Clinical Trials HCO'!$D:$D, "&lt;&gt;")</f>
        <v>0</v>
      </c>
    </row>
    <row r="988" spans="2:33" hidden="1">
      <c r="F988">
        <f>COUNTIF(HCPs!W:W,HCO_Data!K988)</f>
        <v>0</v>
      </c>
      <c r="G988" t="str">
        <f>IF(COUNTIF('Testing Referrals'!B:B,HCO_Data!K988)&gt;0,"Yes","")</f>
        <v/>
      </c>
      <c r="H988">
        <f>COUNTIF('HCO referrals'!B:B,HCO_Data!K988)+COUNTIF('HCO referrals'!C:C,HCO_Data!K988)</f>
        <v>0</v>
      </c>
      <c r="I988">
        <v>720000124</v>
      </c>
      <c r="K988" t="s">
        <v>10967</v>
      </c>
      <c r="L988" t="s">
        <v>9727</v>
      </c>
      <c r="M988" t="s">
        <v>9728</v>
      </c>
      <c r="O988" t="s">
        <v>9729</v>
      </c>
      <c r="P988" t="s">
        <v>739</v>
      </c>
      <c r="Q988" t="s">
        <v>4283</v>
      </c>
      <c r="R988">
        <v>957</v>
      </c>
      <c r="S988" t="s">
        <v>10137</v>
      </c>
      <c r="T988">
        <v>-1</v>
      </c>
      <c r="W988">
        <f>COUNTIFS('Clinical Trials HCO'!$A:$A, K988, 'Clinical Trials HCO'!$D:$D, "&lt;&gt;")</f>
        <v>0</v>
      </c>
    </row>
    <row r="989" spans="2:33" hidden="1">
      <c r="F989">
        <f>COUNTIF(HCPs!W:W,HCO_Data!K989)</f>
        <v>0</v>
      </c>
      <c r="G989" t="str">
        <f>IF(COUNTIF('Testing Referrals'!B:B,HCO_Data!K989)&gt;0,"Yes","")</f>
        <v/>
      </c>
      <c r="H989">
        <f>COUNTIF('HCO referrals'!B:B,HCO_Data!K989)+COUNTIF('HCO referrals'!C:C,HCO_Data!K989)</f>
        <v>0</v>
      </c>
      <c r="I989">
        <v>720000389</v>
      </c>
      <c r="K989" t="s">
        <v>10968</v>
      </c>
      <c r="L989" t="s">
        <v>10108</v>
      </c>
      <c r="M989" t="s">
        <v>10109</v>
      </c>
      <c r="O989" t="s">
        <v>10110</v>
      </c>
      <c r="P989" t="s">
        <v>739</v>
      </c>
      <c r="Q989" t="s">
        <v>4283</v>
      </c>
      <c r="R989">
        <v>1118</v>
      </c>
      <c r="S989" t="s">
        <v>10137</v>
      </c>
      <c r="T989">
        <v>-1</v>
      </c>
      <c r="W989">
        <f>COUNTIFS('Clinical Trials HCO'!$A:$A, K989, 'Clinical Trials HCO'!$D:$D, "&lt;&gt;")</f>
        <v>0</v>
      </c>
    </row>
    <row r="990" spans="2:33" hidden="1">
      <c r="F990">
        <f>COUNTIF(HCPs!W:W,HCO_Data!K990)</f>
        <v>0</v>
      </c>
      <c r="G990" t="str">
        <f>IF(COUNTIF('Testing Referrals'!B:B,HCO_Data!K990)&gt;0,"Yes","")</f>
        <v/>
      </c>
      <c r="H990">
        <f>COUNTIF('HCO referrals'!B:B,HCO_Data!K990)+COUNTIF('HCO referrals'!C:C,HCO_Data!K990)</f>
        <v>0</v>
      </c>
      <c r="I990">
        <v>720000520</v>
      </c>
      <c r="K990" t="s">
        <v>10969</v>
      </c>
      <c r="L990" t="s">
        <v>9975</v>
      </c>
      <c r="M990" t="s">
        <v>9976</v>
      </c>
      <c r="O990" t="s">
        <v>9977</v>
      </c>
      <c r="P990" t="s">
        <v>739</v>
      </c>
      <c r="Q990" t="s">
        <v>4283</v>
      </c>
      <c r="R990">
        <v>1062</v>
      </c>
      <c r="S990" t="s">
        <v>10137</v>
      </c>
      <c r="T990">
        <v>-1</v>
      </c>
      <c r="W990">
        <f>COUNTIFS('Clinical Trials HCO'!$A:$A, K990, 'Clinical Trials HCO'!$D:$D, "&lt;&gt;")</f>
        <v>0</v>
      </c>
    </row>
    <row r="991" spans="2:33" hidden="1">
      <c r="F991">
        <f>COUNTIF(HCPs!W:W,HCO_Data!K991)</f>
        <v>0</v>
      </c>
      <c r="G991" t="str">
        <f>IF(COUNTIF('Testing Referrals'!B:B,HCO_Data!K991)&gt;0,"Yes","")</f>
        <v/>
      </c>
      <c r="H991">
        <f>COUNTIF('HCO referrals'!B:B,HCO_Data!K991)+COUNTIF('HCO referrals'!C:C,HCO_Data!K991)</f>
        <v>0</v>
      </c>
      <c r="I991">
        <v>720001437</v>
      </c>
      <c r="K991" t="s">
        <v>10970</v>
      </c>
      <c r="L991" t="s">
        <v>9420</v>
      </c>
      <c r="M991" t="s">
        <v>9421</v>
      </c>
      <c r="O991" t="s">
        <v>9422</v>
      </c>
      <c r="P991" t="s">
        <v>739</v>
      </c>
      <c r="Q991" t="s">
        <v>4283</v>
      </c>
      <c r="R991">
        <v>832</v>
      </c>
      <c r="S991" t="s">
        <v>10137</v>
      </c>
      <c r="T991">
        <v>-1</v>
      </c>
      <c r="W991">
        <f>COUNTIFS('Clinical Trials HCO'!$A:$A, K991, 'Clinical Trials HCO'!$D:$D, "&lt;&gt;")</f>
        <v>0</v>
      </c>
    </row>
    <row r="992" spans="2:33" hidden="1">
      <c r="B992">
        <v>703</v>
      </c>
      <c r="F992">
        <f>COUNTIF(HCPs!W:W,HCO_Data!K992)</f>
        <v>0</v>
      </c>
      <c r="G992" t="str">
        <f>IF(COUNTIF('Testing Referrals'!B:B,HCO_Data!K992)&gt;0,"Yes","")</f>
        <v/>
      </c>
      <c r="H992">
        <f>COUNTIF('HCO referrals'!B:B,HCO_Data!K992)+COUNTIF('HCO referrals'!C:C,HCO_Data!K992)</f>
        <v>0</v>
      </c>
      <c r="I992">
        <v>720016179</v>
      </c>
      <c r="K992" t="s">
        <v>10971</v>
      </c>
      <c r="L992" t="s">
        <v>2603</v>
      </c>
      <c r="M992" t="s">
        <v>2876</v>
      </c>
      <c r="N992">
        <v>72200</v>
      </c>
      <c r="O992" t="s">
        <v>2877</v>
      </c>
      <c r="Q992" t="s">
        <v>4283</v>
      </c>
      <c r="R992">
        <v>725</v>
      </c>
      <c r="S992" t="s">
        <v>10137</v>
      </c>
      <c r="T992">
        <v>-1</v>
      </c>
      <c r="W992">
        <f>COUNTIFS('Clinical Trials HCO'!$A:$A, K992, 'Clinical Trials HCO'!$D:$D, "&lt;&gt;")</f>
        <v>0</v>
      </c>
      <c r="AG992" t="s">
        <v>414</v>
      </c>
    </row>
    <row r="993" spans="2:33" hidden="1">
      <c r="F993">
        <f>COUNTIF(HCPs!W:W,HCO_Data!K993)</f>
        <v>0</v>
      </c>
      <c r="G993" t="str">
        <f>IF(COUNTIF('Testing Referrals'!B:B,HCO_Data!K993)&gt;0,"Yes","")</f>
        <v/>
      </c>
      <c r="H993">
        <f>COUNTIF('HCO referrals'!B:B,HCO_Data!K993)+COUNTIF('HCO referrals'!C:C,HCO_Data!K993)</f>
        <v>0</v>
      </c>
      <c r="I993">
        <v>730000080</v>
      </c>
      <c r="K993" t="s">
        <v>10972</v>
      </c>
      <c r="L993" t="s">
        <v>8841</v>
      </c>
      <c r="M993" t="s">
        <v>8842</v>
      </c>
      <c r="O993" t="s">
        <v>8843</v>
      </c>
      <c r="P993" t="s">
        <v>728</v>
      </c>
      <c r="Q993" t="s">
        <v>4283</v>
      </c>
      <c r="R993">
        <v>499</v>
      </c>
      <c r="S993" t="s">
        <v>10137</v>
      </c>
      <c r="T993">
        <v>-1</v>
      </c>
      <c r="W993">
        <f>COUNTIFS('Clinical Trials HCO'!$A:$A, K993, 'Clinical Trials HCO'!$D:$D, "&lt;&gt;")</f>
        <v>0</v>
      </c>
    </row>
    <row r="994" spans="2:33" hidden="1">
      <c r="F994">
        <f>COUNTIF(HCPs!W:W,HCO_Data!K994)</f>
        <v>0</v>
      </c>
      <c r="G994" t="str">
        <f>IF(COUNTIF('Testing Referrals'!B:B,HCO_Data!K994)&gt;0,"Yes","")</f>
        <v/>
      </c>
      <c r="H994">
        <f>COUNTIF('HCO referrals'!B:B,HCO_Data!K994)+COUNTIF('HCO referrals'!C:C,HCO_Data!K994)</f>
        <v>0</v>
      </c>
      <c r="I994">
        <v>730000247</v>
      </c>
      <c r="K994" t="s">
        <v>10973</v>
      </c>
      <c r="L994" t="s">
        <v>9186</v>
      </c>
      <c r="M994" t="s">
        <v>9187</v>
      </c>
      <c r="O994" t="s">
        <v>9188</v>
      </c>
      <c r="P994" t="s">
        <v>728</v>
      </c>
      <c r="Q994" t="s">
        <v>4283</v>
      </c>
      <c r="R994">
        <v>726</v>
      </c>
      <c r="S994" t="s">
        <v>10137</v>
      </c>
      <c r="T994">
        <v>-1</v>
      </c>
      <c r="W994">
        <f>COUNTIFS('Clinical Trials HCO'!$A:$A, K994, 'Clinical Trials HCO'!$D:$D, "&lt;&gt;")</f>
        <v>0</v>
      </c>
    </row>
    <row r="995" spans="2:33" hidden="1">
      <c r="F995">
        <f>COUNTIF(HCPs!W:W,HCO_Data!K995)</f>
        <v>0</v>
      </c>
      <c r="G995" t="str">
        <f>IF(COUNTIF('Testing Referrals'!B:B,HCO_Data!K995)&gt;0,"Yes","")</f>
        <v/>
      </c>
      <c r="H995">
        <f>COUNTIF('HCO referrals'!B:B,HCO_Data!K995)+COUNTIF('HCO referrals'!C:C,HCO_Data!K995)</f>
        <v>0</v>
      </c>
      <c r="I995">
        <v>740000062</v>
      </c>
      <c r="K995" t="s">
        <v>10974</v>
      </c>
      <c r="L995" t="s">
        <v>9316</v>
      </c>
      <c r="M995" t="s">
        <v>9317</v>
      </c>
      <c r="O995" t="s">
        <v>9318</v>
      </c>
      <c r="P995" t="s">
        <v>754</v>
      </c>
      <c r="Q995" t="s">
        <v>4283</v>
      </c>
      <c r="R995">
        <v>787</v>
      </c>
      <c r="S995" t="s">
        <v>10137</v>
      </c>
      <c r="T995">
        <v>-1</v>
      </c>
      <c r="W995">
        <f>COUNTIFS('Clinical Trials HCO'!$A:$A, K995, 'Clinical Trials HCO'!$D:$D, "&lt;&gt;")</f>
        <v>0</v>
      </c>
    </row>
    <row r="996" spans="2:33" hidden="1">
      <c r="F996">
        <f>COUNTIF(HCPs!W:W,HCO_Data!K996)</f>
        <v>0</v>
      </c>
      <c r="G996" t="str">
        <f>IF(COUNTIF('Testing Referrals'!B:B,HCO_Data!K996)&gt;0,"Yes","")</f>
        <v/>
      </c>
      <c r="H996">
        <f>COUNTIF('HCO referrals'!B:B,HCO_Data!K996)+COUNTIF('HCO referrals'!C:C,HCO_Data!K996)</f>
        <v>0</v>
      </c>
      <c r="I996">
        <v>740000294</v>
      </c>
      <c r="K996" t="s">
        <v>10975</v>
      </c>
      <c r="L996" t="s">
        <v>9814</v>
      </c>
      <c r="M996" t="s">
        <v>9815</v>
      </c>
      <c r="O996" t="s">
        <v>9816</v>
      </c>
      <c r="P996" t="s">
        <v>754</v>
      </c>
      <c r="Q996" t="s">
        <v>4283</v>
      </c>
      <c r="R996">
        <v>996</v>
      </c>
      <c r="S996" t="s">
        <v>10137</v>
      </c>
      <c r="T996">
        <v>-1</v>
      </c>
      <c r="W996">
        <f>COUNTIFS('Clinical Trials HCO'!$A:$A, K996, 'Clinical Trials HCO'!$D:$D, "&lt;&gt;")</f>
        <v>0</v>
      </c>
    </row>
    <row r="997" spans="2:33" hidden="1">
      <c r="F997">
        <f>COUNTIF(HCPs!W:W,HCO_Data!K997)</f>
        <v>0</v>
      </c>
      <c r="G997" t="str">
        <f>IF(COUNTIF('Testing Referrals'!B:B,HCO_Data!K997)&gt;0,"Yes","")</f>
        <v/>
      </c>
      <c r="H997">
        <f>COUNTIF('HCO referrals'!B:B,HCO_Data!K997)+COUNTIF('HCO referrals'!C:C,HCO_Data!K997)</f>
        <v>2</v>
      </c>
      <c r="I997">
        <v>740000302</v>
      </c>
      <c r="K997" t="s">
        <v>10976</v>
      </c>
      <c r="L997" t="s">
        <v>9179</v>
      </c>
      <c r="M997" t="s">
        <v>9180</v>
      </c>
      <c r="O997" t="s">
        <v>9181</v>
      </c>
      <c r="P997" t="s">
        <v>754</v>
      </c>
      <c r="Q997" t="s">
        <v>4283</v>
      </c>
      <c r="R997">
        <v>720</v>
      </c>
      <c r="S997" t="s">
        <v>10137</v>
      </c>
      <c r="T997">
        <v>-1</v>
      </c>
      <c r="W997">
        <f>COUNTIFS('Clinical Trials HCO'!$A:$A, K997, 'Clinical Trials HCO'!$D:$D, "&lt;&gt;")</f>
        <v>0</v>
      </c>
    </row>
    <row r="998" spans="2:33" hidden="1">
      <c r="F998">
        <f>COUNTIF(HCPs!W:W,HCO_Data!K998)</f>
        <v>0</v>
      </c>
      <c r="G998" t="str">
        <f>IF(COUNTIF('Testing Referrals'!B:B,HCO_Data!K998)&gt;0,"Yes","")</f>
        <v/>
      </c>
      <c r="H998">
        <f>COUNTIF('HCO referrals'!B:B,HCO_Data!K998)+COUNTIF('HCO referrals'!C:C,HCO_Data!K998)</f>
        <v>0</v>
      </c>
      <c r="I998">
        <v>750055287</v>
      </c>
      <c r="K998" t="s">
        <v>10977</v>
      </c>
      <c r="L998" t="s">
        <v>9978</v>
      </c>
      <c r="M998" t="s">
        <v>9818</v>
      </c>
      <c r="O998" t="s">
        <v>700</v>
      </c>
      <c r="P998" t="s">
        <v>700</v>
      </c>
      <c r="Q998" t="s">
        <v>4283</v>
      </c>
      <c r="R998">
        <v>1063</v>
      </c>
      <c r="S998" t="s">
        <v>10137</v>
      </c>
      <c r="T998">
        <v>-1</v>
      </c>
      <c r="W998">
        <f>COUNTIFS('Clinical Trials HCO'!$A:$A, K998, 'Clinical Trials HCO'!$D:$D, "&lt;&gt;")</f>
        <v>0</v>
      </c>
    </row>
    <row r="999" spans="2:33" hidden="1">
      <c r="F999">
        <f>COUNTIF(HCPs!W:W,HCO_Data!K999)</f>
        <v>0</v>
      </c>
      <c r="G999" t="str">
        <f>IF(COUNTIF('Testing Referrals'!B:B,HCO_Data!K999)&gt;0,"Yes","")</f>
        <v/>
      </c>
      <c r="H999">
        <f>COUNTIF('HCO referrals'!B:B,HCO_Data!K999)+COUNTIF('HCO referrals'!C:C,HCO_Data!K999)</f>
        <v>0</v>
      </c>
      <c r="I999">
        <v>750100018</v>
      </c>
      <c r="K999" t="s">
        <v>10978</v>
      </c>
      <c r="L999" t="s">
        <v>9730</v>
      </c>
      <c r="M999" t="s">
        <v>9731</v>
      </c>
      <c r="O999" t="s">
        <v>9732</v>
      </c>
      <c r="P999" t="s">
        <v>700</v>
      </c>
      <c r="Q999" t="s">
        <v>4283</v>
      </c>
      <c r="R999">
        <v>958</v>
      </c>
      <c r="S999" t="s">
        <v>10137</v>
      </c>
      <c r="T999">
        <v>-1</v>
      </c>
      <c r="W999">
        <f>COUNTIFS('Clinical Trials HCO'!$A:$A, K999, 'Clinical Trials HCO'!$D:$D, "&lt;&gt;")</f>
        <v>0</v>
      </c>
    </row>
    <row r="1000" spans="2:33" hidden="1">
      <c r="F1000">
        <f>COUNTIF(HCPs!W:W,HCO_Data!K1000)</f>
        <v>0</v>
      </c>
      <c r="G1000" t="str">
        <f>IF(COUNTIF('Testing Referrals'!B:B,HCO_Data!K1000)&gt;0,"Yes","")</f>
        <v/>
      </c>
      <c r="H1000">
        <f>COUNTIF('HCO referrals'!B:B,HCO_Data!K1000)+COUNTIF('HCO referrals'!C:C,HCO_Data!K1000)</f>
        <v>0</v>
      </c>
      <c r="I1000">
        <v>750100083</v>
      </c>
      <c r="K1000" t="s">
        <v>10979</v>
      </c>
      <c r="L1000" t="s">
        <v>9733</v>
      </c>
      <c r="M1000" t="s">
        <v>9734</v>
      </c>
      <c r="O1000" t="s">
        <v>8806</v>
      </c>
      <c r="P1000" t="s">
        <v>700</v>
      </c>
      <c r="Q1000" t="s">
        <v>4283</v>
      </c>
      <c r="R1000">
        <v>959</v>
      </c>
      <c r="S1000" t="s">
        <v>10137</v>
      </c>
      <c r="T1000">
        <v>-1</v>
      </c>
      <c r="W1000">
        <f>COUNTIFS('Clinical Trials HCO'!$A:$A, K1000, 'Clinical Trials HCO'!$D:$D, "&lt;&gt;")</f>
        <v>0</v>
      </c>
    </row>
    <row r="1001" spans="2:33" hidden="1">
      <c r="F1001">
        <f>COUNTIF(HCPs!W:W,HCO_Data!K1001)</f>
        <v>0</v>
      </c>
      <c r="G1001" t="str">
        <f>IF(COUNTIF('Testing Referrals'!B:B,HCO_Data!K1001)&gt;0,"Yes","")</f>
        <v/>
      </c>
      <c r="H1001">
        <f>COUNTIF('HCO referrals'!B:B,HCO_Data!K1001)+COUNTIF('HCO referrals'!C:C,HCO_Data!K1001)</f>
        <v>0</v>
      </c>
      <c r="I1001">
        <v>750100208</v>
      </c>
      <c r="K1001" t="s">
        <v>10980</v>
      </c>
      <c r="L1001" t="s">
        <v>9259</v>
      </c>
      <c r="M1001" t="s">
        <v>9260</v>
      </c>
      <c r="O1001" t="s">
        <v>9261</v>
      </c>
      <c r="P1001" t="s">
        <v>700</v>
      </c>
      <c r="Q1001" t="s">
        <v>4283</v>
      </c>
      <c r="R1001">
        <v>758</v>
      </c>
      <c r="S1001" t="s">
        <v>10137</v>
      </c>
      <c r="T1001">
        <v>-1</v>
      </c>
      <c r="W1001">
        <f>COUNTIFS('Clinical Trials HCO'!$A:$A, K1001, 'Clinical Trials HCO'!$D:$D, "&lt;&gt;")</f>
        <v>0</v>
      </c>
    </row>
    <row r="1002" spans="2:33" hidden="1">
      <c r="F1002">
        <f>COUNTIF(HCPs!W:W,HCO_Data!K1002)</f>
        <v>0</v>
      </c>
      <c r="G1002" t="str">
        <f>IF(COUNTIF('Testing Referrals'!B:B,HCO_Data!K1002)&gt;0,"Yes","")</f>
        <v/>
      </c>
      <c r="H1002">
        <f>COUNTIF('HCO referrals'!B:B,HCO_Data!K1002)+COUNTIF('HCO referrals'!C:C,HCO_Data!K1002)</f>
        <v>0</v>
      </c>
      <c r="I1002">
        <v>750150146</v>
      </c>
      <c r="K1002" t="s">
        <v>10981</v>
      </c>
      <c r="L1002" t="s">
        <v>9817</v>
      </c>
      <c r="M1002" t="s">
        <v>9818</v>
      </c>
      <c r="O1002" t="s">
        <v>700</v>
      </c>
      <c r="P1002" t="s">
        <v>700</v>
      </c>
      <c r="Q1002" t="s">
        <v>4283</v>
      </c>
      <c r="R1002">
        <v>997</v>
      </c>
      <c r="S1002" t="s">
        <v>10137</v>
      </c>
      <c r="T1002">
        <v>-1</v>
      </c>
      <c r="W1002">
        <f>COUNTIFS('Clinical Trials HCO'!$A:$A, K1002, 'Clinical Trials HCO'!$D:$D, "&lt;&gt;")</f>
        <v>0</v>
      </c>
    </row>
    <row r="1003" spans="2:33" hidden="1">
      <c r="F1003">
        <f>COUNTIF(HCPs!W:W,HCO_Data!K1003)</f>
        <v>0</v>
      </c>
      <c r="G1003" t="str">
        <f>IF(COUNTIF('Testing Referrals'!B:B,HCO_Data!K1003)&gt;0,"Yes","")</f>
        <v/>
      </c>
      <c r="H1003">
        <f>COUNTIF('HCO referrals'!B:B,HCO_Data!K1003)+COUNTIF('HCO referrals'!C:C,HCO_Data!K1003)</f>
        <v>0</v>
      </c>
      <c r="I1003">
        <v>750150377</v>
      </c>
      <c r="K1003" t="s">
        <v>10982</v>
      </c>
      <c r="L1003" t="s">
        <v>9979</v>
      </c>
      <c r="M1003" t="s">
        <v>9980</v>
      </c>
      <c r="O1003" t="s">
        <v>700</v>
      </c>
      <c r="P1003" t="s">
        <v>700</v>
      </c>
      <c r="Q1003" t="s">
        <v>4283</v>
      </c>
      <c r="R1003">
        <v>1064</v>
      </c>
      <c r="S1003" t="s">
        <v>10137</v>
      </c>
      <c r="T1003">
        <v>-1</v>
      </c>
      <c r="W1003">
        <f>COUNTIFS('Clinical Trials HCO'!$A:$A, K1003, 'Clinical Trials HCO'!$D:$D, "&lt;&gt;")</f>
        <v>0</v>
      </c>
    </row>
    <row r="1004" spans="2:33" hidden="1">
      <c r="B1004">
        <v>496</v>
      </c>
      <c r="F1004">
        <f>COUNTIF(HCPs!W:W,HCO_Data!K1004)</f>
        <v>0</v>
      </c>
      <c r="G1004" t="str">
        <f>IF(COUNTIF('Testing Referrals'!B:B,HCO_Data!K1004)&gt;0,"Yes","")</f>
        <v/>
      </c>
      <c r="H1004">
        <f>COUNTIF('HCO referrals'!B:B,HCO_Data!K1004)+COUNTIF('HCO referrals'!C:C,HCO_Data!K1004)</f>
        <v>0</v>
      </c>
      <c r="I1004">
        <v>750300071</v>
      </c>
      <c r="K1004" t="s">
        <v>10983</v>
      </c>
      <c r="L1004" t="s">
        <v>2558</v>
      </c>
      <c r="M1004" t="s">
        <v>2857</v>
      </c>
      <c r="N1004">
        <v>75005</v>
      </c>
      <c r="O1004" t="s">
        <v>700</v>
      </c>
      <c r="Q1004" t="s">
        <v>4283</v>
      </c>
      <c r="R1004">
        <v>812</v>
      </c>
      <c r="S1004" t="s">
        <v>10137</v>
      </c>
      <c r="T1004">
        <v>-1</v>
      </c>
      <c r="W1004">
        <f>COUNTIFS('Clinical Trials HCO'!$A:$A, K1004, 'Clinical Trials HCO'!$D:$D, "&lt;&gt;")</f>
        <v>0</v>
      </c>
      <c r="AF1004" t="s">
        <v>414</v>
      </c>
    </row>
    <row r="1005" spans="2:33" hidden="1">
      <c r="B1005">
        <v>469</v>
      </c>
      <c r="F1005">
        <f>COUNTIF(HCPs!W:W,HCO_Data!K1005)</f>
        <v>0</v>
      </c>
      <c r="G1005" t="str">
        <f>IF(COUNTIF('Testing Referrals'!B:B,HCO_Data!K1005)&gt;0,"Yes","")</f>
        <v/>
      </c>
      <c r="H1005">
        <f>COUNTIF('HCO referrals'!B:B,HCO_Data!K1005)+COUNTIF('HCO referrals'!C:C,HCO_Data!K1005)</f>
        <v>0</v>
      </c>
      <c r="I1005">
        <v>750300121</v>
      </c>
      <c r="K1005" t="s">
        <v>10984</v>
      </c>
      <c r="L1005" t="s">
        <v>1526</v>
      </c>
      <c r="M1005" t="s">
        <v>2095</v>
      </c>
      <c r="N1005">
        <v>75007</v>
      </c>
      <c r="O1005" t="s">
        <v>700</v>
      </c>
      <c r="Q1005" t="s">
        <v>4283</v>
      </c>
      <c r="R1005">
        <v>519</v>
      </c>
      <c r="S1005" t="s">
        <v>10137</v>
      </c>
      <c r="T1005">
        <v>-1</v>
      </c>
      <c r="W1005">
        <f>COUNTIFS('Clinical Trials HCO'!$A:$A, K1005, 'Clinical Trials HCO'!$D:$D, "&lt;&gt;")</f>
        <v>0</v>
      </c>
      <c r="AG1005" t="s">
        <v>414</v>
      </c>
    </row>
    <row r="1006" spans="2:33" hidden="1">
      <c r="B1006">
        <v>712</v>
      </c>
      <c r="F1006">
        <f>COUNTIF(HCPs!W:W,HCO_Data!K1006)</f>
        <v>0</v>
      </c>
      <c r="G1006" t="str">
        <f>IF(COUNTIF('Testing Referrals'!B:B,HCO_Data!K1006)&gt;0,"Yes","")</f>
        <v/>
      </c>
      <c r="H1006">
        <f>COUNTIF('HCO referrals'!B:B,HCO_Data!K1006)+COUNTIF('HCO referrals'!C:C,HCO_Data!K1006)</f>
        <v>0</v>
      </c>
      <c r="I1006">
        <v>750300154</v>
      </c>
      <c r="K1006" t="s">
        <v>10985</v>
      </c>
      <c r="L1006" t="s">
        <v>2501</v>
      </c>
      <c r="M1006" t="s">
        <v>2818</v>
      </c>
      <c r="N1006">
        <v>75008</v>
      </c>
      <c r="O1006" t="s">
        <v>700</v>
      </c>
      <c r="Q1006" t="s">
        <v>4283</v>
      </c>
      <c r="R1006">
        <v>1065</v>
      </c>
      <c r="S1006" t="s">
        <v>10137</v>
      </c>
      <c r="T1006">
        <v>-1</v>
      </c>
      <c r="W1006">
        <f>COUNTIFS('Clinical Trials HCO'!$A:$A, K1006, 'Clinical Trials HCO'!$D:$D, "&lt;&gt;")</f>
        <v>0</v>
      </c>
    </row>
    <row r="1007" spans="2:33" hidden="1">
      <c r="F1007">
        <f>COUNTIF(HCPs!W:W,HCO_Data!K1007)</f>
        <v>0</v>
      </c>
      <c r="G1007" t="str">
        <f>IF(COUNTIF('Testing Referrals'!B:B,HCO_Data!K1007)&gt;0,"Yes","")</f>
        <v/>
      </c>
      <c r="H1007">
        <f>COUNTIF('HCO referrals'!B:B,HCO_Data!K1007)+COUNTIF('HCO referrals'!C:C,HCO_Data!K1007)</f>
        <v>0</v>
      </c>
      <c r="I1007">
        <v>750301137</v>
      </c>
      <c r="K1007" t="s">
        <v>10986</v>
      </c>
      <c r="L1007" t="s">
        <v>10111</v>
      </c>
      <c r="M1007" t="s">
        <v>10112</v>
      </c>
      <c r="O1007" t="s">
        <v>700</v>
      </c>
      <c r="P1007" t="s">
        <v>700</v>
      </c>
      <c r="Q1007" t="s">
        <v>4283</v>
      </c>
      <c r="R1007">
        <v>1119</v>
      </c>
      <c r="S1007" t="s">
        <v>10137</v>
      </c>
      <c r="T1007">
        <v>-1</v>
      </c>
      <c r="W1007">
        <f>COUNTIFS('Clinical Trials HCO'!$A:$A, K1007, 'Clinical Trials HCO'!$D:$D, "&lt;&gt;")</f>
        <v>0</v>
      </c>
    </row>
    <row r="1008" spans="2:33" hidden="1">
      <c r="F1008">
        <f>COUNTIF(HCPs!W:W,HCO_Data!K1008)</f>
        <v>0</v>
      </c>
      <c r="G1008" t="str">
        <f>IF(COUNTIF('Testing Referrals'!B:B,HCO_Data!K1008)&gt;0,"Yes","")</f>
        <v/>
      </c>
      <c r="H1008">
        <f>COUNTIF('HCO referrals'!B:B,HCO_Data!K1008)+COUNTIF('HCO referrals'!C:C,HCO_Data!K1008)</f>
        <v>0</v>
      </c>
      <c r="I1008">
        <v>750301145</v>
      </c>
      <c r="K1008" t="s">
        <v>10987</v>
      </c>
      <c r="L1008" t="s">
        <v>9492</v>
      </c>
      <c r="M1008" t="s">
        <v>9493</v>
      </c>
      <c r="O1008" t="s">
        <v>700</v>
      </c>
      <c r="P1008" t="s">
        <v>700</v>
      </c>
      <c r="Q1008" t="s">
        <v>4283</v>
      </c>
      <c r="R1008">
        <v>860</v>
      </c>
      <c r="S1008" t="s">
        <v>10137</v>
      </c>
      <c r="T1008">
        <v>-1</v>
      </c>
      <c r="W1008">
        <f>COUNTIFS('Clinical Trials HCO'!$A:$A, K1008, 'Clinical Trials HCO'!$D:$D, "&lt;&gt;")</f>
        <v>0</v>
      </c>
    </row>
    <row r="1009" spans="2:33" hidden="1">
      <c r="F1009">
        <f>COUNTIF(HCPs!W:W,HCO_Data!K1009)</f>
        <v>0</v>
      </c>
      <c r="G1009" t="str">
        <f>IF(COUNTIF('Testing Referrals'!B:B,HCO_Data!K1009)&gt;0,"Yes","")</f>
        <v/>
      </c>
      <c r="H1009">
        <f>COUNTIF('HCO referrals'!B:B,HCO_Data!K1009)+COUNTIF('HCO referrals'!C:C,HCO_Data!K1009)</f>
        <v>0</v>
      </c>
      <c r="I1009">
        <v>750801441</v>
      </c>
      <c r="K1009" t="s">
        <v>10988</v>
      </c>
      <c r="L1009" t="s">
        <v>9618</v>
      </c>
      <c r="M1009" t="s">
        <v>9619</v>
      </c>
      <c r="O1009" t="s">
        <v>700</v>
      </c>
      <c r="P1009" t="s">
        <v>700</v>
      </c>
      <c r="Q1009" t="s">
        <v>4283</v>
      </c>
      <c r="R1009">
        <v>911</v>
      </c>
      <c r="S1009" t="s">
        <v>10137</v>
      </c>
      <c r="T1009">
        <v>-1</v>
      </c>
      <c r="W1009">
        <f>COUNTIFS('Clinical Trials HCO'!$A:$A, K1009, 'Clinical Trials HCO'!$D:$D, "&lt;&gt;")</f>
        <v>0</v>
      </c>
    </row>
    <row r="1010" spans="2:33" hidden="1">
      <c r="F1010">
        <f>COUNTIF(HCPs!W:W,HCO_Data!K1010)</f>
        <v>0</v>
      </c>
      <c r="G1010" t="str">
        <f>IF(COUNTIF('Testing Referrals'!B:B,HCO_Data!K1010)&gt;0,"Yes","")</f>
        <v/>
      </c>
      <c r="H1010">
        <f>COUNTIF('HCO referrals'!B:B,HCO_Data!K1010)+COUNTIF('HCO referrals'!C:C,HCO_Data!K1010)</f>
        <v>0</v>
      </c>
      <c r="I1010">
        <v>760000042</v>
      </c>
      <c r="K1010" t="s">
        <v>10989</v>
      </c>
      <c r="L1010" t="s">
        <v>9819</v>
      </c>
      <c r="M1010" t="s">
        <v>9820</v>
      </c>
      <c r="O1010" t="s">
        <v>9821</v>
      </c>
      <c r="P1010" t="s">
        <v>719</v>
      </c>
      <c r="Q1010" t="s">
        <v>4283</v>
      </c>
      <c r="R1010">
        <v>998</v>
      </c>
      <c r="S1010" t="s">
        <v>10137</v>
      </c>
      <c r="T1010">
        <v>-1</v>
      </c>
      <c r="W1010">
        <f>COUNTIFS('Clinical Trials HCO'!$A:$A, K1010, 'Clinical Trials HCO'!$D:$D, "&lt;&gt;")</f>
        <v>0</v>
      </c>
    </row>
    <row r="1011" spans="2:33" hidden="1">
      <c r="F1011">
        <f>COUNTIF(HCPs!W:W,HCO_Data!K1011)</f>
        <v>0</v>
      </c>
      <c r="G1011" t="str">
        <f>IF(COUNTIF('Testing Referrals'!B:B,HCO_Data!K1011)&gt;0,"Yes","")</f>
        <v/>
      </c>
      <c r="H1011">
        <f>COUNTIF('HCO referrals'!B:B,HCO_Data!K1011)+COUNTIF('HCO referrals'!C:C,HCO_Data!K1011)</f>
        <v>0</v>
      </c>
      <c r="I1011">
        <v>760000059</v>
      </c>
      <c r="K1011" t="s">
        <v>10990</v>
      </c>
      <c r="L1011" t="s">
        <v>9822</v>
      </c>
      <c r="M1011" t="s">
        <v>9823</v>
      </c>
      <c r="O1011" t="s">
        <v>9824</v>
      </c>
      <c r="P1011" t="s">
        <v>719</v>
      </c>
      <c r="Q1011" t="s">
        <v>4283</v>
      </c>
      <c r="R1011">
        <v>999</v>
      </c>
      <c r="S1011" t="s">
        <v>10137</v>
      </c>
      <c r="T1011">
        <v>-1</v>
      </c>
      <c r="W1011">
        <f>COUNTIFS('Clinical Trials HCO'!$A:$A, K1011, 'Clinical Trials HCO'!$D:$D, "&lt;&gt;")</f>
        <v>0</v>
      </c>
    </row>
    <row r="1012" spans="2:33" hidden="1">
      <c r="F1012">
        <f>COUNTIF(HCPs!W:W,HCO_Data!K1012)</f>
        <v>0</v>
      </c>
      <c r="G1012" t="str">
        <f>IF(COUNTIF('Testing Referrals'!B:B,HCO_Data!K1012)&gt;0,"Yes","")</f>
        <v/>
      </c>
      <c r="H1012">
        <f>COUNTIF('HCO referrals'!B:B,HCO_Data!K1012)+COUNTIF('HCO referrals'!C:C,HCO_Data!K1012)</f>
        <v>0</v>
      </c>
      <c r="I1012">
        <v>760000141</v>
      </c>
      <c r="K1012" t="s">
        <v>10991</v>
      </c>
      <c r="L1012" t="s">
        <v>9735</v>
      </c>
      <c r="M1012" t="s">
        <v>9736</v>
      </c>
      <c r="O1012" t="s">
        <v>9737</v>
      </c>
      <c r="P1012" t="s">
        <v>719</v>
      </c>
      <c r="Q1012" t="s">
        <v>4283</v>
      </c>
      <c r="R1012">
        <v>960</v>
      </c>
      <c r="S1012" t="s">
        <v>10137</v>
      </c>
      <c r="T1012">
        <v>-1</v>
      </c>
      <c r="W1012">
        <f>COUNTIFS('Clinical Trials HCO'!$A:$A, K1012, 'Clinical Trials HCO'!$D:$D, "&lt;&gt;")</f>
        <v>0</v>
      </c>
    </row>
    <row r="1013" spans="2:33" hidden="1">
      <c r="F1013">
        <f>COUNTIF(HCPs!W:W,HCO_Data!K1013)</f>
        <v>0</v>
      </c>
      <c r="G1013" t="str">
        <f>IF(COUNTIF('Testing Referrals'!B:B,HCO_Data!K1013)&gt;0,"Yes","")</f>
        <v/>
      </c>
      <c r="H1013">
        <f>COUNTIF('HCO referrals'!B:B,HCO_Data!K1013)+COUNTIF('HCO referrals'!C:C,HCO_Data!K1013)</f>
        <v>0</v>
      </c>
      <c r="I1013">
        <v>760000174</v>
      </c>
      <c r="K1013" t="s">
        <v>10992</v>
      </c>
      <c r="L1013" t="s">
        <v>10113</v>
      </c>
      <c r="M1013" t="s">
        <v>10114</v>
      </c>
      <c r="O1013" t="s">
        <v>10115</v>
      </c>
      <c r="P1013" t="s">
        <v>719</v>
      </c>
      <c r="Q1013" t="s">
        <v>4283</v>
      </c>
      <c r="R1013">
        <v>1120</v>
      </c>
      <c r="S1013" t="s">
        <v>10137</v>
      </c>
      <c r="T1013">
        <v>-1</v>
      </c>
      <c r="W1013">
        <f>COUNTIFS('Clinical Trials HCO'!$A:$A, K1013, 'Clinical Trials HCO'!$D:$D, "&lt;&gt;")</f>
        <v>0</v>
      </c>
    </row>
    <row r="1014" spans="2:33" hidden="1">
      <c r="F1014">
        <f>COUNTIF(HCPs!W:W,HCO_Data!K1014)</f>
        <v>0</v>
      </c>
      <c r="G1014" t="str">
        <f>IF(COUNTIF('Testing Referrals'!B:B,HCO_Data!K1014)&gt;0,"Yes","")</f>
        <v/>
      </c>
      <c r="H1014">
        <f>COUNTIF('HCO referrals'!B:B,HCO_Data!K1014)+COUNTIF('HCO referrals'!C:C,HCO_Data!K1014)</f>
        <v>0</v>
      </c>
      <c r="I1014">
        <v>760000372</v>
      </c>
      <c r="K1014" t="s">
        <v>10993</v>
      </c>
      <c r="L1014" t="s">
        <v>9124</v>
      </c>
      <c r="M1014" t="s">
        <v>9125</v>
      </c>
      <c r="O1014" t="s">
        <v>9126</v>
      </c>
      <c r="P1014" t="s">
        <v>719</v>
      </c>
      <c r="Q1014" t="s">
        <v>4283</v>
      </c>
      <c r="R1014">
        <v>684</v>
      </c>
      <c r="S1014" t="s">
        <v>10137</v>
      </c>
      <c r="T1014">
        <v>-1</v>
      </c>
      <c r="W1014">
        <f>COUNTIFS('Clinical Trials HCO'!$A:$A, K1014, 'Clinical Trials HCO'!$D:$D, "&lt;&gt;")</f>
        <v>0</v>
      </c>
    </row>
    <row r="1015" spans="2:33" hidden="1">
      <c r="B1015">
        <v>421</v>
      </c>
      <c r="F1015">
        <f>COUNTIF(HCPs!W:W,HCO_Data!K1015)</f>
        <v>0</v>
      </c>
      <c r="G1015" t="str">
        <f>IF(COUNTIF('Testing Referrals'!B:B,HCO_Data!K1015)&gt;0,"Yes","")</f>
        <v/>
      </c>
      <c r="H1015">
        <f>COUNTIF('HCO referrals'!B:B,HCO_Data!K1015)+COUNTIF('HCO referrals'!C:C,HCO_Data!K1015)</f>
        <v>0</v>
      </c>
      <c r="I1015">
        <v>760027292</v>
      </c>
      <c r="K1015" t="s">
        <v>10994</v>
      </c>
      <c r="L1015" t="s">
        <v>1524</v>
      </c>
      <c r="M1015" t="s">
        <v>2086</v>
      </c>
      <c r="N1015">
        <v>76550</v>
      </c>
      <c r="O1015" t="s">
        <v>2087</v>
      </c>
      <c r="Q1015" t="s">
        <v>4283</v>
      </c>
      <c r="R1015">
        <v>861</v>
      </c>
      <c r="S1015" t="s">
        <v>10137</v>
      </c>
      <c r="T1015">
        <v>-1</v>
      </c>
      <c r="W1015">
        <f>COUNTIFS('Clinical Trials HCO'!$A:$A, K1015, 'Clinical Trials HCO'!$D:$D, "&lt;&gt;")</f>
        <v>0</v>
      </c>
      <c r="AF1015" t="s">
        <v>414</v>
      </c>
      <c r="AG1015" t="s">
        <v>414</v>
      </c>
    </row>
    <row r="1016" spans="2:33" hidden="1">
      <c r="B1016">
        <v>528</v>
      </c>
      <c r="F1016">
        <f>COUNTIF(HCPs!W:W,HCO_Data!K1016)</f>
        <v>0</v>
      </c>
      <c r="G1016" t="str">
        <f>IF(COUNTIF('Testing Referrals'!B:B,HCO_Data!K1016)&gt;0,"Yes","")</f>
        <v/>
      </c>
      <c r="H1016">
        <f>COUNTIF('HCO referrals'!B:B,HCO_Data!K1016)+COUNTIF('HCO referrals'!C:C,HCO_Data!K1016)</f>
        <v>0</v>
      </c>
      <c r="I1016">
        <v>760780791</v>
      </c>
      <c r="K1016" t="s">
        <v>10995</v>
      </c>
      <c r="L1016" t="s">
        <v>1520</v>
      </c>
      <c r="M1016" t="s">
        <v>2077</v>
      </c>
      <c r="N1016">
        <v>76600</v>
      </c>
      <c r="O1016" t="s">
        <v>2078</v>
      </c>
      <c r="Q1016" t="s">
        <v>4283</v>
      </c>
      <c r="R1016">
        <v>567</v>
      </c>
      <c r="S1016" t="s">
        <v>10137</v>
      </c>
      <c r="T1016">
        <v>-1</v>
      </c>
      <c r="W1016">
        <f>COUNTIFS('Clinical Trials HCO'!$A:$A, K1016, 'Clinical Trials HCO'!$D:$D, "&lt;&gt;")</f>
        <v>0</v>
      </c>
      <c r="AG1016" t="s">
        <v>414</v>
      </c>
    </row>
    <row r="1017" spans="2:33" hidden="1">
      <c r="B1017">
        <v>515</v>
      </c>
      <c r="F1017">
        <f>COUNTIF(HCPs!W:W,HCO_Data!K1017)</f>
        <v>0</v>
      </c>
      <c r="G1017" t="str">
        <f>IF(COUNTIF('Testing Referrals'!B:B,HCO_Data!K1017)&gt;0,"Yes","")</f>
        <v/>
      </c>
      <c r="H1017">
        <f>COUNTIF('HCO referrals'!B:B,HCO_Data!K1017)+COUNTIF('HCO referrals'!C:C,HCO_Data!K1017)</f>
        <v>0</v>
      </c>
      <c r="I1017">
        <v>760783522</v>
      </c>
      <c r="K1017" t="s">
        <v>10996</v>
      </c>
      <c r="L1017" t="s">
        <v>1563</v>
      </c>
      <c r="M1017" t="s">
        <v>2153</v>
      </c>
      <c r="N1017">
        <v>76230</v>
      </c>
      <c r="O1017" t="s">
        <v>2067</v>
      </c>
      <c r="Q1017" t="s">
        <v>4283</v>
      </c>
      <c r="R1017">
        <v>707</v>
      </c>
      <c r="S1017" t="s">
        <v>10137</v>
      </c>
      <c r="T1017">
        <v>-1</v>
      </c>
      <c r="W1017">
        <f>COUNTIFS('Clinical Trials HCO'!$A:$A, K1017, 'Clinical Trials HCO'!$D:$D, "&lt;&gt;")</f>
        <v>0</v>
      </c>
      <c r="AF1017" t="s">
        <v>414</v>
      </c>
      <c r="AG1017" t="s">
        <v>414</v>
      </c>
    </row>
    <row r="1018" spans="2:33" hidden="1">
      <c r="B1018">
        <v>437</v>
      </c>
      <c r="C1018" t="s">
        <v>8519</v>
      </c>
      <c r="F1018">
        <f>COUNTIF(HCPs!W:W,HCO_Data!K1018)</f>
        <v>0</v>
      </c>
      <c r="G1018" t="str">
        <f>IF(COUNTIF('Testing Referrals'!B:B,HCO_Data!K1018)&gt;0,"Yes","")</f>
        <v/>
      </c>
      <c r="H1018">
        <f>COUNTIF('HCO referrals'!B:B,HCO_Data!K1018)+COUNTIF('HCO referrals'!C:C,HCO_Data!K1018)</f>
        <v>0</v>
      </c>
      <c r="I1018">
        <v>760921809</v>
      </c>
      <c r="K1018" t="s">
        <v>10997</v>
      </c>
      <c r="L1018" t="s">
        <v>2451</v>
      </c>
      <c r="M1018" t="s">
        <v>2752</v>
      </c>
      <c r="N1018">
        <v>76040</v>
      </c>
      <c r="O1018" t="s">
        <v>885</v>
      </c>
      <c r="P1018" t="s">
        <v>719</v>
      </c>
      <c r="Q1018" t="s">
        <v>4283</v>
      </c>
      <c r="R1018">
        <v>961</v>
      </c>
      <c r="S1018" t="s">
        <v>10137</v>
      </c>
      <c r="T1018">
        <v>-1</v>
      </c>
      <c r="W1018">
        <f>COUNTIFS('Clinical Trials HCO'!$A:$A, K1018, 'Clinical Trials HCO'!$D:$D, "&lt;&gt;")</f>
        <v>0</v>
      </c>
      <c r="AF1018" t="s">
        <v>414</v>
      </c>
      <c r="AG1018" t="s">
        <v>414</v>
      </c>
    </row>
    <row r="1019" spans="2:33" hidden="1">
      <c r="B1019">
        <v>382</v>
      </c>
      <c r="F1019">
        <f>COUNTIF(HCPs!W:W,HCO_Data!K1019)</f>
        <v>0</v>
      </c>
      <c r="G1019" t="str">
        <f>IF(COUNTIF('Testing Referrals'!B:B,HCO_Data!K1019)&gt;0,"Yes","")</f>
        <v/>
      </c>
      <c r="H1019">
        <f>COUNTIF('HCO referrals'!B:B,HCO_Data!K1019)+COUNTIF('HCO referrals'!C:C,HCO_Data!K1019)</f>
        <v>0</v>
      </c>
      <c r="I1019">
        <v>770000164</v>
      </c>
      <c r="K1019" t="s">
        <v>10998</v>
      </c>
      <c r="L1019" t="s">
        <v>1439</v>
      </c>
      <c r="M1019" t="s">
        <v>1927</v>
      </c>
      <c r="N1019">
        <v>77875</v>
      </c>
      <c r="O1019" t="s">
        <v>1928</v>
      </c>
      <c r="Q1019" t="s">
        <v>4283</v>
      </c>
      <c r="R1019">
        <v>637</v>
      </c>
      <c r="S1019" t="s">
        <v>10137</v>
      </c>
      <c r="T1019">
        <v>-1</v>
      </c>
      <c r="W1019">
        <f>COUNTIFS('Clinical Trials HCO'!$A:$A, K1019, 'Clinical Trials HCO'!$D:$D, "&lt;&gt;")</f>
        <v>0</v>
      </c>
      <c r="AG1019" t="s">
        <v>414</v>
      </c>
    </row>
    <row r="1020" spans="2:33" hidden="1">
      <c r="F1020">
        <f>COUNTIF(HCPs!W:W,HCO_Data!K1020)</f>
        <v>0</v>
      </c>
      <c r="G1020" t="str">
        <f>IF(COUNTIF('Testing Referrals'!B:B,HCO_Data!K1020)&gt;0,"Yes","")</f>
        <v/>
      </c>
      <c r="H1020">
        <f>COUNTIF('HCO referrals'!B:B,HCO_Data!K1020)+COUNTIF('HCO referrals'!C:C,HCO_Data!K1020)</f>
        <v>0</v>
      </c>
      <c r="I1020">
        <v>770000214</v>
      </c>
      <c r="K1020" t="s">
        <v>10999</v>
      </c>
      <c r="L1020" t="s">
        <v>9738</v>
      </c>
      <c r="M1020" t="s">
        <v>9739</v>
      </c>
      <c r="O1020" t="s">
        <v>9740</v>
      </c>
      <c r="P1020" t="s">
        <v>757</v>
      </c>
      <c r="Q1020" t="s">
        <v>4283</v>
      </c>
      <c r="R1020">
        <v>962</v>
      </c>
      <c r="S1020" t="s">
        <v>10137</v>
      </c>
      <c r="T1020">
        <v>-1</v>
      </c>
      <c r="W1020">
        <f>COUNTIFS('Clinical Trials HCO'!$A:$A, K1020, 'Clinical Trials HCO'!$D:$D, "&lt;&gt;")</f>
        <v>0</v>
      </c>
    </row>
    <row r="1021" spans="2:33" hidden="1">
      <c r="B1021">
        <v>459</v>
      </c>
      <c r="F1021">
        <f>COUNTIF(HCPs!W:W,HCO_Data!K1021)</f>
        <v>0</v>
      </c>
      <c r="G1021" t="str">
        <f>IF(COUNTIF('Testing Referrals'!B:B,HCO_Data!K1021)&gt;0,"Yes","")</f>
        <v/>
      </c>
      <c r="H1021">
        <f>COUNTIF('HCO referrals'!B:B,HCO_Data!K1021)+COUNTIF('HCO referrals'!C:C,HCO_Data!K1021)</f>
        <v>0</v>
      </c>
      <c r="I1021">
        <v>770300135</v>
      </c>
      <c r="K1021" t="s">
        <v>11000</v>
      </c>
      <c r="L1021" t="s">
        <v>2476</v>
      </c>
      <c r="M1021" t="s">
        <v>2791</v>
      </c>
      <c r="N1021">
        <v>77000</v>
      </c>
      <c r="O1021" t="s">
        <v>1827</v>
      </c>
      <c r="Q1021" t="s">
        <v>4283</v>
      </c>
      <c r="R1021">
        <v>772</v>
      </c>
      <c r="S1021" t="s">
        <v>10137</v>
      </c>
      <c r="T1021">
        <v>-1</v>
      </c>
      <c r="W1021">
        <f>COUNTIFS('Clinical Trials HCO'!$A:$A, K1021, 'Clinical Trials HCO'!$D:$D, "&lt;&gt;")</f>
        <v>0</v>
      </c>
      <c r="AF1021" t="s">
        <v>414</v>
      </c>
    </row>
    <row r="1022" spans="2:33" hidden="1">
      <c r="F1022">
        <f>COUNTIF(HCPs!W:W,HCO_Data!K1022)</f>
        <v>0</v>
      </c>
      <c r="G1022" t="str">
        <f>IF(COUNTIF('Testing Referrals'!B:B,HCO_Data!K1022)&gt;0,"Yes","")</f>
        <v/>
      </c>
      <c r="H1022">
        <f>COUNTIF('HCO referrals'!B:B,HCO_Data!K1022)+COUNTIF('HCO referrals'!C:C,HCO_Data!K1022)</f>
        <v>0</v>
      </c>
      <c r="I1022">
        <v>780000303</v>
      </c>
      <c r="K1022" t="s">
        <v>11001</v>
      </c>
      <c r="L1022" t="s">
        <v>9741</v>
      </c>
      <c r="M1022" t="s">
        <v>9742</v>
      </c>
      <c r="O1022" t="s">
        <v>9743</v>
      </c>
      <c r="P1022" t="s">
        <v>751</v>
      </c>
      <c r="Q1022" t="s">
        <v>4283</v>
      </c>
      <c r="R1022">
        <v>963</v>
      </c>
      <c r="S1022" t="s">
        <v>10137</v>
      </c>
      <c r="T1022">
        <v>-1</v>
      </c>
      <c r="W1022">
        <f>COUNTIFS('Clinical Trials HCO'!$A:$A, K1022, 'Clinical Trials HCO'!$D:$D, "&lt;&gt;")</f>
        <v>0</v>
      </c>
    </row>
    <row r="1023" spans="2:33" hidden="1">
      <c r="B1023">
        <v>398</v>
      </c>
      <c r="F1023">
        <f>COUNTIF(HCPs!W:W,HCO_Data!K1023)</f>
        <v>0</v>
      </c>
      <c r="G1023" t="str">
        <f>IF(COUNTIF('Testing Referrals'!B:B,HCO_Data!K1023)&gt;0,"Yes","")</f>
        <v/>
      </c>
      <c r="H1023">
        <f>COUNTIF('HCO referrals'!B:B,HCO_Data!K1023)+COUNTIF('HCO referrals'!C:C,HCO_Data!K1023)</f>
        <v>0</v>
      </c>
      <c r="I1023">
        <v>780000337</v>
      </c>
      <c r="K1023" t="s">
        <v>11002</v>
      </c>
      <c r="L1023" t="s">
        <v>1457</v>
      </c>
      <c r="M1023" t="s">
        <v>1965</v>
      </c>
      <c r="N1023">
        <v>78100</v>
      </c>
      <c r="O1023" t="s">
        <v>1966</v>
      </c>
      <c r="Q1023" t="s">
        <v>4283</v>
      </c>
      <c r="R1023">
        <v>439</v>
      </c>
      <c r="S1023" t="s">
        <v>10137</v>
      </c>
      <c r="T1023">
        <v>-1</v>
      </c>
      <c r="W1023">
        <f>COUNTIFS('Clinical Trials HCO'!$A:$A, K1023, 'Clinical Trials HCO'!$D:$D, "&lt;&gt;")</f>
        <v>0</v>
      </c>
      <c r="AF1023" t="s">
        <v>414</v>
      </c>
    </row>
    <row r="1024" spans="2:33" hidden="1">
      <c r="F1024">
        <f>COUNTIF(HCPs!W:W,HCO_Data!K1024)</f>
        <v>0</v>
      </c>
      <c r="G1024" t="str">
        <f>IF(COUNTIF('Testing Referrals'!B:B,HCO_Data!K1024)&gt;0,"Yes","")</f>
        <v/>
      </c>
      <c r="H1024">
        <f>COUNTIF('HCO referrals'!B:B,HCO_Data!K1024)+COUNTIF('HCO referrals'!C:C,HCO_Data!K1024)</f>
        <v>0</v>
      </c>
      <c r="I1024">
        <v>780000345</v>
      </c>
      <c r="K1024" t="s">
        <v>11003</v>
      </c>
      <c r="L1024" t="s">
        <v>9494</v>
      </c>
      <c r="M1024" t="s">
        <v>9495</v>
      </c>
      <c r="O1024" t="s">
        <v>2178</v>
      </c>
      <c r="P1024" t="s">
        <v>751</v>
      </c>
      <c r="Q1024" t="s">
        <v>4283</v>
      </c>
      <c r="R1024">
        <v>862</v>
      </c>
      <c r="S1024" t="s">
        <v>10137</v>
      </c>
      <c r="T1024">
        <v>-1</v>
      </c>
      <c r="W1024">
        <f>COUNTIFS('Clinical Trials HCO'!$A:$A, K1024, 'Clinical Trials HCO'!$D:$D, "&lt;&gt;")</f>
        <v>0</v>
      </c>
    </row>
    <row r="1025" spans="2:33" hidden="1">
      <c r="F1025">
        <f>COUNTIF(HCPs!W:W,HCO_Data!K1025)</f>
        <v>0</v>
      </c>
      <c r="G1025" t="str">
        <f>IF(COUNTIF('Testing Referrals'!B:B,HCO_Data!K1025)&gt;0,"Yes","")</f>
        <v/>
      </c>
      <c r="H1025">
        <f>COUNTIF('HCO referrals'!B:B,HCO_Data!K1025)+COUNTIF('HCO referrals'!C:C,HCO_Data!K1025)</f>
        <v>0</v>
      </c>
      <c r="I1025">
        <v>780018727</v>
      </c>
      <c r="K1025" t="s">
        <v>11004</v>
      </c>
      <c r="L1025" t="s">
        <v>9981</v>
      </c>
      <c r="M1025" t="s">
        <v>9982</v>
      </c>
      <c r="O1025" t="s">
        <v>9983</v>
      </c>
      <c r="P1025" t="s">
        <v>751</v>
      </c>
      <c r="Q1025" t="s">
        <v>4283</v>
      </c>
      <c r="R1025">
        <v>1066</v>
      </c>
      <c r="S1025" t="s">
        <v>10137</v>
      </c>
      <c r="T1025">
        <v>-1</v>
      </c>
      <c r="W1025">
        <f>COUNTIFS('Clinical Trials HCO'!$A:$A, K1025, 'Clinical Trials HCO'!$D:$D, "&lt;&gt;")</f>
        <v>0</v>
      </c>
    </row>
    <row r="1026" spans="2:33" hidden="1">
      <c r="F1026">
        <f>COUNTIF(HCPs!W:W,HCO_Data!K1026)</f>
        <v>0</v>
      </c>
      <c r="G1026" t="str">
        <f>IF(COUNTIF('Testing Referrals'!B:B,HCO_Data!K1026)&gt;0,"Yes","")</f>
        <v/>
      </c>
      <c r="H1026">
        <f>COUNTIF('HCO referrals'!B:B,HCO_Data!K1026)+COUNTIF('HCO referrals'!C:C,HCO_Data!K1026)</f>
        <v>0</v>
      </c>
      <c r="I1026">
        <v>780022737</v>
      </c>
      <c r="K1026" t="s">
        <v>11005</v>
      </c>
      <c r="L1026" t="s">
        <v>9825</v>
      </c>
      <c r="M1026" t="s">
        <v>9826</v>
      </c>
      <c r="O1026" t="s">
        <v>9827</v>
      </c>
      <c r="P1026" t="s">
        <v>751</v>
      </c>
      <c r="Q1026" t="s">
        <v>4283</v>
      </c>
      <c r="R1026">
        <v>1000</v>
      </c>
      <c r="S1026" t="s">
        <v>10137</v>
      </c>
      <c r="T1026">
        <v>-1</v>
      </c>
      <c r="W1026">
        <f>COUNTIFS('Clinical Trials HCO'!$A:$A, K1026, 'Clinical Trials HCO'!$D:$D, "&lt;&gt;")</f>
        <v>0</v>
      </c>
    </row>
    <row r="1027" spans="2:33" hidden="1">
      <c r="B1027">
        <v>434</v>
      </c>
      <c r="F1027">
        <f>COUNTIF(HCPs!W:W,HCO_Data!K1027)</f>
        <v>0</v>
      </c>
      <c r="G1027" t="str">
        <f>IF(COUNTIF('Testing Referrals'!B:B,HCO_Data!K1027)&gt;0,"Yes","")</f>
        <v/>
      </c>
      <c r="H1027">
        <f>COUNTIF('HCO referrals'!B:B,HCO_Data!K1027)+COUNTIF('HCO referrals'!C:C,HCO_Data!K1027)</f>
        <v>0</v>
      </c>
      <c r="I1027">
        <v>780300125</v>
      </c>
      <c r="K1027" t="s">
        <v>11006</v>
      </c>
      <c r="L1027" t="s">
        <v>2454</v>
      </c>
      <c r="M1027" t="s">
        <v>2755</v>
      </c>
      <c r="N1027">
        <v>78200</v>
      </c>
      <c r="O1027" t="s">
        <v>1862</v>
      </c>
      <c r="Q1027" t="s">
        <v>4283</v>
      </c>
      <c r="R1027">
        <v>752</v>
      </c>
      <c r="S1027" t="s">
        <v>10137</v>
      </c>
      <c r="T1027">
        <v>-1</v>
      </c>
      <c r="W1027">
        <f>COUNTIFS('Clinical Trials HCO'!$A:$A, K1027, 'Clinical Trials HCO'!$D:$D, "&lt;&gt;")</f>
        <v>0</v>
      </c>
      <c r="AG1027" t="s">
        <v>414</v>
      </c>
    </row>
    <row r="1028" spans="2:33" hidden="1">
      <c r="B1028">
        <v>616</v>
      </c>
      <c r="F1028">
        <f>COUNTIF(HCPs!W:W,HCO_Data!K1028)</f>
        <v>0</v>
      </c>
      <c r="G1028" t="str">
        <f>IF(COUNTIF('Testing Referrals'!B:B,HCO_Data!K1028)&gt;0,"Yes","")</f>
        <v/>
      </c>
      <c r="H1028">
        <f>COUNTIF('HCO referrals'!B:B,HCO_Data!K1028)+COUNTIF('HCO referrals'!C:C,HCO_Data!K1028)</f>
        <v>0</v>
      </c>
      <c r="I1028">
        <v>780300406</v>
      </c>
      <c r="K1028" t="s">
        <v>11007</v>
      </c>
      <c r="L1028" t="s">
        <v>2549</v>
      </c>
      <c r="M1028" t="s">
        <v>2852</v>
      </c>
      <c r="N1028">
        <v>78150</v>
      </c>
      <c r="O1028" t="s">
        <v>2853</v>
      </c>
      <c r="Q1028" t="s">
        <v>4283</v>
      </c>
      <c r="R1028">
        <v>1067</v>
      </c>
      <c r="S1028" t="s">
        <v>10137</v>
      </c>
      <c r="T1028">
        <v>-1</v>
      </c>
      <c r="W1028">
        <f>COUNTIFS('Clinical Trials HCO'!$A:$A, K1028, 'Clinical Trials HCO'!$D:$D, "&lt;&gt;")</f>
        <v>0</v>
      </c>
      <c r="AG1028" t="s">
        <v>414</v>
      </c>
    </row>
    <row r="1029" spans="2:33" hidden="1">
      <c r="F1029">
        <f>COUNTIF(HCPs!W:W,HCO_Data!K1029)</f>
        <v>0</v>
      </c>
      <c r="G1029" t="str">
        <f>IF(COUNTIF('Testing Referrals'!B:B,HCO_Data!K1029)&gt;0,"Yes","")</f>
        <v/>
      </c>
      <c r="H1029">
        <f>COUNTIF('HCO referrals'!B:B,HCO_Data!K1029)+COUNTIF('HCO referrals'!C:C,HCO_Data!K1029)</f>
        <v>0</v>
      </c>
      <c r="I1029">
        <v>780300455</v>
      </c>
      <c r="K1029" t="s">
        <v>11008</v>
      </c>
      <c r="L1029" t="s">
        <v>9984</v>
      </c>
      <c r="M1029" t="s">
        <v>9985</v>
      </c>
      <c r="O1029" t="s">
        <v>9986</v>
      </c>
      <c r="P1029" t="s">
        <v>751</v>
      </c>
      <c r="Q1029" t="s">
        <v>4283</v>
      </c>
      <c r="R1029">
        <v>1068</v>
      </c>
      <c r="S1029" t="s">
        <v>10137</v>
      </c>
      <c r="T1029">
        <v>-1</v>
      </c>
      <c r="W1029">
        <f>COUNTIFS('Clinical Trials HCO'!$A:$A, K1029, 'Clinical Trials HCO'!$D:$D, "&lt;&gt;")</f>
        <v>0</v>
      </c>
    </row>
    <row r="1030" spans="2:33" hidden="1">
      <c r="F1030">
        <f>COUNTIF(HCPs!W:W,HCO_Data!K1030)</f>
        <v>0</v>
      </c>
      <c r="G1030" t="str">
        <f>IF(COUNTIF('Testing Referrals'!B:B,HCO_Data!K1030)&gt;0,"Yes","")</f>
        <v/>
      </c>
      <c r="H1030">
        <f>COUNTIF('HCO referrals'!B:B,HCO_Data!K1030)+COUNTIF('HCO referrals'!C:C,HCO_Data!K1030)</f>
        <v>0</v>
      </c>
      <c r="I1030">
        <v>790000111</v>
      </c>
      <c r="K1030" t="s">
        <v>11009</v>
      </c>
      <c r="L1030" t="s">
        <v>9828</v>
      </c>
      <c r="M1030" t="s">
        <v>9829</v>
      </c>
      <c r="O1030" t="s">
        <v>9830</v>
      </c>
      <c r="P1030" t="s">
        <v>782</v>
      </c>
      <c r="Q1030" t="s">
        <v>4283</v>
      </c>
      <c r="R1030">
        <v>1001</v>
      </c>
      <c r="S1030" t="s">
        <v>10137</v>
      </c>
      <c r="T1030">
        <v>-1</v>
      </c>
      <c r="W1030">
        <f>COUNTIFS('Clinical Trials HCO'!$A:$A, K1030, 'Clinical Trials HCO'!$D:$D, "&lt;&gt;")</f>
        <v>0</v>
      </c>
    </row>
    <row r="1031" spans="2:33" hidden="1">
      <c r="B1031">
        <v>567</v>
      </c>
      <c r="F1031">
        <f>COUNTIF(HCPs!W:W,HCO_Data!K1031)</f>
        <v>0</v>
      </c>
      <c r="G1031" t="str">
        <f>IF(COUNTIF('Testing Referrals'!B:B,HCO_Data!K1031)&gt;0,"Yes","")</f>
        <v/>
      </c>
      <c r="H1031">
        <f>COUNTIF('HCO referrals'!B:B,HCO_Data!K1031)+COUNTIF('HCO referrals'!C:C,HCO_Data!K1031)</f>
        <v>0</v>
      </c>
      <c r="I1031">
        <v>790009948</v>
      </c>
      <c r="K1031" t="s">
        <v>11010</v>
      </c>
      <c r="L1031" t="s">
        <v>2608</v>
      </c>
      <c r="M1031" t="s">
        <v>2885</v>
      </c>
      <c r="N1031">
        <v>79006</v>
      </c>
      <c r="O1031" t="s">
        <v>946</v>
      </c>
      <c r="Q1031" t="s">
        <v>4283</v>
      </c>
      <c r="R1031">
        <v>912</v>
      </c>
      <c r="S1031" t="s">
        <v>10137</v>
      </c>
      <c r="T1031">
        <v>-1</v>
      </c>
      <c r="W1031">
        <f>COUNTIFS('Clinical Trials HCO'!$A:$A, K1031, 'Clinical Trials HCO'!$D:$D, "&lt;&gt;")</f>
        <v>0</v>
      </c>
      <c r="AD1031" s="12" t="s">
        <v>414</v>
      </c>
      <c r="AE1031" s="12" t="s">
        <v>3928</v>
      </c>
    </row>
    <row r="1032" spans="2:33" hidden="1">
      <c r="F1032">
        <f>COUNTIF(HCPs!W:W,HCO_Data!K1032)</f>
        <v>0</v>
      </c>
      <c r="G1032" t="str">
        <f>IF(COUNTIF('Testing Referrals'!B:B,HCO_Data!K1032)&gt;0,"Yes","")</f>
        <v/>
      </c>
      <c r="H1032">
        <f>COUNTIF('HCO referrals'!B:B,HCO_Data!K1032)+COUNTIF('HCO referrals'!C:C,HCO_Data!K1032)</f>
        <v>0</v>
      </c>
      <c r="I1032">
        <v>800000184</v>
      </c>
      <c r="K1032" t="s">
        <v>11011</v>
      </c>
      <c r="L1032" t="s">
        <v>10116</v>
      </c>
      <c r="M1032" t="s">
        <v>10117</v>
      </c>
      <c r="O1032" t="s">
        <v>10118</v>
      </c>
      <c r="P1032" t="s">
        <v>729</v>
      </c>
      <c r="Q1032" t="s">
        <v>4283</v>
      </c>
      <c r="R1032">
        <v>1121</v>
      </c>
      <c r="S1032" t="s">
        <v>10137</v>
      </c>
      <c r="T1032">
        <v>-1</v>
      </c>
      <c r="W1032">
        <f>COUNTIFS('Clinical Trials HCO'!$A:$A, K1032, 'Clinical Trials HCO'!$D:$D, "&lt;&gt;")</f>
        <v>0</v>
      </c>
    </row>
    <row r="1033" spans="2:33" hidden="1">
      <c r="F1033">
        <f>COUNTIF(HCPs!W:W,HCO_Data!K1033)</f>
        <v>0</v>
      </c>
      <c r="G1033" t="str">
        <f>IF(COUNTIF('Testing Referrals'!B:B,HCO_Data!K1033)&gt;0,"Yes","")</f>
        <v/>
      </c>
      <c r="H1033">
        <f>COUNTIF('HCO referrals'!B:B,HCO_Data!K1033)+COUNTIF('HCO referrals'!C:C,HCO_Data!K1033)</f>
        <v>0</v>
      </c>
      <c r="I1033">
        <v>800000200</v>
      </c>
      <c r="K1033" t="s">
        <v>11012</v>
      </c>
      <c r="L1033" t="s">
        <v>10119</v>
      </c>
      <c r="M1033" t="s">
        <v>10120</v>
      </c>
      <c r="O1033" t="s">
        <v>10121</v>
      </c>
      <c r="P1033" t="s">
        <v>729</v>
      </c>
      <c r="Q1033" t="s">
        <v>4283</v>
      </c>
      <c r="R1033">
        <v>1122</v>
      </c>
      <c r="S1033" t="s">
        <v>10137</v>
      </c>
      <c r="T1033">
        <v>-1</v>
      </c>
      <c r="W1033">
        <f>COUNTIFS('Clinical Trials HCO'!$A:$A, K1033, 'Clinical Trials HCO'!$D:$D, "&lt;&gt;")</f>
        <v>0</v>
      </c>
    </row>
    <row r="1034" spans="2:33" hidden="1">
      <c r="F1034">
        <f>COUNTIF(HCPs!W:W,HCO_Data!K1034)</f>
        <v>0</v>
      </c>
      <c r="G1034" t="str">
        <f>IF(COUNTIF('Testing Referrals'!B:B,HCO_Data!K1034)&gt;0,"Yes","")</f>
        <v/>
      </c>
      <c r="H1034">
        <f>COUNTIF('HCO referrals'!B:B,HCO_Data!K1034)+COUNTIF('HCO referrals'!C:C,HCO_Data!K1034)</f>
        <v>0</v>
      </c>
      <c r="I1034">
        <v>800000226</v>
      </c>
      <c r="K1034" t="s">
        <v>11013</v>
      </c>
      <c r="L1034" t="s">
        <v>8819</v>
      </c>
      <c r="M1034" t="s">
        <v>8820</v>
      </c>
      <c r="O1034" t="s">
        <v>8821</v>
      </c>
      <c r="P1034" t="s">
        <v>729</v>
      </c>
      <c r="Q1034" t="s">
        <v>4283</v>
      </c>
      <c r="R1034">
        <v>473</v>
      </c>
      <c r="S1034" t="s">
        <v>10137</v>
      </c>
      <c r="T1034">
        <v>-1</v>
      </c>
      <c r="W1034">
        <f>COUNTIFS('Clinical Trials HCO'!$A:$A, K1034, 'Clinical Trials HCO'!$D:$D, "&lt;&gt;")</f>
        <v>0</v>
      </c>
    </row>
    <row r="1035" spans="2:33" hidden="1">
      <c r="F1035">
        <f>COUNTIF(HCPs!W:W,HCO_Data!K1035)</f>
        <v>0</v>
      </c>
      <c r="G1035" t="str">
        <f>IF(COUNTIF('Testing Referrals'!B:B,HCO_Data!K1035)&gt;0,"Yes","")</f>
        <v/>
      </c>
      <c r="H1035">
        <f>COUNTIF('HCO referrals'!B:B,HCO_Data!K1035)+COUNTIF('HCO referrals'!C:C,HCO_Data!K1035)</f>
        <v>0</v>
      </c>
      <c r="I1035">
        <v>800000275</v>
      </c>
      <c r="K1035" t="s">
        <v>11014</v>
      </c>
      <c r="L1035" t="s">
        <v>9620</v>
      </c>
      <c r="M1035" t="s">
        <v>9621</v>
      </c>
      <c r="O1035" t="s">
        <v>9622</v>
      </c>
      <c r="P1035" t="s">
        <v>729</v>
      </c>
      <c r="Q1035" t="s">
        <v>4283</v>
      </c>
      <c r="R1035">
        <v>913</v>
      </c>
      <c r="S1035" t="s">
        <v>10137</v>
      </c>
      <c r="T1035">
        <v>-1</v>
      </c>
      <c r="W1035">
        <f>COUNTIFS('Clinical Trials HCO'!$A:$A, K1035, 'Clinical Trials HCO'!$D:$D, "&lt;&gt;")</f>
        <v>0</v>
      </c>
    </row>
    <row r="1036" spans="2:33" hidden="1">
      <c r="F1036">
        <f>COUNTIF(HCPs!W:W,HCO_Data!K1036)</f>
        <v>0</v>
      </c>
      <c r="G1036" t="str">
        <f>IF(COUNTIF('Testing Referrals'!B:B,HCO_Data!K1036)&gt;0,"Yes","")</f>
        <v/>
      </c>
      <c r="H1036">
        <f>COUNTIF('HCO referrals'!B:B,HCO_Data!K1036)+COUNTIF('HCO referrals'!C:C,HCO_Data!K1036)</f>
        <v>0</v>
      </c>
      <c r="I1036">
        <v>800000390</v>
      </c>
      <c r="K1036" t="s">
        <v>11015</v>
      </c>
      <c r="L1036" t="s">
        <v>9566</v>
      </c>
      <c r="M1036" t="s">
        <v>9567</v>
      </c>
      <c r="O1036" t="s">
        <v>9568</v>
      </c>
      <c r="P1036" t="s">
        <v>729</v>
      </c>
      <c r="Q1036" t="s">
        <v>4283</v>
      </c>
      <c r="R1036">
        <v>888</v>
      </c>
      <c r="S1036" t="s">
        <v>10137</v>
      </c>
      <c r="T1036">
        <v>-1</v>
      </c>
      <c r="W1036">
        <f>COUNTIFS('Clinical Trials HCO'!$A:$A, K1036, 'Clinical Trials HCO'!$D:$D, "&lt;&gt;")</f>
        <v>0</v>
      </c>
    </row>
    <row r="1037" spans="2:33" hidden="1">
      <c r="F1037">
        <f>COUNTIF(HCPs!W:W,HCO_Data!K1037)</f>
        <v>0</v>
      </c>
      <c r="G1037" t="str">
        <f>IF(COUNTIF('Testing Referrals'!B:B,HCO_Data!K1037)&gt;0,"Yes","")</f>
        <v/>
      </c>
      <c r="H1037">
        <f>COUNTIF('HCO referrals'!B:B,HCO_Data!K1037)+COUNTIF('HCO referrals'!C:C,HCO_Data!K1037)</f>
        <v>0</v>
      </c>
      <c r="I1037">
        <v>800000432</v>
      </c>
      <c r="K1037" t="s">
        <v>11016</v>
      </c>
      <c r="L1037" t="s">
        <v>9204</v>
      </c>
      <c r="M1037" t="s">
        <v>9205</v>
      </c>
      <c r="O1037" t="s">
        <v>9206</v>
      </c>
      <c r="P1037" t="s">
        <v>729</v>
      </c>
      <c r="Q1037" t="s">
        <v>4283</v>
      </c>
      <c r="R1037">
        <v>732</v>
      </c>
      <c r="S1037" t="s">
        <v>10137</v>
      </c>
      <c r="T1037">
        <v>-1</v>
      </c>
      <c r="W1037">
        <f>COUNTIFS('Clinical Trials HCO'!$A:$A, K1037, 'Clinical Trials HCO'!$D:$D, "&lt;&gt;")</f>
        <v>0</v>
      </c>
    </row>
    <row r="1038" spans="2:33" hidden="1">
      <c r="F1038">
        <f>COUNTIF(HCPs!W:W,HCO_Data!K1038)</f>
        <v>0</v>
      </c>
      <c r="G1038" t="str">
        <f>IF(COUNTIF('Testing Referrals'!B:B,HCO_Data!K1038)&gt;0,"Yes","")</f>
        <v/>
      </c>
      <c r="H1038">
        <f>COUNTIF('HCO referrals'!B:B,HCO_Data!K1038)+COUNTIF('HCO referrals'!C:C,HCO_Data!K1038)</f>
        <v>0</v>
      </c>
      <c r="I1038">
        <v>800000507</v>
      </c>
      <c r="K1038" t="s">
        <v>11017</v>
      </c>
      <c r="L1038" t="s">
        <v>9623</v>
      </c>
      <c r="M1038" t="s">
        <v>9624</v>
      </c>
      <c r="O1038" t="s">
        <v>9625</v>
      </c>
      <c r="P1038" t="s">
        <v>729</v>
      </c>
      <c r="Q1038" t="s">
        <v>4283</v>
      </c>
      <c r="R1038">
        <v>914</v>
      </c>
      <c r="S1038" t="s">
        <v>10137</v>
      </c>
      <c r="T1038">
        <v>-1</v>
      </c>
      <c r="W1038">
        <f>COUNTIFS('Clinical Trials HCO'!$A:$A, K1038, 'Clinical Trials HCO'!$D:$D, "&lt;&gt;")</f>
        <v>0</v>
      </c>
    </row>
    <row r="1039" spans="2:33" hidden="1">
      <c r="B1039">
        <v>632</v>
      </c>
      <c r="F1039">
        <f>COUNTIF(HCPs!W:W,HCO_Data!K1039)</f>
        <v>0</v>
      </c>
      <c r="G1039" t="str">
        <f>IF(COUNTIF('Testing Referrals'!B:B,HCO_Data!K1039)&gt;0,"Yes","")</f>
        <v/>
      </c>
      <c r="H1039">
        <f>COUNTIF('HCO referrals'!B:B,HCO_Data!K1039)+COUNTIF('HCO referrals'!C:C,HCO_Data!K1039)</f>
        <v>0</v>
      </c>
      <c r="I1039">
        <v>800009466</v>
      </c>
      <c r="K1039" t="s">
        <v>11018</v>
      </c>
      <c r="L1039" t="s">
        <v>2615</v>
      </c>
      <c r="M1039" t="s">
        <v>2900</v>
      </c>
      <c r="N1039">
        <v>80094</v>
      </c>
      <c r="O1039" t="s">
        <v>840</v>
      </c>
      <c r="Q1039" t="s">
        <v>4283</v>
      </c>
      <c r="R1039">
        <v>889</v>
      </c>
      <c r="S1039" t="s">
        <v>10137</v>
      </c>
      <c r="T1039">
        <v>-1</v>
      </c>
      <c r="W1039">
        <f>COUNTIFS('Clinical Trials HCO'!$A:$A, K1039, 'Clinical Trials HCO'!$D:$D, "&lt;&gt;")</f>
        <v>0</v>
      </c>
      <c r="AG1039" t="s">
        <v>414</v>
      </c>
    </row>
    <row r="1040" spans="2:33" hidden="1">
      <c r="F1040">
        <f>COUNTIF(HCPs!W:W,HCO_Data!K1040)</f>
        <v>0</v>
      </c>
      <c r="G1040" t="str">
        <f>IF(COUNTIF('Testing Referrals'!B:B,HCO_Data!K1040)&gt;0,"Yes","")</f>
        <v/>
      </c>
      <c r="H1040">
        <f>COUNTIF('HCO referrals'!B:B,HCO_Data!K1040)+COUNTIF('HCO referrals'!C:C,HCO_Data!K1040)</f>
        <v>0</v>
      </c>
      <c r="I1040">
        <v>800015729</v>
      </c>
      <c r="K1040" t="s">
        <v>11019</v>
      </c>
      <c r="L1040" t="s">
        <v>9218</v>
      </c>
      <c r="M1040" t="s">
        <v>8663</v>
      </c>
      <c r="O1040" t="s">
        <v>840</v>
      </c>
      <c r="P1040" t="s">
        <v>729</v>
      </c>
      <c r="Q1040" t="s">
        <v>4283</v>
      </c>
      <c r="R1040">
        <v>739</v>
      </c>
      <c r="S1040" t="s">
        <v>10137</v>
      </c>
      <c r="T1040">
        <v>-1</v>
      </c>
      <c r="W1040">
        <f>COUNTIFS('Clinical Trials HCO'!$A:$A, K1040, 'Clinical Trials HCO'!$D:$D, "&lt;&gt;")</f>
        <v>0</v>
      </c>
    </row>
    <row r="1041" spans="2:33" hidden="1">
      <c r="F1041">
        <f>COUNTIF(HCPs!W:W,HCO_Data!K1041)</f>
        <v>0</v>
      </c>
      <c r="G1041" t="str">
        <f>IF(COUNTIF('Testing Referrals'!B:B,HCO_Data!K1041)&gt;0,"Yes","")</f>
        <v/>
      </c>
      <c r="H1041">
        <f>COUNTIF('HCO referrals'!B:B,HCO_Data!K1041)+COUNTIF('HCO referrals'!C:C,HCO_Data!K1041)</f>
        <v>0</v>
      </c>
      <c r="I1041">
        <v>810000448</v>
      </c>
      <c r="K1041" t="s">
        <v>11020</v>
      </c>
      <c r="L1041" t="s">
        <v>9496</v>
      </c>
      <c r="M1041" t="s">
        <v>9497</v>
      </c>
      <c r="O1041" t="s">
        <v>9498</v>
      </c>
      <c r="P1041" t="s">
        <v>725</v>
      </c>
      <c r="Q1041" t="s">
        <v>4283</v>
      </c>
      <c r="R1041">
        <v>863</v>
      </c>
      <c r="S1041" t="s">
        <v>10137</v>
      </c>
      <c r="T1041">
        <v>-1</v>
      </c>
      <c r="W1041">
        <f>COUNTIFS('Clinical Trials HCO'!$A:$A, K1041, 'Clinical Trials HCO'!$D:$D, "&lt;&gt;")</f>
        <v>0</v>
      </c>
    </row>
    <row r="1042" spans="2:33" hidden="1">
      <c r="F1042">
        <f>COUNTIF(HCPs!W:W,HCO_Data!K1042)</f>
        <v>0</v>
      </c>
      <c r="G1042" t="str">
        <f>IF(COUNTIF('Testing Referrals'!B:B,HCO_Data!K1042)&gt;0,"Yes","")</f>
        <v/>
      </c>
      <c r="H1042">
        <f>COUNTIF('HCO referrals'!B:B,HCO_Data!K1042)+COUNTIF('HCO referrals'!C:C,HCO_Data!K1042)</f>
        <v>0</v>
      </c>
      <c r="I1042">
        <v>810000513</v>
      </c>
      <c r="K1042" t="s">
        <v>11021</v>
      </c>
      <c r="L1042" t="s">
        <v>9319</v>
      </c>
      <c r="M1042" t="s">
        <v>9320</v>
      </c>
      <c r="O1042" t="s">
        <v>9321</v>
      </c>
      <c r="P1042" t="s">
        <v>725</v>
      </c>
      <c r="Q1042" t="s">
        <v>4283</v>
      </c>
      <c r="R1042">
        <v>788</v>
      </c>
      <c r="S1042" t="s">
        <v>10137</v>
      </c>
      <c r="T1042">
        <v>-1</v>
      </c>
      <c r="W1042">
        <f>COUNTIFS('Clinical Trials HCO'!$A:$A, K1042, 'Clinical Trials HCO'!$D:$D, "&lt;&gt;")</f>
        <v>0</v>
      </c>
    </row>
    <row r="1043" spans="2:33" hidden="1">
      <c r="F1043">
        <f>COUNTIF(HCPs!W:W,HCO_Data!K1043)</f>
        <v>0</v>
      </c>
      <c r="G1043" t="str">
        <f>IF(COUNTIF('Testing Referrals'!B:B,HCO_Data!K1043)&gt;0,"Yes","")</f>
        <v/>
      </c>
      <c r="H1043">
        <f>COUNTIF('HCO referrals'!B:B,HCO_Data!K1043)+COUNTIF('HCO referrals'!C:C,HCO_Data!K1043)</f>
        <v>0</v>
      </c>
      <c r="I1043">
        <v>810000539</v>
      </c>
      <c r="K1043" t="s">
        <v>11022</v>
      </c>
      <c r="L1043" t="s">
        <v>9987</v>
      </c>
      <c r="M1043" t="s">
        <v>9988</v>
      </c>
      <c r="O1043" t="s">
        <v>9989</v>
      </c>
      <c r="P1043" t="s">
        <v>725</v>
      </c>
      <c r="Q1043" t="s">
        <v>4283</v>
      </c>
      <c r="R1043">
        <v>1069</v>
      </c>
      <c r="S1043" t="s">
        <v>10137</v>
      </c>
      <c r="T1043">
        <v>-1</v>
      </c>
      <c r="W1043">
        <f>COUNTIFS('Clinical Trials HCO'!$A:$A, K1043, 'Clinical Trials HCO'!$D:$D, "&lt;&gt;")</f>
        <v>0</v>
      </c>
    </row>
    <row r="1044" spans="2:33" hidden="1">
      <c r="F1044">
        <f>COUNTIF(HCPs!W:W,HCO_Data!K1044)</f>
        <v>0</v>
      </c>
      <c r="G1044" t="str">
        <f>IF(COUNTIF('Testing Referrals'!B:B,HCO_Data!K1044)&gt;0,"Yes","")</f>
        <v/>
      </c>
      <c r="H1044">
        <f>COUNTIF('HCO referrals'!B:B,HCO_Data!K1044)+COUNTIF('HCO referrals'!C:C,HCO_Data!K1044)</f>
        <v>0</v>
      </c>
      <c r="I1044">
        <v>810000562</v>
      </c>
      <c r="K1044" t="s">
        <v>11023</v>
      </c>
      <c r="L1044" t="s">
        <v>9219</v>
      </c>
      <c r="M1044" t="s">
        <v>9220</v>
      </c>
      <c r="O1044" t="s">
        <v>9221</v>
      </c>
      <c r="P1044" t="s">
        <v>725</v>
      </c>
      <c r="Q1044" t="s">
        <v>4283</v>
      </c>
      <c r="R1044">
        <v>740</v>
      </c>
      <c r="S1044" t="s">
        <v>10137</v>
      </c>
      <c r="T1044">
        <v>-1</v>
      </c>
      <c r="W1044">
        <f>COUNTIFS('Clinical Trials HCO'!$A:$A, K1044, 'Clinical Trials HCO'!$D:$D, "&lt;&gt;")</f>
        <v>0</v>
      </c>
    </row>
    <row r="1045" spans="2:33" hidden="1">
      <c r="B1045">
        <v>640</v>
      </c>
      <c r="F1045">
        <f>COUNTIF(HCPs!W:W,HCO_Data!K1045)</f>
        <v>0</v>
      </c>
      <c r="G1045" t="str">
        <f>IF(COUNTIF('Testing Referrals'!B:B,HCO_Data!K1045)&gt;0,"Yes","")</f>
        <v/>
      </c>
      <c r="H1045">
        <f>COUNTIF('HCO referrals'!B:B,HCO_Data!K1045)+COUNTIF('HCO referrals'!C:C,HCO_Data!K1045)</f>
        <v>0</v>
      </c>
      <c r="I1045">
        <v>810101444</v>
      </c>
      <c r="K1045" t="s">
        <v>11024</v>
      </c>
      <c r="L1045" t="s">
        <v>2620</v>
      </c>
      <c r="M1045" t="s">
        <v>2906</v>
      </c>
      <c r="N1045">
        <v>81100</v>
      </c>
      <c r="O1045" t="s">
        <v>1972</v>
      </c>
      <c r="Q1045" t="s">
        <v>4283</v>
      </c>
      <c r="R1045">
        <v>964</v>
      </c>
      <c r="S1045" t="s">
        <v>10137</v>
      </c>
      <c r="T1045">
        <v>-1</v>
      </c>
      <c r="W1045">
        <f>COUNTIFS('Clinical Trials HCO'!$A:$A, K1045, 'Clinical Trials HCO'!$D:$D, "&lt;&gt;")</f>
        <v>0</v>
      </c>
      <c r="AF1045" t="s">
        <v>414</v>
      </c>
      <c r="AG1045" t="s">
        <v>414</v>
      </c>
    </row>
    <row r="1046" spans="2:33" hidden="1">
      <c r="F1046">
        <f>COUNTIF(HCPs!W:W,HCO_Data!K1046)</f>
        <v>0</v>
      </c>
      <c r="G1046" t="str">
        <f>IF(COUNTIF('Testing Referrals'!B:B,HCO_Data!K1046)&gt;0,"Yes","")</f>
        <v/>
      </c>
      <c r="H1046">
        <f>COUNTIF('HCO referrals'!B:B,HCO_Data!K1046)+COUNTIF('HCO referrals'!C:C,HCO_Data!K1046)</f>
        <v>0</v>
      </c>
      <c r="I1046">
        <v>820000883</v>
      </c>
      <c r="K1046" t="s">
        <v>11025</v>
      </c>
      <c r="L1046" t="s">
        <v>9423</v>
      </c>
      <c r="M1046" t="s">
        <v>9424</v>
      </c>
      <c r="O1046" t="s">
        <v>9425</v>
      </c>
      <c r="P1046" t="s">
        <v>755</v>
      </c>
      <c r="Q1046" t="s">
        <v>4283</v>
      </c>
      <c r="R1046">
        <v>833</v>
      </c>
      <c r="S1046" t="s">
        <v>10137</v>
      </c>
      <c r="T1046">
        <v>-1</v>
      </c>
      <c r="W1046">
        <f>COUNTIFS('Clinical Trials HCO'!$A:$A, K1046, 'Clinical Trials HCO'!$D:$D, "&lt;&gt;")</f>
        <v>0</v>
      </c>
    </row>
    <row r="1047" spans="2:33" hidden="1">
      <c r="B1047">
        <v>368</v>
      </c>
      <c r="F1047">
        <f>COUNTIF(HCPs!W:W,HCO_Data!K1047)</f>
        <v>0</v>
      </c>
      <c r="G1047" t="str">
        <f>IF(COUNTIF('Testing Referrals'!B:B,HCO_Data!K1047)&gt;0,"Yes","")</f>
        <v/>
      </c>
      <c r="H1047">
        <f>COUNTIF('HCO referrals'!B:B,HCO_Data!K1047)+COUNTIF('HCO referrals'!C:C,HCO_Data!K1047)</f>
        <v>0</v>
      </c>
      <c r="I1047">
        <v>830000279</v>
      </c>
      <c r="K1047" t="s">
        <v>11026</v>
      </c>
      <c r="L1047" t="s">
        <v>2398</v>
      </c>
      <c r="M1047" t="s">
        <v>2689</v>
      </c>
      <c r="N1047">
        <v>83175</v>
      </c>
      <c r="O1047" t="s">
        <v>2690</v>
      </c>
      <c r="Q1047" t="s">
        <v>4283</v>
      </c>
      <c r="R1047">
        <v>569</v>
      </c>
      <c r="S1047" t="s">
        <v>10137</v>
      </c>
      <c r="T1047">
        <v>-1</v>
      </c>
      <c r="W1047">
        <f>COUNTIFS('Clinical Trials HCO'!$A:$A, K1047, 'Clinical Trials HCO'!$D:$D, "&lt;&gt;")</f>
        <v>0</v>
      </c>
      <c r="AF1047" t="s">
        <v>414</v>
      </c>
      <c r="AG1047" t="s">
        <v>414</v>
      </c>
    </row>
    <row r="1048" spans="2:33" hidden="1">
      <c r="F1048">
        <f>COUNTIF(HCPs!W:W,HCO_Data!K1048)</f>
        <v>0</v>
      </c>
      <c r="G1048" t="str">
        <f>IF(COUNTIF('Testing Referrals'!B:B,HCO_Data!K1048)&gt;0,"Yes","")</f>
        <v/>
      </c>
      <c r="H1048">
        <f>COUNTIF('HCO referrals'!B:B,HCO_Data!K1048)+COUNTIF('HCO referrals'!C:C,HCO_Data!K1048)</f>
        <v>0</v>
      </c>
      <c r="I1048">
        <v>830000295</v>
      </c>
      <c r="K1048" t="s">
        <v>11027</v>
      </c>
      <c r="L1048" t="s">
        <v>8954</v>
      </c>
      <c r="M1048" t="s">
        <v>8955</v>
      </c>
      <c r="O1048" t="s">
        <v>8956</v>
      </c>
      <c r="P1048" t="s">
        <v>715</v>
      </c>
      <c r="Q1048" t="s">
        <v>4283</v>
      </c>
      <c r="R1048">
        <v>592</v>
      </c>
      <c r="S1048" t="s">
        <v>10137</v>
      </c>
      <c r="T1048">
        <v>-1</v>
      </c>
      <c r="W1048">
        <f>COUNTIFS('Clinical Trials HCO'!$A:$A, K1048, 'Clinical Trials HCO'!$D:$D, "&lt;&gt;")</f>
        <v>0</v>
      </c>
    </row>
    <row r="1049" spans="2:33" hidden="1">
      <c r="B1049">
        <v>597</v>
      </c>
      <c r="F1049">
        <f>COUNTIF(HCPs!W:W,HCO_Data!K1049)</f>
        <v>0</v>
      </c>
      <c r="G1049" t="str">
        <f>IF(COUNTIF('Testing Referrals'!B:B,HCO_Data!K1049)&gt;0,"Yes","")</f>
        <v/>
      </c>
      <c r="H1049">
        <f>COUNTIF('HCO referrals'!B:B,HCO_Data!K1049)+COUNTIF('HCO referrals'!C:C,HCO_Data!K1049)</f>
        <v>0</v>
      </c>
      <c r="I1049">
        <v>830200523</v>
      </c>
      <c r="K1049" t="s">
        <v>11028</v>
      </c>
      <c r="L1049" t="s">
        <v>2628</v>
      </c>
      <c r="M1049" t="s">
        <v>2916</v>
      </c>
      <c r="N1049">
        <v>83196</v>
      </c>
      <c r="O1049" t="s">
        <v>2913</v>
      </c>
      <c r="Q1049" t="s">
        <v>4283</v>
      </c>
      <c r="R1049">
        <v>1123</v>
      </c>
      <c r="S1049" t="s">
        <v>10137</v>
      </c>
      <c r="T1049">
        <v>-1</v>
      </c>
      <c r="W1049">
        <f>COUNTIFS('Clinical Trials HCO'!$A:$A, K1049, 'Clinical Trials HCO'!$D:$D, "&lt;&gt;")</f>
        <v>0</v>
      </c>
      <c r="AF1049" t="s">
        <v>414</v>
      </c>
      <c r="AG1049" t="s">
        <v>414</v>
      </c>
    </row>
    <row r="1050" spans="2:33" hidden="1">
      <c r="F1050">
        <f>COUNTIF(HCPs!W:W,HCO_Data!K1050)</f>
        <v>0</v>
      </c>
      <c r="G1050" t="str">
        <f>IF(COUNTIF('Testing Referrals'!B:B,HCO_Data!K1050)&gt;0,"Yes","")</f>
        <v/>
      </c>
      <c r="H1050">
        <f>COUNTIF('HCO referrals'!B:B,HCO_Data!K1050)+COUNTIF('HCO referrals'!C:C,HCO_Data!K1050)</f>
        <v>0</v>
      </c>
      <c r="I1050">
        <v>840000343</v>
      </c>
      <c r="K1050" t="s">
        <v>11029</v>
      </c>
      <c r="L1050" t="s">
        <v>8999</v>
      </c>
      <c r="M1050" t="s">
        <v>9000</v>
      </c>
      <c r="O1050" t="s">
        <v>9001</v>
      </c>
      <c r="P1050" t="s">
        <v>760</v>
      </c>
      <c r="Q1050" t="s">
        <v>4283</v>
      </c>
      <c r="R1050">
        <v>624</v>
      </c>
      <c r="S1050" t="s">
        <v>10137</v>
      </c>
      <c r="T1050">
        <v>-1</v>
      </c>
      <c r="W1050">
        <f>COUNTIFS('Clinical Trials HCO'!$A:$A, K1050, 'Clinical Trials HCO'!$D:$D, "&lt;&gt;")</f>
        <v>0</v>
      </c>
    </row>
    <row r="1051" spans="2:33" hidden="1">
      <c r="F1051">
        <f>COUNTIF(HCPs!W:W,HCO_Data!K1051)</f>
        <v>0</v>
      </c>
      <c r="G1051" t="str">
        <f>IF(COUNTIF('Testing Referrals'!B:B,HCO_Data!K1051)&gt;0,"Yes","")</f>
        <v/>
      </c>
      <c r="H1051">
        <f>COUNTIF('HCO referrals'!B:B,HCO_Data!K1051)+COUNTIF('HCO referrals'!C:C,HCO_Data!K1051)</f>
        <v>0</v>
      </c>
      <c r="I1051">
        <v>840000426</v>
      </c>
      <c r="K1051" t="s">
        <v>11030</v>
      </c>
      <c r="L1051" t="s">
        <v>10122</v>
      </c>
      <c r="M1051" t="s">
        <v>10123</v>
      </c>
      <c r="O1051" t="s">
        <v>10124</v>
      </c>
      <c r="P1051" t="s">
        <v>760</v>
      </c>
      <c r="Q1051" t="s">
        <v>4283</v>
      </c>
      <c r="R1051">
        <v>1124</v>
      </c>
      <c r="S1051" t="s">
        <v>10137</v>
      </c>
      <c r="T1051">
        <v>-1</v>
      </c>
      <c r="W1051">
        <f>COUNTIFS('Clinical Trials HCO'!$A:$A, K1051, 'Clinical Trials HCO'!$D:$D, "&lt;&gt;")</f>
        <v>0</v>
      </c>
    </row>
    <row r="1052" spans="2:33" hidden="1">
      <c r="F1052">
        <f>COUNTIF(HCPs!W:W,HCO_Data!K1052)</f>
        <v>0</v>
      </c>
      <c r="G1052" t="str">
        <f>IF(COUNTIF('Testing Referrals'!B:B,HCO_Data!K1052)&gt;0,"Yes","")</f>
        <v/>
      </c>
      <c r="H1052">
        <f>COUNTIF('HCO referrals'!B:B,HCO_Data!K1052)+COUNTIF('HCO referrals'!C:C,HCO_Data!K1052)</f>
        <v>0</v>
      </c>
      <c r="I1052">
        <v>840000434</v>
      </c>
      <c r="K1052" t="s">
        <v>11031</v>
      </c>
      <c r="L1052" t="s">
        <v>9262</v>
      </c>
      <c r="M1052" t="s">
        <v>9263</v>
      </c>
      <c r="O1052" t="s">
        <v>9264</v>
      </c>
      <c r="P1052" t="s">
        <v>760</v>
      </c>
      <c r="Q1052" t="s">
        <v>4283</v>
      </c>
      <c r="R1052">
        <v>759</v>
      </c>
      <c r="S1052" t="s">
        <v>10137</v>
      </c>
      <c r="T1052">
        <v>-1</v>
      </c>
      <c r="W1052">
        <f>COUNTIFS('Clinical Trials HCO'!$A:$A, K1052, 'Clinical Trials HCO'!$D:$D, "&lt;&gt;")</f>
        <v>0</v>
      </c>
    </row>
    <row r="1053" spans="2:33" hidden="1">
      <c r="B1053">
        <v>614</v>
      </c>
      <c r="F1053">
        <f>COUNTIF(HCPs!W:W,HCO_Data!K1053)</f>
        <v>0</v>
      </c>
      <c r="G1053" t="str">
        <f>IF(COUNTIF('Testing Referrals'!B:B,HCO_Data!K1053)&gt;0,"Yes","")</f>
        <v/>
      </c>
      <c r="H1053">
        <f>COUNTIF('HCO referrals'!B:B,HCO_Data!K1053)+COUNTIF('HCO referrals'!C:C,HCO_Data!K1053)</f>
        <v>0</v>
      </c>
      <c r="I1053">
        <v>840000467</v>
      </c>
      <c r="K1053" t="s">
        <v>11032</v>
      </c>
      <c r="L1053" t="s">
        <v>2448</v>
      </c>
      <c r="M1053" t="s">
        <v>2745</v>
      </c>
      <c r="N1053">
        <v>84100</v>
      </c>
      <c r="O1053" t="s">
        <v>2692</v>
      </c>
      <c r="Q1053" t="s">
        <v>4283</v>
      </c>
      <c r="R1053">
        <v>1070</v>
      </c>
      <c r="S1053" t="s">
        <v>10137</v>
      </c>
      <c r="T1053">
        <v>-1</v>
      </c>
      <c r="W1053">
        <f>COUNTIFS('Clinical Trials HCO'!$A:$A, K1053, 'Clinical Trials HCO'!$D:$D, "&lt;&gt;")</f>
        <v>0</v>
      </c>
      <c r="AG1053" t="s">
        <v>414</v>
      </c>
    </row>
    <row r="1054" spans="2:33" hidden="1">
      <c r="F1054">
        <f>COUNTIF(HCPs!W:W,HCO_Data!K1054)</f>
        <v>0</v>
      </c>
      <c r="G1054" t="str">
        <f>IF(COUNTIF('Testing Referrals'!B:B,HCO_Data!K1054)&gt;0,"Yes","")</f>
        <v/>
      </c>
      <c r="H1054">
        <f>COUNTIF('HCO referrals'!B:B,HCO_Data!K1054)+COUNTIF('HCO referrals'!C:C,HCO_Data!K1054)</f>
        <v>0</v>
      </c>
      <c r="I1054">
        <v>840000533</v>
      </c>
      <c r="K1054" t="s">
        <v>11033</v>
      </c>
      <c r="L1054" t="s">
        <v>9248</v>
      </c>
      <c r="M1054" t="s">
        <v>9249</v>
      </c>
      <c r="O1054" t="s">
        <v>9250</v>
      </c>
      <c r="P1054" t="s">
        <v>760</v>
      </c>
      <c r="Q1054" t="s">
        <v>4283</v>
      </c>
      <c r="R1054">
        <v>753</v>
      </c>
      <c r="S1054" t="s">
        <v>10137</v>
      </c>
      <c r="T1054">
        <v>-1</v>
      </c>
      <c r="W1054">
        <f>COUNTIFS('Clinical Trials HCO'!$A:$A, K1054, 'Clinical Trials HCO'!$D:$D, "&lt;&gt;")</f>
        <v>0</v>
      </c>
    </row>
    <row r="1055" spans="2:33" hidden="1">
      <c r="B1055">
        <v>708</v>
      </c>
      <c r="F1055">
        <f>COUNTIF(HCPs!W:W,HCO_Data!K1055)</f>
        <v>0</v>
      </c>
      <c r="G1055" t="str">
        <f>IF(COUNTIF('Testing Referrals'!B:B,HCO_Data!K1055)&gt;0,"Yes","")</f>
        <v/>
      </c>
      <c r="H1055">
        <f>COUNTIF('HCO referrals'!B:B,HCO_Data!K1055)+COUNTIF('HCO referrals'!C:C,HCO_Data!K1055)</f>
        <v>0</v>
      </c>
      <c r="I1055">
        <v>840017172</v>
      </c>
      <c r="K1055" t="s">
        <v>11034</v>
      </c>
      <c r="L1055" t="s">
        <v>688</v>
      </c>
      <c r="M1055" t="s">
        <v>2934</v>
      </c>
      <c r="N1055">
        <v>84200</v>
      </c>
      <c r="O1055" t="s">
        <v>2935</v>
      </c>
      <c r="Q1055" t="s">
        <v>4283</v>
      </c>
      <c r="R1055">
        <v>760</v>
      </c>
      <c r="S1055" t="s">
        <v>10137</v>
      </c>
      <c r="T1055">
        <v>-1</v>
      </c>
      <c r="W1055">
        <f>COUNTIFS('Clinical Trials HCO'!$A:$A, K1055, 'Clinical Trials HCO'!$D:$D, "&lt;&gt;")</f>
        <v>0</v>
      </c>
      <c r="AF1055" t="s">
        <v>414</v>
      </c>
      <c r="AG1055" t="s">
        <v>414</v>
      </c>
    </row>
    <row r="1056" spans="2:33" hidden="1">
      <c r="F1056">
        <f>COUNTIF(HCPs!W:W,HCO_Data!K1056)</f>
        <v>0</v>
      </c>
      <c r="G1056" t="str">
        <f>IF(COUNTIF('Testing Referrals'!B:B,HCO_Data!K1056)&gt;0,"Yes","")</f>
        <v/>
      </c>
      <c r="H1056">
        <f>COUNTIF('HCO referrals'!B:B,HCO_Data!K1056)+COUNTIF('HCO referrals'!C:C,HCO_Data!K1056)</f>
        <v>0</v>
      </c>
      <c r="I1056">
        <v>840018337</v>
      </c>
      <c r="K1056" t="s">
        <v>11035</v>
      </c>
      <c r="L1056" t="s">
        <v>9744</v>
      </c>
      <c r="M1056" t="s">
        <v>9000</v>
      </c>
      <c r="O1056" t="s">
        <v>9001</v>
      </c>
      <c r="P1056" t="s">
        <v>760</v>
      </c>
      <c r="Q1056" t="s">
        <v>4283</v>
      </c>
      <c r="R1056">
        <v>965</v>
      </c>
      <c r="S1056" t="s">
        <v>10137</v>
      </c>
      <c r="T1056">
        <v>-1</v>
      </c>
      <c r="W1056">
        <f>COUNTIFS('Clinical Trials HCO'!$A:$A, K1056, 'Clinical Trials HCO'!$D:$D, "&lt;&gt;")</f>
        <v>0</v>
      </c>
    </row>
    <row r="1057" spans="2:33" hidden="1">
      <c r="B1057">
        <v>683</v>
      </c>
      <c r="F1057">
        <f>COUNTIF(HCPs!W:W,HCO_Data!K1057)</f>
        <v>0</v>
      </c>
      <c r="G1057" t="str">
        <f>IF(COUNTIF('Testing Referrals'!B:B,HCO_Data!K1057)&gt;0,"Yes","")</f>
        <v/>
      </c>
      <c r="H1057">
        <f>COUNTIF('HCO referrals'!B:B,HCO_Data!K1057)+COUNTIF('HCO referrals'!C:C,HCO_Data!K1057)</f>
        <v>0</v>
      </c>
      <c r="I1057">
        <v>850000118</v>
      </c>
      <c r="K1057" t="s">
        <v>11036</v>
      </c>
      <c r="L1057" t="s">
        <v>2490</v>
      </c>
      <c r="M1057" t="s">
        <v>2805</v>
      </c>
      <c r="N1057">
        <v>85016</v>
      </c>
      <c r="O1057" t="s">
        <v>1949</v>
      </c>
      <c r="Q1057" t="s">
        <v>4283</v>
      </c>
      <c r="R1057">
        <v>966</v>
      </c>
      <c r="S1057" t="s">
        <v>10137</v>
      </c>
      <c r="T1057">
        <v>-1</v>
      </c>
      <c r="W1057">
        <f>COUNTIFS('Clinical Trials HCO'!$A:$A, K1057, 'Clinical Trials HCO'!$D:$D, "&lt;&gt;")</f>
        <v>0</v>
      </c>
      <c r="AG1057" t="s">
        <v>414</v>
      </c>
    </row>
    <row r="1058" spans="2:33" hidden="1">
      <c r="B1058">
        <v>473</v>
      </c>
      <c r="F1058">
        <f>COUNTIF(HCPs!W:W,HCO_Data!K1058)</f>
        <v>0</v>
      </c>
      <c r="G1058" t="str">
        <f>IF(COUNTIF('Testing Referrals'!B:B,HCO_Data!K1058)&gt;0,"Yes","")</f>
        <v/>
      </c>
      <c r="H1058">
        <f>COUNTIF('HCO referrals'!B:B,HCO_Data!K1058)+COUNTIF('HCO referrals'!C:C,HCO_Data!K1058)</f>
        <v>0</v>
      </c>
      <c r="I1058">
        <v>850000126</v>
      </c>
      <c r="K1058" t="s">
        <v>11037</v>
      </c>
      <c r="L1058" t="s">
        <v>2500</v>
      </c>
      <c r="M1058" t="s">
        <v>2816</v>
      </c>
      <c r="N1058">
        <v>85204</v>
      </c>
      <c r="O1058" t="s">
        <v>2817</v>
      </c>
      <c r="Q1058" t="s">
        <v>4283</v>
      </c>
      <c r="R1058">
        <v>1071</v>
      </c>
      <c r="S1058" t="s">
        <v>10137</v>
      </c>
      <c r="T1058">
        <v>-1</v>
      </c>
      <c r="W1058">
        <f>COUNTIFS('Clinical Trials HCO'!$A:$A, K1058, 'Clinical Trials HCO'!$D:$D, "&lt;&gt;")</f>
        <v>0</v>
      </c>
      <c r="AG1058" t="s">
        <v>414</v>
      </c>
    </row>
    <row r="1059" spans="2:33" hidden="1">
      <c r="F1059">
        <f>COUNTIF(HCPs!W:W,HCO_Data!K1059)</f>
        <v>0</v>
      </c>
      <c r="G1059" t="str">
        <f>IF(COUNTIF('Testing Referrals'!B:B,HCO_Data!K1059)&gt;0,"Yes","")</f>
        <v/>
      </c>
      <c r="H1059">
        <f>COUNTIF('HCO referrals'!B:B,HCO_Data!K1059)+COUNTIF('HCO referrals'!C:C,HCO_Data!K1059)</f>
        <v>0</v>
      </c>
      <c r="I1059">
        <v>850000134</v>
      </c>
      <c r="K1059" t="s">
        <v>11038</v>
      </c>
      <c r="L1059" t="s">
        <v>9380</v>
      </c>
      <c r="M1059" t="s">
        <v>9381</v>
      </c>
      <c r="O1059" t="s">
        <v>2739</v>
      </c>
      <c r="P1059" t="s">
        <v>761</v>
      </c>
      <c r="Q1059" t="s">
        <v>4283</v>
      </c>
      <c r="R1059">
        <v>813</v>
      </c>
      <c r="S1059" t="s">
        <v>10137</v>
      </c>
      <c r="T1059">
        <v>-1</v>
      </c>
      <c r="W1059">
        <f>COUNTIFS('Clinical Trials HCO'!$A:$A, K1059, 'Clinical Trials HCO'!$D:$D, "&lt;&gt;")</f>
        <v>0</v>
      </c>
    </row>
    <row r="1060" spans="2:33" hidden="1">
      <c r="F1060">
        <f>COUNTIF(HCPs!W:W,HCO_Data!K1060)</f>
        <v>0</v>
      </c>
      <c r="G1060" t="str">
        <f>IF(COUNTIF('Testing Referrals'!B:B,HCO_Data!K1060)&gt;0,"Yes","")</f>
        <v/>
      </c>
      <c r="H1060">
        <f>COUNTIF('HCO referrals'!B:B,HCO_Data!K1060)+COUNTIF('HCO referrals'!C:C,HCO_Data!K1060)</f>
        <v>0</v>
      </c>
      <c r="I1060">
        <v>850000209</v>
      </c>
      <c r="K1060" t="s">
        <v>11039</v>
      </c>
      <c r="L1060" t="s">
        <v>9151</v>
      </c>
      <c r="M1060" t="s">
        <v>9152</v>
      </c>
      <c r="O1060" t="s">
        <v>9153</v>
      </c>
      <c r="P1060" t="s">
        <v>761</v>
      </c>
      <c r="Q1060" t="s">
        <v>4283</v>
      </c>
      <c r="R1060">
        <v>700</v>
      </c>
      <c r="S1060" t="s">
        <v>10137</v>
      </c>
      <c r="T1060">
        <v>-1</v>
      </c>
      <c r="W1060">
        <f>COUNTIFS('Clinical Trials HCO'!$A:$A, K1060, 'Clinical Trials HCO'!$D:$D, "&lt;&gt;")</f>
        <v>0</v>
      </c>
    </row>
    <row r="1061" spans="2:33" hidden="1">
      <c r="F1061">
        <f>COUNTIF(HCPs!W:W,HCO_Data!K1061)</f>
        <v>0</v>
      </c>
      <c r="G1061" t="str">
        <f>IF(COUNTIF('Testing Referrals'!B:B,HCO_Data!K1061)&gt;0,"Yes","")</f>
        <v/>
      </c>
      <c r="H1061">
        <f>COUNTIF('HCO referrals'!B:B,HCO_Data!K1061)+COUNTIF('HCO referrals'!C:C,HCO_Data!K1061)</f>
        <v>0</v>
      </c>
      <c r="I1061">
        <v>850000225</v>
      </c>
      <c r="K1061" t="s">
        <v>11040</v>
      </c>
      <c r="L1061" t="s">
        <v>8813</v>
      </c>
      <c r="M1061" t="s">
        <v>8814</v>
      </c>
      <c r="O1061" t="s">
        <v>8815</v>
      </c>
      <c r="P1061" t="s">
        <v>761</v>
      </c>
      <c r="Q1061" t="s">
        <v>4283</v>
      </c>
      <c r="R1061">
        <v>470</v>
      </c>
      <c r="S1061" t="s">
        <v>10137</v>
      </c>
      <c r="T1061">
        <v>-1</v>
      </c>
      <c r="W1061">
        <f>COUNTIFS('Clinical Trials HCO'!$A:$A, K1061, 'Clinical Trials HCO'!$D:$D, "&lt;&gt;")</f>
        <v>0</v>
      </c>
    </row>
    <row r="1062" spans="2:33" hidden="1">
      <c r="F1062">
        <f>COUNTIF(HCPs!W:W,HCO_Data!K1062)</f>
        <v>0</v>
      </c>
      <c r="G1062" t="str">
        <f>IF(COUNTIF('Testing Referrals'!B:B,HCO_Data!K1062)&gt;0,"Yes","")</f>
        <v/>
      </c>
      <c r="H1062">
        <f>COUNTIF('HCO referrals'!B:B,HCO_Data!K1062)+COUNTIF('HCO referrals'!C:C,HCO_Data!K1062)</f>
        <v>0</v>
      </c>
      <c r="I1062">
        <v>850009630</v>
      </c>
      <c r="K1062" t="s">
        <v>11041</v>
      </c>
      <c r="L1062" t="s">
        <v>8873</v>
      </c>
      <c r="M1062" t="s">
        <v>8874</v>
      </c>
      <c r="O1062" t="s">
        <v>8875</v>
      </c>
      <c r="P1062" t="s">
        <v>761</v>
      </c>
      <c r="Q1062" t="s">
        <v>4283</v>
      </c>
      <c r="R1062">
        <v>521</v>
      </c>
      <c r="S1062" t="s">
        <v>10137</v>
      </c>
      <c r="T1062">
        <v>-1</v>
      </c>
      <c r="W1062">
        <f>COUNTIFS('Clinical Trials HCO'!$A:$A, K1062, 'Clinical Trials HCO'!$D:$D, "&lt;&gt;")</f>
        <v>0</v>
      </c>
    </row>
    <row r="1063" spans="2:33" hidden="1">
      <c r="F1063">
        <f>COUNTIF(HCPs!W:W,HCO_Data!K1063)</f>
        <v>0</v>
      </c>
      <c r="G1063" t="str">
        <f>IF(COUNTIF('Testing Referrals'!B:B,HCO_Data!K1063)&gt;0,"Yes","")</f>
        <v/>
      </c>
      <c r="H1063">
        <f>COUNTIF('HCO referrals'!B:B,HCO_Data!K1063)+COUNTIF('HCO referrals'!C:C,HCO_Data!K1063)</f>
        <v>0</v>
      </c>
      <c r="I1063">
        <v>860000033</v>
      </c>
      <c r="K1063" t="s">
        <v>11042</v>
      </c>
      <c r="L1063" t="s">
        <v>9626</v>
      </c>
      <c r="M1063" t="s">
        <v>9627</v>
      </c>
      <c r="O1063" t="s">
        <v>9628</v>
      </c>
      <c r="P1063" t="s">
        <v>766</v>
      </c>
      <c r="Q1063" t="s">
        <v>4283</v>
      </c>
      <c r="R1063">
        <v>915</v>
      </c>
      <c r="S1063" t="s">
        <v>10137</v>
      </c>
      <c r="T1063">
        <v>-1</v>
      </c>
      <c r="W1063">
        <f>COUNTIFS('Clinical Trials HCO'!$A:$A, K1063, 'Clinical Trials HCO'!$D:$D, "&lt;&gt;")</f>
        <v>0</v>
      </c>
    </row>
    <row r="1064" spans="2:33" hidden="1">
      <c r="F1064">
        <f>COUNTIF(HCPs!W:W,HCO_Data!K1064)</f>
        <v>0</v>
      </c>
      <c r="G1064" t="str">
        <f>IF(COUNTIF('Testing Referrals'!B:B,HCO_Data!K1064)&gt;0,"Yes","")</f>
        <v/>
      </c>
      <c r="H1064">
        <f>COUNTIF('HCO referrals'!B:B,HCO_Data!K1064)+COUNTIF('HCO referrals'!C:C,HCO_Data!K1064)</f>
        <v>0</v>
      </c>
      <c r="I1064">
        <v>870000270</v>
      </c>
      <c r="K1064" t="s">
        <v>11043</v>
      </c>
      <c r="L1064" t="s">
        <v>8844</v>
      </c>
      <c r="M1064" t="s">
        <v>8845</v>
      </c>
      <c r="O1064" t="s">
        <v>8846</v>
      </c>
      <c r="P1064" t="s">
        <v>713</v>
      </c>
      <c r="Q1064" t="s">
        <v>4283</v>
      </c>
      <c r="R1064">
        <v>502</v>
      </c>
      <c r="S1064" t="s">
        <v>10137</v>
      </c>
      <c r="T1064">
        <v>-1</v>
      </c>
      <c r="W1064">
        <f>COUNTIFS('Clinical Trials HCO'!$A:$A, K1064, 'Clinical Trials HCO'!$D:$D, "&lt;&gt;")</f>
        <v>0</v>
      </c>
    </row>
    <row r="1065" spans="2:33" hidden="1">
      <c r="F1065">
        <f>COUNTIF(HCPs!W:W,HCO_Data!K1065)</f>
        <v>0</v>
      </c>
      <c r="G1065" t="str">
        <f>IF(COUNTIF('Testing Referrals'!B:B,HCO_Data!K1065)&gt;0,"Yes","")</f>
        <v/>
      </c>
      <c r="H1065">
        <f>COUNTIF('HCO referrals'!B:B,HCO_Data!K1065)+COUNTIF('HCO referrals'!C:C,HCO_Data!K1065)</f>
        <v>0</v>
      </c>
      <c r="I1065">
        <v>870000551</v>
      </c>
      <c r="K1065" t="s">
        <v>11044</v>
      </c>
      <c r="L1065" t="s">
        <v>9629</v>
      </c>
      <c r="M1065" t="s">
        <v>9630</v>
      </c>
      <c r="O1065" t="s">
        <v>9631</v>
      </c>
      <c r="P1065" t="s">
        <v>713</v>
      </c>
      <c r="Q1065" t="s">
        <v>4283</v>
      </c>
      <c r="R1065">
        <v>916</v>
      </c>
      <c r="S1065" t="s">
        <v>10137</v>
      </c>
      <c r="T1065">
        <v>-1</v>
      </c>
      <c r="W1065">
        <f>COUNTIFS('Clinical Trials HCO'!$A:$A, K1065, 'Clinical Trials HCO'!$D:$D, "&lt;&gt;")</f>
        <v>0</v>
      </c>
    </row>
    <row r="1066" spans="2:33" hidden="1">
      <c r="F1066">
        <f>COUNTIF(HCPs!W:W,HCO_Data!K1066)</f>
        <v>0</v>
      </c>
      <c r="G1066" t="str">
        <f>IF(COUNTIF('Testing Referrals'!B:B,HCO_Data!K1066)&gt;0,"Yes","")</f>
        <v/>
      </c>
      <c r="H1066">
        <f>COUNTIF('HCO referrals'!B:B,HCO_Data!K1066)+COUNTIF('HCO referrals'!C:C,HCO_Data!K1066)</f>
        <v>0</v>
      </c>
      <c r="I1066">
        <v>880000039</v>
      </c>
      <c r="K1066" t="s">
        <v>11045</v>
      </c>
      <c r="L1066" t="s">
        <v>9990</v>
      </c>
      <c r="M1066" t="s">
        <v>9991</v>
      </c>
      <c r="O1066" t="s">
        <v>9992</v>
      </c>
      <c r="P1066" t="s">
        <v>783</v>
      </c>
      <c r="Q1066" t="s">
        <v>4283</v>
      </c>
      <c r="R1066">
        <v>1072</v>
      </c>
      <c r="S1066" t="s">
        <v>10137</v>
      </c>
      <c r="T1066">
        <v>-1</v>
      </c>
      <c r="W1066">
        <f>COUNTIFS('Clinical Trials HCO'!$A:$A, K1066, 'Clinical Trials HCO'!$D:$D, "&lt;&gt;")</f>
        <v>0</v>
      </c>
    </row>
    <row r="1067" spans="2:33" hidden="1">
      <c r="F1067">
        <f>COUNTIF(HCPs!W:W,HCO_Data!K1067)</f>
        <v>0</v>
      </c>
      <c r="G1067" t="str">
        <f>IF(COUNTIF('Testing Referrals'!B:B,HCO_Data!K1067)&gt;0,"Yes","")</f>
        <v/>
      </c>
      <c r="H1067">
        <f>COUNTIF('HCO referrals'!B:B,HCO_Data!K1067)+COUNTIF('HCO referrals'!C:C,HCO_Data!K1067)</f>
        <v>0</v>
      </c>
      <c r="I1067">
        <v>880000070</v>
      </c>
      <c r="K1067" t="s">
        <v>11046</v>
      </c>
      <c r="L1067" t="s">
        <v>9831</v>
      </c>
      <c r="M1067" t="s">
        <v>9832</v>
      </c>
      <c r="O1067" t="s">
        <v>9833</v>
      </c>
      <c r="P1067" t="s">
        <v>783</v>
      </c>
      <c r="Q1067" t="s">
        <v>4283</v>
      </c>
      <c r="R1067">
        <v>1002</v>
      </c>
      <c r="S1067" t="s">
        <v>10137</v>
      </c>
      <c r="T1067">
        <v>-1</v>
      </c>
      <c r="W1067">
        <f>COUNTIFS('Clinical Trials HCO'!$A:$A, K1067, 'Clinical Trials HCO'!$D:$D, "&lt;&gt;")</f>
        <v>0</v>
      </c>
    </row>
    <row r="1068" spans="2:33" hidden="1">
      <c r="B1068">
        <v>314</v>
      </c>
      <c r="F1068">
        <f>COUNTIF(HCPs!W:W,HCO_Data!K1068)</f>
        <v>0</v>
      </c>
      <c r="G1068" t="str">
        <f>IF(COUNTIF('Testing Referrals'!B:B,HCO_Data!K1068)&gt;0,"Yes","")</f>
        <v/>
      </c>
      <c r="H1068">
        <f>COUNTIF('HCO referrals'!B:B,HCO_Data!K1068)+COUNTIF('HCO referrals'!C:C,HCO_Data!K1068)</f>
        <v>0</v>
      </c>
      <c r="I1068">
        <v>880788591</v>
      </c>
      <c r="K1068" t="s">
        <v>11047</v>
      </c>
      <c r="L1068" t="s">
        <v>689</v>
      </c>
      <c r="M1068" t="s">
        <v>2353</v>
      </c>
      <c r="N1068">
        <v>88060</v>
      </c>
      <c r="O1068" t="s">
        <v>1956</v>
      </c>
      <c r="Q1068" t="s">
        <v>4283</v>
      </c>
      <c r="R1068">
        <v>653</v>
      </c>
      <c r="S1068" t="s">
        <v>10137</v>
      </c>
      <c r="T1068">
        <v>-1</v>
      </c>
      <c r="W1068">
        <f>COUNTIFS('Clinical Trials HCO'!$A:$A, K1068, 'Clinical Trials HCO'!$D:$D, "&lt;&gt;")</f>
        <v>0</v>
      </c>
      <c r="AG1068" t="s">
        <v>414</v>
      </c>
    </row>
    <row r="1069" spans="2:33" hidden="1">
      <c r="F1069">
        <f>COUNTIF(HCPs!W:W,HCO_Data!K1069)</f>
        <v>0</v>
      </c>
      <c r="G1069" t="str">
        <f>IF(COUNTIF('Testing Referrals'!B:B,HCO_Data!K1069)&gt;0,"Yes","")</f>
        <v/>
      </c>
      <c r="H1069">
        <f>COUNTIF('HCO referrals'!B:B,HCO_Data!K1069)+COUNTIF('HCO referrals'!C:C,HCO_Data!K1069)</f>
        <v>0</v>
      </c>
      <c r="I1069">
        <v>890975535</v>
      </c>
      <c r="K1069" t="s">
        <v>11048</v>
      </c>
      <c r="L1069" t="s">
        <v>9426</v>
      </c>
      <c r="M1069" t="s">
        <v>9427</v>
      </c>
      <c r="O1069" t="s">
        <v>9428</v>
      </c>
      <c r="P1069" t="s">
        <v>764</v>
      </c>
      <c r="Q1069" t="s">
        <v>4283</v>
      </c>
      <c r="R1069">
        <v>834</v>
      </c>
      <c r="S1069" t="s">
        <v>10137</v>
      </c>
      <c r="T1069">
        <v>-1</v>
      </c>
      <c r="W1069">
        <f>COUNTIFS('Clinical Trials HCO'!$A:$A, K1069, 'Clinical Trials HCO'!$D:$D, "&lt;&gt;")</f>
        <v>0</v>
      </c>
    </row>
    <row r="1070" spans="2:33" hidden="1">
      <c r="F1070">
        <f>COUNTIF(HCPs!W:W,HCO_Data!K1070)</f>
        <v>0</v>
      </c>
      <c r="G1070" t="str">
        <f>IF(COUNTIF('Testing Referrals'!B:B,HCO_Data!K1070)&gt;0,"Yes","")</f>
        <v/>
      </c>
      <c r="H1070">
        <f>COUNTIF('HCO referrals'!B:B,HCO_Data!K1070)+COUNTIF('HCO referrals'!C:C,HCO_Data!K1070)</f>
        <v>0</v>
      </c>
      <c r="I1070">
        <v>890975543</v>
      </c>
      <c r="K1070" t="s">
        <v>11049</v>
      </c>
      <c r="L1070" t="s">
        <v>9429</v>
      </c>
      <c r="M1070" t="s">
        <v>9430</v>
      </c>
      <c r="O1070" t="s">
        <v>9431</v>
      </c>
      <c r="P1070" t="s">
        <v>764</v>
      </c>
      <c r="Q1070" t="s">
        <v>4283</v>
      </c>
      <c r="R1070">
        <v>835</v>
      </c>
      <c r="S1070" t="s">
        <v>10137</v>
      </c>
      <c r="T1070">
        <v>-1</v>
      </c>
      <c r="W1070">
        <f>COUNTIFS('Clinical Trials HCO'!$A:$A, K1070, 'Clinical Trials HCO'!$D:$D, "&lt;&gt;")</f>
        <v>0</v>
      </c>
    </row>
    <row r="1071" spans="2:33" hidden="1">
      <c r="F1071">
        <f>COUNTIF(HCPs!W:W,HCO_Data!K1071)</f>
        <v>0</v>
      </c>
      <c r="G1071" t="str">
        <f>IF(COUNTIF('Testing Referrals'!B:B,HCO_Data!K1071)&gt;0,"Yes","")</f>
        <v/>
      </c>
      <c r="H1071">
        <f>COUNTIF('HCO referrals'!B:B,HCO_Data!K1071)+COUNTIF('HCO referrals'!C:C,HCO_Data!K1071)</f>
        <v>0</v>
      </c>
      <c r="I1071">
        <v>890975568</v>
      </c>
      <c r="K1071" t="s">
        <v>11050</v>
      </c>
      <c r="L1071" t="s">
        <v>9569</v>
      </c>
      <c r="M1071" t="s">
        <v>9570</v>
      </c>
      <c r="O1071" t="s">
        <v>9571</v>
      </c>
      <c r="P1071" t="s">
        <v>764</v>
      </c>
      <c r="Q1071" t="s">
        <v>4283</v>
      </c>
      <c r="R1071">
        <v>890</v>
      </c>
      <c r="S1071" t="s">
        <v>10137</v>
      </c>
      <c r="T1071">
        <v>-1</v>
      </c>
      <c r="W1071">
        <f>COUNTIFS('Clinical Trials HCO'!$A:$A, K1071, 'Clinical Trials HCO'!$D:$D, "&lt;&gt;")</f>
        <v>0</v>
      </c>
    </row>
    <row r="1072" spans="2:33" hidden="1">
      <c r="F1072">
        <f>COUNTIF(HCPs!W:W,HCO_Data!K1072)</f>
        <v>0</v>
      </c>
      <c r="G1072" t="str">
        <f>IF(COUNTIF('Testing Referrals'!B:B,HCO_Data!K1072)&gt;0,"Yes","")</f>
        <v/>
      </c>
      <c r="H1072">
        <f>COUNTIF('HCO referrals'!B:B,HCO_Data!K1072)+COUNTIF('HCO referrals'!C:C,HCO_Data!K1072)</f>
        <v>0</v>
      </c>
      <c r="I1072">
        <v>910000280</v>
      </c>
      <c r="K1072" t="s">
        <v>11051</v>
      </c>
      <c r="L1072" t="s">
        <v>8987</v>
      </c>
      <c r="M1072" t="s">
        <v>8988</v>
      </c>
      <c r="O1072" t="s">
        <v>8989</v>
      </c>
      <c r="P1072" t="s">
        <v>745</v>
      </c>
      <c r="Q1072" t="s">
        <v>4283</v>
      </c>
      <c r="R1072">
        <v>620</v>
      </c>
      <c r="S1072" t="s">
        <v>10137</v>
      </c>
      <c r="T1072">
        <v>-1</v>
      </c>
      <c r="W1072">
        <f>COUNTIFS('Clinical Trials HCO'!$A:$A, K1072, 'Clinical Trials HCO'!$D:$D, "&lt;&gt;")</f>
        <v>0</v>
      </c>
    </row>
    <row r="1073" spans="2:33" hidden="1">
      <c r="F1073">
        <f>COUNTIF(HCPs!W:W,HCO_Data!K1073)</f>
        <v>0</v>
      </c>
      <c r="G1073" t="str">
        <f>IF(COUNTIF('Testing Referrals'!B:B,HCO_Data!K1073)&gt;0,"Yes","")</f>
        <v/>
      </c>
      <c r="H1073">
        <f>COUNTIF('HCO referrals'!B:B,HCO_Data!K1073)+COUNTIF('HCO referrals'!C:C,HCO_Data!K1073)</f>
        <v>0</v>
      </c>
      <c r="I1073">
        <v>910100031</v>
      </c>
      <c r="K1073" t="s">
        <v>11052</v>
      </c>
      <c r="L1073" t="s">
        <v>9130</v>
      </c>
      <c r="M1073" t="s">
        <v>9131</v>
      </c>
      <c r="O1073" t="s">
        <v>9132</v>
      </c>
      <c r="P1073" t="s">
        <v>745</v>
      </c>
      <c r="Q1073" t="s">
        <v>4283</v>
      </c>
      <c r="R1073">
        <v>688</v>
      </c>
      <c r="S1073" t="s">
        <v>10137</v>
      </c>
      <c r="T1073">
        <v>-1</v>
      </c>
      <c r="W1073">
        <f>COUNTIFS('Clinical Trials HCO'!$A:$A, K1073, 'Clinical Trials HCO'!$D:$D, "&lt;&gt;")</f>
        <v>0</v>
      </c>
    </row>
    <row r="1074" spans="2:33" hidden="1">
      <c r="F1074">
        <f>COUNTIF(HCPs!W:W,HCO_Data!K1074)</f>
        <v>0</v>
      </c>
      <c r="G1074" t="str">
        <f>IF(COUNTIF('Testing Referrals'!B:B,HCO_Data!K1074)&gt;0,"Yes","")</f>
        <v/>
      </c>
      <c r="H1074">
        <f>COUNTIF('HCO referrals'!B:B,HCO_Data!K1074)+COUNTIF('HCO referrals'!C:C,HCO_Data!K1074)</f>
        <v>0</v>
      </c>
      <c r="I1074">
        <v>910150010</v>
      </c>
      <c r="K1074" t="s">
        <v>11053</v>
      </c>
      <c r="L1074" t="s">
        <v>10125</v>
      </c>
      <c r="M1074" t="s">
        <v>10126</v>
      </c>
      <c r="O1074" t="s">
        <v>10127</v>
      </c>
      <c r="P1074" t="s">
        <v>745</v>
      </c>
      <c r="Q1074" t="s">
        <v>4283</v>
      </c>
      <c r="R1074">
        <v>1125</v>
      </c>
      <c r="S1074" t="s">
        <v>10137</v>
      </c>
      <c r="T1074">
        <v>-1</v>
      </c>
      <c r="W1074">
        <f>COUNTIFS('Clinical Trials HCO'!$A:$A, K1074, 'Clinical Trials HCO'!$D:$D, "&lt;&gt;")</f>
        <v>0</v>
      </c>
    </row>
    <row r="1075" spans="2:33" hidden="1">
      <c r="F1075">
        <f>COUNTIF(HCPs!W:W,HCO_Data!K1075)</f>
        <v>0</v>
      </c>
      <c r="G1075" t="str">
        <f>IF(COUNTIF('Testing Referrals'!B:B,HCO_Data!K1075)&gt;0,"Yes","")</f>
        <v/>
      </c>
      <c r="H1075">
        <f>COUNTIF('HCO referrals'!B:B,HCO_Data!K1075)+COUNTIF('HCO referrals'!C:C,HCO_Data!K1075)</f>
        <v>0</v>
      </c>
      <c r="I1075">
        <v>910150069</v>
      </c>
      <c r="K1075" t="s">
        <v>11054</v>
      </c>
      <c r="L1075" t="s">
        <v>9834</v>
      </c>
      <c r="M1075" t="s">
        <v>9835</v>
      </c>
      <c r="O1075" t="s">
        <v>9836</v>
      </c>
      <c r="P1075" t="s">
        <v>745</v>
      </c>
      <c r="Q1075" t="s">
        <v>4283</v>
      </c>
      <c r="R1075">
        <v>1003</v>
      </c>
      <c r="S1075" t="s">
        <v>10137</v>
      </c>
      <c r="T1075">
        <v>-1</v>
      </c>
      <c r="W1075">
        <f>COUNTIFS('Clinical Trials HCO'!$A:$A, K1075, 'Clinical Trials HCO'!$D:$D, "&lt;&gt;")</f>
        <v>0</v>
      </c>
    </row>
    <row r="1076" spans="2:33" hidden="1">
      <c r="B1076">
        <v>431</v>
      </c>
      <c r="F1076">
        <f>COUNTIF(HCPs!W:W,HCO_Data!K1076)</f>
        <v>0</v>
      </c>
      <c r="G1076" t="str">
        <f>IF(COUNTIF('Testing Referrals'!B:B,HCO_Data!K1076)&gt;0,"Yes","")</f>
        <v/>
      </c>
      <c r="H1076">
        <f>COUNTIF('HCO referrals'!B:B,HCO_Data!K1076)+COUNTIF('HCO referrals'!C:C,HCO_Data!K1076)</f>
        <v>0</v>
      </c>
      <c r="I1076">
        <v>910300177</v>
      </c>
      <c r="K1076" t="s">
        <v>11055</v>
      </c>
      <c r="L1076" t="s">
        <v>2450</v>
      </c>
      <c r="M1076" t="s">
        <v>2748</v>
      </c>
      <c r="N1076">
        <v>91160</v>
      </c>
      <c r="O1076" t="s">
        <v>976</v>
      </c>
      <c r="Q1076" t="s">
        <v>4283</v>
      </c>
      <c r="R1076">
        <v>773</v>
      </c>
      <c r="S1076" t="s">
        <v>10137</v>
      </c>
      <c r="T1076">
        <v>-1</v>
      </c>
      <c r="W1076">
        <f>COUNTIFS('Clinical Trials HCO'!$A:$A, K1076, 'Clinical Trials HCO'!$D:$D, "&lt;&gt;")</f>
        <v>0</v>
      </c>
      <c r="AF1076" t="s">
        <v>414</v>
      </c>
      <c r="AG1076" t="s">
        <v>414</v>
      </c>
    </row>
    <row r="1077" spans="2:33" hidden="1">
      <c r="B1077">
        <v>570</v>
      </c>
      <c r="F1077">
        <f>COUNTIF(HCPs!W:W,HCO_Data!K1077)</f>
        <v>0</v>
      </c>
      <c r="G1077" t="str">
        <f>IF(COUNTIF('Testing Referrals'!B:B,HCO_Data!K1077)&gt;0,"Yes","")</f>
        <v/>
      </c>
      <c r="H1077">
        <f>COUNTIF('HCO referrals'!B:B,HCO_Data!K1077)+COUNTIF('HCO referrals'!C:C,HCO_Data!K1077)</f>
        <v>0</v>
      </c>
      <c r="I1077">
        <v>910300219</v>
      </c>
      <c r="K1077" t="s">
        <v>11056</v>
      </c>
      <c r="L1077" t="s">
        <v>2560</v>
      </c>
      <c r="M1077" t="s">
        <v>2858</v>
      </c>
      <c r="N1077">
        <v>91300</v>
      </c>
      <c r="O1077" t="s">
        <v>2859</v>
      </c>
      <c r="Q1077" t="s">
        <v>4283</v>
      </c>
      <c r="R1077">
        <v>814</v>
      </c>
      <c r="S1077" t="s">
        <v>10137</v>
      </c>
      <c r="T1077">
        <v>-1</v>
      </c>
      <c r="W1077">
        <f>COUNTIFS('Clinical Trials HCO'!$A:$A, K1077, 'Clinical Trials HCO'!$D:$D, "&lt;&gt;")</f>
        <v>0</v>
      </c>
      <c r="AG1077" t="s">
        <v>414</v>
      </c>
    </row>
    <row r="1078" spans="2:33" hidden="1">
      <c r="F1078">
        <f>COUNTIF(HCPs!W:W,HCO_Data!K1078)</f>
        <v>0</v>
      </c>
      <c r="G1078" t="str">
        <f>IF(COUNTIF('Testing Referrals'!B:B,HCO_Data!K1078)&gt;0,"Yes","")</f>
        <v/>
      </c>
      <c r="H1078">
        <f>COUNTIF('HCO referrals'!B:B,HCO_Data!K1078)+COUNTIF('HCO referrals'!C:C,HCO_Data!K1078)</f>
        <v>0</v>
      </c>
      <c r="I1078">
        <v>910300359</v>
      </c>
      <c r="K1078" t="s">
        <v>11057</v>
      </c>
      <c r="L1078" t="s">
        <v>10128</v>
      </c>
      <c r="M1078" t="s">
        <v>10129</v>
      </c>
      <c r="O1078" t="s">
        <v>10130</v>
      </c>
      <c r="P1078" t="s">
        <v>745</v>
      </c>
      <c r="Q1078" t="s">
        <v>4283</v>
      </c>
      <c r="R1078">
        <v>1126</v>
      </c>
      <c r="S1078" t="s">
        <v>10137</v>
      </c>
      <c r="T1078">
        <v>-1</v>
      </c>
      <c r="W1078">
        <f>COUNTIFS('Clinical Trials HCO'!$A:$A, K1078, 'Clinical Trials HCO'!$D:$D, "&lt;&gt;")</f>
        <v>0</v>
      </c>
    </row>
    <row r="1079" spans="2:33" hidden="1">
      <c r="B1079">
        <v>478</v>
      </c>
      <c r="F1079">
        <f>COUNTIF(HCPs!W:W,HCO_Data!K1079)</f>
        <v>0</v>
      </c>
      <c r="G1079" t="str">
        <f>IF(COUNTIF('Testing Referrals'!B:B,HCO_Data!K1079)&gt;0,"Yes","")</f>
        <v/>
      </c>
      <c r="H1079">
        <f>COUNTIF('HCO referrals'!B:B,HCO_Data!K1079)+COUNTIF('HCO referrals'!C:C,HCO_Data!K1079)</f>
        <v>0</v>
      </c>
      <c r="I1079">
        <v>910803543</v>
      </c>
      <c r="K1079" t="s">
        <v>11058</v>
      </c>
      <c r="L1079" t="s">
        <v>1597</v>
      </c>
      <c r="M1079" t="s">
        <v>2200</v>
      </c>
      <c r="N1079">
        <v>91480</v>
      </c>
      <c r="O1079" t="s">
        <v>2201</v>
      </c>
      <c r="Q1079" t="s">
        <v>4283</v>
      </c>
      <c r="R1079">
        <v>492</v>
      </c>
      <c r="S1079" t="s">
        <v>10137</v>
      </c>
      <c r="T1079">
        <v>-1</v>
      </c>
      <c r="W1079">
        <f>COUNTIFS('Clinical Trials HCO'!$A:$A, K1079, 'Clinical Trials HCO'!$D:$D, "&lt;&gt;")</f>
        <v>0</v>
      </c>
      <c r="AF1079" t="s">
        <v>414</v>
      </c>
      <c r="AG1079" t="s">
        <v>414</v>
      </c>
    </row>
    <row r="1080" spans="2:33" hidden="1">
      <c r="F1080">
        <f>COUNTIF(HCPs!W:W,HCO_Data!K1080)</f>
        <v>0</v>
      </c>
      <c r="G1080" t="str">
        <f>IF(COUNTIF('Testing Referrals'!B:B,HCO_Data!K1080)&gt;0,"Yes","")</f>
        <v/>
      </c>
      <c r="H1080">
        <f>COUNTIF('HCO referrals'!B:B,HCO_Data!K1080)+COUNTIF('HCO referrals'!C:C,HCO_Data!K1080)</f>
        <v>0</v>
      </c>
      <c r="I1080">
        <v>910805357</v>
      </c>
      <c r="K1080" t="s">
        <v>11059</v>
      </c>
      <c r="L1080" t="s">
        <v>9632</v>
      </c>
      <c r="M1080" t="s">
        <v>9633</v>
      </c>
      <c r="O1080" t="s">
        <v>9634</v>
      </c>
      <c r="P1080" t="s">
        <v>745</v>
      </c>
      <c r="Q1080" t="s">
        <v>4283</v>
      </c>
      <c r="R1080">
        <v>917</v>
      </c>
      <c r="S1080" t="s">
        <v>10137</v>
      </c>
      <c r="T1080">
        <v>-1</v>
      </c>
      <c r="W1080">
        <f>COUNTIFS('Clinical Trials HCO'!$A:$A, K1080, 'Clinical Trials HCO'!$D:$D, "&lt;&gt;")</f>
        <v>0</v>
      </c>
    </row>
    <row r="1081" spans="2:33" hidden="1">
      <c r="F1081">
        <f>COUNTIF(HCPs!W:W,HCO_Data!K1081)</f>
        <v>0</v>
      </c>
      <c r="G1081" t="str">
        <f>IF(COUNTIF('Testing Referrals'!B:B,HCO_Data!K1081)&gt;0,"Yes","")</f>
        <v/>
      </c>
      <c r="H1081">
        <f>COUNTIF('HCO referrals'!B:B,HCO_Data!K1081)+COUNTIF('HCO referrals'!C:C,HCO_Data!K1081)</f>
        <v>0</v>
      </c>
      <c r="I1081">
        <v>920000569</v>
      </c>
      <c r="K1081" t="s">
        <v>11060</v>
      </c>
      <c r="L1081" t="s">
        <v>9745</v>
      </c>
      <c r="M1081" t="s">
        <v>9746</v>
      </c>
      <c r="O1081" t="s">
        <v>9747</v>
      </c>
      <c r="P1081" t="s">
        <v>722</v>
      </c>
      <c r="Q1081" t="s">
        <v>4283</v>
      </c>
      <c r="R1081">
        <v>967</v>
      </c>
      <c r="S1081" t="s">
        <v>10137</v>
      </c>
      <c r="T1081">
        <v>-1</v>
      </c>
      <c r="W1081">
        <f>COUNTIFS('Clinical Trials HCO'!$A:$A, K1081, 'Clinical Trials HCO'!$D:$D, "&lt;&gt;")</f>
        <v>0</v>
      </c>
    </row>
    <row r="1082" spans="2:33" hidden="1">
      <c r="F1082">
        <f>COUNTIF(HCPs!W:W,HCO_Data!K1082)</f>
        <v>0</v>
      </c>
      <c r="G1082" t="str">
        <f>IF(COUNTIF('Testing Referrals'!B:B,HCO_Data!K1082)&gt;0,"Yes","")</f>
        <v/>
      </c>
      <c r="H1082">
        <f>COUNTIF('HCO referrals'!B:B,HCO_Data!K1082)+COUNTIF('HCO referrals'!C:C,HCO_Data!K1082)</f>
        <v>0</v>
      </c>
      <c r="I1082">
        <v>920000577</v>
      </c>
      <c r="K1082" t="s">
        <v>11061</v>
      </c>
      <c r="L1082" t="s">
        <v>9286</v>
      </c>
      <c r="M1082" t="s">
        <v>9287</v>
      </c>
      <c r="O1082" t="s">
        <v>9288</v>
      </c>
      <c r="P1082" t="s">
        <v>722</v>
      </c>
      <c r="Q1082" t="s">
        <v>4283</v>
      </c>
      <c r="R1082">
        <v>774</v>
      </c>
      <c r="S1082" t="s">
        <v>10137</v>
      </c>
      <c r="T1082">
        <v>-1</v>
      </c>
      <c r="W1082">
        <f>COUNTIFS('Clinical Trials HCO'!$A:$A, K1082, 'Clinical Trials HCO'!$D:$D, "&lt;&gt;")</f>
        <v>0</v>
      </c>
    </row>
    <row r="1083" spans="2:33" hidden="1">
      <c r="F1083">
        <f>COUNTIF(HCPs!W:W,HCO_Data!K1083)</f>
        <v>0</v>
      </c>
      <c r="G1083" t="str">
        <f>IF(COUNTIF('Testing Referrals'!B:B,HCO_Data!K1083)&gt;0,"Yes","")</f>
        <v/>
      </c>
      <c r="H1083">
        <f>COUNTIF('HCO referrals'!B:B,HCO_Data!K1083)+COUNTIF('HCO referrals'!C:C,HCO_Data!K1083)</f>
        <v>0</v>
      </c>
      <c r="I1083">
        <v>920000585</v>
      </c>
      <c r="K1083" t="s">
        <v>11062</v>
      </c>
      <c r="L1083" t="s">
        <v>9207</v>
      </c>
      <c r="M1083" t="s">
        <v>9208</v>
      </c>
      <c r="O1083" t="s">
        <v>8812</v>
      </c>
      <c r="P1083" t="s">
        <v>722</v>
      </c>
      <c r="Q1083" t="s">
        <v>4283</v>
      </c>
      <c r="R1083">
        <v>733</v>
      </c>
      <c r="S1083" t="s">
        <v>10137</v>
      </c>
      <c r="T1083">
        <v>-1</v>
      </c>
      <c r="W1083">
        <f>COUNTIFS('Clinical Trials HCO'!$A:$A, K1083, 'Clinical Trials HCO'!$D:$D, "&lt;&gt;")</f>
        <v>0</v>
      </c>
    </row>
    <row r="1084" spans="2:33" hidden="1">
      <c r="F1084">
        <f>COUNTIF(HCPs!W:W,HCO_Data!K1084)</f>
        <v>0</v>
      </c>
      <c r="G1084" t="str">
        <f>IF(COUNTIF('Testing Referrals'!B:B,HCO_Data!K1084)&gt;0,"Yes","")</f>
        <v/>
      </c>
      <c r="H1084">
        <f>COUNTIF('HCO referrals'!B:B,HCO_Data!K1084)+COUNTIF('HCO referrals'!C:C,HCO_Data!K1084)</f>
        <v>0</v>
      </c>
      <c r="I1084">
        <v>920000601</v>
      </c>
      <c r="K1084" t="s">
        <v>11063</v>
      </c>
      <c r="L1084" t="s">
        <v>9837</v>
      </c>
      <c r="M1084" t="s">
        <v>9838</v>
      </c>
      <c r="O1084" t="s">
        <v>9839</v>
      </c>
      <c r="P1084" t="s">
        <v>722</v>
      </c>
      <c r="Q1084" t="s">
        <v>4283</v>
      </c>
      <c r="R1084">
        <v>1004</v>
      </c>
      <c r="S1084" t="s">
        <v>10137</v>
      </c>
      <c r="T1084">
        <v>-1</v>
      </c>
      <c r="W1084">
        <f>COUNTIFS('Clinical Trials HCO'!$A:$A, K1084, 'Clinical Trials HCO'!$D:$D, "&lt;&gt;")</f>
        <v>0</v>
      </c>
    </row>
    <row r="1085" spans="2:33" hidden="1">
      <c r="F1085">
        <f>COUNTIF(HCPs!W:W,HCO_Data!K1085)</f>
        <v>0</v>
      </c>
      <c r="G1085" t="str">
        <f>IF(COUNTIF('Testing Referrals'!B:B,HCO_Data!K1085)&gt;0,"Yes","")</f>
        <v/>
      </c>
      <c r="H1085">
        <f>COUNTIF('HCO referrals'!B:B,HCO_Data!K1085)+COUNTIF('HCO referrals'!C:C,HCO_Data!K1085)</f>
        <v>0</v>
      </c>
      <c r="I1085">
        <v>920000619</v>
      </c>
      <c r="K1085" t="s">
        <v>11064</v>
      </c>
      <c r="L1085" t="s">
        <v>9265</v>
      </c>
      <c r="M1085" t="s">
        <v>9266</v>
      </c>
      <c r="O1085" t="s">
        <v>9267</v>
      </c>
      <c r="P1085" t="s">
        <v>722</v>
      </c>
      <c r="Q1085" t="s">
        <v>4283</v>
      </c>
      <c r="R1085">
        <v>761</v>
      </c>
      <c r="S1085" t="s">
        <v>10137</v>
      </c>
      <c r="T1085">
        <v>-1</v>
      </c>
      <c r="W1085">
        <f>COUNTIFS('Clinical Trials HCO'!$A:$A, K1085, 'Clinical Trials HCO'!$D:$D, "&lt;&gt;")</f>
        <v>0</v>
      </c>
    </row>
    <row r="1086" spans="2:33" hidden="1">
      <c r="F1086">
        <f>COUNTIF(HCPs!W:W,HCO_Data!K1086)</f>
        <v>0</v>
      </c>
      <c r="G1086" t="str">
        <f>IF(COUNTIF('Testing Referrals'!B:B,HCO_Data!K1086)&gt;0,"Yes","")</f>
        <v/>
      </c>
      <c r="H1086">
        <f>COUNTIF('HCO referrals'!B:B,HCO_Data!K1086)+COUNTIF('HCO referrals'!C:C,HCO_Data!K1086)</f>
        <v>0</v>
      </c>
      <c r="I1086">
        <v>920000627</v>
      </c>
      <c r="K1086" t="s">
        <v>11065</v>
      </c>
      <c r="L1086" t="s">
        <v>9748</v>
      </c>
      <c r="M1086" t="s">
        <v>9749</v>
      </c>
      <c r="O1086" t="s">
        <v>9750</v>
      </c>
      <c r="P1086" t="s">
        <v>722</v>
      </c>
      <c r="Q1086" t="s">
        <v>4283</v>
      </c>
      <c r="R1086">
        <v>968</v>
      </c>
      <c r="S1086" t="s">
        <v>10137</v>
      </c>
      <c r="T1086">
        <v>-1</v>
      </c>
      <c r="W1086">
        <f>COUNTIFS('Clinical Trials HCO'!$A:$A, K1086, 'Clinical Trials HCO'!$D:$D, "&lt;&gt;")</f>
        <v>0</v>
      </c>
    </row>
    <row r="1087" spans="2:33" hidden="1">
      <c r="F1087">
        <f>COUNTIF(HCPs!W:W,HCO_Data!K1087)</f>
        <v>0</v>
      </c>
      <c r="G1087" t="str">
        <f>IF(COUNTIF('Testing Referrals'!B:B,HCO_Data!K1087)&gt;0,"Yes","")</f>
        <v/>
      </c>
      <c r="H1087">
        <f>COUNTIF('HCO referrals'!B:B,HCO_Data!K1087)+COUNTIF('HCO referrals'!C:C,HCO_Data!K1087)</f>
        <v>0</v>
      </c>
      <c r="I1087">
        <v>920000635</v>
      </c>
      <c r="K1087" t="s">
        <v>11066</v>
      </c>
      <c r="L1087" t="s">
        <v>9572</v>
      </c>
      <c r="M1087" t="s">
        <v>9573</v>
      </c>
      <c r="O1087" t="s">
        <v>9574</v>
      </c>
      <c r="P1087" t="s">
        <v>722</v>
      </c>
      <c r="Q1087" t="s">
        <v>4283</v>
      </c>
      <c r="R1087">
        <v>891</v>
      </c>
      <c r="S1087" t="s">
        <v>10137</v>
      </c>
      <c r="T1087">
        <v>-1</v>
      </c>
      <c r="W1087">
        <f>COUNTIFS('Clinical Trials HCO'!$A:$A, K1087, 'Clinical Trials HCO'!$D:$D, "&lt;&gt;")</f>
        <v>0</v>
      </c>
    </row>
    <row r="1088" spans="2:33" hidden="1">
      <c r="F1088">
        <f>COUNTIF(HCPs!W:W,HCO_Data!K1088)</f>
        <v>0</v>
      </c>
      <c r="G1088" t="str">
        <f>IF(COUNTIF('Testing Referrals'!B:B,HCO_Data!K1088)&gt;0,"Yes","")</f>
        <v/>
      </c>
      <c r="H1088">
        <f>COUNTIF('HCO referrals'!B:B,HCO_Data!K1088)+COUNTIF('HCO referrals'!C:C,HCO_Data!K1088)</f>
        <v>0</v>
      </c>
      <c r="I1088">
        <v>920100062</v>
      </c>
      <c r="K1088" t="s">
        <v>11067</v>
      </c>
      <c r="L1088" t="s">
        <v>9840</v>
      </c>
      <c r="M1088" t="s">
        <v>9841</v>
      </c>
      <c r="O1088" t="s">
        <v>9842</v>
      </c>
      <c r="P1088" t="s">
        <v>722</v>
      </c>
      <c r="Q1088" t="s">
        <v>4283</v>
      </c>
      <c r="R1088">
        <v>1005</v>
      </c>
      <c r="S1088" t="s">
        <v>10137</v>
      </c>
      <c r="T1088">
        <v>-1</v>
      </c>
      <c r="W1088">
        <f>COUNTIFS('Clinical Trials HCO'!$A:$A, K1088, 'Clinical Trials HCO'!$D:$D, "&lt;&gt;")</f>
        <v>0</v>
      </c>
    </row>
    <row r="1089" spans="2:33" hidden="1">
      <c r="F1089">
        <f>COUNTIF(HCPs!W:W,HCO_Data!K1089)</f>
        <v>0</v>
      </c>
      <c r="G1089" t="str">
        <f>IF(COUNTIF('Testing Referrals'!B:B,HCO_Data!K1089)&gt;0,"Yes","")</f>
        <v/>
      </c>
      <c r="H1089">
        <f>COUNTIF('HCO referrals'!B:B,HCO_Data!K1089)+COUNTIF('HCO referrals'!C:C,HCO_Data!K1089)</f>
        <v>0</v>
      </c>
      <c r="I1089">
        <v>920150018</v>
      </c>
      <c r="K1089" t="s">
        <v>11068</v>
      </c>
      <c r="L1089" t="s">
        <v>9751</v>
      </c>
      <c r="M1089" t="s">
        <v>9752</v>
      </c>
      <c r="O1089" t="s">
        <v>829</v>
      </c>
      <c r="P1089" t="s">
        <v>722</v>
      </c>
      <c r="Q1089" t="s">
        <v>4283</v>
      </c>
      <c r="R1089">
        <v>969</v>
      </c>
      <c r="S1089" t="s">
        <v>10137</v>
      </c>
      <c r="T1089">
        <v>-1</v>
      </c>
      <c r="W1089">
        <f>COUNTIFS('Clinical Trials HCO'!$A:$A, K1089, 'Clinical Trials HCO'!$D:$D, "&lt;&gt;")</f>
        <v>0</v>
      </c>
    </row>
    <row r="1090" spans="2:33" hidden="1">
      <c r="B1090">
        <v>619</v>
      </c>
      <c r="F1090">
        <f>COUNTIF(HCPs!W:W,HCO_Data!K1090)</f>
        <v>0</v>
      </c>
      <c r="G1090" t="str">
        <f>IF(COUNTIF('Testing Referrals'!B:B,HCO_Data!K1090)&gt;0,"Yes","")</f>
        <v/>
      </c>
      <c r="H1090">
        <f>COUNTIF('HCO referrals'!B:B,HCO_Data!K1090)+COUNTIF('HCO referrals'!C:C,HCO_Data!K1090)</f>
        <v>0</v>
      </c>
      <c r="I1090">
        <v>920300415</v>
      </c>
      <c r="K1090" t="s">
        <v>11069</v>
      </c>
      <c r="L1090" t="s">
        <v>1618</v>
      </c>
      <c r="M1090" t="s">
        <v>2235</v>
      </c>
      <c r="N1090">
        <v>92250</v>
      </c>
      <c r="O1090" t="s">
        <v>2236</v>
      </c>
      <c r="Q1090" t="s">
        <v>4283</v>
      </c>
      <c r="R1090">
        <v>493</v>
      </c>
      <c r="S1090" t="s">
        <v>10137</v>
      </c>
      <c r="T1090">
        <v>-1</v>
      </c>
      <c r="W1090">
        <f>COUNTIFS('Clinical Trials HCO'!$A:$A, K1090, 'Clinical Trials HCO'!$D:$D, "&lt;&gt;")</f>
        <v>0</v>
      </c>
      <c r="AF1090" t="s">
        <v>414</v>
      </c>
    </row>
    <row r="1091" spans="2:33" hidden="1">
      <c r="F1091">
        <f>COUNTIF(HCPs!W:W,HCO_Data!K1091)</f>
        <v>0</v>
      </c>
      <c r="G1091" t="str">
        <f>IF(COUNTIF('Testing Referrals'!B:B,HCO_Data!K1091)&gt;0,"Yes","")</f>
        <v/>
      </c>
      <c r="H1091">
        <f>COUNTIF('HCO referrals'!B:B,HCO_Data!K1091)+COUNTIF('HCO referrals'!C:C,HCO_Data!K1091)</f>
        <v>0</v>
      </c>
      <c r="I1091">
        <v>920300753</v>
      </c>
      <c r="K1091" t="s">
        <v>11070</v>
      </c>
      <c r="L1091" t="s">
        <v>10131</v>
      </c>
      <c r="M1091" t="s">
        <v>10132</v>
      </c>
      <c r="O1091" t="s">
        <v>1763</v>
      </c>
      <c r="P1091" t="s">
        <v>722</v>
      </c>
      <c r="Q1091" t="s">
        <v>4283</v>
      </c>
      <c r="R1091">
        <v>1127</v>
      </c>
      <c r="S1091" t="s">
        <v>10137</v>
      </c>
      <c r="T1091">
        <v>-1</v>
      </c>
      <c r="W1091">
        <f>COUNTIFS('Clinical Trials HCO'!$A:$A, K1091, 'Clinical Trials HCO'!$D:$D, "&lt;&gt;")</f>
        <v>0</v>
      </c>
    </row>
    <row r="1092" spans="2:33" hidden="1">
      <c r="B1092">
        <v>714</v>
      </c>
      <c r="F1092">
        <f>COUNTIF(HCPs!W:W,HCO_Data!K1092)</f>
        <v>0</v>
      </c>
      <c r="G1092" t="str">
        <f>IF(COUNTIF('Testing Referrals'!B:B,HCO_Data!K1092)&gt;0,"Yes","")</f>
        <v/>
      </c>
      <c r="H1092">
        <f>COUNTIF('HCO referrals'!B:B,HCO_Data!K1092)+COUNTIF('HCO referrals'!C:C,HCO_Data!K1092)</f>
        <v>0</v>
      </c>
      <c r="I1092">
        <v>920300936</v>
      </c>
      <c r="K1092" t="s">
        <v>11071</v>
      </c>
      <c r="L1092" t="s">
        <v>2443</v>
      </c>
      <c r="M1092" t="s">
        <v>2738</v>
      </c>
      <c r="N1092">
        <v>92210</v>
      </c>
      <c r="O1092" t="s">
        <v>2036</v>
      </c>
      <c r="Q1092" t="s">
        <v>4283</v>
      </c>
      <c r="R1092">
        <v>697</v>
      </c>
      <c r="S1092" t="s">
        <v>10137</v>
      </c>
      <c r="T1092">
        <v>-1</v>
      </c>
      <c r="W1092">
        <f>COUNTIFS('Clinical Trials HCO'!$A:$A, K1092, 'Clinical Trials HCO'!$D:$D, "&lt;&gt;")</f>
        <v>0</v>
      </c>
      <c r="AG1092" t="s">
        <v>414</v>
      </c>
    </row>
    <row r="1093" spans="2:33" hidden="1">
      <c r="F1093">
        <f>COUNTIF(HCPs!W:W,HCO_Data!K1093)</f>
        <v>0</v>
      </c>
      <c r="G1093" t="str">
        <f>IF(COUNTIF('Testing Referrals'!B:B,HCO_Data!K1093)&gt;0,"Yes","")</f>
        <v/>
      </c>
      <c r="H1093">
        <f>COUNTIF('HCO referrals'!B:B,HCO_Data!K1093)+COUNTIF('HCO referrals'!C:C,HCO_Data!K1093)</f>
        <v>0</v>
      </c>
      <c r="I1093">
        <v>930100011</v>
      </c>
      <c r="K1093" t="s">
        <v>11072</v>
      </c>
      <c r="L1093" t="s">
        <v>9289</v>
      </c>
      <c r="M1093" t="s">
        <v>9290</v>
      </c>
      <c r="O1093" t="s">
        <v>9291</v>
      </c>
      <c r="P1093" t="s">
        <v>731</v>
      </c>
      <c r="Q1093" t="s">
        <v>4283</v>
      </c>
      <c r="R1093">
        <v>775</v>
      </c>
      <c r="S1093" t="s">
        <v>10137</v>
      </c>
      <c r="T1093">
        <v>-1</v>
      </c>
      <c r="W1093">
        <f>COUNTIFS('Clinical Trials HCO'!$A:$A, K1093, 'Clinical Trials HCO'!$D:$D, "&lt;&gt;")</f>
        <v>0</v>
      </c>
    </row>
    <row r="1094" spans="2:33" hidden="1">
      <c r="F1094">
        <f>COUNTIF(HCPs!W:W,HCO_Data!K1094)</f>
        <v>0</v>
      </c>
      <c r="G1094" t="str">
        <f>IF(COUNTIF('Testing Referrals'!B:B,HCO_Data!K1094)&gt;0,"Yes","")</f>
        <v/>
      </c>
      <c r="H1094">
        <f>COUNTIF('HCO referrals'!B:B,HCO_Data!K1094)+COUNTIF('HCO referrals'!C:C,HCO_Data!K1094)</f>
        <v>0</v>
      </c>
      <c r="I1094">
        <v>930100045</v>
      </c>
      <c r="K1094" t="s">
        <v>11073</v>
      </c>
      <c r="L1094" t="s">
        <v>9189</v>
      </c>
      <c r="M1094" t="s">
        <v>9190</v>
      </c>
      <c r="O1094" t="s">
        <v>9191</v>
      </c>
      <c r="P1094" t="s">
        <v>731</v>
      </c>
      <c r="Q1094" t="s">
        <v>4283</v>
      </c>
      <c r="R1094">
        <v>727</v>
      </c>
      <c r="S1094" t="s">
        <v>10137</v>
      </c>
      <c r="T1094">
        <v>-1</v>
      </c>
      <c r="W1094">
        <f>COUNTIFS('Clinical Trials HCO'!$A:$A, K1094, 'Clinical Trials HCO'!$D:$D, "&lt;&gt;")</f>
        <v>0</v>
      </c>
    </row>
    <row r="1095" spans="2:33" hidden="1">
      <c r="B1095">
        <v>662</v>
      </c>
      <c r="F1095">
        <f>COUNTIF(HCPs!W:W,HCO_Data!K1095)</f>
        <v>0</v>
      </c>
      <c r="G1095" t="str">
        <f>IF(COUNTIF('Testing Referrals'!B:B,HCO_Data!K1095)&gt;0,"Yes","")</f>
        <v/>
      </c>
      <c r="H1095">
        <f>COUNTIF('HCO referrals'!B:B,HCO_Data!K1095)+COUNTIF('HCO referrals'!C:C,HCO_Data!K1095)</f>
        <v>0</v>
      </c>
      <c r="I1095">
        <v>930300066</v>
      </c>
      <c r="K1095" t="s">
        <v>11074</v>
      </c>
      <c r="L1095" t="s">
        <v>2539</v>
      </c>
      <c r="M1095" t="s">
        <v>2845</v>
      </c>
      <c r="N1095">
        <v>93604</v>
      </c>
      <c r="O1095" t="s">
        <v>1968</v>
      </c>
      <c r="Q1095" t="s">
        <v>4283</v>
      </c>
      <c r="R1095">
        <v>734</v>
      </c>
      <c r="S1095" t="s">
        <v>10137</v>
      </c>
      <c r="T1095">
        <v>-1</v>
      </c>
      <c r="W1095">
        <f>COUNTIFS('Clinical Trials HCO'!$A:$A, K1095, 'Clinical Trials HCO'!$D:$D, "&lt;&gt;")</f>
        <v>0</v>
      </c>
      <c r="AG1095" t="s">
        <v>414</v>
      </c>
    </row>
    <row r="1096" spans="2:33" hidden="1">
      <c r="B1096">
        <v>622</v>
      </c>
      <c r="F1096">
        <f>COUNTIF(HCPs!W:W,HCO_Data!K1096)</f>
        <v>0</v>
      </c>
      <c r="G1096" t="str">
        <f>IF(COUNTIF('Testing Referrals'!B:B,HCO_Data!K1096)&gt;0,"Yes","")</f>
        <v/>
      </c>
      <c r="H1096">
        <f>COUNTIF('HCO referrals'!B:B,HCO_Data!K1096)+COUNTIF('HCO referrals'!C:C,HCO_Data!K1096)</f>
        <v>0</v>
      </c>
      <c r="I1096">
        <v>930300116</v>
      </c>
      <c r="K1096" t="s">
        <v>11075</v>
      </c>
      <c r="L1096" t="s">
        <v>1604</v>
      </c>
      <c r="M1096" t="s">
        <v>2212</v>
      </c>
      <c r="N1096">
        <v>93156</v>
      </c>
      <c r="O1096" t="s">
        <v>2213</v>
      </c>
      <c r="Q1096" t="s">
        <v>4283</v>
      </c>
      <c r="R1096">
        <v>444</v>
      </c>
      <c r="S1096" t="s">
        <v>10137</v>
      </c>
      <c r="T1096">
        <v>-1</v>
      </c>
      <c r="W1096">
        <f>COUNTIFS('Clinical Trials HCO'!$A:$A, K1096, 'Clinical Trials HCO'!$D:$D, "&lt;&gt;")</f>
        <v>0</v>
      </c>
      <c r="AF1096" t="s">
        <v>414</v>
      </c>
      <c r="AG1096" t="s">
        <v>414</v>
      </c>
    </row>
    <row r="1097" spans="2:33" hidden="1">
      <c r="F1097">
        <f>COUNTIF(HCPs!W:W,HCO_Data!K1097)</f>
        <v>0</v>
      </c>
      <c r="G1097" t="str">
        <f>IF(COUNTIF('Testing Referrals'!B:B,HCO_Data!K1097)&gt;0,"Yes","")</f>
        <v/>
      </c>
      <c r="H1097">
        <f>COUNTIF('HCO referrals'!B:B,HCO_Data!K1097)+COUNTIF('HCO referrals'!C:C,HCO_Data!K1097)</f>
        <v>0</v>
      </c>
      <c r="I1097">
        <v>930300587</v>
      </c>
      <c r="K1097" t="s">
        <v>11076</v>
      </c>
      <c r="L1097" t="s">
        <v>10133</v>
      </c>
      <c r="M1097" t="s">
        <v>10134</v>
      </c>
      <c r="O1097" t="s">
        <v>10135</v>
      </c>
      <c r="P1097" t="s">
        <v>731</v>
      </c>
      <c r="Q1097" t="s">
        <v>4283</v>
      </c>
      <c r="R1097">
        <v>1128</v>
      </c>
      <c r="S1097" t="s">
        <v>10137</v>
      </c>
      <c r="T1097">
        <v>-1</v>
      </c>
      <c r="W1097">
        <f>COUNTIFS('Clinical Trials HCO'!$A:$A, K1097, 'Clinical Trials HCO'!$D:$D, "&lt;&gt;")</f>
        <v>0</v>
      </c>
    </row>
    <row r="1098" spans="2:33" hidden="1">
      <c r="F1098">
        <f>COUNTIF(HCPs!W:W,HCO_Data!K1098)</f>
        <v>0</v>
      </c>
      <c r="G1098" t="str">
        <f>IF(COUNTIF('Testing Referrals'!B:B,HCO_Data!K1098)&gt;0,"Yes","")</f>
        <v/>
      </c>
      <c r="H1098">
        <f>COUNTIF('HCO referrals'!B:B,HCO_Data!K1098)+COUNTIF('HCO referrals'!C:C,HCO_Data!K1098)</f>
        <v>0</v>
      </c>
      <c r="I1098">
        <v>930706239</v>
      </c>
      <c r="K1098" t="s">
        <v>11077</v>
      </c>
      <c r="L1098" t="s">
        <v>9432</v>
      </c>
      <c r="M1098" t="s">
        <v>9433</v>
      </c>
      <c r="O1098" t="s">
        <v>9434</v>
      </c>
      <c r="P1098" t="s">
        <v>731</v>
      </c>
      <c r="Q1098" t="s">
        <v>4283</v>
      </c>
      <c r="R1098">
        <v>836</v>
      </c>
      <c r="S1098" t="s">
        <v>10137</v>
      </c>
      <c r="T1098">
        <v>-1</v>
      </c>
      <c r="W1098">
        <f>COUNTIFS('Clinical Trials HCO'!$A:$A, K1098, 'Clinical Trials HCO'!$D:$D, "&lt;&gt;")</f>
        <v>0</v>
      </c>
    </row>
    <row r="1099" spans="2:33" hidden="1">
      <c r="F1099">
        <f>COUNTIF(HCPs!W:W,HCO_Data!K1099)</f>
        <v>0</v>
      </c>
      <c r="G1099" t="str">
        <f>IF(COUNTIF('Testing Referrals'!B:B,HCO_Data!K1099)&gt;0,"Yes","")</f>
        <v/>
      </c>
      <c r="H1099">
        <f>COUNTIF('HCO referrals'!B:B,HCO_Data!K1099)+COUNTIF('HCO referrals'!C:C,HCO_Data!K1099)</f>
        <v>0</v>
      </c>
      <c r="I1099">
        <v>940100035</v>
      </c>
      <c r="K1099" t="s">
        <v>11078</v>
      </c>
      <c r="L1099" t="s">
        <v>9251</v>
      </c>
      <c r="M1099" t="s">
        <v>9252</v>
      </c>
      <c r="O1099" t="s">
        <v>9253</v>
      </c>
      <c r="P1099" t="s">
        <v>705</v>
      </c>
      <c r="Q1099" t="s">
        <v>4283</v>
      </c>
      <c r="R1099">
        <v>754</v>
      </c>
      <c r="S1099" t="s">
        <v>10137</v>
      </c>
      <c r="T1099">
        <v>-1</v>
      </c>
      <c r="W1099">
        <f>COUNTIFS('Clinical Trials HCO'!$A:$A, K1099, 'Clinical Trials HCO'!$D:$D, "&lt;&gt;")</f>
        <v>0</v>
      </c>
    </row>
    <row r="1100" spans="2:33" hidden="1">
      <c r="F1100">
        <f>COUNTIF(HCPs!W:W,HCO_Data!K1100)</f>
        <v>0</v>
      </c>
      <c r="G1100" t="str">
        <f>IF(COUNTIF('Testing Referrals'!B:B,HCO_Data!K1100)&gt;0,"Yes","")</f>
        <v/>
      </c>
      <c r="H1100">
        <f>COUNTIF('HCO referrals'!B:B,HCO_Data!K1100)+COUNTIF('HCO referrals'!C:C,HCO_Data!K1100)</f>
        <v>0</v>
      </c>
      <c r="I1100">
        <v>940100050</v>
      </c>
      <c r="K1100" t="s">
        <v>11079</v>
      </c>
      <c r="L1100" t="s">
        <v>9382</v>
      </c>
      <c r="M1100" t="s">
        <v>9383</v>
      </c>
      <c r="O1100" t="s">
        <v>9384</v>
      </c>
      <c r="P1100" t="s">
        <v>705</v>
      </c>
      <c r="Q1100" t="s">
        <v>4283</v>
      </c>
      <c r="R1100">
        <v>815</v>
      </c>
      <c r="S1100" t="s">
        <v>10137</v>
      </c>
      <c r="T1100">
        <v>-1</v>
      </c>
      <c r="W1100">
        <f>COUNTIFS('Clinical Trials HCO'!$A:$A, K1100, 'Clinical Trials HCO'!$D:$D, "&lt;&gt;")</f>
        <v>0</v>
      </c>
    </row>
    <row r="1101" spans="2:33" hidden="1">
      <c r="F1101">
        <f>COUNTIF(HCPs!W:W,HCO_Data!K1101)</f>
        <v>0</v>
      </c>
      <c r="G1101" t="str">
        <f>IF(COUNTIF('Testing Referrals'!B:B,HCO_Data!K1101)&gt;0,"Yes","")</f>
        <v/>
      </c>
      <c r="H1101">
        <f>COUNTIF('HCO referrals'!B:B,HCO_Data!K1101)+COUNTIF('HCO referrals'!C:C,HCO_Data!K1101)</f>
        <v>0</v>
      </c>
      <c r="I1101">
        <v>940300379</v>
      </c>
      <c r="K1101" t="s">
        <v>11080</v>
      </c>
      <c r="L1101" t="s">
        <v>9993</v>
      </c>
      <c r="M1101" t="s">
        <v>9994</v>
      </c>
      <c r="O1101" t="s">
        <v>9995</v>
      </c>
      <c r="P1101" t="s">
        <v>705</v>
      </c>
      <c r="Q1101" t="s">
        <v>4283</v>
      </c>
      <c r="R1101">
        <v>1073</v>
      </c>
      <c r="S1101" t="s">
        <v>10137</v>
      </c>
      <c r="T1101">
        <v>-1</v>
      </c>
      <c r="W1101">
        <f>COUNTIFS('Clinical Trials HCO'!$A:$A, K1101, 'Clinical Trials HCO'!$D:$D, "&lt;&gt;")</f>
        <v>0</v>
      </c>
    </row>
    <row r="1102" spans="2:33" hidden="1">
      <c r="B1102">
        <v>449</v>
      </c>
      <c r="F1102">
        <f>COUNTIF(HCPs!W:W,HCO_Data!K1102)</f>
        <v>0</v>
      </c>
      <c r="G1102" t="str">
        <f>IF(COUNTIF('Testing Referrals'!B:B,HCO_Data!K1102)&gt;0,"Yes","")</f>
        <v/>
      </c>
      <c r="H1102">
        <f>COUNTIF('HCO referrals'!B:B,HCO_Data!K1102)+COUNTIF('HCO referrals'!C:C,HCO_Data!K1102)</f>
        <v>0</v>
      </c>
      <c r="I1102">
        <v>940300445</v>
      </c>
      <c r="K1102" t="s">
        <v>11081</v>
      </c>
      <c r="L1102" t="s">
        <v>698</v>
      </c>
      <c r="M1102" t="s">
        <v>2068</v>
      </c>
      <c r="N1102">
        <v>94320</v>
      </c>
      <c r="O1102" t="s">
        <v>2069</v>
      </c>
      <c r="Q1102" t="s">
        <v>4283</v>
      </c>
      <c r="R1102">
        <v>892</v>
      </c>
      <c r="S1102" t="s">
        <v>10137</v>
      </c>
      <c r="T1102">
        <v>-1</v>
      </c>
      <c r="W1102">
        <f>COUNTIFS('Clinical Trials HCO'!$A:$A, K1102, 'Clinical Trials HCO'!$D:$D, "&lt;&gt;")</f>
        <v>0</v>
      </c>
      <c r="AF1102" t="s">
        <v>414</v>
      </c>
      <c r="AG1102" t="s">
        <v>414</v>
      </c>
    </row>
    <row r="1103" spans="2:33" hidden="1">
      <c r="F1103">
        <f>COUNTIF(HCPs!W:W,HCO_Data!K1103)</f>
        <v>0</v>
      </c>
      <c r="G1103" t="str">
        <f>IF(COUNTIF('Testing Referrals'!B:B,HCO_Data!K1103)&gt;0,"Yes","")</f>
        <v/>
      </c>
      <c r="H1103">
        <f>COUNTIF('HCO referrals'!B:B,HCO_Data!K1103)+COUNTIF('HCO referrals'!C:C,HCO_Data!K1103)</f>
        <v>0</v>
      </c>
      <c r="I1103">
        <v>940300569</v>
      </c>
      <c r="K1103" t="s">
        <v>11082</v>
      </c>
      <c r="L1103" t="s">
        <v>9499</v>
      </c>
      <c r="M1103" t="s">
        <v>9500</v>
      </c>
      <c r="O1103" t="s">
        <v>9501</v>
      </c>
      <c r="P1103" t="s">
        <v>705</v>
      </c>
      <c r="Q1103" t="s">
        <v>4283</v>
      </c>
      <c r="R1103">
        <v>864</v>
      </c>
      <c r="S1103" t="s">
        <v>10137</v>
      </c>
      <c r="T1103">
        <v>-1</v>
      </c>
      <c r="W1103">
        <f>COUNTIFS('Clinical Trials HCO'!$A:$A, K1103, 'Clinical Trials HCO'!$D:$D, "&lt;&gt;")</f>
        <v>0</v>
      </c>
    </row>
    <row r="1104" spans="2:33" hidden="1">
      <c r="F1104">
        <f>COUNTIF(HCPs!W:W,HCO_Data!K1104)</f>
        <v>0</v>
      </c>
      <c r="G1104" t="str">
        <f>IF(COUNTIF('Testing Referrals'!B:B,HCO_Data!K1104)&gt;0,"Yes","")</f>
        <v/>
      </c>
      <c r="H1104">
        <f>COUNTIF('HCO referrals'!B:B,HCO_Data!K1104)+COUNTIF('HCO referrals'!C:C,HCO_Data!K1104)</f>
        <v>0</v>
      </c>
      <c r="I1104">
        <v>950000315</v>
      </c>
      <c r="K1104" t="s">
        <v>11083</v>
      </c>
      <c r="L1104" t="s">
        <v>9082</v>
      </c>
      <c r="M1104" t="s">
        <v>9083</v>
      </c>
      <c r="O1104" t="s">
        <v>9084</v>
      </c>
      <c r="P1104" t="s">
        <v>752</v>
      </c>
      <c r="Q1104" t="s">
        <v>4283</v>
      </c>
      <c r="R1104">
        <v>664</v>
      </c>
      <c r="S1104" t="s">
        <v>10137</v>
      </c>
      <c r="T1104">
        <v>-1</v>
      </c>
      <c r="W1104">
        <f>COUNTIFS('Clinical Trials HCO'!$A:$A, K1104, 'Clinical Trials HCO'!$D:$D, "&lt;&gt;")</f>
        <v>0</v>
      </c>
    </row>
    <row r="1105" spans="2:33" hidden="1">
      <c r="F1105">
        <f>COUNTIF(HCPs!W:W,HCO_Data!K1105)</f>
        <v>0</v>
      </c>
      <c r="G1105" t="str">
        <f>IF(COUNTIF('Testing Referrals'!B:B,HCO_Data!K1105)&gt;0,"Yes","")</f>
        <v/>
      </c>
      <c r="H1105">
        <f>COUNTIF('HCO referrals'!B:B,HCO_Data!K1105)+COUNTIF('HCO referrals'!C:C,HCO_Data!K1105)</f>
        <v>0</v>
      </c>
      <c r="I1105">
        <v>950300152</v>
      </c>
      <c r="K1105" t="s">
        <v>11084</v>
      </c>
      <c r="L1105" t="s">
        <v>9385</v>
      </c>
      <c r="M1105" t="s">
        <v>9386</v>
      </c>
      <c r="O1105" t="s">
        <v>2132</v>
      </c>
      <c r="P1105" t="s">
        <v>752</v>
      </c>
      <c r="Q1105" t="s">
        <v>4283</v>
      </c>
      <c r="R1105">
        <v>816</v>
      </c>
      <c r="S1105" t="s">
        <v>10137</v>
      </c>
      <c r="T1105">
        <v>-1</v>
      </c>
      <c r="W1105">
        <f>COUNTIFS('Clinical Trials HCO'!$A:$A, K1105, 'Clinical Trials HCO'!$D:$D, "&lt;&gt;")</f>
        <v>0</v>
      </c>
    </row>
    <row r="1106" spans="2:33" hidden="1">
      <c r="B1106">
        <v>475</v>
      </c>
      <c r="F1106">
        <f>COUNTIF(HCPs!W:W,HCO_Data!K1106)</f>
        <v>0</v>
      </c>
      <c r="G1106" t="str">
        <f>IF(COUNTIF('Testing Referrals'!B:B,HCO_Data!K1106)&gt;0,"Yes","")</f>
        <v/>
      </c>
      <c r="H1106">
        <f>COUNTIF('HCO referrals'!B:B,HCO_Data!K1106)+COUNTIF('HCO referrals'!C:C,HCO_Data!K1106)</f>
        <v>0</v>
      </c>
      <c r="I1106">
        <v>950300202</v>
      </c>
      <c r="K1106" t="s">
        <v>11085</v>
      </c>
      <c r="L1106" t="s">
        <v>2445</v>
      </c>
      <c r="M1106" t="s">
        <v>2740</v>
      </c>
      <c r="N1106">
        <v>95290</v>
      </c>
      <c r="O1106" t="s">
        <v>2741</v>
      </c>
      <c r="Q1106" t="s">
        <v>4283</v>
      </c>
      <c r="R1106">
        <v>893</v>
      </c>
      <c r="S1106" t="s">
        <v>10137</v>
      </c>
      <c r="T1106">
        <v>-1</v>
      </c>
      <c r="W1106">
        <f>COUNTIFS('Clinical Trials HCO'!$A:$A, K1106, 'Clinical Trials HCO'!$D:$D, "&lt;&gt;")</f>
        <v>0</v>
      </c>
      <c r="AF1106" t="s">
        <v>414</v>
      </c>
      <c r="AG1106" t="s">
        <v>414</v>
      </c>
    </row>
    <row r="1107" spans="2:33" hidden="1">
      <c r="B1107">
        <v>693</v>
      </c>
      <c r="F1107">
        <f>COUNTIF(HCPs!W:W,HCO_Data!K1107)</f>
        <v>0</v>
      </c>
      <c r="G1107" t="str">
        <f>IF(COUNTIF('Testing Referrals'!B:B,HCO_Data!K1107)&gt;0,"Yes","")</f>
        <v/>
      </c>
      <c r="H1107">
        <f>COUNTIF('HCO referrals'!B:B,HCO_Data!K1107)+COUNTIF('HCO referrals'!C:C,HCO_Data!K1107)</f>
        <v>0</v>
      </c>
      <c r="I1107">
        <v>970202313</v>
      </c>
      <c r="K1107" t="s">
        <v>11086</v>
      </c>
      <c r="L1107" t="s">
        <v>2496</v>
      </c>
      <c r="M1107" t="s">
        <v>2809</v>
      </c>
      <c r="N1107">
        <v>97200</v>
      </c>
      <c r="O1107" t="s">
        <v>2001</v>
      </c>
      <c r="Q1107" t="s">
        <v>4283</v>
      </c>
      <c r="R1107">
        <v>776</v>
      </c>
      <c r="S1107" t="s">
        <v>10137</v>
      </c>
      <c r="T1107">
        <v>-1</v>
      </c>
      <c r="W1107">
        <f>COUNTIFS('Clinical Trials HCO'!$A:$A, K1107, 'Clinical Trials HCO'!$D:$D, "&lt;&gt;")</f>
        <v>0</v>
      </c>
      <c r="AF1107" t="s">
        <v>414</v>
      </c>
    </row>
    <row r="1108" spans="2:33" hidden="1">
      <c r="B1108">
        <v>590</v>
      </c>
      <c r="F1108">
        <f>COUNTIF(HCPs!W:W,HCO_Data!K1108)</f>
        <v>0</v>
      </c>
      <c r="G1108" t="str">
        <f>IF(COUNTIF('Testing Referrals'!B:B,HCO_Data!K1108)&gt;0,"Yes","")</f>
        <v/>
      </c>
      <c r="H1108">
        <f>COUNTIF('HCO referrals'!B:B,HCO_Data!K1108)+COUNTIF('HCO referrals'!C:C,HCO_Data!K1108)</f>
        <v>0</v>
      </c>
      <c r="I1108">
        <v>970462081</v>
      </c>
      <c r="K1108" t="s">
        <v>11087</v>
      </c>
      <c r="L1108" t="s">
        <v>2471</v>
      </c>
      <c r="M1108" t="s">
        <v>2788</v>
      </c>
      <c r="N1108">
        <v>97420</v>
      </c>
      <c r="O1108" t="s">
        <v>2789</v>
      </c>
      <c r="Q1108" t="s">
        <v>4283</v>
      </c>
      <c r="R1108">
        <v>440</v>
      </c>
      <c r="S1108" t="s">
        <v>10137</v>
      </c>
      <c r="T1108">
        <v>-1</v>
      </c>
      <c r="W1108">
        <f>COUNTIFS('Clinical Trials HCO'!$A:$A, K1108, 'Clinical Trials HCO'!$D:$D, "&lt;&gt;")</f>
        <v>0</v>
      </c>
      <c r="AF1108" t="s">
        <v>414</v>
      </c>
    </row>
    <row r="1109" spans="2:33" hidden="1">
      <c r="F1109">
        <f>COUNTIF(HCPs!W:W,HCO_Data!K1109)</f>
        <v>0</v>
      </c>
      <c r="G1109" t="str">
        <f>IF(COUNTIF('Testing Referrals'!B:B,HCO_Data!K1109)&gt;0,"Yes","")</f>
        <v/>
      </c>
      <c r="H1109">
        <f>COUNTIF('HCO referrals'!B:B,HCO_Data!K1109)+COUNTIF('HCO referrals'!C:C,HCO_Data!K1109)</f>
        <v>0</v>
      </c>
      <c r="I1109">
        <v>970500039</v>
      </c>
      <c r="K1109" t="s">
        <v>11088</v>
      </c>
      <c r="L1109" t="s">
        <v>9322</v>
      </c>
      <c r="M1109" t="s">
        <v>9323</v>
      </c>
      <c r="O1109" t="s">
        <v>9324</v>
      </c>
      <c r="P1109" t="s">
        <v>9325</v>
      </c>
      <c r="Q1109" t="s">
        <v>4283</v>
      </c>
      <c r="R1109">
        <v>789</v>
      </c>
      <c r="S1109" t="s">
        <v>10137</v>
      </c>
      <c r="T1109">
        <v>-1</v>
      </c>
      <c r="W1109">
        <f>COUNTIFS('Clinical Trials HCO'!$A:$A, K1109, 'Clinical Trials HCO'!$D:$D, "&lt;&gt;")</f>
        <v>0</v>
      </c>
    </row>
    <row r="1110" spans="2:33" hidden="1">
      <c r="F1110">
        <f>COUNTIF(HCPs!W:W,HCO_Data!K1110)</f>
        <v>0</v>
      </c>
      <c r="G1110" t="str">
        <f>IF(COUNTIF('Testing Referrals'!B:B,HCO_Data!K1110)&gt;0,"Yes","")</f>
        <v/>
      </c>
      <c r="H1110">
        <f>COUNTIF('HCO referrals'!B:B,HCO_Data!K1110)+COUNTIF('HCO referrals'!C:C,HCO_Data!K1110)</f>
        <v>0</v>
      </c>
      <c r="I1110" t="s">
        <v>8651</v>
      </c>
      <c r="K1110" t="s">
        <v>11089</v>
      </c>
      <c r="L1110" t="s">
        <v>9231</v>
      </c>
      <c r="M1110" t="s">
        <v>9232</v>
      </c>
      <c r="O1110" t="s">
        <v>9233</v>
      </c>
      <c r="P1110" t="s">
        <v>741</v>
      </c>
      <c r="Q1110" t="s">
        <v>4283</v>
      </c>
      <c r="R1110">
        <v>745</v>
      </c>
      <c r="S1110" t="s">
        <v>10137</v>
      </c>
      <c r="T1110">
        <v>-1</v>
      </c>
      <c r="W1110">
        <f>COUNTIFS('Clinical Trials HCO'!$A:$A, K1110, 'Clinical Trials HCO'!$D:$D, "&lt;&gt;")</f>
        <v>0</v>
      </c>
    </row>
    <row r="1111" spans="2:33" hidden="1">
      <c r="F1111">
        <f>COUNTIF(HCPs!W:W,HCO_Data!K1111)</f>
        <v>0</v>
      </c>
      <c r="G1111" t="str">
        <f>IF(COUNTIF('Testing Referrals'!B:B,HCO_Data!K1111)&gt;0,"Yes","")</f>
        <v/>
      </c>
      <c r="H1111">
        <f>COUNTIF('HCO referrals'!B:B,HCO_Data!K1111)+COUNTIF('HCO referrals'!C:C,HCO_Data!K1111)</f>
        <v>0</v>
      </c>
      <c r="I1111" t="s">
        <v>8652</v>
      </c>
      <c r="K1111" t="s">
        <v>11090</v>
      </c>
      <c r="L1111" t="s">
        <v>9234</v>
      </c>
      <c r="M1111">
        <v>0</v>
      </c>
      <c r="O1111" t="s">
        <v>9235</v>
      </c>
      <c r="P1111" t="s">
        <v>776</v>
      </c>
      <c r="Q1111" t="s">
        <v>4283</v>
      </c>
      <c r="R1111">
        <v>746</v>
      </c>
      <c r="S1111" t="s">
        <v>10137</v>
      </c>
      <c r="T1111">
        <v>-1</v>
      </c>
      <c r="W1111">
        <f>COUNTIFS('Clinical Trials HCO'!$A:$A, K1111, 'Clinical Trials HCO'!$D:$D, "&lt;&gt;")</f>
        <v>0</v>
      </c>
    </row>
    <row r="1112" spans="2:33" hidden="1">
      <c r="F1112">
        <f>COUNTIF(HCPs!W:W,HCO_Data!K1112)</f>
        <v>0</v>
      </c>
      <c r="G1112" t="str">
        <f>IF(COUNTIF('Testing Referrals'!B:B,HCO_Data!K1112)&gt;0,"Yes","")</f>
        <v>Yes</v>
      </c>
      <c r="H1112">
        <f>COUNTIF('HCO referrals'!B:B,HCO_Data!K1112)+COUNTIF('HCO referrals'!C:C,HCO_Data!K1112)</f>
        <v>0</v>
      </c>
      <c r="I1112" t="s">
        <v>10143</v>
      </c>
      <c r="K1112" t="s">
        <v>3776</v>
      </c>
      <c r="L1112" t="s">
        <v>164</v>
      </c>
      <c r="O1112" t="s">
        <v>924</v>
      </c>
      <c r="Q1112" t="s">
        <v>4283</v>
      </c>
      <c r="R1112">
        <v>0</v>
      </c>
      <c r="S1112" t="s">
        <v>10143</v>
      </c>
      <c r="T1112">
        <v>-2</v>
      </c>
      <c r="W1112">
        <f>COUNTIFS('Clinical Trials HCO'!$A:$A, K1112, 'Clinical Trials HCO'!$D:$D, "&lt;&gt;")</f>
        <v>0</v>
      </c>
    </row>
    <row r="1113" spans="2:33" hidden="1">
      <c r="B1113">
        <v>402</v>
      </c>
      <c r="F1113">
        <f>COUNTIF(HCPs!W:W,HCO_Data!K1113)</f>
        <v>0</v>
      </c>
      <c r="G1113" t="str">
        <f>IF(COUNTIF('Testing Referrals'!B:B,HCO_Data!K1113)&gt;0,"Yes","")</f>
        <v>Yes</v>
      </c>
      <c r="H1113">
        <f>COUNTIF('HCO referrals'!B:B,HCO_Data!K1113)+COUNTIF('HCO referrals'!C:C,HCO_Data!K1113)</f>
        <v>4</v>
      </c>
      <c r="I1113" t="s">
        <v>10143</v>
      </c>
      <c r="K1113" t="s">
        <v>3777</v>
      </c>
      <c r="L1113" t="s">
        <v>4849</v>
      </c>
      <c r="M1113" t="s">
        <v>2717</v>
      </c>
      <c r="N1113">
        <v>59037</v>
      </c>
      <c r="O1113" t="s">
        <v>871</v>
      </c>
      <c r="Q1113" t="s">
        <v>4283</v>
      </c>
      <c r="R1113">
        <v>0</v>
      </c>
      <c r="S1113" t="s">
        <v>10143</v>
      </c>
      <c r="T1113">
        <v>-2</v>
      </c>
      <c r="W1113">
        <f>COUNTIFS('Clinical Trials HCO'!$A:$A, K1113, 'Clinical Trials HCO'!$D:$D, "&lt;&gt;")</f>
        <v>20</v>
      </c>
      <c r="AF1113" t="s">
        <v>414</v>
      </c>
      <c r="AG1113" t="s">
        <v>414</v>
      </c>
    </row>
    <row r="1114" spans="2:33" hidden="1">
      <c r="C1114" t="s">
        <v>10141</v>
      </c>
      <c r="F1114">
        <f>COUNTIF(HCPs!W:W,HCO_Data!K1114)</f>
        <v>1</v>
      </c>
      <c r="G1114" t="str">
        <f>IF(COUNTIF('Testing Referrals'!B:B,HCO_Data!K1114)&gt;0,"Yes","")</f>
        <v/>
      </c>
      <c r="H1114">
        <f>COUNTIF('HCO referrals'!B:B,HCO_Data!K1114)+COUNTIF('HCO referrals'!C:C,HCO_Data!K1114)</f>
        <v>0</v>
      </c>
      <c r="I1114" t="s">
        <v>10143</v>
      </c>
      <c r="K1114" t="s">
        <v>7823</v>
      </c>
      <c r="L1114" t="s">
        <v>7822</v>
      </c>
      <c r="M1114" t="s">
        <v>10142</v>
      </c>
      <c r="N1114">
        <v>38028</v>
      </c>
      <c r="O1114" t="s">
        <v>868</v>
      </c>
      <c r="Q1114" t="s">
        <v>4283</v>
      </c>
      <c r="R1114">
        <v>0</v>
      </c>
      <c r="S1114" t="s">
        <v>10143</v>
      </c>
      <c r="T1114">
        <v>-2</v>
      </c>
      <c r="W1114">
        <f>COUNTIFS('Clinical Trials HCO'!$A:$A, K1114, 'Clinical Trials HCO'!$D:$D, "&lt;&gt;")</f>
        <v>0</v>
      </c>
    </row>
    <row r="1115" spans="2:33" hidden="1">
      <c r="C1115" t="s">
        <v>8570</v>
      </c>
      <c r="F1115">
        <f>COUNTIF(HCPs!W:W,HCO_Data!K1115)</f>
        <v>1</v>
      </c>
      <c r="G1115" t="str">
        <f>IF(COUNTIF('Testing Referrals'!B:B,HCO_Data!K1115)&gt;0,"Yes","")</f>
        <v/>
      </c>
      <c r="H1115">
        <f>COUNTIF('HCO referrals'!B:B,HCO_Data!K1115)+COUNTIF('HCO referrals'!C:C,HCO_Data!K1115)</f>
        <v>2</v>
      </c>
      <c r="I1115" t="s">
        <v>10143</v>
      </c>
      <c r="K1115" t="s">
        <v>3803</v>
      </c>
      <c r="L1115" t="s">
        <v>7840</v>
      </c>
      <c r="O1115" t="s">
        <v>1907</v>
      </c>
      <c r="Q1115" t="s">
        <v>4283</v>
      </c>
      <c r="R1115">
        <v>0</v>
      </c>
      <c r="S1115" t="s">
        <v>10143</v>
      </c>
      <c r="T1115">
        <v>-2</v>
      </c>
      <c r="W1115">
        <f>COUNTIFS('Clinical Trials HCO'!$A:$A, K1115, 'Clinical Trials HCO'!$D:$D, "&lt;&gt;")</f>
        <v>2</v>
      </c>
    </row>
    <row r="1116" spans="2:33" hidden="1">
      <c r="B1116">
        <v>312</v>
      </c>
      <c r="C1116" t="s">
        <v>8408</v>
      </c>
      <c r="F1116">
        <f>COUNTIF(HCPs!W:W,HCO_Data!K1116)</f>
        <v>1</v>
      </c>
      <c r="G1116" t="str">
        <f>IF(COUNTIF('Testing Referrals'!B:B,HCO_Data!K1116)&gt;0,"Yes","")</f>
        <v/>
      </c>
      <c r="H1116">
        <f>COUNTIF('HCO referrals'!B:B,HCO_Data!K1116)+COUNTIF('HCO referrals'!C:C,HCO_Data!K1116)</f>
        <v>2</v>
      </c>
      <c r="I1116" t="s">
        <v>10143</v>
      </c>
      <c r="K1116" t="s">
        <v>7937</v>
      </c>
      <c r="L1116" t="s">
        <v>7936</v>
      </c>
      <c r="M1116" t="s">
        <v>2347</v>
      </c>
      <c r="N1116">
        <v>14052</v>
      </c>
      <c r="O1116" t="s">
        <v>808</v>
      </c>
      <c r="Q1116" t="s">
        <v>4283</v>
      </c>
      <c r="S1116" t="s">
        <v>10143</v>
      </c>
      <c r="T1116">
        <v>-2</v>
      </c>
      <c r="W1116">
        <f>COUNTIFS('Clinical Trials HCO'!$A:$A, K1116, 'Clinical Trials HCO'!$D:$D, "&lt;&gt;")</f>
        <v>0</v>
      </c>
    </row>
    <row r="1117" spans="2:33" hidden="1">
      <c r="F1117">
        <f>COUNTIF(HCPs!W:W,HCO_Data!K1117)</f>
        <v>0</v>
      </c>
      <c r="G1117" t="str">
        <f>IF(COUNTIF('Testing Referrals'!B:B,HCO_Data!K1117)&gt;0,"Yes","")</f>
        <v/>
      </c>
      <c r="H1117">
        <f>COUNTIF('HCO referrals'!B:B,HCO_Data!K1117)+COUNTIF('HCO referrals'!C:C,HCO_Data!K1117)</f>
        <v>0</v>
      </c>
      <c r="I1117" s="106" t="s">
        <v>10143</v>
      </c>
      <c r="K1117" t="s">
        <v>7967</v>
      </c>
      <c r="L1117" t="s">
        <v>7966</v>
      </c>
      <c r="M1117" t="s">
        <v>7968</v>
      </c>
      <c r="O1117" t="s">
        <v>7969</v>
      </c>
      <c r="Q1117" t="s">
        <v>4283</v>
      </c>
      <c r="R1117">
        <v>0</v>
      </c>
      <c r="S1117" t="s">
        <v>10143</v>
      </c>
      <c r="T1117">
        <v>-2</v>
      </c>
      <c r="W1117">
        <f>COUNTIFS('Clinical Trials HCO'!$A:$A, K1117, 'Clinical Trials HCO'!$D:$D, "&lt;&gt;")</f>
        <v>0</v>
      </c>
    </row>
    <row r="1118" spans="2:33" hidden="1">
      <c r="F1118">
        <f>COUNTIF(HCPs!W:W,HCO_Data!K1118)</f>
        <v>1</v>
      </c>
      <c r="G1118" t="str">
        <f>IF(COUNTIF('Testing Referrals'!B:B,HCO_Data!K1118)&gt;0,"Yes","")</f>
        <v/>
      </c>
      <c r="H1118">
        <f>COUNTIF('HCO referrals'!B:B,HCO_Data!K1118)+COUNTIF('HCO referrals'!C:C,HCO_Data!K1118)</f>
        <v>0</v>
      </c>
      <c r="I1118" t="s">
        <v>10143</v>
      </c>
      <c r="J1118" s="72" t="s">
        <v>8405</v>
      </c>
      <c r="K1118" t="s">
        <v>8168</v>
      </c>
      <c r="L1118" t="s">
        <v>8167</v>
      </c>
      <c r="Q1118" t="s">
        <v>4283</v>
      </c>
      <c r="R1118">
        <v>0</v>
      </c>
      <c r="S1118" t="s">
        <v>10143</v>
      </c>
      <c r="T1118">
        <v>-2</v>
      </c>
      <c r="W1118">
        <f>COUNTIFS('Clinical Trials HCO'!$A:$A, K1118, 'Clinical Trials HCO'!$D:$D, "&lt;&gt;")</f>
        <v>0</v>
      </c>
    </row>
    <row r="1119" spans="2:33" hidden="1">
      <c r="C1119" t="s">
        <v>8420</v>
      </c>
      <c r="F1119">
        <f>COUNTIF(HCPs!W:W,HCO_Data!K1119)</f>
        <v>1</v>
      </c>
      <c r="G1119" t="str">
        <f>IF(COUNTIF('Testing Referrals'!B:B,HCO_Data!K1119)&gt;0,"Yes","")</f>
        <v/>
      </c>
      <c r="H1119">
        <f>COUNTIF('HCO referrals'!B:B,HCO_Data!K1119)+COUNTIF('HCO referrals'!C:C,HCO_Data!K1119)</f>
        <v>0</v>
      </c>
      <c r="I1119" t="s">
        <v>10143</v>
      </c>
      <c r="J1119" s="72" t="s">
        <v>8414</v>
      </c>
      <c r="K1119" t="s">
        <v>8418</v>
      </c>
      <c r="L1119" t="s">
        <v>8416</v>
      </c>
      <c r="O1119" t="s">
        <v>2056</v>
      </c>
      <c r="Q1119" t="s">
        <v>4283</v>
      </c>
      <c r="R1119">
        <v>0</v>
      </c>
      <c r="S1119" t="s">
        <v>10143</v>
      </c>
      <c r="T1119">
        <v>-2</v>
      </c>
      <c r="W1119">
        <f>COUNTIFS('Clinical Trials HCO'!$A:$A, K1119, 'Clinical Trials HCO'!$D:$D, "&lt;&gt;")</f>
        <v>0</v>
      </c>
    </row>
    <row r="1120" spans="2:33" hidden="1">
      <c r="F1120">
        <f>COUNTIF(HCPs!W:W,HCO_Data!K1120)</f>
        <v>1</v>
      </c>
      <c r="G1120" t="str">
        <f>IF(COUNTIF('Testing Referrals'!B:B,HCO_Data!K1120)&gt;0,"Yes","")</f>
        <v/>
      </c>
      <c r="H1120">
        <f>COUNTIF('HCO referrals'!B:B,HCO_Data!K1120)+COUNTIF('HCO referrals'!C:C,HCO_Data!K1120)</f>
        <v>0</v>
      </c>
      <c r="I1120" t="s">
        <v>10143</v>
      </c>
      <c r="K1120" t="s">
        <v>8464</v>
      </c>
      <c r="L1120" t="s">
        <v>8463</v>
      </c>
      <c r="O1120" t="s">
        <v>1883</v>
      </c>
      <c r="Q1120" t="s">
        <v>4283</v>
      </c>
      <c r="R1120">
        <v>0</v>
      </c>
      <c r="S1120" t="s">
        <v>10143</v>
      </c>
      <c r="T1120">
        <v>-2</v>
      </c>
      <c r="W1120">
        <f>COUNTIFS('Clinical Trials HCO'!$A:$A, K1120, 'Clinical Trials HCO'!$D:$D, "&lt;&gt;")</f>
        <v>0</v>
      </c>
    </row>
    <row r="1121" spans="2:33" hidden="1">
      <c r="B1121">
        <v>333</v>
      </c>
      <c r="C1121" t="s">
        <v>10140</v>
      </c>
      <c r="F1121">
        <f>COUNTIF(HCPs!W:W,HCO_Data!K1121)</f>
        <v>0</v>
      </c>
      <c r="G1121" t="str">
        <f>IF(COUNTIF('Testing Referrals'!B:B,HCO_Data!K1121)&gt;0,"Yes","")</f>
        <v/>
      </c>
      <c r="H1121">
        <f>COUNTIF('HCO referrals'!B:B,HCO_Data!K1121)+COUNTIF('HCO referrals'!C:C,HCO_Data!K1121)</f>
        <v>0</v>
      </c>
      <c r="I1121" t="s">
        <v>10143</v>
      </c>
      <c r="J1121" s="72" t="s">
        <v>7877</v>
      </c>
      <c r="K1121" t="s">
        <v>11091</v>
      </c>
      <c r="L1121" t="s">
        <v>2510</v>
      </c>
      <c r="M1121" t="s">
        <v>2835</v>
      </c>
      <c r="N1121">
        <v>68003</v>
      </c>
      <c r="O1121" t="s">
        <v>924</v>
      </c>
      <c r="Q1121" t="s">
        <v>4283</v>
      </c>
      <c r="R1121">
        <v>0</v>
      </c>
      <c r="S1121" t="s">
        <v>10143</v>
      </c>
      <c r="T1121">
        <v>-2</v>
      </c>
      <c r="W1121">
        <f>COUNTIFS('Clinical Trials HCO'!$A:$A, K1121, 'Clinical Trials HCO'!$D:$D, "&lt;&gt;")</f>
        <v>0</v>
      </c>
      <c r="AF1121" t="s">
        <v>414</v>
      </c>
      <c r="AG1121" t="s">
        <v>414</v>
      </c>
    </row>
  </sheetData>
  <autoFilter ref="A3:AG1121" xr:uid="{916EA891-972D-4D47-9B8C-712E09356C8D}">
    <filterColumn colId="5">
      <filters>
        <filter val="0"/>
      </filters>
    </filterColumn>
    <filterColumn colId="21">
      <customFilters>
        <customFilter operator="notEqual" val=" "/>
      </customFilters>
    </filterColumn>
  </autoFilter>
  <mergeCells count="6">
    <mergeCell ref="A1:A2"/>
    <mergeCell ref="C1:E1"/>
    <mergeCell ref="S1:U1"/>
    <mergeCell ref="AC1:AG1"/>
    <mergeCell ref="W1:AB1"/>
    <mergeCell ref="I1:Q1"/>
  </mergeCells>
  <phoneticPr fontId="6" type="noConversion"/>
  <conditionalFormatting sqref="I1:I1048576">
    <cfRule type="duplicateValues" dxfId="1111" priority="2"/>
  </conditionalFormatting>
  <conditionalFormatting sqref="K1:K1048576">
    <cfRule type="duplicateValues" dxfId="1110"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5338-8019-41EE-84EC-CAD333CF4C75}">
  <sheetPr filterMode="1">
    <tabColor rgb="FF13D377"/>
  </sheetPr>
  <dimension ref="A1:M2576"/>
  <sheetViews>
    <sheetView topLeftCell="E1" workbookViewId="0">
      <pane ySplit="2" topLeftCell="A273" activePane="bottomLeft" state="frozen"/>
      <selection pane="bottomLeft" activeCell="O2569" sqref="O2569"/>
    </sheetView>
  </sheetViews>
  <sheetFormatPr defaultRowHeight="14.4"/>
  <cols>
    <col min="1" max="1" width="15" customWidth="1"/>
    <col min="2" max="2" width="43.44140625" customWidth="1"/>
    <col min="3" max="3" width="86.88671875" customWidth="1"/>
    <col min="4" max="5" width="47.88671875" customWidth="1"/>
    <col min="6" max="6" width="17.109375" customWidth="1"/>
    <col min="8" max="8" width="10.109375" customWidth="1"/>
    <col min="9" max="10" width="12.44140625" customWidth="1"/>
    <col min="11" max="11" width="11.109375" customWidth="1"/>
    <col min="12" max="12" width="14.5546875" customWidth="1"/>
    <col min="13" max="13" width="13.109375" customWidth="1"/>
  </cols>
  <sheetData>
    <row r="1" spans="1:13" ht="57.6">
      <c r="A1" s="2" t="s">
        <v>3929</v>
      </c>
      <c r="B1" s="2" t="s">
        <v>5</v>
      </c>
      <c r="C1" s="2" t="s">
        <v>5169</v>
      </c>
      <c r="D1" s="7" t="s">
        <v>1180</v>
      </c>
      <c r="E1" s="7" t="s">
        <v>1181</v>
      </c>
      <c r="F1" s="7" t="s">
        <v>3614</v>
      </c>
      <c r="G1" s="20" t="s">
        <v>1175</v>
      </c>
      <c r="H1" s="20" t="s">
        <v>1177</v>
      </c>
      <c r="I1" s="20" t="s">
        <v>1172</v>
      </c>
      <c r="J1" s="20" t="s">
        <v>4319</v>
      </c>
      <c r="K1" s="57" t="s">
        <v>1174</v>
      </c>
      <c r="L1" s="57" t="s">
        <v>1173</v>
      </c>
      <c r="M1" s="20" t="s">
        <v>19</v>
      </c>
    </row>
    <row r="2" spans="1:13">
      <c r="A2" s="2"/>
      <c r="B2" s="2" t="s">
        <v>11</v>
      </c>
      <c r="C2" s="2"/>
      <c r="D2" s="7" t="s">
        <v>11</v>
      </c>
      <c r="E2" s="7" t="s">
        <v>11</v>
      </c>
      <c r="F2" s="7" t="s">
        <v>11</v>
      </c>
      <c r="G2" s="7" t="s">
        <v>11</v>
      </c>
      <c r="H2" s="7" t="s">
        <v>11</v>
      </c>
      <c r="I2" s="7" t="s">
        <v>11</v>
      </c>
      <c r="J2" s="7" t="s">
        <v>11</v>
      </c>
      <c r="K2" s="7" t="s">
        <v>11</v>
      </c>
      <c r="L2" s="7" t="s">
        <v>11</v>
      </c>
      <c r="M2" s="7" t="s">
        <v>11</v>
      </c>
    </row>
    <row r="3" spans="1:13" ht="15">
      <c r="A3" t="s">
        <v>3783</v>
      </c>
      <c r="B3" t="s">
        <v>301</v>
      </c>
      <c r="C3" t="s">
        <v>7091</v>
      </c>
      <c r="D3" s="83" t="s">
        <v>5607</v>
      </c>
      <c r="E3" t="s">
        <v>5330</v>
      </c>
      <c r="F3" t="s">
        <v>5808</v>
      </c>
    </row>
    <row r="4" spans="1:13" ht="15">
      <c r="A4" t="s">
        <v>4525</v>
      </c>
      <c r="B4" s="81" t="s">
        <v>4524</v>
      </c>
      <c r="C4" t="s">
        <v>6001</v>
      </c>
      <c r="D4" s="83" t="s">
        <v>5607</v>
      </c>
      <c r="E4" t="s">
        <v>5330</v>
      </c>
      <c r="F4" t="s">
        <v>5808</v>
      </c>
    </row>
    <row r="5" spans="1:13" ht="15">
      <c r="C5" t="s">
        <v>7079</v>
      </c>
      <c r="D5" s="83" t="s">
        <v>4216</v>
      </c>
      <c r="E5" t="s">
        <v>5110</v>
      </c>
      <c r="F5" t="s">
        <v>5725</v>
      </c>
      <c r="M5" t="s">
        <v>414</v>
      </c>
    </row>
    <row r="6" spans="1:13" ht="15">
      <c r="C6" t="s">
        <v>6371</v>
      </c>
      <c r="D6" s="83" t="s">
        <v>4168</v>
      </c>
      <c r="E6" t="s">
        <v>5062</v>
      </c>
      <c r="F6" t="s">
        <v>5846</v>
      </c>
      <c r="L6" t="s">
        <v>414</v>
      </c>
    </row>
    <row r="7" spans="1:13" ht="15">
      <c r="C7" t="s">
        <v>6493</v>
      </c>
      <c r="D7" s="83" t="s">
        <v>5589</v>
      </c>
      <c r="E7" t="s">
        <v>5312</v>
      </c>
      <c r="F7" t="s">
        <v>5748</v>
      </c>
      <c r="H7" t="s">
        <v>414</v>
      </c>
      <c r="M7" t="s">
        <v>414</v>
      </c>
    </row>
    <row r="8" spans="1:13" ht="15">
      <c r="A8" t="s">
        <v>3139</v>
      </c>
      <c r="B8" t="s">
        <v>4285</v>
      </c>
      <c r="C8" t="s">
        <v>7218</v>
      </c>
      <c r="D8" s="83" t="s">
        <v>5556</v>
      </c>
      <c r="E8" t="s">
        <v>5279</v>
      </c>
      <c r="F8" t="s">
        <v>1216</v>
      </c>
    </row>
    <row r="9" spans="1:13" ht="15">
      <c r="A9" t="s">
        <v>4450</v>
      </c>
      <c r="B9" t="s">
        <v>3356</v>
      </c>
      <c r="C9" t="s">
        <v>7269</v>
      </c>
      <c r="D9" s="83" t="s">
        <v>5556</v>
      </c>
      <c r="E9" t="s">
        <v>5279</v>
      </c>
      <c r="F9" t="s">
        <v>1216</v>
      </c>
    </row>
    <row r="10" spans="1:13" ht="15">
      <c r="C10" t="s">
        <v>6493</v>
      </c>
      <c r="D10" s="83" t="s">
        <v>5514</v>
      </c>
      <c r="E10" t="s">
        <v>5237</v>
      </c>
      <c r="F10" t="s">
        <v>5748</v>
      </c>
      <c r="H10" t="s">
        <v>414</v>
      </c>
      <c r="M10" t="s">
        <v>414</v>
      </c>
    </row>
    <row r="11" spans="1:13" ht="15">
      <c r="A11" t="s">
        <v>4448</v>
      </c>
      <c r="B11" s="12" t="s">
        <v>1309</v>
      </c>
      <c r="C11" t="s">
        <v>7349</v>
      </c>
      <c r="D11" s="83" t="s">
        <v>5556</v>
      </c>
      <c r="E11" t="s">
        <v>5279</v>
      </c>
      <c r="F11" t="s">
        <v>1216</v>
      </c>
    </row>
    <row r="12" spans="1:13" ht="15">
      <c r="C12" t="s">
        <v>6493</v>
      </c>
      <c r="D12" s="83" t="s">
        <v>5521</v>
      </c>
      <c r="E12" t="s">
        <v>5244</v>
      </c>
      <c r="F12" t="s">
        <v>5748</v>
      </c>
      <c r="H12" t="s">
        <v>414</v>
      </c>
      <c r="I12" t="s">
        <v>414</v>
      </c>
      <c r="L12" t="s">
        <v>414</v>
      </c>
      <c r="M12" t="s">
        <v>414</v>
      </c>
    </row>
    <row r="13" spans="1:13" ht="15">
      <c r="C13" t="s">
        <v>7057</v>
      </c>
      <c r="D13" s="83" t="s">
        <v>5538</v>
      </c>
      <c r="E13" t="s">
        <v>5261</v>
      </c>
      <c r="F13" t="s">
        <v>5779</v>
      </c>
      <c r="H13" t="s">
        <v>414</v>
      </c>
      <c r="M13" t="s">
        <v>414</v>
      </c>
    </row>
    <row r="14" spans="1:13" ht="15">
      <c r="C14" t="s">
        <v>7208</v>
      </c>
      <c r="D14" s="83" t="s">
        <v>5512</v>
      </c>
      <c r="E14" t="s">
        <v>5235</v>
      </c>
      <c r="F14" t="s">
        <v>5769</v>
      </c>
      <c r="M14" t="s">
        <v>414</v>
      </c>
    </row>
    <row r="15" spans="1:13" ht="15">
      <c r="A15" t="s">
        <v>3735</v>
      </c>
      <c r="B15" s="74" t="s">
        <v>4288</v>
      </c>
      <c r="C15" t="s">
        <v>7451</v>
      </c>
      <c r="D15" s="83" t="s">
        <v>5556</v>
      </c>
      <c r="E15" t="s">
        <v>5279</v>
      </c>
      <c r="F15" t="s">
        <v>1216</v>
      </c>
    </row>
    <row r="16" spans="1:13" ht="15">
      <c r="C16" t="s">
        <v>6178</v>
      </c>
      <c r="D16" s="83" t="s">
        <v>5684</v>
      </c>
      <c r="E16" t="s">
        <v>5407</v>
      </c>
      <c r="F16" t="s">
        <v>5743</v>
      </c>
      <c r="M16" t="s">
        <v>414</v>
      </c>
    </row>
    <row r="17" spans="1:13" ht="15">
      <c r="A17" t="s">
        <v>3745</v>
      </c>
      <c r="B17" t="s">
        <v>4292</v>
      </c>
      <c r="C17" t="s">
        <v>7493</v>
      </c>
      <c r="D17" s="83" t="s">
        <v>5556</v>
      </c>
      <c r="E17" t="s">
        <v>5279</v>
      </c>
      <c r="F17" t="s">
        <v>1216</v>
      </c>
    </row>
    <row r="18" spans="1:13" ht="15">
      <c r="C18" t="s">
        <v>6585</v>
      </c>
      <c r="D18" s="83" t="s">
        <v>5494</v>
      </c>
      <c r="E18" t="s">
        <v>5217</v>
      </c>
      <c r="F18" t="s">
        <v>5756</v>
      </c>
      <c r="L18" t="s">
        <v>414</v>
      </c>
      <c r="M18" t="s">
        <v>414</v>
      </c>
    </row>
    <row r="19" spans="1:13" ht="15">
      <c r="A19" t="s">
        <v>4562</v>
      </c>
      <c r="B19" s="81" t="s">
        <v>240</v>
      </c>
      <c r="C19" t="s">
        <v>6450</v>
      </c>
      <c r="D19" s="83" t="s">
        <v>4168</v>
      </c>
      <c r="E19" t="s">
        <v>5062</v>
      </c>
      <c r="F19" t="s">
        <v>5846</v>
      </c>
      <c r="L19" t="s">
        <v>414</v>
      </c>
    </row>
    <row r="20" spans="1:13" ht="15">
      <c r="A20" t="s">
        <v>4450</v>
      </c>
      <c r="B20" t="s">
        <v>3356</v>
      </c>
      <c r="C20" t="s">
        <v>6278</v>
      </c>
      <c r="D20" s="83" t="s">
        <v>5611</v>
      </c>
      <c r="E20" t="s">
        <v>5334</v>
      </c>
      <c r="F20" t="s">
        <v>5810</v>
      </c>
      <c r="L20" t="s">
        <v>414</v>
      </c>
      <c r="M20" t="s">
        <v>414</v>
      </c>
    </row>
    <row r="21" spans="1:13" ht="15">
      <c r="C21" t="s">
        <v>7423</v>
      </c>
      <c r="D21" s="83" t="s">
        <v>4137</v>
      </c>
      <c r="E21" t="s">
        <v>5031</v>
      </c>
      <c r="F21" t="s">
        <v>60</v>
      </c>
    </row>
    <row r="22" spans="1:13" ht="15">
      <c r="A22" t="s">
        <v>3783</v>
      </c>
      <c r="B22" t="s">
        <v>301</v>
      </c>
      <c r="C22" t="s">
        <v>6447</v>
      </c>
      <c r="D22" s="83" t="s">
        <v>5611</v>
      </c>
      <c r="E22" t="s">
        <v>5334</v>
      </c>
      <c r="F22" t="s">
        <v>5810</v>
      </c>
      <c r="L22" t="s">
        <v>414</v>
      </c>
      <c r="M22" t="s">
        <v>414</v>
      </c>
    </row>
    <row r="23" spans="1:13" ht="15">
      <c r="C23" t="s">
        <v>7485</v>
      </c>
      <c r="D23" s="83" t="s">
        <v>4137</v>
      </c>
      <c r="E23" t="s">
        <v>5031</v>
      </c>
      <c r="F23" t="s">
        <v>60</v>
      </c>
    </row>
    <row r="24" spans="1:13" ht="15">
      <c r="A24" t="s">
        <v>3755</v>
      </c>
      <c r="B24" t="s">
        <v>4533</v>
      </c>
      <c r="C24" t="s">
        <v>6562</v>
      </c>
      <c r="D24" s="83" t="s">
        <v>5611</v>
      </c>
      <c r="E24" t="s">
        <v>5334</v>
      </c>
      <c r="F24" t="s">
        <v>5810</v>
      </c>
      <c r="L24" t="s">
        <v>414</v>
      </c>
      <c r="M24" t="s">
        <v>414</v>
      </c>
    </row>
    <row r="25" spans="1:13" ht="15">
      <c r="C25" t="s">
        <v>7619</v>
      </c>
      <c r="D25" s="83" t="s">
        <v>5526</v>
      </c>
      <c r="E25" t="s">
        <v>5249</v>
      </c>
      <c r="F25" t="s">
        <v>5773</v>
      </c>
      <c r="H25" t="s">
        <v>414</v>
      </c>
      <c r="M25" t="s">
        <v>414</v>
      </c>
    </row>
    <row r="26" spans="1:13" ht="15">
      <c r="A26" t="s">
        <v>4565</v>
      </c>
      <c r="B26" s="12" t="s">
        <v>395</v>
      </c>
      <c r="C26" t="s">
        <v>6058</v>
      </c>
      <c r="D26" s="83" t="s">
        <v>5702</v>
      </c>
      <c r="E26" t="s">
        <v>5426</v>
      </c>
      <c r="F26" t="s">
        <v>5726</v>
      </c>
      <c r="H26" t="s">
        <v>414</v>
      </c>
    </row>
    <row r="27" spans="1:13" ht="15">
      <c r="A27" t="s">
        <v>3139</v>
      </c>
      <c r="B27" t="s">
        <v>4285</v>
      </c>
      <c r="C27" t="s">
        <v>6182</v>
      </c>
      <c r="D27" s="83" t="s">
        <v>5702</v>
      </c>
      <c r="E27" t="s">
        <v>5426</v>
      </c>
      <c r="F27" t="s">
        <v>5726</v>
      </c>
      <c r="H27" t="s">
        <v>414</v>
      </c>
    </row>
    <row r="28" spans="1:13" ht="15">
      <c r="A28" t="s">
        <v>4443</v>
      </c>
      <c r="B28" t="s">
        <v>4287</v>
      </c>
      <c r="C28" t="s">
        <v>6290</v>
      </c>
      <c r="D28" s="83" t="s">
        <v>5702</v>
      </c>
      <c r="E28" t="s">
        <v>5426</v>
      </c>
      <c r="F28" t="s">
        <v>5726</v>
      </c>
      <c r="H28" t="s">
        <v>414</v>
      </c>
    </row>
    <row r="29" spans="1:13" ht="15">
      <c r="C29" t="s">
        <v>7142</v>
      </c>
      <c r="D29" s="83" t="s">
        <v>4178</v>
      </c>
      <c r="E29" t="s">
        <v>5072</v>
      </c>
      <c r="F29" t="s">
        <v>1309</v>
      </c>
      <c r="M29" t="s">
        <v>414</v>
      </c>
    </row>
    <row r="30" spans="1:13" ht="15">
      <c r="C30" t="s">
        <v>1215</v>
      </c>
      <c r="D30" t="e">
        <f>_xlfn.XLOOKUP(E30,HCP_evidence!H:H,HCP_evidence!I:I)</f>
        <v>#N/A</v>
      </c>
      <c r="E30" t="s">
        <v>1211</v>
      </c>
      <c r="G30" t="e" cm="1">
        <f t="array" ref="G30">_xlfn.XLOOKUP(E30,HCP_evidence!H:H,IF(HCP_evidence!M:M="Yes","Yes",""))</f>
        <v>#N/A</v>
      </c>
      <c r="H30" t="e" cm="1">
        <f t="array" ref="H30">_xlfn.XLOOKUP(E30,HCP_evidence!H:H,IF(HCP_evidence!K:K="Yes","Yes",""))</f>
        <v>#N/A</v>
      </c>
      <c r="I30" t="e" cm="1">
        <f t="array" ref="I30">_xlfn.XLOOKUP(E30,HCP_evidence!H:H,IF(HCP_evidence!J:J="Yes","Yes",""))</f>
        <v>#N/A</v>
      </c>
      <c r="J30" t="e">
        <f>IF(OR(K30="Yes",L30="Yes"),"Yes","")</f>
        <v>#REF!</v>
      </c>
      <c r="K30" t="e" cm="1">
        <f t="array" ref="K30">_xlfn.XLOOKUP(E30,HCP_evidence!H:H,IF(HCP_evidence!#REF!="Yes","Yes",""))</f>
        <v>#REF!</v>
      </c>
      <c r="L30" t="e" cm="1">
        <f t="array" ref="L30">_xlfn.XLOOKUP(E30,HCP_evidence!H:H,IF(HCP_evidence!#REF!="Yes","Yes",""))</f>
        <v>#REF!</v>
      </c>
      <c r="M30" t="e" cm="1">
        <f t="array" ref="M30">_xlfn.XLOOKUP(E30,HCP_evidence!H:H,IF(HCP_evidence!N:N="Yes","Yes",""))</f>
        <v>#N/A</v>
      </c>
    </row>
    <row r="31" spans="1:13" ht="15">
      <c r="A31" t="s">
        <v>3770</v>
      </c>
      <c r="B31" t="s">
        <v>42</v>
      </c>
      <c r="C31" t="s">
        <v>6064</v>
      </c>
      <c r="D31" s="83" t="s">
        <v>5702</v>
      </c>
      <c r="E31" t="s">
        <v>5426</v>
      </c>
      <c r="F31" t="s">
        <v>5726</v>
      </c>
      <c r="H31" t="s">
        <v>414</v>
      </c>
    </row>
    <row r="32" spans="1:13" ht="15">
      <c r="C32" t="s">
        <v>1215</v>
      </c>
      <c r="D32" t="e">
        <f>_xlfn.XLOOKUP(E32,HCP_evidence!H:H,HCP_evidence!I:I)</f>
        <v>#N/A</v>
      </c>
      <c r="E32" t="s">
        <v>1217</v>
      </c>
      <c r="G32" t="e" cm="1">
        <f t="array" ref="G32">_xlfn.XLOOKUP(E32,HCP_evidence!H:H,IF(HCP_evidence!M:M="Yes","Yes",""))</f>
        <v>#N/A</v>
      </c>
      <c r="H32" t="e" cm="1">
        <f t="array" ref="H32">_xlfn.XLOOKUP(E32,HCP_evidence!H:H,IF(HCP_evidence!K:K="Yes","Yes",""))</f>
        <v>#N/A</v>
      </c>
      <c r="I32" t="e" cm="1">
        <f t="array" ref="I32">_xlfn.XLOOKUP(E32,HCP_evidence!H:H,IF(HCP_evidence!J:J="Yes","Yes",""))</f>
        <v>#N/A</v>
      </c>
      <c r="J32" t="e">
        <f>IF(OR(K32="Yes",L32="Yes"),"Yes","")</f>
        <v>#REF!</v>
      </c>
      <c r="K32" t="e" cm="1">
        <f t="array" ref="K32">_xlfn.XLOOKUP(E32,HCP_evidence!H:H,IF(HCP_evidence!#REF!="Yes","Yes",""))</f>
        <v>#REF!</v>
      </c>
      <c r="L32" t="e" cm="1">
        <f t="array" ref="L32">_xlfn.XLOOKUP(E32,HCP_evidence!H:H,IF(HCP_evidence!#REF!="Yes","Yes",""))</f>
        <v>#REF!</v>
      </c>
      <c r="M32" t="e" cm="1">
        <f t="array" ref="M32">_xlfn.XLOOKUP(E32,HCP_evidence!H:H,IF(HCP_evidence!N:N="Yes","Yes",""))</f>
        <v>#N/A</v>
      </c>
    </row>
    <row r="33" spans="1:13" ht="15">
      <c r="A33" t="s">
        <v>3767</v>
      </c>
      <c r="B33" t="s">
        <v>1291</v>
      </c>
      <c r="C33" t="s">
        <v>6062</v>
      </c>
      <c r="D33" s="83" t="s">
        <v>5702</v>
      </c>
      <c r="E33" t="s">
        <v>5426</v>
      </c>
      <c r="F33" t="s">
        <v>5726</v>
      </c>
      <c r="H33" t="s">
        <v>414</v>
      </c>
    </row>
    <row r="34" spans="1:13" ht="15">
      <c r="A34" t="s">
        <v>4525</v>
      </c>
      <c r="B34" s="81" t="s">
        <v>4524</v>
      </c>
      <c r="C34" t="s">
        <v>6057</v>
      </c>
      <c r="D34" s="83" t="s">
        <v>5702</v>
      </c>
      <c r="E34" t="s">
        <v>5426</v>
      </c>
      <c r="F34" t="s">
        <v>5726</v>
      </c>
      <c r="H34" t="s">
        <v>414</v>
      </c>
    </row>
    <row r="35" spans="1:13" ht="15">
      <c r="A35" t="s">
        <v>4453</v>
      </c>
      <c r="B35" s="81" t="s">
        <v>3175</v>
      </c>
      <c r="C35" t="s">
        <v>6682</v>
      </c>
      <c r="D35" s="83" t="s">
        <v>5702</v>
      </c>
      <c r="E35" t="s">
        <v>5426</v>
      </c>
      <c r="F35" t="s">
        <v>5726</v>
      </c>
      <c r="H35" t="s">
        <v>414</v>
      </c>
    </row>
    <row r="36" spans="1:13" ht="15">
      <c r="A36" t="s">
        <v>3755</v>
      </c>
      <c r="B36" t="s">
        <v>4533</v>
      </c>
      <c r="C36" t="s">
        <v>6707</v>
      </c>
      <c r="D36" s="83" t="s">
        <v>5702</v>
      </c>
      <c r="E36" t="s">
        <v>5426</v>
      </c>
      <c r="F36" t="s">
        <v>5726</v>
      </c>
      <c r="H36" t="s">
        <v>414</v>
      </c>
    </row>
    <row r="37" spans="1:13" ht="15">
      <c r="C37" t="s">
        <v>6831</v>
      </c>
      <c r="D37" s="83" t="s">
        <v>5589</v>
      </c>
      <c r="E37" t="s">
        <v>5312</v>
      </c>
      <c r="F37" t="s">
        <v>5748</v>
      </c>
      <c r="H37" t="s">
        <v>414</v>
      </c>
      <c r="M37" t="s">
        <v>414</v>
      </c>
    </row>
    <row r="38" spans="1:13" ht="15">
      <c r="C38" t="s">
        <v>7011</v>
      </c>
      <c r="D38" s="83" t="s">
        <v>5451</v>
      </c>
      <c r="E38" t="s">
        <v>5174</v>
      </c>
      <c r="F38" t="s">
        <v>5728</v>
      </c>
    </row>
    <row r="39" spans="1:13" ht="15">
      <c r="C39" t="s">
        <v>6229</v>
      </c>
      <c r="D39" s="83" t="s">
        <v>4157</v>
      </c>
      <c r="E39" t="s">
        <v>5050</v>
      </c>
      <c r="F39" t="s">
        <v>60</v>
      </c>
      <c r="K39" t="s">
        <v>414</v>
      </c>
      <c r="L39" t="s">
        <v>414</v>
      </c>
    </row>
    <row r="40" spans="1:13" ht="15">
      <c r="C40" t="s">
        <v>7028</v>
      </c>
      <c r="D40" s="83" t="s">
        <v>5476</v>
      </c>
      <c r="E40" t="s">
        <v>5199</v>
      </c>
      <c r="F40" t="s">
        <v>5730</v>
      </c>
      <c r="I40" t="s">
        <v>414</v>
      </c>
    </row>
    <row r="41" spans="1:13" ht="15">
      <c r="C41" t="s">
        <v>1188</v>
      </c>
      <c r="D41" t="str">
        <f>_xlfn.XLOOKUP(E41,HCP_evidence!H:H,HCP_evidence!I:I)</f>
        <v>https://www.sante.fr/essais-cliniques/2023-508356-19-00/etude-de-phase-ii-multicentrique-ouverte-randomisee-a-trois-bras-visant-a-evaluer-l-efficacite-et-la-securite-d-emploi-du-ttx-030-associe-a-une-chimiotherapie-avec-ou-sans-budigalimab-par-rapport-a-la-chimiotherapie-seule-dans-le-traitement-de-patients-n-ayant-jamais-recu-de-traitement-contre-un-adenocarcinome-pancreatique-metastatique</v>
      </c>
      <c r="E41" t="s">
        <v>1187</v>
      </c>
      <c r="G41" t="str" cm="1">
        <f t="array" ref="G41">_xlfn.XLOOKUP(E41,HCP_evidence!H:H,IF(HCP_evidence!M:M="Yes","Yes",""))</f>
        <v/>
      </c>
      <c r="H41" t="str" cm="1">
        <f t="array" ref="H41">_xlfn.XLOOKUP(E41,HCP_evidence!H:H,IF(HCP_evidence!K:K="Yes","Yes",""))</f>
        <v>Yes</v>
      </c>
      <c r="I41" t="str" cm="1">
        <f t="array" ref="I41">_xlfn.XLOOKUP(E41,HCP_evidence!H:H,IF(HCP_evidence!J:J="Yes","Yes",""))</f>
        <v/>
      </c>
      <c r="J41" t="e">
        <f>IF(OR(K41="Yes",L41="Yes"),"Yes","")</f>
        <v>#REF!</v>
      </c>
      <c r="K41" t="e" cm="1">
        <f t="array" ref="K41">_xlfn.XLOOKUP(E41,HCP_evidence!H:H,IF(HCP_evidence!#REF!="Yes","Yes",""))</f>
        <v>#REF!</v>
      </c>
      <c r="L41" t="e" cm="1">
        <f t="array" ref="L41">_xlfn.XLOOKUP(E41,HCP_evidence!H:H,IF(HCP_evidence!#REF!="Yes","Yes",""))</f>
        <v>#REF!</v>
      </c>
      <c r="M41" t="str" cm="1">
        <f t="array" ref="M41">_xlfn.XLOOKUP(E41,HCP_evidence!H:H,IF(HCP_evidence!N:N="Yes","Yes",""))</f>
        <v/>
      </c>
    </row>
    <row r="42" spans="1:13" ht="15">
      <c r="C42" t="s">
        <v>1188</v>
      </c>
      <c r="D42" t="e">
        <f>_xlfn.XLOOKUP(E42,HCP_evidence!H:H,HCP_evidence!I:I)</f>
        <v>#N/A</v>
      </c>
      <c r="E42" t="s">
        <v>1203</v>
      </c>
      <c r="G42" t="e" cm="1">
        <f t="array" ref="G42">_xlfn.XLOOKUP(E42,HCP_evidence!H:H,IF(HCP_evidence!M:M="Yes","Yes",""))</f>
        <v>#N/A</v>
      </c>
      <c r="H42" t="e" cm="1">
        <f t="array" ref="H42">_xlfn.XLOOKUP(E42,HCP_evidence!H:H,IF(HCP_evidence!K:K="Yes","Yes",""))</f>
        <v>#N/A</v>
      </c>
      <c r="I42" t="e" cm="1">
        <f t="array" ref="I42">_xlfn.XLOOKUP(E42,HCP_evidence!H:H,IF(HCP_evidence!J:J="Yes","Yes",""))</f>
        <v>#N/A</v>
      </c>
      <c r="J42" t="e">
        <f>IF(OR(K42="Yes",L42="Yes"),"Yes","")</f>
        <v>#REF!</v>
      </c>
      <c r="K42" t="e" cm="1">
        <f t="array" ref="K42">_xlfn.XLOOKUP(E42,HCP_evidence!H:H,IF(HCP_evidence!#REF!="Yes","Yes",""))</f>
        <v>#REF!</v>
      </c>
      <c r="L42" t="e" cm="1">
        <f t="array" ref="L42">_xlfn.XLOOKUP(E42,HCP_evidence!H:H,IF(HCP_evidence!#REF!="Yes","Yes",""))</f>
        <v>#REF!</v>
      </c>
      <c r="M42" t="e" cm="1">
        <f t="array" ref="M42">_xlfn.XLOOKUP(E42,HCP_evidence!H:H,IF(HCP_evidence!N:N="Yes","Yes",""))</f>
        <v>#N/A</v>
      </c>
    </row>
    <row r="43" spans="1:13" ht="15">
      <c r="C43" t="s">
        <v>1188</v>
      </c>
      <c r="D43" t="str">
        <f>_xlfn.XLOOKUP(E43,HCP_evidence!H:H,HCP_evidence!I:I)</f>
        <v>https://www.sante.fr/essais-cliniques/2023-505889-29-01/essai-de-phase-ii-evaluant-l-efficacite-et-la-securite-du-traitement-par-folfirinox3-chez-des-patients-atteints-d-un-cancer-du-pancreas-localement-avance-ou-metastatique-inoperable-en-premiere-ligne-de-chimiotherapie</v>
      </c>
      <c r="E43" t="s">
        <v>1196</v>
      </c>
      <c r="G43" t="str" cm="1">
        <f t="array" ref="G43">_xlfn.XLOOKUP(E43,HCP_evidence!H:H,IF(HCP_evidence!M:M="Yes","Yes",""))</f>
        <v/>
      </c>
      <c r="H43" t="str" cm="1">
        <f t="array" ref="H43">_xlfn.XLOOKUP(E43,HCP_evidence!H:H,IF(HCP_evidence!K:K="Yes","Yes",""))</f>
        <v>Yes</v>
      </c>
      <c r="I43" t="str" cm="1">
        <f t="array" ref="I43">_xlfn.XLOOKUP(E43,HCP_evidence!H:H,IF(HCP_evidence!J:J="Yes","Yes",""))</f>
        <v>Yes</v>
      </c>
      <c r="J43" t="e">
        <f>IF(OR(K43="Yes",L43="Yes"),"Yes","")</f>
        <v>#REF!</v>
      </c>
      <c r="K43" t="e" cm="1">
        <f t="array" ref="K43">_xlfn.XLOOKUP(E43,HCP_evidence!H:H,IF(HCP_evidence!#REF!="Yes","Yes",""))</f>
        <v>#REF!</v>
      </c>
      <c r="L43" t="e" cm="1">
        <f t="array" ref="L43">_xlfn.XLOOKUP(E43,HCP_evidence!H:H,IF(HCP_evidence!#REF!="Yes","Yes",""))</f>
        <v>#REF!</v>
      </c>
      <c r="M43" t="str" cm="1">
        <f t="array" ref="M43">_xlfn.XLOOKUP(E43,HCP_evidence!H:H,IF(HCP_evidence!N:N="Yes","Yes",""))</f>
        <v>Yes</v>
      </c>
    </row>
    <row r="44" spans="1:13" ht="15">
      <c r="C44" t="s">
        <v>7054</v>
      </c>
      <c r="D44" s="83" t="s">
        <v>5538</v>
      </c>
      <c r="E44" t="s">
        <v>5261</v>
      </c>
      <c r="F44" t="s">
        <v>5779</v>
      </c>
      <c r="H44" t="s">
        <v>414</v>
      </c>
      <c r="M44" t="s">
        <v>414</v>
      </c>
    </row>
    <row r="45" spans="1:13" ht="15">
      <c r="C45" t="s">
        <v>7054</v>
      </c>
      <c r="D45" s="83" t="s">
        <v>5535</v>
      </c>
      <c r="E45" t="s">
        <v>5258</v>
      </c>
      <c r="F45" t="s">
        <v>5779</v>
      </c>
      <c r="H45" t="s">
        <v>414</v>
      </c>
      <c r="M45" t="s">
        <v>414</v>
      </c>
    </row>
    <row r="46" spans="1:13" ht="15">
      <c r="A46" t="s">
        <v>3773</v>
      </c>
      <c r="B46" t="s">
        <v>1289</v>
      </c>
      <c r="C46" t="s">
        <v>1190</v>
      </c>
      <c r="D46" t="e">
        <f>_xlfn.XLOOKUP(E46,HCP_evidence!H:H,HCP_evidence!I:I)</f>
        <v>#N/A</v>
      </c>
      <c r="E46" t="s">
        <v>1211</v>
      </c>
      <c r="G46" t="e" cm="1">
        <f t="array" ref="G46">_xlfn.XLOOKUP(E46,HCP_evidence!H:H,IF(HCP_evidence!M:M="Yes","Yes",""))</f>
        <v>#N/A</v>
      </c>
      <c r="H46" t="e" cm="1">
        <f t="array" ref="H46">_xlfn.XLOOKUP(E46,HCP_evidence!H:H,IF(HCP_evidence!K:K="Yes","Yes",""))</f>
        <v>#N/A</v>
      </c>
      <c r="I46" t="e" cm="1">
        <f t="array" ref="I46">_xlfn.XLOOKUP(E46,HCP_evidence!H:H,IF(HCP_evidence!J:J="Yes","Yes",""))</f>
        <v>#N/A</v>
      </c>
      <c r="J46" t="e">
        <f>IF(OR(K46="Yes",L46="Yes"),"Yes","")</f>
        <v>#REF!</v>
      </c>
      <c r="K46" t="e" cm="1">
        <f t="array" ref="K46">_xlfn.XLOOKUP(E46,HCP_evidence!H:H,IF(HCP_evidence!#REF!="Yes","Yes",""))</f>
        <v>#REF!</v>
      </c>
      <c r="L46" t="e" cm="1">
        <f t="array" ref="L46">_xlfn.XLOOKUP(E46,HCP_evidence!H:H,IF(HCP_evidence!#REF!="Yes","Yes",""))</f>
        <v>#REF!</v>
      </c>
      <c r="M46" t="e" cm="1">
        <f t="array" ref="M46">_xlfn.XLOOKUP(E46,HCP_evidence!H:H,IF(HCP_evidence!N:N="Yes","Yes",""))</f>
        <v>#N/A</v>
      </c>
    </row>
    <row r="47" spans="1:13" ht="15">
      <c r="C47" t="s">
        <v>7054</v>
      </c>
      <c r="D47" s="83" t="s">
        <v>5512</v>
      </c>
      <c r="E47" t="s">
        <v>5235</v>
      </c>
      <c r="F47" t="s">
        <v>5769</v>
      </c>
      <c r="M47" t="s">
        <v>414</v>
      </c>
    </row>
    <row r="48" spans="1:13" ht="15">
      <c r="A48" t="s">
        <v>3756</v>
      </c>
      <c r="B48" t="s">
        <v>4279</v>
      </c>
      <c r="C48" t="s">
        <v>5943</v>
      </c>
      <c r="D48" s="83" t="s">
        <v>4160</v>
      </c>
      <c r="E48" t="s">
        <v>5053</v>
      </c>
      <c r="F48" t="s">
        <v>5778</v>
      </c>
      <c r="L48" t="s">
        <v>414</v>
      </c>
    </row>
    <row r="49" spans="1:13" ht="15">
      <c r="A49" t="s">
        <v>4448</v>
      </c>
      <c r="B49" s="12" t="s">
        <v>1309</v>
      </c>
      <c r="C49" t="s">
        <v>5923</v>
      </c>
      <c r="D49" s="83" t="s">
        <v>4148</v>
      </c>
      <c r="E49" t="s">
        <v>5041</v>
      </c>
      <c r="F49" t="s">
        <v>1309</v>
      </c>
      <c r="H49" t="s">
        <v>414</v>
      </c>
      <c r="M49" t="s">
        <v>414</v>
      </c>
    </row>
    <row r="50" spans="1:13" ht="15">
      <c r="A50" t="s">
        <v>3773</v>
      </c>
      <c r="B50" t="s">
        <v>1289</v>
      </c>
      <c r="C50" t="s">
        <v>6060</v>
      </c>
      <c r="D50" s="83" t="s">
        <v>5658</v>
      </c>
      <c r="E50" t="s">
        <v>5381</v>
      </c>
      <c r="F50" t="s">
        <v>5740</v>
      </c>
    </row>
    <row r="51" spans="1:13" ht="15">
      <c r="A51" t="s">
        <v>3764</v>
      </c>
      <c r="B51" s="12" t="s">
        <v>31</v>
      </c>
      <c r="C51" t="s">
        <v>6025</v>
      </c>
      <c r="D51" s="83" t="s">
        <v>5658</v>
      </c>
      <c r="E51" t="s">
        <v>5381</v>
      </c>
      <c r="F51" t="s">
        <v>5740</v>
      </c>
    </row>
    <row r="52" spans="1:13" ht="15">
      <c r="C52" t="s">
        <v>7404</v>
      </c>
      <c r="D52" s="83" t="s">
        <v>5549</v>
      </c>
      <c r="E52" t="s">
        <v>5272</v>
      </c>
      <c r="F52" t="s">
        <v>5750</v>
      </c>
      <c r="H52" t="s">
        <v>414</v>
      </c>
      <c r="L52" t="s">
        <v>414</v>
      </c>
      <c r="M52" t="s">
        <v>414</v>
      </c>
    </row>
    <row r="53" spans="1:13" ht="15">
      <c r="A53" t="s">
        <v>3764</v>
      </c>
      <c r="B53" s="12" t="s">
        <v>31</v>
      </c>
      <c r="C53" t="s">
        <v>31</v>
      </c>
      <c r="D53" t="str">
        <f>_xlfn.XLOOKUP(E53,HCP_evidence!H:H,HCP_evidence!I:I)</f>
        <v>https://www.sante.fr/essais-cliniques/2022-501854-12-01/a-phase-1b-study-to-evaluate-the-safety-tolerability-and-preliminary-efficacy-of-a-heterologous-prime-boost-vaccination-atp150-atp152-atp162-vsv-gp154-and-ezabenlimab-bi-754091-in-patients-with-pancreatic-ductal-adenocarcinoma</v>
      </c>
      <c r="E53" t="s">
        <v>1178</v>
      </c>
      <c r="G53" t="str" cm="1">
        <f t="array" ref="G53">_xlfn.XLOOKUP(E53,HCP_evidence!H:H,IF(HCP_evidence!M:M="Yes","Yes",""))</f>
        <v>Yes</v>
      </c>
      <c r="H53" t="str" cm="1">
        <f t="array" ref="H53">_xlfn.XLOOKUP(E53,HCP_evidence!H:H,IF(HCP_evidence!K:K="Yes","Yes",""))</f>
        <v>Yes</v>
      </c>
      <c r="I53" t="str" cm="1">
        <f t="array" ref="I53">_xlfn.XLOOKUP(E53,HCP_evidence!H:H,IF(HCP_evidence!J:J="Yes","Yes",""))</f>
        <v>Yes</v>
      </c>
      <c r="J53" t="e">
        <f>IF(OR(K53="Yes",L53="Yes"),"Yes","")</f>
        <v>#REF!</v>
      </c>
      <c r="K53" t="e" cm="1">
        <f t="array" ref="K53">_xlfn.XLOOKUP(E53,HCP_evidence!H:H,IF(HCP_evidence!#REF!="Yes","Yes",""))</f>
        <v>#REF!</v>
      </c>
      <c r="L53" t="e" cm="1">
        <f t="array" ref="L53">_xlfn.XLOOKUP(E53,HCP_evidence!H:H,IF(HCP_evidence!#REF!="Yes","Yes",""))</f>
        <v>#REF!</v>
      </c>
      <c r="M53" t="str" cm="1">
        <f t="array" ref="M53">_xlfn.XLOOKUP(E53,HCP_evidence!H:H,IF(HCP_evidence!N:N="Yes","Yes",""))</f>
        <v/>
      </c>
    </row>
    <row r="54" spans="1:13" ht="15">
      <c r="C54" t="s">
        <v>7100</v>
      </c>
      <c r="D54" s="83" t="s">
        <v>5637</v>
      </c>
      <c r="E54" t="s">
        <v>5360</v>
      </c>
      <c r="F54" t="s">
        <v>5821</v>
      </c>
    </row>
    <row r="55" spans="1:13" ht="15">
      <c r="C55" t="s">
        <v>7155</v>
      </c>
      <c r="D55" s="83" t="s">
        <v>5535</v>
      </c>
      <c r="E55" t="s">
        <v>5258</v>
      </c>
      <c r="F55" t="s">
        <v>5779</v>
      </c>
      <c r="H55" t="s">
        <v>414</v>
      </c>
      <c r="M55" t="s">
        <v>414</v>
      </c>
    </row>
    <row r="56" spans="1:13" ht="15">
      <c r="C56" t="s">
        <v>5979</v>
      </c>
      <c r="D56" s="83" t="s">
        <v>5510</v>
      </c>
      <c r="E56" t="s">
        <v>5233</v>
      </c>
      <c r="F56" t="s">
        <v>5768</v>
      </c>
      <c r="H56" t="s">
        <v>414</v>
      </c>
      <c r="M56" t="s">
        <v>414</v>
      </c>
    </row>
    <row r="57" spans="1:13" ht="15">
      <c r="C57" t="s">
        <v>5979</v>
      </c>
      <c r="D57" s="83" t="s">
        <v>5560</v>
      </c>
      <c r="E57" t="s">
        <v>5283</v>
      </c>
      <c r="F57" t="s">
        <v>5790</v>
      </c>
      <c r="H57" t="s">
        <v>414</v>
      </c>
      <c r="M57" t="s">
        <v>414</v>
      </c>
    </row>
    <row r="58" spans="1:13" ht="15">
      <c r="C58" t="s">
        <v>7213</v>
      </c>
      <c r="D58" s="83" t="s">
        <v>5535</v>
      </c>
      <c r="E58" t="s">
        <v>5258</v>
      </c>
      <c r="F58" t="s">
        <v>5779</v>
      </c>
      <c r="H58" t="s">
        <v>414</v>
      </c>
      <c r="M58" t="s">
        <v>414</v>
      </c>
    </row>
    <row r="59" spans="1:13" ht="15">
      <c r="A59" t="s">
        <v>4555</v>
      </c>
      <c r="B59" t="s">
        <v>107</v>
      </c>
      <c r="C59" t="s">
        <v>7070</v>
      </c>
      <c r="D59" s="83" t="s">
        <v>5561</v>
      </c>
      <c r="E59" t="s">
        <v>5284</v>
      </c>
      <c r="F59" t="s">
        <v>5791</v>
      </c>
    </row>
    <row r="60" spans="1:13" ht="15">
      <c r="A60" t="s">
        <v>3738</v>
      </c>
      <c r="B60" s="74" t="s">
        <v>4300</v>
      </c>
      <c r="C60" t="s">
        <v>7336</v>
      </c>
      <c r="D60" s="83" t="s">
        <v>5719</v>
      </c>
      <c r="E60" t="s">
        <v>5443</v>
      </c>
      <c r="F60" t="s">
        <v>5848</v>
      </c>
    </row>
    <row r="61" spans="1:13" ht="15">
      <c r="C61" t="s">
        <v>7215</v>
      </c>
      <c r="D61" s="83" t="s">
        <v>5538</v>
      </c>
      <c r="E61" t="s">
        <v>5261</v>
      </c>
      <c r="F61" t="s">
        <v>5779</v>
      </c>
      <c r="H61" t="s">
        <v>414</v>
      </c>
      <c r="M61" t="s">
        <v>414</v>
      </c>
    </row>
    <row r="62" spans="1:13" ht="15">
      <c r="C62" t="s">
        <v>6128</v>
      </c>
      <c r="D62" s="83" t="s">
        <v>5510</v>
      </c>
      <c r="E62" t="s">
        <v>5233</v>
      </c>
      <c r="F62" t="s">
        <v>5768</v>
      </c>
      <c r="H62" t="s">
        <v>414</v>
      </c>
      <c r="M62" t="s">
        <v>414</v>
      </c>
    </row>
    <row r="63" spans="1:13" ht="15">
      <c r="C63" t="s">
        <v>6938</v>
      </c>
      <c r="D63" s="83" t="s">
        <v>5521</v>
      </c>
      <c r="E63" t="s">
        <v>5244</v>
      </c>
      <c r="F63" t="s">
        <v>5748</v>
      </c>
      <c r="H63" t="s">
        <v>414</v>
      </c>
      <c r="I63" t="s">
        <v>414</v>
      </c>
      <c r="L63" t="s">
        <v>414</v>
      </c>
      <c r="M63" t="s">
        <v>414</v>
      </c>
    </row>
    <row r="64" spans="1:13" ht="15">
      <c r="C64" t="s">
        <v>6804</v>
      </c>
      <c r="D64" s="83" t="s">
        <v>5521</v>
      </c>
      <c r="E64" t="s">
        <v>5244</v>
      </c>
      <c r="F64" t="s">
        <v>5748</v>
      </c>
      <c r="H64" t="s">
        <v>414</v>
      </c>
      <c r="I64" t="s">
        <v>414</v>
      </c>
      <c r="L64" t="s">
        <v>414</v>
      </c>
      <c r="M64" t="s">
        <v>414</v>
      </c>
    </row>
    <row r="65" spans="1:13" ht="15">
      <c r="C65" t="s">
        <v>6495</v>
      </c>
      <c r="D65" s="83" t="s">
        <v>5486</v>
      </c>
      <c r="E65" t="s">
        <v>5209</v>
      </c>
      <c r="F65" t="s">
        <v>5750</v>
      </c>
      <c r="H65" t="s">
        <v>414</v>
      </c>
      <c r="M65" t="s">
        <v>414</v>
      </c>
    </row>
    <row r="66" spans="1:13" ht="15">
      <c r="C66" t="s">
        <v>6967</v>
      </c>
      <c r="D66" s="83" t="s">
        <v>5589</v>
      </c>
      <c r="E66" t="s">
        <v>5312</v>
      </c>
      <c r="F66" t="s">
        <v>5748</v>
      </c>
      <c r="H66" t="s">
        <v>414</v>
      </c>
      <c r="M66" t="s">
        <v>414</v>
      </c>
    </row>
    <row r="67" spans="1:13" ht="15">
      <c r="C67" t="s">
        <v>6787</v>
      </c>
      <c r="D67" s="83" t="s">
        <v>5517</v>
      </c>
      <c r="E67" t="s">
        <v>5240</v>
      </c>
      <c r="F67" t="s">
        <v>5748</v>
      </c>
      <c r="M67" t="s">
        <v>414</v>
      </c>
    </row>
    <row r="68" spans="1:13" ht="15">
      <c r="C68" t="s">
        <v>6787</v>
      </c>
      <c r="D68" s="83" t="s">
        <v>5507</v>
      </c>
      <c r="E68" t="s">
        <v>5230</v>
      </c>
      <c r="F68" t="s">
        <v>5748</v>
      </c>
      <c r="H68" t="s">
        <v>414</v>
      </c>
      <c r="M68" t="s">
        <v>414</v>
      </c>
    </row>
    <row r="69" spans="1:13" ht="15">
      <c r="A69" t="s">
        <v>3773</v>
      </c>
      <c r="B69" t="s">
        <v>1289</v>
      </c>
      <c r="C69" t="s">
        <v>1190</v>
      </c>
      <c r="D69" t="e">
        <f>_xlfn.XLOOKUP(E69,HCP_evidence!H:H,HCP_evidence!I:I)</f>
        <v>#N/A</v>
      </c>
      <c r="E69" t="s">
        <v>1217</v>
      </c>
      <c r="G69" t="e" cm="1">
        <f t="array" ref="G69">_xlfn.XLOOKUP(E69,HCP_evidence!H:H,IF(HCP_evidence!M:M="Yes","Yes",""))</f>
        <v>#N/A</v>
      </c>
      <c r="H69" t="e" cm="1">
        <f t="array" ref="H69">_xlfn.XLOOKUP(E69,HCP_evidence!H:H,IF(HCP_evidence!K:K="Yes","Yes",""))</f>
        <v>#N/A</v>
      </c>
      <c r="I69" t="e" cm="1">
        <f t="array" ref="I69">_xlfn.XLOOKUP(E69,HCP_evidence!H:H,IF(HCP_evidence!J:J="Yes","Yes",""))</f>
        <v>#N/A</v>
      </c>
      <c r="J69" t="e">
        <f>IF(OR(K69="Yes",L69="Yes"),"Yes","")</f>
        <v>#REF!</v>
      </c>
      <c r="K69" t="e" cm="1">
        <f t="array" ref="K69">_xlfn.XLOOKUP(E69,HCP_evidence!H:H,IF(HCP_evidence!#REF!="Yes","Yes",""))</f>
        <v>#REF!</v>
      </c>
      <c r="L69" t="e" cm="1">
        <f t="array" ref="L69">_xlfn.XLOOKUP(E69,HCP_evidence!H:H,IF(HCP_evidence!#REF!="Yes","Yes",""))</f>
        <v>#REF!</v>
      </c>
      <c r="M69" t="e" cm="1">
        <f t="array" ref="M69">_xlfn.XLOOKUP(E69,HCP_evidence!H:H,IF(HCP_evidence!N:N="Yes","Yes",""))</f>
        <v>#N/A</v>
      </c>
    </row>
    <row r="70" spans="1:13" ht="15">
      <c r="C70" t="s">
        <v>6787</v>
      </c>
      <c r="D70" s="83" t="s">
        <v>5521</v>
      </c>
      <c r="E70" t="s">
        <v>5244</v>
      </c>
      <c r="F70" t="s">
        <v>5748</v>
      </c>
      <c r="H70" t="s">
        <v>414</v>
      </c>
      <c r="I70" t="s">
        <v>414</v>
      </c>
      <c r="L70" t="s">
        <v>414</v>
      </c>
      <c r="M70" t="s">
        <v>414</v>
      </c>
    </row>
    <row r="71" spans="1:13" ht="15">
      <c r="C71" t="s">
        <v>6115</v>
      </c>
      <c r="D71" s="83" t="s">
        <v>5589</v>
      </c>
      <c r="E71" t="s">
        <v>5312</v>
      </c>
      <c r="F71" t="s">
        <v>5748</v>
      </c>
      <c r="H71" t="s">
        <v>414</v>
      </c>
      <c r="M71" t="s">
        <v>414</v>
      </c>
    </row>
    <row r="72" spans="1:13" ht="15">
      <c r="A72" t="s">
        <v>3773</v>
      </c>
      <c r="B72" t="s">
        <v>1289</v>
      </c>
      <c r="C72" t="s">
        <v>1190</v>
      </c>
      <c r="D72" t="str">
        <f>_xlfn.XLOOKUP(E72,HCP_evidence!H:H,HCP_evidence!I:I)</f>
        <v>https://www.sante.fr/essais-cliniques/2023-508356-19-00/etude-de-phase-ii-multicentrique-ouverte-randomisee-a-trois-bras-visant-a-evaluer-l-efficacite-et-la-securite-d-emploi-du-ttx-030-associe-a-une-chimiotherapie-avec-ou-sans-budigalimab-par-rapport-a-la-chimiotherapie-seule-dans-le-traitement-de-patients-n-ayant-jamais-recu-de-traitement-contre-un-adenocarcinome-pancreatique-metastatique</v>
      </c>
      <c r="E72" t="s">
        <v>1187</v>
      </c>
      <c r="G72" t="str" cm="1">
        <f t="array" ref="G72">_xlfn.XLOOKUP(E72,HCP_evidence!H:H,IF(HCP_evidence!M:M="Yes","Yes",""))</f>
        <v/>
      </c>
      <c r="H72" t="str" cm="1">
        <f t="array" ref="H72">_xlfn.XLOOKUP(E72,HCP_evidence!H:H,IF(HCP_evidence!K:K="Yes","Yes",""))</f>
        <v>Yes</v>
      </c>
      <c r="I72" t="str" cm="1">
        <f t="array" ref="I72">_xlfn.XLOOKUP(E72,HCP_evidence!H:H,IF(HCP_evidence!J:J="Yes","Yes",""))</f>
        <v/>
      </c>
      <c r="J72" t="e">
        <f>IF(OR(K72="Yes",L72="Yes"),"Yes","")</f>
        <v>#REF!</v>
      </c>
      <c r="K72" t="e" cm="1">
        <f t="array" ref="K72">_xlfn.XLOOKUP(E72,HCP_evidence!H:H,IF(HCP_evidence!#REF!="Yes","Yes",""))</f>
        <v>#REF!</v>
      </c>
      <c r="L72" t="e" cm="1">
        <f t="array" ref="L72">_xlfn.XLOOKUP(E72,HCP_evidence!H:H,IF(HCP_evidence!#REF!="Yes","Yes",""))</f>
        <v>#REF!</v>
      </c>
      <c r="M72" t="str" cm="1">
        <f t="array" ref="M72">_xlfn.XLOOKUP(E72,HCP_evidence!H:H,IF(HCP_evidence!N:N="Yes","Yes",""))</f>
        <v/>
      </c>
    </row>
    <row r="73" spans="1:13" ht="15">
      <c r="C73" t="s">
        <v>6115</v>
      </c>
      <c r="D73" s="83" t="s">
        <v>5507</v>
      </c>
      <c r="E73" t="s">
        <v>5230</v>
      </c>
      <c r="F73" t="s">
        <v>5748</v>
      </c>
      <c r="H73" t="s">
        <v>414</v>
      </c>
      <c r="M73" t="s">
        <v>414</v>
      </c>
    </row>
    <row r="74" spans="1:13" ht="15">
      <c r="C74" t="s">
        <v>6115</v>
      </c>
      <c r="D74" s="83" t="s">
        <v>5525</v>
      </c>
      <c r="E74" t="s">
        <v>5248</v>
      </c>
      <c r="F74" t="s">
        <v>5759</v>
      </c>
      <c r="M74" t="s">
        <v>414</v>
      </c>
    </row>
    <row r="75" spans="1:13" ht="15">
      <c r="C75" t="s">
        <v>6115</v>
      </c>
      <c r="D75" s="83" t="s">
        <v>5521</v>
      </c>
      <c r="E75" t="s">
        <v>5244</v>
      </c>
      <c r="F75" t="s">
        <v>5748</v>
      </c>
      <c r="H75" t="s">
        <v>414</v>
      </c>
      <c r="I75" t="s">
        <v>414</v>
      </c>
      <c r="L75" t="s">
        <v>414</v>
      </c>
      <c r="M75" t="s">
        <v>414</v>
      </c>
    </row>
    <row r="76" spans="1:13" ht="15">
      <c r="A76" t="s">
        <v>3752</v>
      </c>
      <c r="B76" t="s">
        <v>4520</v>
      </c>
      <c r="C76" t="s">
        <v>6948</v>
      </c>
      <c r="D76" s="83" t="s">
        <v>5525</v>
      </c>
      <c r="E76" t="s">
        <v>5248</v>
      </c>
      <c r="F76" t="s">
        <v>5759</v>
      </c>
      <c r="M76" t="s">
        <v>414</v>
      </c>
    </row>
    <row r="77" spans="1:13" ht="15">
      <c r="C77" t="s">
        <v>6926</v>
      </c>
      <c r="D77" s="83" t="s">
        <v>5525</v>
      </c>
      <c r="E77" t="s">
        <v>5248</v>
      </c>
      <c r="F77" t="s">
        <v>5759</v>
      </c>
      <c r="M77" t="s">
        <v>414</v>
      </c>
    </row>
    <row r="78" spans="1:13" ht="15">
      <c r="C78" t="s">
        <v>6926</v>
      </c>
      <c r="D78" s="83" t="s">
        <v>5529</v>
      </c>
      <c r="E78" t="s">
        <v>5252</v>
      </c>
      <c r="F78" t="s">
        <v>5748</v>
      </c>
      <c r="M78" t="s">
        <v>414</v>
      </c>
    </row>
    <row r="79" spans="1:13" ht="15">
      <c r="C79" t="s">
        <v>7113</v>
      </c>
      <c r="D79" s="83" t="s">
        <v>4213</v>
      </c>
      <c r="E79" t="s">
        <v>5107</v>
      </c>
      <c r="F79" t="s">
        <v>5787</v>
      </c>
      <c r="M79" t="s">
        <v>414</v>
      </c>
    </row>
    <row r="80" spans="1:13" ht="15">
      <c r="A80" t="s">
        <v>3783</v>
      </c>
      <c r="B80" t="s">
        <v>301</v>
      </c>
      <c r="C80" t="s">
        <v>6071</v>
      </c>
      <c r="D80" s="83" t="s">
        <v>5557</v>
      </c>
      <c r="E80" t="s">
        <v>5280</v>
      </c>
      <c r="F80" t="s">
        <v>5755</v>
      </c>
      <c r="M80" t="s">
        <v>414</v>
      </c>
    </row>
    <row r="81" spans="1:13" ht="15">
      <c r="C81" t="s">
        <v>7321</v>
      </c>
      <c r="D81" s="83" t="s">
        <v>5609</v>
      </c>
      <c r="E81" t="s">
        <v>5332</v>
      </c>
      <c r="F81" t="s">
        <v>5726</v>
      </c>
      <c r="H81" t="s">
        <v>414</v>
      </c>
      <c r="I81" t="s">
        <v>414</v>
      </c>
    </row>
    <row r="82" spans="1:13" ht="15">
      <c r="C82" t="s">
        <v>7704</v>
      </c>
      <c r="D82" s="83" t="s">
        <v>5609</v>
      </c>
      <c r="E82" t="s">
        <v>5332</v>
      </c>
      <c r="F82" t="s">
        <v>5726</v>
      </c>
      <c r="H82" t="s">
        <v>414</v>
      </c>
      <c r="I82" t="s">
        <v>414</v>
      </c>
    </row>
    <row r="83" spans="1:13" ht="15">
      <c r="C83" t="s">
        <v>7074</v>
      </c>
      <c r="D83" s="83" t="s">
        <v>5875</v>
      </c>
      <c r="E83" t="s">
        <v>7798</v>
      </c>
      <c r="F83" t="s">
        <v>7799</v>
      </c>
      <c r="G83" t="s">
        <v>414</v>
      </c>
    </row>
    <row r="84" spans="1:13" ht="15">
      <c r="A84" t="s">
        <v>3750</v>
      </c>
      <c r="B84" t="s">
        <v>504</v>
      </c>
      <c r="C84" t="s">
        <v>6504</v>
      </c>
      <c r="D84" s="83" t="s">
        <v>5669</v>
      </c>
      <c r="E84" t="s">
        <v>5392</v>
      </c>
      <c r="F84" t="s">
        <v>5793</v>
      </c>
      <c r="G84" t="s">
        <v>414</v>
      </c>
      <c r="K84" t="s">
        <v>414</v>
      </c>
    </row>
    <row r="85" spans="1:13" ht="15">
      <c r="A85" t="s">
        <v>4554</v>
      </c>
      <c r="B85" t="s">
        <v>4280</v>
      </c>
      <c r="C85" t="s">
        <v>6039</v>
      </c>
      <c r="D85" s="83" t="s">
        <v>5611</v>
      </c>
      <c r="E85" t="s">
        <v>5334</v>
      </c>
      <c r="F85" t="s">
        <v>5810</v>
      </c>
      <c r="L85" t="s">
        <v>414</v>
      </c>
      <c r="M85" t="s">
        <v>414</v>
      </c>
    </row>
    <row r="86" spans="1:13" ht="15">
      <c r="C86" t="s">
        <v>6017</v>
      </c>
      <c r="D86" s="83" t="s">
        <v>5588</v>
      </c>
      <c r="E86" t="s">
        <v>5311</v>
      </c>
      <c r="F86" t="s">
        <v>5740</v>
      </c>
      <c r="M86" t="s">
        <v>414</v>
      </c>
    </row>
    <row r="87" spans="1:13" ht="15">
      <c r="C87" t="s">
        <v>6038</v>
      </c>
      <c r="D87" s="83" t="s">
        <v>5697</v>
      </c>
      <c r="E87" t="s">
        <v>5420</v>
      </c>
      <c r="F87" t="s">
        <v>27</v>
      </c>
      <c r="L87" t="s">
        <v>414</v>
      </c>
    </row>
    <row r="88" spans="1:13" ht="15">
      <c r="C88" t="s">
        <v>6137</v>
      </c>
      <c r="D88" s="83" t="s">
        <v>5493</v>
      </c>
      <c r="E88" t="s">
        <v>5216</v>
      </c>
      <c r="F88" t="s">
        <v>5755</v>
      </c>
      <c r="H88" t="s">
        <v>414</v>
      </c>
      <c r="M88" t="s">
        <v>414</v>
      </c>
    </row>
    <row r="89" spans="1:13" ht="15">
      <c r="C89" t="s">
        <v>6137</v>
      </c>
      <c r="D89" s="83" t="s">
        <v>4150</v>
      </c>
      <c r="E89" t="s">
        <v>5043</v>
      </c>
      <c r="F89" t="s">
        <v>31</v>
      </c>
    </row>
    <row r="90" spans="1:13" ht="15">
      <c r="A90" t="s">
        <v>3767</v>
      </c>
      <c r="B90" t="s">
        <v>1291</v>
      </c>
      <c r="C90" t="s">
        <v>6062</v>
      </c>
      <c r="D90" s="83" t="s">
        <v>5557</v>
      </c>
      <c r="E90" t="s">
        <v>5280</v>
      </c>
      <c r="F90" t="s">
        <v>5755</v>
      </c>
      <c r="M90" t="s">
        <v>414</v>
      </c>
    </row>
    <row r="91" spans="1:13" ht="15">
      <c r="C91" t="s">
        <v>6137</v>
      </c>
      <c r="D91" s="83" t="s">
        <v>5504</v>
      </c>
      <c r="E91" t="s">
        <v>5227</v>
      </c>
      <c r="F91" t="s">
        <v>5759</v>
      </c>
      <c r="H91" t="s">
        <v>414</v>
      </c>
      <c r="M91" t="s">
        <v>414</v>
      </c>
    </row>
    <row r="92" spans="1:13" ht="15">
      <c r="A92" t="s">
        <v>4453</v>
      </c>
      <c r="B92" s="81" t="s">
        <v>3175</v>
      </c>
      <c r="C92" t="s">
        <v>7587</v>
      </c>
      <c r="D92" s="83" t="s">
        <v>5557</v>
      </c>
      <c r="E92" t="s">
        <v>5280</v>
      </c>
      <c r="F92" t="s">
        <v>5755</v>
      </c>
      <c r="M92" t="s">
        <v>414</v>
      </c>
    </row>
    <row r="93" spans="1:13" ht="15">
      <c r="C93" t="s">
        <v>6137</v>
      </c>
      <c r="D93" s="83" t="s">
        <v>5525</v>
      </c>
      <c r="E93" t="s">
        <v>5248</v>
      </c>
      <c r="F93" t="s">
        <v>5759</v>
      </c>
      <c r="M93" t="s">
        <v>414</v>
      </c>
    </row>
    <row r="94" spans="1:13" ht="15">
      <c r="C94" t="s">
        <v>6137</v>
      </c>
      <c r="D94" s="83" t="s">
        <v>5495</v>
      </c>
      <c r="E94" t="s">
        <v>5218</v>
      </c>
      <c r="F94" t="s">
        <v>5755</v>
      </c>
      <c r="H94" t="s">
        <v>414</v>
      </c>
      <c r="M94" t="s">
        <v>414</v>
      </c>
    </row>
    <row r="95" spans="1:13" ht="15">
      <c r="A95" t="s">
        <v>3755</v>
      </c>
      <c r="B95" t="s">
        <v>4533</v>
      </c>
      <c r="C95" t="s">
        <v>7614</v>
      </c>
      <c r="D95" s="83" t="s">
        <v>5557</v>
      </c>
      <c r="E95" t="s">
        <v>5280</v>
      </c>
      <c r="F95" t="s">
        <v>5755</v>
      </c>
      <c r="M95" t="s">
        <v>414</v>
      </c>
    </row>
    <row r="96" spans="1:13" ht="15">
      <c r="C96" t="s">
        <v>6928</v>
      </c>
      <c r="D96" s="83" t="s">
        <v>5857</v>
      </c>
      <c r="E96" t="s">
        <v>7776</v>
      </c>
      <c r="F96" t="s">
        <v>5755</v>
      </c>
      <c r="L96" t="s">
        <v>414</v>
      </c>
    </row>
    <row r="97" spans="1:13" ht="15">
      <c r="A97" t="s">
        <v>4565</v>
      </c>
      <c r="B97" s="12" t="s">
        <v>395</v>
      </c>
      <c r="C97" t="s">
        <v>7700</v>
      </c>
      <c r="D97" s="83" t="s">
        <v>5549</v>
      </c>
      <c r="E97" t="s">
        <v>5272</v>
      </c>
      <c r="F97" t="s">
        <v>5750</v>
      </c>
      <c r="H97" t="s">
        <v>414</v>
      </c>
      <c r="L97" t="s">
        <v>414</v>
      </c>
      <c r="M97" t="s">
        <v>414</v>
      </c>
    </row>
    <row r="98" spans="1:13" ht="15">
      <c r="C98" t="s">
        <v>7645</v>
      </c>
      <c r="D98" s="83" t="s">
        <v>5552</v>
      </c>
      <c r="E98" t="s">
        <v>5275</v>
      </c>
      <c r="F98" t="s">
        <v>5750</v>
      </c>
      <c r="H98" t="s">
        <v>414</v>
      </c>
      <c r="M98" t="s">
        <v>414</v>
      </c>
    </row>
    <row r="99" spans="1:13" ht="15">
      <c r="A99" t="s">
        <v>4565</v>
      </c>
      <c r="B99" s="12" t="s">
        <v>395</v>
      </c>
      <c r="C99" t="s">
        <v>6174</v>
      </c>
      <c r="D99" s="83" t="s">
        <v>5557</v>
      </c>
      <c r="E99" t="s">
        <v>5280</v>
      </c>
      <c r="F99" t="s">
        <v>5755</v>
      </c>
      <c r="M99" t="s">
        <v>414</v>
      </c>
    </row>
    <row r="100" spans="1:13" ht="15">
      <c r="C100" t="s">
        <v>7681</v>
      </c>
      <c r="D100" s="83" t="s">
        <v>5562</v>
      </c>
      <c r="E100" t="s">
        <v>5285</v>
      </c>
      <c r="F100" t="s">
        <v>5750</v>
      </c>
      <c r="H100" t="s">
        <v>414</v>
      </c>
      <c r="M100" t="s">
        <v>414</v>
      </c>
    </row>
    <row r="101" spans="1:13" ht="15">
      <c r="A101" t="s">
        <v>3803</v>
      </c>
      <c r="B101" t="s">
        <v>7840</v>
      </c>
      <c r="C101" t="s">
        <v>6996</v>
      </c>
      <c r="D101" s="83" t="s">
        <v>5529</v>
      </c>
      <c r="E101" t="s">
        <v>5252</v>
      </c>
      <c r="F101" t="s">
        <v>5748</v>
      </c>
      <c r="M101" t="s">
        <v>414</v>
      </c>
    </row>
    <row r="102" spans="1:13" ht="15">
      <c r="A102" t="s">
        <v>3803</v>
      </c>
      <c r="B102" t="s">
        <v>7840</v>
      </c>
      <c r="C102" t="s">
        <v>7347</v>
      </c>
      <c r="D102" s="83" t="s">
        <v>4159</v>
      </c>
      <c r="E102" t="s">
        <v>5052</v>
      </c>
      <c r="F102" t="s">
        <v>5741</v>
      </c>
      <c r="H102" t="s">
        <v>414</v>
      </c>
      <c r="M102" t="s">
        <v>414</v>
      </c>
    </row>
    <row r="103" spans="1:13" ht="15">
      <c r="A103" t="s">
        <v>3738</v>
      </c>
      <c r="B103" s="74" t="s">
        <v>4300</v>
      </c>
      <c r="C103" t="s">
        <v>7674</v>
      </c>
      <c r="D103" s="83" t="s">
        <v>5557</v>
      </c>
      <c r="E103" t="s">
        <v>5280</v>
      </c>
      <c r="F103" t="s">
        <v>5755</v>
      </c>
      <c r="M103" t="s">
        <v>414</v>
      </c>
    </row>
    <row r="104" spans="1:13" ht="15">
      <c r="C104" t="s">
        <v>7649</v>
      </c>
      <c r="D104" s="83" t="s">
        <v>5526</v>
      </c>
      <c r="E104" t="s">
        <v>5249</v>
      </c>
      <c r="F104" t="s">
        <v>5773</v>
      </c>
      <c r="H104" t="s">
        <v>414</v>
      </c>
      <c r="M104" t="s">
        <v>414</v>
      </c>
    </row>
    <row r="105" spans="1:13" ht="15">
      <c r="C105" t="s">
        <v>7670</v>
      </c>
      <c r="D105" s="83" t="s">
        <v>4150</v>
      </c>
      <c r="E105" t="s">
        <v>5043</v>
      </c>
      <c r="F105" t="s">
        <v>31</v>
      </c>
    </row>
    <row r="106" spans="1:13" ht="15">
      <c r="C106" t="s">
        <v>6765</v>
      </c>
      <c r="D106" s="83" t="s">
        <v>5589</v>
      </c>
      <c r="E106" t="s">
        <v>5312</v>
      </c>
      <c r="F106" t="s">
        <v>5748</v>
      </c>
      <c r="H106" t="s">
        <v>414</v>
      </c>
      <c r="M106" t="s">
        <v>414</v>
      </c>
    </row>
    <row r="107" spans="1:13" ht="15">
      <c r="C107" t="s">
        <v>6521</v>
      </c>
      <c r="D107" s="83" t="s">
        <v>5546</v>
      </c>
      <c r="E107" t="s">
        <v>5269</v>
      </c>
      <c r="F107" t="s">
        <v>5784</v>
      </c>
      <c r="L107" t="s">
        <v>414</v>
      </c>
    </row>
    <row r="108" spans="1:13" ht="15">
      <c r="C108" t="s">
        <v>5945</v>
      </c>
      <c r="D108" s="83" t="s">
        <v>4190</v>
      </c>
      <c r="E108" t="s">
        <v>5084</v>
      </c>
      <c r="F108" t="s">
        <v>5754</v>
      </c>
      <c r="K108" t="s">
        <v>414</v>
      </c>
      <c r="L108" t="s">
        <v>414</v>
      </c>
    </row>
    <row r="109" spans="1:13" ht="15">
      <c r="C109" t="s">
        <v>6386</v>
      </c>
      <c r="D109" s="83" t="s">
        <v>5605</v>
      </c>
      <c r="E109" t="s">
        <v>5328</v>
      </c>
      <c r="F109" t="s">
        <v>5806</v>
      </c>
      <c r="L109" t="s">
        <v>414</v>
      </c>
    </row>
    <row r="110" spans="1:13" ht="15">
      <c r="C110" t="s">
        <v>6289</v>
      </c>
      <c r="D110" s="83" t="s">
        <v>4205</v>
      </c>
      <c r="E110" t="s">
        <v>5099</v>
      </c>
      <c r="F110" t="s">
        <v>5842</v>
      </c>
      <c r="M110" t="s">
        <v>414</v>
      </c>
    </row>
    <row r="111" spans="1:13" ht="15">
      <c r="A111" t="s">
        <v>3786</v>
      </c>
      <c r="B111" t="s">
        <v>4301</v>
      </c>
      <c r="C111" t="s">
        <v>5984</v>
      </c>
      <c r="D111" s="83" t="s">
        <v>5583</v>
      </c>
      <c r="E111" t="s">
        <v>5306</v>
      </c>
      <c r="F111" t="s">
        <v>5797</v>
      </c>
      <c r="H111" t="s">
        <v>414</v>
      </c>
      <c r="I111" t="s">
        <v>414</v>
      </c>
      <c r="M111" t="s">
        <v>414</v>
      </c>
    </row>
    <row r="112" spans="1:13" ht="15">
      <c r="A112" t="s">
        <v>4549</v>
      </c>
      <c r="B112" t="s">
        <v>4548</v>
      </c>
      <c r="C112" t="s">
        <v>6242</v>
      </c>
      <c r="D112" s="83" t="s">
        <v>5589</v>
      </c>
      <c r="E112" t="s">
        <v>5312</v>
      </c>
      <c r="F112" t="s">
        <v>5748</v>
      </c>
      <c r="H112" t="s">
        <v>414</v>
      </c>
      <c r="M112" t="s">
        <v>414</v>
      </c>
    </row>
    <row r="113" spans="1:13" ht="15">
      <c r="A113" t="s">
        <v>4549</v>
      </c>
      <c r="B113" t="s">
        <v>4548</v>
      </c>
      <c r="C113" t="s">
        <v>5939</v>
      </c>
      <c r="D113" s="83" t="s">
        <v>4140</v>
      </c>
      <c r="E113" t="s">
        <v>5033</v>
      </c>
      <c r="F113" t="s">
        <v>5741</v>
      </c>
      <c r="L113" t="s">
        <v>414</v>
      </c>
      <c r="M113" t="s">
        <v>414</v>
      </c>
    </row>
    <row r="114" spans="1:13" ht="15">
      <c r="C114" t="s">
        <v>6699</v>
      </c>
      <c r="D114" s="83" t="s">
        <v>5589</v>
      </c>
      <c r="E114" t="s">
        <v>5312</v>
      </c>
      <c r="F114" t="s">
        <v>5748</v>
      </c>
      <c r="H114" t="s">
        <v>414</v>
      </c>
      <c r="M114" t="s">
        <v>414</v>
      </c>
    </row>
    <row r="115" spans="1:13" ht="15">
      <c r="A115" t="s">
        <v>4549</v>
      </c>
      <c r="B115" t="s">
        <v>4548</v>
      </c>
      <c r="C115" t="s">
        <v>7267</v>
      </c>
      <c r="D115" s="83" t="s">
        <v>5549</v>
      </c>
      <c r="E115" t="s">
        <v>5272</v>
      </c>
      <c r="F115" t="s">
        <v>5750</v>
      </c>
      <c r="H115" t="s">
        <v>414</v>
      </c>
      <c r="L115" t="s">
        <v>414</v>
      </c>
      <c r="M115" t="s">
        <v>414</v>
      </c>
    </row>
    <row r="116" spans="1:13" ht="15">
      <c r="A116" t="s">
        <v>3750</v>
      </c>
      <c r="B116" t="s">
        <v>504</v>
      </c>
      <c r="C116" t="s">
        <v>6374</v>
      </c>
      <c r="D116" s="83" t="s">
        <v>4164</v>
      </c>
      <c r="E116" t="s">
        <v>5058</v>
      </c>
      <c r="F116" t="s">
        <v>5834</v>
      </c>
    </row>
    <row r="117" spans="1:13" ht="15">
      <c r="A117" t="s">
        <v>3745</v>
      </c>
      <c r="B117" t="s">
        <v>4292</v>
      </c>
      <c r="C117" t="s">
        <v>7744</v>
      </c>
      <c r="D117" s="83" t="s">
        <v>5557</v>
      </c>
      <c r="E117" t="s">
        <v>5280</v>
      </c>
      <c r="F117" t="s">
        <v>5755</v>
      </c>
      <c r="M117" t="s">
        <v>414</v>
      </c>
    </row>
    <row r="118" spans="1:13" ht="15">
      <c r="A118" t="s">
        <v>3739</v>
      </c>
      <c r="B118" s="12" t="s">
        <v>33</v>
      </c>
      <c r="C118" t="s">
        <v>6284</v>
      </c>
      <c r="D118" s="83" t="s">
        <v>5557</v>
      </c>
      <c r="E118" t="s">
        <v>5280</v>
      </c>
      <c r="F118" t="s">
        <v>5755</v>
      </c>
      <c r="M118" t="s">
        <v>414</v>
      </c>
    </row>
    <row r="119" spans="1:13" ht="15">
      <c r="A119" t="s">
        <v>4448</v>
      </c>
      <c r="B119" s="12" t="s">
        <v>1309</v>
      </c>
      <c r="C119" t="s">
        <v>6425</v>
      </c>
      <c r="D119" s="83" t="s">
        <v>5582</v>
      </c>
      <c r="E119" t="s">
        <v>5305</v>
      </c>
      <c r="F119" t="s">
        <v>5776</v>
      </c>
      <c r="M119" t="s">
        <v>414</v>
      </c>
    </row>
    <row r="120" spans="1:13" ht="15">
      <c r="C120" t="s">
        <v>6901</v>
      </c>
      <c r="D120" s="83" t="s">
        <v>5589</v>
      </c>
      <c r="E120" t="s">
        <v>5312</v>
      </c>
      <c r="F120" t="s">
        <v>5748</v>
      </c>
      <c r="H120" t="s">
        <v>414</v>
      </c>
      <c r="M120" t="s">
        <v>414</v>
      </c>
    </row>
    <row r="121" spans="1:13" ht="15">
      <c r="C121" t="s">
        <v>6901</v>
      </c>
      <c r="D121" s="83" t="s">
        <v>5517</v>
      </c>
      <c r="E121" t="s">
        <v>5240</v>
      </c>
      <c r="F121" t="s">
        <v>5748</v>
      </c>
      <c r="M121" t="s">
        <v>414</v>
      </c>
    </row>
    <row r="122" spans="1:13" ht="15">
      <c r="A122" t="s">
        <v>3792</v>
      </c>
      <c r="B122" s="12" t="s">
        <v>1288</v>
      </c>
      <c r="C122" t="s">
        <v>6708</v>
      </c>
      <c r="D122" s="83" t="s">
        <v>5639</v>
      </c>
      <c r="E122" t="s">
        <v>5362</v>
      </c>
      <c r="F122" t="s">
        <v>5742</v>
      </c>
    </row>
    <row r="123" spans="1:13" ht="15">
      <c r="A123" t="s">
        <v>3792</v>
      </c>
      <c r="B123" s="12" t="s">
        <v>1288</v>
      </c>
      <c r="C123" t="s">
        <v>6106</v>
      </c>
      <c r="D123" s="83" t="s">
        <v>5702</v>
      </c>
      <c r="E123" t="s">
        <v>5426</v>
      </c>
      <c r="F123" t="s">
        <v>5726</v>
      </c>
      <c r="H123" t="s">
        <v>414</v>
      </c>
    </row>
    <row r="124" spans="1:13" ht="15">
      <c r="A124" t="s">
        <v>3792</v>
      </c>
      <c r="B124" s="12" t="s">
        <v>1288</v>
      </c>
      <c r="C124" t="s">
        <v>6106</v>
      </c>
      <c r="D124" s="83" t="s">
        <v>5453</v>
      </c>
      <c r="E124" t="s">
        <v>5176</v>
      </c>
      <c r="F124" t="s">
        <v>5729</v>
      </c>
      <c r="H124" t="s">
        <v>414</v>
      </c>
      <c r="K124" t="s">
        <v>414</v>
      </c>
      <c r="L124" t="s">
        <v>414</v>
      </c>
    </row>
    <row r="125" spans="1:13" ht="15">
      <c r="A125" t="s">
        <v>3773</v>
      </c>
      <c r="B125" t="s">
        <v>1289</v>
      </c>
      <c r="C125" t="s">
        <v>6204</v>
      </c>
      <c r="D125" s="83" t="s">
        <v>4142</v>
      </c>
      <c r="E125" t="s">
        <v>5035</v>
      </c>
      <c r="F125" t="s">
        <v>5799</v>
      </c>
      <c r="H125" t="s">
        <v>414</v>
      </c>
      <c r="K125" t="s">
        <v>414</v>
      </c>
      <c r="L125" t="s">
        <v>414</v>
      </c>
    </row>
    <row r="126" spans="1:13" ht="15">
      <c r="A126" t="s">
        <v>3792</v>
      </c>
      <c r="B126" s="12" t="s">
        <v>1288</v>
      </c>
      <c r="C126" t="s">
        <v>6106</v>
      </c>
      <c r="D126" s="83" t="s">
        <v>5571</v>
      </c>
      <c r="E126" t="s">
        <v>5294</v>
      </c>
      <c r="F126" t="s">
        <v>5793</v>
      </c>
      <c r="G126" t="s">
        <v>414</v>
      </c>
      <c r="H126" t="s">
        <v>414</v>
      </c>
      <c r="K126" t="s">
        <v>414</v>
      </c>
      <c r="L126" t="s">
        <v>414</v>
      </c>
      <c r="M126" t="s">
        <v>414</v>
      </c>
    </row>
    <row r="127" spans="1:13" ht="15">
      <c r="A127" t="s">
        <v>3745</v>
      </c>
      <c r="B127" t="s">
        <v>4292</v>
      </c>
      <c r="C127" t="s">
        <v>6394</v>
      </c>
      <c r="D127" s="83" t="s">
        <v>4142</v>
      </c>
      <c r="E127" t="s">
        <v>5035</v>
      </c>
      <c r="F127" t="s">
        <v>5799</v>
      </c>
      <c r="H127" t="s">
        <v>414</v>
      </c>
      <c r="K127" t="s">
        <v>414</v>
      </c>
      <c r="L127" t="s">
        <v>414</v>
      </c>
    </row>
    <row r="128" spans="1:13" ht="15">
      <c r="A128" t="s">
        <v>3765</v>
      </c>
      <c r="B128" t="s">
        <v>4302</v>
      </c>
      <c r="C128" t="s">
        <v>6468</v>
      </c>
      <c r="D128" s="83" t="s">
        <v>4142</v>
      </c>
      <c r="E128" t="s">
        <v>5035</v>
      </c>
      <c r="F128" t="s">
        <v>5799</v>
      </c>
      <c r="H128" t="s">
        <v>414</v>
      </c>
      <c r="K128" t="s">
        <v>414</v>
      </c>
      <c r="L128" t="s">
        <v>414</v>
      </c>
    </row>
    <row r="129" spans="1:13" ht="15">
      <c r="A129" t="s">
        <v>3792</v>
      </c>
      <c r="B129" s="12" t="s">
        <v>1288</v>
      </c>
      <c r="C129" t="s">
        <v>6273</v>
      </c>
      <c r="D129" s="83" t="s">
        <v>4181</v>
      </c>
      <c r="E129" t="s">
        <v>5075</v>
      </c>
      <c r="F129" t="s">
        <v>5830</v>
      </c>
      <c r="H129" t="s">
        <v>414</v>
      </c>
      <c r="L129" t="s">
        <v>414</v>
      </c>
    </row>
    <row r="130" spans="1:13" ht="15">
      <c r="A130" t="s">
        <v>3792</v>
      </c>
      <c r="B130" s="12" t="s">
        <v>1288</v>
      </c>
      <c r="C130" t="s">
        <v>6273</v>
      </c>
      <c r="D130" s="83" t="s">
        <v>4152</v>
      </c>
      <c r="E130" t="s">
        <v>5045</v>
      </c>
      <c r="F130" t="s">
        <v>301</v>
      </c>
      <c r="M130" t="s">
        <v>414</v>
      </c>
    </row>
    <row r="131" spans="1:13" ht="15">
      <c r="A131" t="s">
        <v>4448</v>
      </c>
      <c r="B131" s="12" t="s">
        <v>1309</v>
      </c>
      <c r="C131" t="s">
        <v>6613</v>
      </c>
      <c r="D131" s="83" t="s">
        <v>4142</v>
      </c>
      <c r="E131" t="s">
        <v>5035</v>
      </c>
      <c r="F131" t="s">
        <v>5799</v>
      </c>
      <c r="H131" t="s">
        <v>414</v>
      </c>
      <c r="K131" t="s">
        <v>414</v>
      </c>
      <c r="L131" t="s">
        <v>414</v>
      </c>
    </row>
    <row r="132" spans="1:13" ht="15">
      <c r="A132" t="s">
        <v>3792</v>
      </c>
      <c r="B132" s="12" t="s">
        <v>1288</v>
      </c>
      <c r="C132" t="s">
        <v>6273</v>
      </c>
      <c r="D132" s="83" t="s">
        <v>4150</v>
      </c>
      <c r="E132" t="s">
        <v>5043</v>
      </c>
      <c r="F132" t="s">
        <v>31</v>
      </c>
    </row>
    <row r="133" spans="1:13" ht="15">
      <c r="A133" t="s">
        <v>3739</v>
      </c>
      <c r="B133" s="12" t="s">
        <v>33</v>
      </c>
      <c r="C133" t="s">
        <v>6686</v>
      </c>
      <c r="D133" s="83" t="s">
        <v>4142</v>
      </c>
      <c r="E133" t="s">
        <v>5035</v>
      </c>
      <c r="F133" t="s">
        <v>5799</v>
      </c>
      <c r="H133" t="s">
        <v>414</v>
      </c>
      <c r="K133" t="s">
        <v>414</v>
      </c>
      <c r="L133" t="s">
        <v>414</v>
      </c>
    </row>
    <row r="134" spans="1:13" ht="15">
      <c r="A134" t="s">
        <v>3792</v>
      </c>
      <c r="B134" s="12" t="s">
        <v>1288</v>
      </c>
      <c r="C134" t="s">
        <v>6435</v>
      </c>
      <c r="D134" s="83" t="s">
        <v>5604</v>
      </c>
      <c r="E134" t="s">
        <v>5327</v>
      </c>
      <c r="F134" t="s">
        <v>5805</v>
      </c>
      <c r="H134" t="s">
        <v>414</v>
      </c>
      <c r="M134" t="s">
        <v>414</v>
      </c>
    </row>
    <row r="135" spans="1:13" ht="15">
      <c r="A135" t="s">
        <v>4446</v>
      </c>
      <c r="B135" t="s">
        <v>4445</v>
      </c>
      <c r="C135" t="s">
        <v>6155</v>
      </c>
      <c r="D135" s="83" t="s">
        <v>4142</v>
      </c>
      <c r="E135" t="s">
        <v>5035</v>
      </c>
      <c r="F135" t="s">
        <v>5799</v>
      </c>
      <c r="H135" t="s">
        <v>414</v>
      </c>
      <c r="K135" t="s">
        <v>414</v>
      </c>
      <c r="L135" t="s">
        <v>414</v>
      </c>
    </row>
    <row r="136" spans="1:13" ht="15">
      <c r="A136" t="s">
        <v>3740</v>
      </c>
      <c r="B136" t="s">
        <v>3444</v>
      </c>
      <c r="C136" t="s">
        <v>6757</v>
      </c>
      <c r="D136" s="83" t="s">
        <v>4142</v>
      </c>
      <c r="E136" t="s">
        <v>5035</v>
      </c>
      <c r="F136" t="s">
        <v>5799</v>
      </c>
      <c r="H136" t="s">
        <v>414</v>
      </c>
      <c r="K136" t="s">
        <v>414</v>
      </c>
      <c r="L136" t="s">
        <v>414</v>
      </c>
    </row>
    <row r="137" spans="1:13" ht="15">
      <c r="A137" t="s">
        <v>3792</v>
      </c>
      <c r="B137" s="12" t="s">
        <v>1288</v>
      </c>
      <c r="C137" t="s">
        <v>6273</v>
      </c>
      <c r="D137" s="83" t="s">
        <v>4140</v>
      </c>
      <c r="E137" t="s">
        <v>5033</v>
      </c>
      <c r="F137" t="s">
        <v>5741</v>
      </c>
      <c r="L137" t="s">
        <v>414</v>
      </c>
      <c r="M137" t="s">
        <v>414</v>
      </c>
    </row>
    <row r="138" spans="1:13" ht="15">
      <c r="A138" t="s">
        <v>3792</v>
      </c>
      <c r="B138" s="12" t="s">
        <v>1288</v>
      </c>
      <c r="C138" t="s">
        <v>6273</v>
      </c>
      <c r="D138" s="83" t="s">
        <v>5559</v>
      </c>
      <c r="E138" t="s">
        <v>5282</v>
      </c>
      <c r="F138" t="s">
        <v>5789</v>
      </c>
      <c r="H138" t="s">
        <v>414</v>
      </c>
      <c r="M138" t="s">
        <v>414</v>
      </c>
    </row>
    <row r="139" spans="1:13" ht="15">
      <c r="A139" t="s">
        <v>3792</v>
      </c>
      <c r="B139" s="12" t="s">
        <v>1288</v>
      </c>
      <c r="C139" t="s">
        <v>6273</v>
      </c>
      <c r="D139" s="83" t="s">
        <v>4146</v>
      </c>
      <c r="E139" t="s">
        <v>5039</v>
      </c>
      <c r="F139" t="s">
        <v>5741</v>
      </c>
      <c r="L139" t="s">
        <v>414</v>
      </c>
      <c r="M139" t="s">
        <v>414</v>
      </c>
    </row>
    <row r="140" spans="1:13" ht="15">
      <c r="A140" t="s">
        <v>3737</v>
      </c>
      <c r="B140" s="74" t="s">
        <v>4421</v>
      </c>
      <c r="C140" t="s">
        <v>6311</v>
      </c>
      <c r="D140" s="83" t="s">
        <v>5593</v>
      </c>
      <c r="E140" t="s">
        <v>5316</v>
      </c>
      <c r="F140" t="s">
        <v>5800</v>
      </c>
      <c r="H140" t="s">
        <v>414</v>
      </c>
      <c r="L140" t="s">
        <v>414</v>
      </c>
      <c r="M140" t="s">
        <v>414</v>
      </c>
    </row>
    <row r="141" spans="1:13" ht="15">
      <c r="A141" t="s">
        <v>3792</v>
      </c>
      <c r="B141" s="12" t="s">
        <v>1288</v>
      </c>
      <c r="C141" t="s">
        <v>6273</v>
      </c>
      <c r="D141" s="83" t="s">
        <v>5574</v>
      </c>
      <c r="E141" t="s">
        <v>5297</v>
      </c>
      <c r="F141" t="s">
        <v>5794</v>
      </c>
      <c r="H141" t="s">
        <v>414</v>
      </c>
      <c r="M141" t="s">
        <v>414</v>
      </c>
    </row>
    <row r="142" spans="1:13" ht="15">
      <c r="A142" t="s">
        <v>3792</v>
      </c>
      <c r="B142" s="12" t="s">
        <v>1288</v>
      </c>
      <c r="C142" t="s">
        <v>6256</v>
      </c>
      <c r="D142" s="83" t="s">
        <v>5493</v>
      </c>
      <c r="E142" t="s">
        <v>5216</v>
      </c>
      <c r="F142" t="s">
        <v>5755</v>
      </c>
      <c r="H142" t="s">
        <v>414</v>
      </c>
      <c r="M142" t="s">
        <v>414</v>
      </c>
    </row>
    <row r="143" spans="1:13" ht="15">
      <c r="A143" t="s">
        <v>3739</v>
      </c>
      <c r="B143" s="12" t="s">
        <v>33</v>
      </c>
      <c r="C143" t="s">
        <v>6531</v>
      </c>
      <c r="D143" s="83" t="s">
        <v>5593</v>
      </c>
      <c r="E143" t="s">
        <v>5316</v>
      </c>
      <c r="F143" t="s">
        <v>5800</v>
      </c>
      <c r="H143" t="s">
        <v>414</v>
      </c>
      <c r="L143" t="s">
        <v>414</v>
      </c>
      <c r="M143" t="s">
        <v>414</v>
      </c>
    </row>
    <row r="144" spans="1:13" ht="15">
      <c r="A144" t="s">
        <v>3783</v>
      </c>
      <c r="B144" t="s">
        <v>301</v>
      </c>
      <c r="C144" t="s">
        <v>6031</v>
      </c>
      <c r="D144" s="83" t="s">
        <v>5462</v>
      </c>
      <c r="E144" t="s">
        <v>5185</v>
      </c>
      <c r="F144" t="s">
        <v>5739</v>
      </c>
      <c r="H144" t="s">
        <v>414</v>
      </c>
    </row>
    <row r="145" spans="1:13" ht="15">
      <c r="A145" t="s">
        <v>3773</v>
      </c>
      <c r="B145" t="s">
        <v>1289</v>
      </c>
      <c r="C145" t="s">
        <v>6075</v>
      </c>
      <c r="D145" s="83" t="s">
        <v>5462</v>
      </c>
      <c r="E145" t="s">
        <v>5185</v>
      </c>
      <c r="F145" t="s">
        <v>5739</v>
      </c>
      <c r="H145" t="s">
        <v>414</v>
      </c>
    </row>
    <row r="146" spans="1:13" ht="15">
      <c r="A146" t="s">
        <v>4448</v>
      </c>
      <c r="B146" s="12" t="s">
        <v>1309</v>
      </c>
      <c r="C146" t="s">
        <v>5919</v>
      </c>
      <c r="D146" s="83" t="s">
        <v>5462</v>
      </c>
      <c r="E146" t="s">
        <v>5185</v>
      </c>
      <c r="F146" t="s">
        <v>5739</v>
      </c>
      <c r="H146" t="s">
        <v>414</v>
      </c>
    </row>
    <row r="147" spans="1:13" ht="15">
      <c r="A147" t="s">
        <v>3739</v>
      </c>
      <c r="B147" s="12" t="s">
        <v>33</v>
      </c>
      <c r="C147" t="s">
        <v>6181</v>
      </c>
      <c r="D147" s="83" t="s">
        <v>5462</v>
      </c>
      <c r="E147" t="s">
        <v>5185</v>
      </c>
      <c r="F147" t="s">
        <v>5739</v>
      </c>
      <c r="H147" t="s">
        <v>414</v>
      </c>
    </row>
    <row r="148" spans="1:13" ht="15">
      <c r="A148" t="s">
        <v>3792</v>
      </c>
      <c r="B148" s="12" t="s">
        <v>1288</v>
      </c>
      <c r="C148" t="s">
        <v>6256</v>
      </c>
      <c r="D148" s="83" t="s">
        <v>5486</v>
      </c>
      <c r="E148" t="s">
        <v>5209</v>
      </c>
      <c r="F148" t="s">
        <v>5750</v>
      </c>
      <c r="H148" t="s">
        <v>414</v>
      </c>
      <c r="M148" t="s">
        <v>414</v>
      </c>
    </row>
    <row r="149" spans="1:13" ht="15">
      <c r="A149" t="s">
        <v>3792</v>
      </c>
      <c r="B149" s="12" t="s">
        <v>1288</v>
      </c>
      <c r="C149" t="s">
        <v>6256</v>
      </c>
      <c r="D149" s="83" t="s">
        <v>5515</v>
      </c>
      <c r="E149" t="s">
        <v>5238</v>
      </c>
      <c r="F149" t="s">
        <v>5759</v>
      </c>
      <c r="H149" t="s">
        <v>414</v>
      </c>
      <c r="M149" t="s">
        <v>414</v>
      </c>
    </row>
    <row r="150" spans="1:13" ht="15">
      <c r="A150" t="s">
        <v>3792</v>
      </c>
      <c r="B150" s="12" t="s">
        <v>1288</v>
      </c>
      <c r="C150" t="s">
        <v>5991</v>
      </c>
      <c r="D150" s="83" t="s">
        <v>5578</v>
      </c>
      <c r="E150" t="s">
        <v>5301</v>
      </c>
      <c r="F150" t="s">
        <v>5796</v>
      </c>
      <c r="K150" t="s">
        <v>414</v>
      </c>
    </row>
    <row r="151" spans="1:13" ht="15">
      <c r="A151" t="s">
        <v>3792</v>
      </c>
      <c r="B151" s="12" t="s">
        <v>1288</v>
      </c>
      <c r="C151" t="s">
        <v>6764</v>
      </c>
      <c r="D151" s="83" t="s">
        <v>4144</v>
      </c>
      <c r="E151" t="s">
        <v>5037</v>
      </c>
      <c r="F151" t="s">
        <v>5755</v>
      </c>
      <c r="H151" t="s">
        <v>414</v>
      </c>
      <c r="I151" t="s">
        <v>414</v>
      </c>
      <c r="L151" t="s">
        <v>414</v>
      </c>
    </row>
    <row r="152" spans="1:13" ht="15">
      <c r="A152" t="s">
        <v>3139</v>
      </c>
      <c r="B152" t="s">
        <v>4285</v>
      </c>
      <c r="C152" t="s">
        <v>6085</v>
      </c>
      <c r="D152" s="83" t="s">
        <v>5537</v>
      </c>
      <c r="E152" t="s">
        <v>5260</v>
      </c>
      <c r="F152" t="s">
        <v>5750</v>
      </c>
      <c r="H152" t="s">
        <v>414</v>
      </c>
      <c r="I152" t="s">
        <v>414</v>
      </c>
    </row>
    <row r="153" spans="1:13" ht="15">
      <c r="A153" t="s">
        <v>3792</v>
      </c>
      <c r="B153" s="12" t="s">
        <v>1288</v>
      </c>
      <c r="C153" t="s">
        <v>6764</v>
      </c>
      <c r="D153" s="83" t="s">
        <v>5567</v>
      </c>
      <c r="E153" t="s">
        <v>5290</v>
      </c>
      <c r="F153" t="s">
        <v>5792</v>
      </c>
      <c r="H153" t="s">
        <v>414</v>
      </c>
      <c r="L153" t="s">
        <v>414</v>
      </c>
      <c r="M153" t="s">
        <v>414</v>
      </c>
    </row>
    <row r="154" spans="1:13" ht="15">
      <c r="A154" t="s">
        <v>3792</v>
      </c>
      <c r="B154" s="12" t="s">
        <v>1288</v>
      </c>
      <c r="C154" t="s">
        <v>6764</v>
      </c>
      <c r="D154" s="83" t="s">
        <v>5549</v>
      </c>
      <c r="E154" t="s">
        <v>5272</v>
      </c>
      <c r="F154" t="s">
        <v>5750</v>
      </c>
      <c r="H154" t="s">
        <v>414</v>
      </c>
      <c r="L154" t="s">
        <v>414</v>
      </c>
      <c r="M154" t="s">
        <v>414</v>
      </c>
    </row>
    <row r="155" spans="1:13" ht="15">
      <c r="A155" t="s">
        <v>4453</v>
      </c>
      <c r="B155" s="81" t="s">
        <v>3175</v>
      </c>
      <c r="C155" t="s">
        <v>6747</v>
      </c>
      <c r="D155" s="83" t="s">
        <v>5537</v>
      </c>
      <c r="E155" t="s">
        <v>5260</v>
      </c>
      <c r="F155" t="s">
        <v>5750</v>
      </c>
      <c r="H155" t="s">
        <v>414</v>
      </c>
      <c r="I155" t="s">
        <v>414</v>
      </c>
    </row>
    <row r="156" spans="1:13" ht="15">
      <c r="A156" t="s">
        <v>3755</v>
      </c>
      <c r="B156" t="s">
        <v>4533</v>
      </c>
      <c r="C156" t="s">
        <v>6614</v>
      </c>
      <c r="D156" s="83" t="s">
        <v>5537</v>
      </c>
      <c r="E156" t="s">
        <v>5260</v>
      </c>
      <c r="F156" t="s">
        <v>5750</v>
      </c>
      <c r="H156" t="s">
        <v>414</v>
      </c>
      <c r="I156" t="s">
        <v>414</v>
      </c>
    </row>
    <row r="157" spans="1:13" ht="15">
      <c r="A157" t="s">
        <v>3792</v>
      </c>
      <c r="B157" s="12" t="s">
        <v>1288</v>
      </c>
      <c r="C157" t="s">
        <v>6764</v>
      </c>
      <c r="D157" s="83" t="s">
        <v>5858</v>
      </c>
      <c r="E157" t="s">
        <v>7777</v>
      </c>
      <c r="F157" t="s">
        <v>5755</v>
      </c>
      <c r="H157" t="s">
        <v>414</v>
      </c>
      <c r="K157" t="s">
        <v>414</v>
      </c>
      <c r="L157" t="s">
        <v>414</v>
      </c>
    </row>
    <row r="158" spans="1:13" ht="15">
      <c r="A158" t="s">
        <v>4443</v>
      </c>
      <c r="B158" t="s">
        <v>4287</v>
      </c>
      <c r="C158" t="s">
        <v>7469</v>
      </c>
      <c r="D158" s="83" t="s">
        <v>5537</v>
      </c>
      <c r="E158" t="s">
        <v>5260</v>
      </c>
      <c r="F158" t="s">
        <v>5750</v>
      </c>
      <c r="H158" t="s">
        <v>414</v>
      </c>
      <c r="I158" t="s">
        <v>414</v>
      </c>
    </row>
    <row r="159" spans="1:13" ht="15">
      <c r="A159" t="s">
        <v>3792</v>
      </c>
      <c r="B159" s="12" t="s">
        <v>1288</v>
      </c>
      <c r="C159" t="s">
        <v>6764</v>
      </c>
      <c r="D159" s="83" t="s">
        <v>5459</v>
      </c>
      <c r="E159" t="s">
        <v>5182</v>
      </c>
      <c r="F159" t="s">
        <v>486</v>
      </c>
      <c r="M159" t="s">
        <v>414</v>
      </c>
    </row>
    <row r="160" spans="1:13" ht="15">
      <c r="A160" t="s">
        <v>3743</v>
      </c>
      <c r="B160" t="s">
        <v>4290</v>
      </c>
      <c r="C160" t="s">
        <v>7504</v>
      </c>
      <c r="D160" s="83" t="s">
        <v>5537</v>
      </c>
      <c r="E160" t="s">
        <v>5260</v>
      </c>
      <c r="F160" t="s">
        <v>5750</v>
      </c>
      <c r="H160" t="s">
        <v>414</v>
      </c>
      <c r="I160" t="s">
        <v>414</v>
      </c>
    </row>
    <row r="161" spans="1:13" ht="15">
      <c r="A161" t="s">
        <v>3741</v>
      </c>
      <c r="B161" t="s">
        <v>4295</v>
      </c>
      <c r="C161" t="s">
        <v>7520</v>
      </c>
      <c r="D161" s="83" t="s">
        <v>5537</v>
      </c>
      <c r="E161" t="s">
        <v>5260</v>
      </c>
      <c r="F161" t="s">
        <v>5750</v>
      </c>
      <c r="H161" t="s">
        <v>414</v>
      </c>
      <c r="I161" t="s">
        <v>414</v>
      </c>
    </row>
    <row r="162" spans="1:13" ht="15">
      <c r="A162" t="s">
        <v>3792</v>
      </c>
      <c r="B162" s="12" t="s">
        <v>1288</v>
      </c>
      <c r="C162" t="s">
        <v>7595</v>
      </c>
      <c r="D162" s="83" t="s">
        <v>5536</v>
      </c>
      <c r="E162" t="s">
        <v>5259</v>
      </c>
      <c r="F162" t="s">
        <v>5780</v>
      </c>
      <c r="M162" t="s">
        <v>414</v>
      </c>
    </row>
    <row r="163" spans="1:13" ht="15">
      <c r="A163" t="s">
        <v>3744</v>
      </c>
      <c r="B163" t="s">
        <v>1243</v>
      </c>
      <c r="C163" t="s">
        <v>7549</v>
      </c>
      <c r="D163" s="83" t="s">
        <v>5537</v>
      </c>
      <c r="E163" t="s">
        <v>5260</v>
      </c>
      <c r="F163" t="s">
        <v>5750</v>
      </c>
      <c r="H163" t="s">
        <v>414</v>
      </c>
      <c r="I163" t="s">
        <v>414</v>
      </c>
    </row>
    <row r="164" spans="1:13" ht="15">
      <c r="A164" t="s">
        <v>3792</v>
      </c>
      <c r="B164" s="12" t="s">
        <v>1288</v>
      </c>
      <c r="C164" t="s">
        <v>6246</v>
      </c>
      <c r="D164" s="83" t="s">
        <v>5544</v>
      </c>
      <c r="E164" t="s">
        <v>5267</v>
      </c>
      <c r="F164" t="s">
        <v>5782</v>
      </c>
      <c r="H164" t="s">
        <v>414</v>
      </c>
      <c r="I164" t="s">
        <v>414</v>
      </c>
      <c r="M164" t="s">
        <v>414</v>
      </c>
    </row>
    <row r="165" spans="1:13" ht="15">
      <c r="A165" t="s">
        <v>3745</v>
      </c>
      <c r="B165" t="s">
        <v>4292</v>
      </c>
      <c r="C165" t="s">
        <v>6857</v>
      </c>
      <c r="D165" s="83" t="s">
        <v>5537</v>
      </c>
      <c r="E165" t="s">
        <v>5260</v>
      </c>
      <c r="F165" t="s">
        <v>5750</v>
      </c>
      <c r="H165" t="s">
        <v>414</v>
      </c>
      <c r="I165" t="s">
        <v>414</v>
      </c>
    </row>
    <row r="166" spans="1:13" ht="15">
      <c r="A166" t="s">
        <v>3739</v>
      </c>
      <c r="B166" s="12" t="s">
        <v>33</v>
      </c>
      <c r="C166" t="s">
        <v>6875</v>
      </c>
      <c r="D166" s="83" t="s">
        <v>5537</v>
      </c>
      <c r="E166" t="s">
        <v>5260</v>
      </c>
      <c r="F166" t="s">
        <v>5750</v>
      </c>
      <c r="H166" t="s">
        <v>414</v>
      </c>
      <c r="I166" t="s">
        <v>414</v>
      </c>
    </row>
    <row r="167" spans="1:13" ht="15">
      <c r="A167" t="s">
        <v>3781</v>
      </c>
      <c r="B167" s="12" t="s">
        <v>280</v>
      </c>
      <c r="C167" t="s">
        <v>7242</v>
      </c>
      <c r="D167" s="83" t="s">
        <v>5557</v>
      </c>
      <c r="E167" t="s">
        <v>5280</v>
      </c>
      <c r="F167" t="s">
        <v>5755</v>
      </c>
      <c r="M167" t="s">
        <v>414</v>
      </c>
    </row>
    <row r="168" spans="1:13" ht="15">
      <c r="A168" t="s">
        <v>3781</v>
      </c>
      <c r="B168" s="12" t="s">
        <v>280</v>
      </c>
      <c r="C168" t="s">
        <v>7242</v>
      </c>
      <c r="D168" s="83" t="s">
        <v>4152</v>
      </c>
      <c r="E168" t="s">
        <v>5045</v>
      </c>
      <c r="F168" t="s">
        <v>301</v>
      </c>
      <c r="M168" t="s">
        <v>414</v>
      </c>
    </row>
    <row r="169" spans="1:13" ht="15">
      <c r="A169" t="s">
        <v>3781</v>
      </c>
      <c r="B169" s="12" t="s">
        <v>280</v>
      </c>
      <c r="C169" t="s">
        <v>7242</v>
      </c>
      <c r="D169" s="83" t="s">
        <v>4150</v>
      </c>
      <c r="E169" t="s">
        <v>5043</v>
      </c>
      <c r="F169" t="s">
        <v>31</v>
      </c>
    </row>
    <row r="170" spans="1:13" ht="15">
      <c r="A170" t="s">
        <v>3781</v>
      </c>
      <c r="B170" s="12" t="s">
        <v>280</v>
      </c>
      <c r="C170" t="s">
        <v>7278</v>
      </c>
      <c r="D170" s="83" t="s">
        <v>5602</v>
      </c>
      <c r="E170" t="s">
        <v>5325</v>
      </c>
      <c r="F170" t="s">
        <v>1291</v>
      </c>
      <c r="H170" t="s">
        <v>414</v>
      </c>
      <c r="M170" t="s">
        <v>414</v>
      </c>
    </row>
    <row r="171" spans="1:13" ht="15">
      <c r="A171" t="s">
        <v>3781</v>
      </c>
      <c r="B171" s="12" t="s">
        <v>280</v>
      </c>
      <c r="C171" t="s">
        <v>6117</v>
      </c>
      <c r="D171" s="83" t="s">
        <v>4143</v>
      </c>
      <c r="E171" t="s">
        <v>5036</v>
      </c>
      <c r="F171" t="s">
        <v>5785</v>
      </c>
      <c r="H171" t="s">
        <v>414</v>
      </c>
      <c r="K171" t="s">
        <v>414</v>
      </c>
      <c r="M171" t="s">
        <v>414</v>
      </c>
    </row>
    <row r="172" spans="1:13" ht="15">
      <c r="A172" t="s">
        <v>3783</v>
      </c>
      <c r="B172" t="s">
        <v>301</v>
      </c>
      <c r="C172" t="s">
        <v>6070</v>
      </c>
      <c r="D172" s="83" t="s">
        <v>5673</v>
      </c>
      <c r="E172" t="s">
        <v>5396</v>
      </c>
      <c r="F172" t="s">
        <v>5832</v>
      </c>
    </row>
    <row r="173" spans="1:13" ht="15">
      <c r="A173" t="s">
        <v>3781</v>
      </c>
      <c r="B173" s="12" t="s">
        <v>280</v>
      </c>
      <c r="C173" t="s">
        <v>6317</v>
      </c>
      <c r="D173" s="83" t="s">
        <v>4144</v>
      </c>
      <c r="E173" t="s">
        <v>5037</v>
      </c>
      <c r="F173" t="s">
        <v>5755</v>
      </c>
      <c r="H173" t="s">
        <v>414</v>
      </c>
      <c r="I173" t="s">
        <v>414</v>
      </c>
      <c r="L173" t="s">
        <v>414</v>
      </c>
    </row>
    <row r="174" spans="1:13" ht="15">
      <c r="A174" t="s">
        <v>4525</v>
      </c>
      <c r="B174" s="81" t="s">
        <v>4524</v>
      </c>
      <c r="C174" t="s">
        <v>6295</v>
      </c>
      <c r="D174" s="83" t="s">
        <v>5673</v>
      </c>
      <c r="E174" t="s">
        <v>5396</v>
      </c>
      <c r="F174" t="s">
        <v>5832</v>
      </c>
    </row>
    <row r="175" spans="1:13" ht="15">
      <c r="A175" t="s">
        <v>3739</v>
      </c>
      <c r="B175" s="12" t="s">
        <v>33</v>
      </c>
      <c r="C175" t="s">
        <v>6382</v>
      </c>
      <c r="D175" s="83" t="s">
        <v>5673</v>
      </c>
      <c r="E175" t="s">
        <v>5396</v>
      </c>
      <c r="F175" t="s">
        <v>5832</v>
      </c>
    </row>
    <row r="176" spans="1:13" ht="15">
      <c r="A176" t="s">
        <v>3781</v>
      </c>
      <c r="B176" s="12" t="s">
        <v>280</v>
      </c>
      <c r="C176" t="s">
        <v>6317</v>
      </c>
      <c r="D176" s="83" t="s">
        <v>5552</v>
      </c>
      <c r="E176" t="s">
        <v>5275</v>
      </c>
      <c r="F176" t="s">
        <v>5750</v>
      </c>
      <c r="H176" t="s">
        <v>414</v>
      </c>
      <c r="M176" t="s">
        <v>414</v>
      </c>
    </row>
    <row r="177" spans="1:13" ht="15">
      <c r="A177" t="s">
        <v>3781</v>
      </c>
      <c r="B177" s="12" t="s">
        <v>280</v>
      </c>
      <c r="C177" t="s">
        <v>6317</v>
      </c>
      <c r="D177" s="83" t="s">
        <v>5865</v>
      </c>
      <c r="E177" t="s">
        <v>7786</v>
      </c>
      <c r="F177" t="s">
        <v>5748</v>
      </c>
      <c r="G177" t="s">
        <v>414</v>
      </c>
      <c r="H177" t="s">
        <v>414</v>
      </c>
      <c r="K177" t="s">
        <v>414</v>
      </c>
      <c r="L177" t="s">
        <v>414</v>
      </c>
    </row>
    <row r="178" spans="1:13" ht="15">
      <c r="C178" t="s">
        <v>7502</v>
      </c>
      <c r="D178" s="83" t="s">
        <v>5526</v>
      </c>
      <c r="E178" t="s">
        <v>5249</v>
      </c>
      <c r="F178" t="s">
        <v>5773</v>
      </c>
      <c r="H178" t="s">
        <v>414</v>
      </c>
      <c r="M178" t="s">
        <v>414</v>
      </c>
    </row>
    <row r="179" spans="1:13" ht="15">
      <c r="C179" t="s">
        <v>6970</v>
      </c>
      <c r="D179" s="83" t="s">
        <v>5529</v>
      </c>
      <c r="E179" t="s">
        <v>5252</v>
      </c>
      <c r="F179" t="s">
        <v>5748</v>
      </c>
      <c r="M179" t="s">
        <v>414</v>
      </c>
    </row>
    <row r="180" spans="1:13" ht="15">
      <c r="C180" t="s">
        <v>6350</v>
      </c>
      <c r="D180" s="83" t="s">
        <v>5515</v>
      </c>
      <c r="E180" t="s">
        <v>5238</v>
      </c>
      <c r="F180" t="s">
        <v>5759</v>
      </c>
      <c r="H180" t="s">
        <v>414</v>
      </c>
      <c r="M180" t="s">
        <v>414</v>
      </c>
    </row>
    <row r="181" spans="1:13" ht="15">
      <c r="A181" t="s">
        <v>3767</v>
      </c>
      <c r="B181" t="s">
        <v>1291</v>
      </c>
      <c r="C181" t="s">
        <v>6251</v>
      </c>
      <c r="D181" s="83" t="s">
        <v>5479</v>
      </c>
      <c r="E181" t="s">
        <v>5202</v>
      </c>
      <c r="F181" t="s">
        <v>5746</v>
      </c>
      <c r="H181" t="s">
        <v>414</v>
      </c>
      <c r="M181" t="s">
        <v>414</v>
      </c>
    </row>
    <row r="182" spans="1:13" ht="15">
      <c r="C182" t="s">
        <v>6431</v>
      </c>
      <c r="D182" s="83" t="s">
        <v>5517</v>
      </c>
      <c r="E182" t="s">
        <v>5240</v>
      </c>
      <c r="F182" t="s">
        <v>5748</v>
      </c>
      <c r="M182" t="s">
        <v>414</v>
      </c>
    </row>
    <row r="183" spans="1:13" ht="15">
      <c r="C183" t="s">
        <v>6431</v>
      </c>
      <c r="D183" s="83" t="s">
        <v>5498</v>
      </c>
      <c r="E183" t="s">
        <v>5221</v>
      </c>
      <c r="F183" t="s">
        <v>5759</v>
      </c>
      <c r="H183" t="s">
        <v>414</v>
      </c>
      <c r="M183" t="s">
        <v>414</v>
      </c>
    </row>
    <row r="184" spans="1:13" ht="15">
      <c r="A184" t="s">
        <v>3744</v>
      </c>
      <c r="B184" t="s">
        <v>1243</v>
      </c>
      <c r="C184" t="s">
        <v>6491</v>
      </c>
      <c r="D184" s="83" t="s">
        <v>5479</v>
      </c>
      <c r="E184" t="s">
        <v>5202</v>
      </c>
      <c r="F184" t="s">
        <v>5746</v>
      </c>
      <c r="H184" t="s">
        <v>414</v>
      </c>
      <c r="M184" t="s">
        <v>414</v>
      </c>
    </row>
    <row r="185" spans="1:13" ht="15">
      <c r="A185" t="s">
        <v>3783</v>
      </c>
      <c r="B185" t="s">
        <v>301</v>
      </c>
      <c r="C185" t="s">
        <v>7115</v>
      </c>
      <c r="D185" s="83" t="s">
        <v>5680</v>
      </c>
      <c r="E185" t="s">
        <v>5403</v>
      </c>
      <c r="F185" t="s">
        <v>5743</v>
      </c>
      <c r="M185" t="s">
        <v>414</v>
      </c>
    </row>
    <row r="186" spans="1:13" ht="15">
      <c r="A186" t="s">
        <v>3739</v>
      </c>
      <c r="B186" s="12" t="s">
        <v>33</v>
      </c>
      <c r="C186" t="s">
        <v>6181</v>
      </c>
      <c r="D186" s="83" t="s">
        <v>5680</v>
      </c>
      <c r="E186" t="s">
        <v>5403</v>
      </c>
      <c r="F186" t="s">
        <v>5743</v>
      </c>
      <c r="M186" t="s">
        <v>414</v>
      </c>
    </row>
    <row r="187" spans="1:13" ht="15">
      <c r="A187" t="s">
        <v>3773</v>
      </c>
      <c r="B187" t="s">
        <v>1289</v>
      </c>
      <c r="C187" t="s">
        <v>6075</v>
      </c>
      <c r="D187" s="83" t="s">
        <v>5676</v>
      </c>
      <c r="E187" t="s">
        <v>5399</v>
      </c>
      <c r="F187" t="s">
        <v>5739</v>
      </c>
      <c r="H187" t="s">
        <v>414</v>
      </c>
    </row>
    <row r="188" spans="1:13" ht="15">
      <c r="A188" t="s">
        <v>3767</v>
      </c>
      <c r="B188" t="s">
        <v>1291</v>
      </c>
      <c r="C188" t="s">
        <v>6062</v>
      </c>
      <c r="D188" s="83" t="s">
        <v>5676</v>
      </c>
      <c r="E188" t="s">
        <v>5399</v>
      </c>
      <c r="F188" t="s">
        <v>5739</v>
      </c>
      <c r="H188" t="s">
        <v>414</v>
      </c>
    </row>
    <row r="189" spans="1:13" ht="15">
      <c r="A189" t="s">
        <v>3738</v>
      </c>
      <c r="B189" s="74" t="s">
        <v>4300</v>
      </c>
      <c r="C189" t="s">
        <v>6298</v>
      </c>
      <c r="D189" s="83" t="s">
        <v>5676</v>
      </c>
      <c r="E189" t="s">
        <v>5399</v>
      </c>
      <c r="F189" t="s">
        <v>5739</v>
      </c>
      <c r="H189" t="s">
        <v>414</v>
      </c>
    </row>
    <row r="190" spans="1:13" ht="15">
      <c r="A190" t="s">
        <v>3739</v>
      </c>
      <c r="B190" s="12" t="s">
        <v>33</v>
      </c>
      <c r="C190" t="s">
        <v>6181</v>
      </c>
      <c r="D190" s="83" t="s">
        <v>5676</v>
      </c>
      <c r="E190" t="s">
        <v>5399</v>
      </c>
      <c r="F190" t="s">
        <v>5739</v>
      </c>
      <c r="H190" t="s">
        <v>414</v>
      </c>
    </row>
    <row r="191" spans="1:13" ht="15">
      <c r="A191" t="s">
        <v>3739</v>
      </c>
      <c r="B191" s="12" t="s">
        <v>33</v>
      </c>
      <c r="C191" t="s">
        <v>6043</v>
      </c>
      <c r="D191" s="83" t="s">
        <v>5692</v>
      </c>
      <c r="E191" t="s">
        <v>5415</v>
      </c>
      <c r="F191" t="s">
        <v>5836</v>
      </c>
      <c r="H191" t="s">
        <v>414</v>
      </c>
      <c r="K191" t="s">
        <v>414</v>
      </c>
    </row>
    <row r="192" spans="1:13" ht="15">
      <c r="A192" t="s">
        <v>3783</v>
      </c>
      <c r="B192" t="s">
        <v>301</v>
      </c>
      <c r="C192" t="s">
        <v>6169</v>
      </c>
      <c r="D192" s="83" t="s">
        <v>5692</v>
      </c>
      <c r="E192" t="s">
        <v>5415</v>
      </c>
      <c r="F192" t="s">
        <v>5836</v>
      </c>
      <c r="H192" t="s">
        <v>414</v>
      </c>
      <c r="K192" t="s">
        <v>414</v>
      </c>
    </row>
    <row r="193" spans="1:13" ht="15">
      <c r="A193" t="s">
        <v>3755</v>
      </c>
      <c r="B193" t="s">
        <v>4533</v>
      </c>
      <c r="C193" t="s">
        <v>6281</v>
      </c>
      <c r="D193" s="83" t="s">
        <v>5692</v>
      </c>
      <c r="E193" t="s">
        <v>5415</v>
      </c>
      <c r="F193" t="s">
        <v>5836</v>
      </c>
      <c r="H193" t="s">
        <v>414</v>
      </c>
      <c r="K193" t="s">
        <v>414</v>
      </c>
    </row>
    <row r="194" spans="1:13" ht="15">
      <c r="A194" t="s">
        <v>3747</v>
      </c>
      <c r="B194" t="s">
        <v>4298</v>
      </c>
      <c r="C194" t="s">
        <v>6370</v>
      </c>
      <c r="D194" s="83" t="s">
        <v>5692</v>
      </c>
      <c r="E194" t="s">
        <v>5415</v>
      </c>
      <c r="F194" t="s">
        <v>5836</v>
      </c>
      <c r="H194" t="s">
        <v>414</v>
      </c>
      <c r="K194" t="s">
        <v>414</v>
      </c>
    </row>
    <row r="195" spans="1:13" ht="15">
      <c r="A195" t="s">
        <v>3738</v>
      </c>
      <c r="B195" s="74" t="s">
        <v>4300</v>
      </c>
      <c r="C195" t="s">
        <v>6449</v>
      </c>
      <c r="D195" s="83" t="s">
        <v>5692</v>
      </c>
      <c r="E195" t="s">
        <v>5415</v>
      </c>
      <c r="F195" t="s">
        <v>5836</v>
      </c>
      <c r="H195" t="s">
        <v>414</v>
      </c>
      <c r="K195" t="s">
        <v>414</v>
      </c>
    </row>
    <row r="196" spans="1:13" ht="15">
      <c r="C196" t="s">
        <v>6431</v>
      </c>
      <c r="D196" s="83" t="s">
        <v>5525</v>
      </c>
      <c r="E196" t="s">
        <v>5248</v>
      </c>
      <c r="F196" t="s">
        <v>5759</v>
      </c>
      <c r="M196" t="s">
        <v>414</v>
      </c>
    </row>
    <row r="197" spans="1:13" ht="15">
      <c r="C197" t="s">
        <v>7735</v>
      </c>
      <c r="D197" s="83" t="s">
        <v>5549</v>
      </c>
      <c r="E197" t="s">
        <v>5272</v>
      </c>
      <c r="F197" t="s">
        <v>5750</v>
      </c>
      <c r="H197" t="s">
        <v>414</v>
      </c>
      <c r="L197" t="s">
        <v>414</v>
      </c>
      <c r="M197" t="s">
        <v>414</v>
      </c>
    </row>
    <row r="198" spans="1:13" ht="15">
      <c r="C198" t="s">
        <v>7635</v>
      </c>
      <c r="D198" s="83" t="s">
        <v>5526</v>
      </c>
      <c r="E198" t="s">
        <v>5249</v>
      </c>
      <c r="F198" t="s">
        <v>5773</v>
      </c>
      <c r="H198" t="s">
        <v>414</v>
      </c>
      <c r="M198" t="s">
        <v>414</v>
      </c>
    </row>
    <row r="199" spans="1:13" ht="15">
      <c r="C199" t="s">
        <v>7204</v>
      </c>
      <c r="D199" s="83" t="s">
        <v>5467</v>
      </c>
      <c r="E199" t="s">
        <v>5190</v>
      </c>
      <c r="F199" t="s">
        <v>5740</v>
      </c>
      <c r="M199" t="s">
        <v>414</v>
      </c>
    </row>
    <row r="200" spans="1:13" ht="15">
      <c r="C200" t="s">
        <v>7228</v>
      </c>
      <c r="D200" s="83" t="s">
        <v>5602</v>
      </c>
      <c r="E200" t="s">
        <v>5325</v>
      </c>
      <c r="F200" t="s">
        <v>1291</v>
      </c>
      <c r="H200" t="s">
        <v>414</v>
      </c>
      <c r="M200" t="s">
        <v>414</v>
      </c>
    </row>
    <row r="201" spans="1:13" ht="15">
      <c r="C201" t="s">
        <v>7006</v>
      </c>
      <c r="D201" s="83" t="s">
        <v>5529</v>
      </c>
      <c r="E201" t="s">
        <v>5252</v>
      </c>
      <c r="F201" t="s">
        <v>5748</v>
      </c>
      <c r="M201" t="s">
        <v>414</v>
      </c>
    </row>
    <row r="202" spans="1:13" ht="15">
      <c r="C202" t="s">
        <v>6324</v>
      </c>
      <c r="D202" s="83" t="s">
        <v>4140</v>
      </c>
      <c r="E202" t="s">
        <v>5033</v>
      </c>
      <c r="F202" t="s">
        <v>5741</v>
      </c>
      <c r="L202" t="s">
        <v>414</v>
      </c>
      <c r="M202" t="s">
        <v>414</v>
      </c>
    </row>
    <row r="203" spans="1:13" ht="15">
      <c r="C203" t="s">
        <v>6974</v>
      </c>
      <c r="D203" s="83" t="s">
        <v>5529</v>
      </c>
      <c r="E203" t="s">
        <v>5252</v>
      </c>
      <c r="F203" t="s">
        <v>5748</v>
      </c>
      <c r="M203" t="s">
        <v>414</v>
      </c>
    </row>
    <row r="204" spans="1:13" ht="15">
      <c r="C204" t="s">
        <v>6866</v>
      </c>
      <c r="D204" s="83" t="s">
        <v>5529</v>
      </c>
      <c r="E204" t="s">
        <v>5252</v>
      </c>
      <c r="F204" t="s">
        <v>5748</v>
      </c>
      <c r="M204" t="s">
        <v>414</v>
      </c>
    </row>
    <row r="205" spans="1:13" ht="15">
      <c r="C205" t="s">
        <v>6944</v>
      </c>
      <c r="D205" s="83" t="s">
        <v>5854</v>
      </c>
      <c r="E205" t="s">
        <v>7772</v>
      </c>
      <c r="F205" t="s">
        <v>7773</v>
      </c>
      <c r="L205" t="s">
        <v>414</v>
      </c>
    </row>
    <row r="206" spans="1:13" ht="15">
      <c r="C206" t="s">
        <v>5995</v>
      </c>
      <c r="D206" s="83" t="s">
        <v>5486</v>
      </c>
      <c r="E206" t="s">
        <v>5209</v>
      </c>
      <c r="F206" t="s">
        <v>5750</v>
      </c>
      <c r="H206" t="s">
        <v>414</v>
      </c>
      <c r="M206" t="s">
        <v>414</v>
      </c>
    </row>
    <row r="207" spans="1:13" ht="15">
      <c r="C207" t="s">
        <v>5995</v>
      </c>
      <c r="D207" s="83" t="s">
        <v>5525</v>
      </c>
      <c r="E207" t="s">
        <v>5248</v>
      </c>
      <c r="F207" t="s">
        <v>5759</v>
      </c>
      <c r="M207" t="s">
        <v>414</v>
      </c>
    </row>
    <row r="208" spans="1:13" ht="15">
      <c r="C208" t="s">
        <v>6120</v>
      </c>
      <c r="D208" s="83" t="s">
        <v>5529</v>
      </c>
      <c r="E208" t="s">
        <v>5252</v>
      </c>
      <c r="F208" t="s">
        <v>5748</v>
      </c>
      <c r="M208" t="s">
        <v>414</v>
      </c>
    </row>
    <row r="209" spans="1:13" ht="15">
      <c r="C209" t="s">
        <v>7335</v>
      </c>
      <c r="D209" s="83" t="s">
        <v>4150</v>
      </c>
      <c r="E209" t="s">
        <v>5043</v>
      </c>
      <c r="F209" t="s">
        <v>31</v>
      </c>
    </row>
    <row r="210" spans="1:13" ht="15">
      <c r="C210" t="s">
        <v>6138</v>
      </c>
      <c r="D210" s="83" t="s">
        <v>5525</v>
      </c>
      <c r="E210" t="s">
        <v>5248</v>
      </c>
      <c r="F210" t="s">
        <v>5759</v>
      </c>
      <c r="M210" t="s">
        <v>414</v>
      </c>
    </row>
    <row r="211" spans="1:13" ht="15">
      <c r="C211" t="s">
        <v>6418</v>
      </c>
      <c r="D211" s="83" t="s">
        <v>5529</v>
      </c>
      <c r="E211" t="s">
        <v>5252</v>
      </c>
      <c r="F211" t="s">
        <v>5748</v>
      </c>
      <c r="M211" t="s">
        <v>414</v>
      </c>
    </row>
    <row r="212" spans="1:13" ht="15">
      <c r="C212" t="s">
        <v>7270</v>
      </c>
      <c r="D212" s="83" t="s">
        <v>5557</v>
      </c>
      <c r="E212" t="s">
        <v>5280</v>
      </c>
      <c r="F212" t="s">
        <v>5755</v>
      </c>
      <c r="M212" t="s">
        <v>414</v>
      </c>
    </row>
    <row r="213" spans="1:13" ht="15">
      <c r="C213" t="s">
        <v>7132</v>
      </c>
      <c r="D213" s="83" t="s">
        <v>4150</v>
      </c>
      <c r="E213" t="s">
        <v>5043</v>
      </c>
      <c r="F213" t="s">
        <v>31</v>
      </c>
    </row>
    <row r="214" spans="1:13" ht="15">
      <c r="C214" t="s">
        <v>7144</v>
      </c>
      <c r="D214" s="83" t="s">
        <v>5477</v>
      </c>
      <c r="E214" t="s">
        <v>5200</v>
      </c>
      <c r="F214" t="s">
        <v>5745</v>
      </c>
    </row>
    <row r="215" spans="1:13" ht="15">
      <c r="C215" t="s">
        <v>6631</v>
      </c>
      <c r="D215" s="83" t="s">
        <v>5529</v>
      </c>
      <c r="E215" t="s">
        <v>5252</v>
      </c>
      <c r="F215" t="s">
        <v>5748</v>
      </c>
      <c r="M215" t="s">
        <v>414</v>
      </c>
    </row>
    <row r="216" spans="1:13" ht="15">
      <c r="C216" t="s">
        <v>7498</v>
      </c>
      <c r="D216" s="83" t="s">
        <v>5616</v>
      </c>
      <c r="E216" t="s">
        <v>5339</v>
      </c>
      <c r="F216" t="s">
        <v>5748</v>
      </c>
      <c r="H216" t="s">
        <v>414</v>
      </c>
      <c r="I216" t="s">
        <v>414</v>
      </c>
      <c r="M216" t="s">
        <v>414</v>
      </c>
    </row>
    <row r="217" spans="1:13" ht="15">
      <c r="C217" t="s">
        <v>6995</v>
      </c>
      <c r="D217" s="83" t="s">
        <v>5854</v>
      </c>
      <c r="E217" t="s">
        <v>7772</v>
      </c>
      <c r="F217" t="s">
        <v>7773</v>
      </c>
      <c r="L217" t="s">
        <v>414</v>
      </c>
    </row>
    <row r="218" spans="1:13" ht="15">
      <c r="A218" t="s">
        <v>3739</v>
      </c>
      <c r="B218" s="12" t="s">
        <v>33</v>
      </c>
      <c r="C218" t="s">
        <v>6181</v>
      </c>
      <c r="D218" s="83" t="s">
        <v>5563</v>
      </c>
      <c r="E218" t="s">
        <v>5286</v>
      </c>
      <c r="F218" t="s">
        <v>5743</v>
      </c>
      <c r="H218" t="s">
        <v>414</v>
      </c>
      <c r="M218" t="s">
        <v>414</v>
      </c>
    </row>
    <row r="219" spans="1:13" ht="15">
      <c r="C219" t="s">
        <v>6254</v>
      </c>
      <c r="D219" s="83" t="s">
        <v>5486</v>
      </c>
      <c r="E219" t="s">
        <v>5209</v>
      </c>
      <c r="F219" t="s">
        <v>5750</v>
      </c>
      <c r="H219" t="s">
        <v>414</v>
      </c>
      <c r="M219" t="s">
        <v>414</v>
      </c>
    </row>
    <row r="220" spans="1:13" ht="15">
      <c r="C220" t="s">
        <v>6254</v>
      </c>
      <c r="D220" s="83" t="s">
        <v>5525</v>
      </c>
      <c r="E220" t="s">
        <v>5248</v>
      </c>
      <c r="F220" t="s">
        <v>5759</v>
      </c>
      <c r="M220" t="s">
        <v>414</v>
      </c>
    </row>
    <row r="221" spans="1:13" ht="15">
      <c r="A221" t="s">
        <v>4565</v>
      </c>
      <c r="B221" s="12" t="s">
        <v>395</v>
      </c>
      <c r="C221" t="s">
        <v>6174</v>
      </c>
      <c r="D221" s="83" t="s">
        <v>5548</v>
      </c>
      <c r="E221" t="s">
        <v>5271</v>
      </c>
      <c r="F221" t="s">
        <v>5786</v>
      </c>
      <c r="H221" t="s">
        <v>414</v>
      </c>
      <c r="M221" t="s">
        <v>414</v>
      </c>
    </row>
    <row r="222" spans="1:13" ht="15">
      <c r="C222" t="s">
        <v>6080</v>
      </c>
      <c r="D222" s="83" t="s">
        <v>5546</v>
      </c>
      <c r="E222" t="s">
        <v>5269</v>
      </c>
      <c r="F222" t="s">
        <v>5784</v>
      </c>
      <c r="L222" t="s">
        <v>414</v>
      </c>
    </row>
    <row r="223" spans="1:13" ht="15">
      <c r="A223" t="s">
        <v>3773</v>
      </c>
      <c r="B223" t="s">
        <v>1289</v>
      </c>
      <c r="C223" t="s">
        <v>7194</v>
      </c>
      <c r="D223" s="83" t="s">
        <v>5691</v>
      </c>
      <c r="E223" t="s">
        <v>5414</v>
      </c>
      <c r="F223" t="s">
        <v>5835</v>
      </c>
      <c r="H223" t="s">
        <v>414</v>
      </c>
      <c r="I223" t="s">
        <v>414</v>
      </c>
    </row>
    <row r="224" spans="1:13" ht="15">
      <c r="A224" t="s">
        <v>4450</v>
      </c>
      <c r="B224" t="s">
        <v>3356</v>
      </c>
      <c r="C224" t="s">
        <v>7243</v>
      </c>
      <c r="D224" s="83" t="s">
        <v>5691</v>
      </c>
      <c r="E224" t="s">
        <v>5414</v>
      </c>
      <c r="F224" t="s">
        <v>5835</v>
      </c>
      <c r="H224" t="s">
        <v>414</v>
      </c>
      <c r="I224" t="s">
        <v>414</v>
      </c>
    </row>
    <row r="225" spans="1:13" ht="15">
      <c r="A225" t="s">
        <v>4525</v>
      </c>
      <c r="B225" s="81" t="s">
        <v>4524</v>
      </c>
      <c r="C225" t="s">
        <v>5881</v>
      </c>
      <c r="D225" s="83" t="s">
        <v>5691</v>
      </c>
      <c r="E225" t="s">
        <v>5414</v>
      </c>
      <c r="F225" t="s">
        <v>5835</v>
      </c>
      <c r="H225" t="s">
        <v>414</v>
      </c>
      <c r="I225" t="s">
        <v>414</v>
      </c>
    </row>
    <row r="226" spans="1:13" ht="15">
      <c r="A226" t="s">
        <v>3755</v>
      </c>
      <c r="B226" t="s">
        <v>4533</v>
      </c>
      <c r="C226" t="s">
        <v>7330</v>
      </c>
      <c r="D226" s="83" t="s">
        <v>5691</v>
      </c>
      <c r="E226" t="s">
        <v>5414</v>
      </c>
      <c r="F226" t="s">
        <v>5835</v>
      </c>
      <c r="H226" t="s">
        <v>414</v>
      </c>
      <c r="I226" t="s">
        <v>414</v>
      </c>
    </row>
    <row r="227" spans="1:13" ht="15">
      <c r="C227" t="s">
        <v>6639</v>
      </c>
      <c r="D227" s="83" t="s">
        <v>5486</v>
      </c>
      <c r="E227" t="s">
        <v>5209</v>
      </c>
      <c r="F227" t="s">
        <v>5750</v>
      </c>
      <c r="H227" t="s">
        <v>414</v>
      </c>
      <c r="M227" t="s">
        <v>414</v>
      </c>
    </row>
    <row r="228" spans="1:13" ht="15">
      <c r="A228" t="s">
        <v>3746</v>
      </c>
      <c r="B228" s="12" t="s">
        <v>4482</v>
      </c>
      <c r="C228" t="s">
        <v>7391</v>
      </c>
      <c r="D228" s="83" t="s">
        <v>5691</v>
      </c>
      <c r="E228" t="s">
        <v>5414</v>
      </c>
      <c r="F228" t="s">
        <v>5835</v>
      </c>
      <c r="H228" t="s">
        <v>414</v>
      </c>
      <c r="I228" t="s">
        <v>414</v>
      </c>
    </row>
    <row r="229" spans="1:13" ht="15">
      <c r="C229" t="s">
        <v>6416</v>
      </c>
      <c r="D229" s="83" t="s">
        <v>5567</v>
      </c>
      <c r="E229" t="s">
        <v>5290</v>
      </c>
      <c r="F229" t="s">
        <v>5792</v>
      </c>
      <c r="H229" t="s">
        <v>414</v>
      </c>
      <c r="L229" t="s">
        <v>414</v>
      </c>
      <c r="M229" t="s">
        <v>414</v>
      </c>
    </row>
    <row r="230" spans="1:13" ht="15">
      <c r="A230" t="s">
        <v>3739</v>
      </c>
      <c r="B230" s="12" t="s">
        <v>33</v>
      </c>
      <c r="C230" t="s">
        <v>6034</v>
      </c>
      <c r="D230" s="83" t="s">
        <v>5691</v>
      </c>
      <c r="E230" t="s">
        <v>5414</v>
      </c>
      <c r="F230" t="s">
        <v>5835</v>
      </c>
      <c r="H230" t="s">
        <v>414</v>
      </c>
      <c r="I230" t="s">
        <v>414</v>
      </c>
    </row>
    <row r="231" spans="1:13" ht="15">
      <c r="C231" t="s">
        <v>6884</v>
      </c>
      <c r="D231" s="83" t="s">
        <v>5529</v>
      </c>
      <c r="E231" t="s">
        <v>5252</v>
      </c>
      <c r="F231" t="s">
        <v>5748</v>
      </c>
      <c r="M231" t="s">
        <v>414</v>
      </c>
    </row>
    <row r="232" spans="1:13" ht="15">
      <c r="A232" t="s">
        <v>3739</v>
      </c>
      <c r="B232" s="12" t="s">
        <v>33</v>
      </c>
      <c r="C232" t="s">
        <v>7126</v>
      </c>
      <c r="D232" s="83" t="s">
        <v>5705</v>
      </c>
      <c r="E232" t="s">
        <v>5429</v>
      </c>
      <c r="F232" t="s">
        <v>5743</v>
      </c>
      <c r="H232" t="s">
        <v>414</v>
      </c>
      <c r="M232" t="s">
        <v>414</v>
      </c>
    </row>
    <row r="233" spans="1:13" ht="15">
      <c r="A233" t="s">
        <v>3767</v>
      </c>
      <c r="B233" t="s">
        <v>1291</v>
      </c>
      <c r="C233" t="s">
        <v>6062</v>
      </c>
      <c r="D233" s="83" t="s">
        <v>5706</v>
      </c>
      <c r="E233" t="s">
        <v>5430</v>
      </c>
      <c r="F233" t="s">
        <v>5743</v>
      </c>
      <c r="H233" t="s">
        <v>414</v>
      </c>
      <c r="M233" t="s">
        <v>414</v>
      </c>
    </row>
    <row r="234" spans="1:13" ht="15">
      <c r="A234" t="s">
        <v>4525</v>
      </c>
      <c r="B234" s="81" t="s">
        <v>4524</v>
      </c>
      <c r="C234" t="s">
        <v>6001</v>
      </c>
      <c r="D234" s="83" t="s">
        <v>5706</v>
      </c>
      <c r="E234" t="s">
        <v>5430</v>
      </c>
      <c r="F234" t="s">
        <v>5743</v>
      </c>
      <c r="H234" t="s">
        <v>414</v>
      </c>
      <c r="M234" t="s">
        <v>414</v>
      </c>
    </row>
    <row r="235" spans="1:13" ht="15">
      <c r="A235" t="s">
        <v>4448</v>
      </c>
      <c r="B235" s="12" t="s">
        <v>1309</v>
      </c>
      <c r="C235" t="s">
        <v>6425</v>
      </c>
      <c r="D235" s="83" t="s">
        <v>5706</v>
      </c>
      <c r="E235" t="s">
        <v>5430</v>
      </c>
      <c r="F235" t="s">
        <v>5743</v>
      </c>
      <c r="H235" t="s">
        <v>414</v>
      </c>
      <c r="M235" t="s">
        <v>414</v>
      </c>
    </row>
    <row r="236" spans="1:13" ht="15">
      <c r="A236" t="s">
        <v>3735</v>
      </c>
      <c r="B236" s="74" t="s">
        <v>4288</v>
      </c>
      <c r="C236" t="s">
        <v>7293</v>
      </c>
      <c r="D236" s="83" t="s">
        <v>5706</v>
      </c>
      <c r="E236" t="s">
        <v>5430</v>
      </c>
      <c r="F236" t="s">
        <v>5743</v>
      </c>
      <c r="H236" t="s">
        <v>414</v>
      </c>
      <c r="M236" t="s">
        <v>414</v>
      </c>
    </row>
    <row r="237" spans="1:13" ht="15">
      <c r="A237" t="s">
        <v>3739</v>
      </c>
      <c r="B237" s="12" t="s">
        <v>33</v>
      </c>
      <c r="C237" t="s">
        <v>6181</v>
      </c>
      <c r="D237" s="83" t="s">
        <v>5706</v>
      </c>
      <c r="E237" t="s">
        <v>5430</v>
      </c>
      <c r="F237" t="s">
        <v>5743</v>
      </c>
      <c r="H237" t="s">
        <v>414</v>
      </c>
      <c r="M237" t="s">
        <v>414</v>
      </c>
    </row>
    <row r="238" spans="1:13" ht="15">
      <c r="A238" t="s">
        <v>4525</v>
      </c>
      <c r="B238" s="81" t="s">
        <v>4524</v>
      </c>
      <c r="C238" t="s">
        <v>6001</v>
      </c>
      <c r="D238" s="83" t="s">
        <v>5614</v>
      </c>
      <c r="E238" t="s">
        <v>5337</v>
      </c>
      <c r="F238" t="s">
        <v>5743</v>
      </c>
    </row>
    <row r="239" spans="1:13" ht="15">
      <c r="C239" t="s">
        <v>6822</v>
      </c>
      <c r="D239" s="83" t="s">
        <v>5525</v>
      </c>
      <c r="E239" t="s">
        <v>5248</v>
      </c>
      <c r="F239" t="s">
        <v>5759</v>
      </c>
      <c r="M239" t="s">
        <v>414</v>
      </c>
    </row>
    <row r="240" spans="1:13" ht="15">
      <c r="A240" t="s">
        <v>3746</v>
      </c>
      <c r="B240" s="12" t="s">
        <v>4482</v>
      </c>
      <c r="C240" t="s">
        <v>6263</v>
      </c>
      <c r="D240" s="83" t="s">
        <v>5614</v>
      </c>
      <c r="E240" t="s">
        <v>5337</v>
      </c>
      <c r="F240" t="s">
        <v>5743</v>
      </c>
    </row>
    <row r="241" spans="1:13" ht="15">
      <c r="A241" t="s">
        <v>10277</v>
      </c>
      <c r="B241" s="13" t="s">
        <v>1343</v>
      </c>
      <c r="C241" t="s">
        <v>6891</v>
      </c>
      <c r="D241" s="83" t="s">
        <v>5529</v>
      </c>
      <c r="E241" t="s">
        <v>5252</v>
      </c>
      <c r="F241" t="s">
        <v>5748</v>
      </c>
      <c r="M241" t="s">
        <v>414</v>
      </c>
    </row>
    <row r="242" spans="1:13" ht="15">
      <c r="A242" t="s">
        <v>3783</v>
      </c>
      <c r="B242" t="s">
        <v>301</v>
      </c>
      <c r="C242" t="s">
        <v>7081</v>
      </c>
      <c r="D242" s="83" t="s">
        <v>5584</v>
      </c>
      <c r="E242" t="s">
        <v>5307</v>
      </c>
      <c r="F242" t="s">
        <v>5798</v>
      </c>
    </row>
    <row r="243" spans="1:13" ht="15">
      <c r="A243" t="s">
        <v>4525</v>
      </c>
      <c r="B243" s="81" t="s">
        <v>4524</v>
      </c>
      <c r="C243" t="s">
        <v>7169</v>
      </c>
      <c r="D243" s="83" t="s">
        <v>5584</v>
      </c>
      <c r="E243" t="s">
        <v>5307</v>
      </c>
      <c r="F243" t="s">
        <v>5798</v>
      </c>
    </row>
    <row r="244" spans="1:13" ht="15">
      <c r="A244" t="s">
        <v>4565</v>
      </c>
      <c r="B244" s="12" t="s">
        <v>395</v>
      </c>
      <c r="C244" t="s">
        <v>5996</v>
      </c>
      <c r="D244" s="83" t="s">
        <v>5584</v>
      </c>
      <c r="E244" t="s">
        <v>5307</v>
      </c>
      <c r="F244" t="s">
        <v>5798</v>
      </c>
    </row>
    <row r="245" spans="1:13" ht="15">
      <c r="C245" t="s">
        <v>6344</v>
      </c>
      <c r="D245" s="83" t="s">
        <v>5507</v>
      </c>
      <c r="E245" t="s">
        <v>5230</v>
      </c>
      <c r="F245" t="s">
        <v>5748</v>
      </c>
      <c r="H245" t="s">
        <v>414</v>
      </c>
      <c r="M245" t="s">
        <v>414</v>
      </c>
    </row>
    <row r="246" spans="1:13" ht="15">
      <c r="C246" t="s">
        <v>6806</v>
      </c>
      <c r="D246" s="83" t="s">
        <v>5486</v>
      </c>
      <c r="E246" t="s">
        <v>5209</v>
      </c>
      <c r="F246" t="s">
        <v>5750</v>
      </c>
      <c r="H246" t="s">
        <v>414</v>
      </c>
      <c r="M246" t="s">
        <v>414</v>
      </c>
    </row>
    <row r="247" spans="1:13" ht="15">
      <c r="A247" t="s">
        <v>4453</v>
      </c>
      <c r="B247" s="81" t="s">
        <v>3175</v>
      </c>
      <c r="C247" t="s">
        <v>6238</v>
      </c>
      <c r="D247" s="83" t="s">
        <v>5453</v>
      </c>
      <c r="E247" t="s">
        <v>5176</v>
      </c>
      <c r="F247" t="s">
        <v>5729</v>
      </c>
      <c r="H247" t="s">
        <v>414</v>
      </c>
      <c r="K247" t="s">
        <v>414</v>
      </c>
      <c r="L247" t="s">
        <v>414</v>
      </c>
    </row>
    <row r="248" spans="1:13" ht="15">
      <c r="A248" t="s">
        <v>4549</v>
      </c>
      <c r="B248" t="s">
        <v>4548</v>
      </c>
      <c r="C248" t="s">
        <v>6589</v>
      </c>
      <c r="D248" s="83" t="s">
        <v>5529</v>
      </c>
      <c r="E248" t="s">
        <v>5252</v>
      </c>
      <c r="F248" t="s">
        <v>5748</v>
      </c>
      <c r="M248" t="s">
        <v>414</v>
      </c>
    </row>
    <row r="249" spans="1:13" ht="15">
      <c r="A249" t="s">
        <v>4565</v>
      </c>
      <c r="B249" s="12" t="s">
        <v>395</v>
      </c>
      <c r="C249" t="s">
        <v>5987</v>
      </c>
      <c r="D249" s="83" t="s">
        <v>5453</v>
      </c>
      <c r="E249" t="s">
        <v>5176</v>
      </c>
      <c r="F249" t="s">
        <v>5729</v>
      </c>
      <c r="H249" t="s">
        <v>414</v>
      </c>
      <c r="K249" t="s">
        <v>414</v>
      </c>
      <c r="L249" t="s">
        <v>414</v>
      </c>
    </row>
    <row r="250" spans="1:13" ht="15">
      <c r="A250" t="s">
        <v>4446</v>
      </c>
      <c r="B250" t="s">
        <v>4445</v>
      </c>
      <c r="C250" t="s">
        <v>6484</v>
      </c>
      <c r="D250" s="83" t="s">
        <v>5453</v>
      </c>
      <c r="E250" t="s">
        <v>5176</v>
      </c>
      <c r="F250" t="s">
        <v>5729</v>
      </c>
      <c r="H250" t="s">
        <v>414</v>
      </c>
      <c r="K250" t="s">
        <v>414</v>
      </c>
      <c r="L250" t="s">
        <v>414</v>
      </c>
    </row>
    <row r="251" spans="1:13" ht="15">
      <c r="A251" t="s">
        <v>4549</v>
      </c>
      <c r="B251" t="s">
        <v>4548</v>
      </c>
      <c r="C251" t="s">
        <v>5909</v>
      </c>
      <c r="D251" s="83" t="s">
        <v>5593</v>
      </c>
      <c r="E251" t="s">
        <v>5316</v>
      </c>
      <c r="F251" t="s">
        <v>5800</v>
      </c>
      <c r="H251" t="s">
        <v>414</v>
      </c>
      <c r="L251" t="s">
        <v>414</v>
      </c>
      <c r="M251" t="s">
        <v>414</v>
      </c>
    </row>
    <row r="252" spans="1:13" ht="15">
      <c r="A252" t="s">
        <v>4549</v>
      </c>
      <c r="B252" t="s">
        <v>4548</v>
      </c>
      <c r="C252" t="s">
        <v>5909</v>
      </c>
      <c r="D252" s="83" t="s">
        <v>5498</v>
      </c>
      <c r="E252" t="s">
        <v>5221</v>
      </c>
      <c r="F252" t="s">
        <v>5759</v>
      </c>
      <c r="H252" t="s">
        <v>414</v>
      </c>
      <c r="M252" t="s">
        <v>414</v>
      </c>
    </row>
    <row r="253" spans="1:13" ht="15">
      <c r="A253" t="s">
        <v>4549</v>
      </c>
      <c r="B253" t="s">
        <v>4548</v>
      </c>
      <c r="C253" t="s">
        <v>6659</v>
      </c>
      <c r="D253" s="83" t="s">
        <v>4142</v>
      </c>
      <c r="E253" t="s">
        <v>5035</v>
      </c>
      <c r="F253" t="s">
        <v>5799</v>
      </c>
      <c r="H253" t="s">
        <v>414</v>
      </c>
      <c r="K253" t="s">
        <v>414</v>
      </c>
      <c r="L253" t="s">
        <v>414</v>
      </c>
    </row>
    <row r="254" spans="1:13" ht="15">
      <c r="C254" t="s">
        <v>6936</v>
      </c>
      <c r="D254" s="83" t="s">
        <v>5854</v>
      </c>
      <c r="E254" t="s">
        <v>7772</v>
      </c>
      <c r="F254" t="s">
        <v>7773</v>
      </c>
      <c r="L254" t="s">
        <v>414</v>
      </c>
    </row>
    <row r="255" spans="1:13" ht="15">
      <c r="C255" t="s">
        <v>6741</v>
      </c>
      <c r="D255" s="83" t="s">
        <v>5529</v>
      </c>
      <c r="E255" t="s">
        <v>5252</v>
      </c>
      <c r="F255" t="s">
        <v>5748</v>
      </c>
      <c r="M255" t="s">
        <v>414</v>
      </c>
    </row>
    <row r="256" spans="1:13" ht="15">
      <c r="A256" t="s">
        <v>3764</v>
      </c>
      <c r="B256" s="12" t="s">
        <v>31</v>
      </c>
      <c r="C256" t="s">
        <v>6025</v>
      </c>
      <c r="D256" s="83" t="s">
        <v>4181</v>
      </c>
      <c r="E256" t="s">
        <v>5075</v>
      </c>
      <c r="F256" t="s">
        <v>5830</v>
      </c>
      <c r="H256" t="s">
        <v>414</v>
      </c>
      <c r="L256" t="s">
        <v>414</v>
      </c>
    </row>
    <row r="257" spans="1:13" ht="15">
      <c r="A257" t="s">
        <v>4446</v>
      </c>
      <c r="B257" t="s">
        <v>4445</v>
      </c>
      <c r="C257" t="s">
        <v>6155</v>
      </c>
      <c r="D257" s="83" t="s">
        <v>4181</v>
      </c>
      <c r="E257" t="s">
        <v>5075</v>
      </c>
      <c r="F257" t="s">
        <v>5830</v>
      </c>
      <c r="H257" t="s">
        <v>414</v>
      </c>
      <c r="L257" t="s">
        <v>414</v>
      </c>
    </row>
    <row r="258" spans="1:13" ht="15">
      <c r="C258" t="s">
        <v>6741</v>
      </c>
      <c r="D258" s="83" t="s">
        <v>5521</v>
      </c>
      <c r="E258" t="s">
        <v>5244</v>
      </c>
      <c r="F258" t="s">
        <v>5748</v>
      </c>
      <c r="H258" t="s">
        <v>414</v>
      </c>
      <c r="I258" t="s">
        <v>414</v>
      </c>
      <c r="L258" t="s">
        <v>414</v>
      </c>
      <c r="M258" t="s">
        <v>414</v>
      </c>
    </row>
    <row r="259" spans="1:13" ht="15">
      <c r="A259" t="s">
        <v>3739</v>
      </c>
      <c r="B259" s="12" t="s">
        <v>33</v>
      </c>
      <c r="C259" t="s">
        <v>6020</v>
      </c>
      <c r="D259" s="83" t="s">
        <v>4181</v>
      </c>
      <c r="E259" t="s">
        <v>5075</v>
      </c>
      <c r="F259" t="s">
        <v>5830</v>
      </c>
      <c r="H259" t="s">
        <v>414</v>
      </c>
      <c r="L259" t="s">
        <v>414</v>
      </c>
    </row>
    <row r="260" spans="1:13" ht="15">
      <c r="C260" t="s">
        <v>7553</v>
      </c>
      <c r="D260" s="83" t="s">
        <v>5557</v>
      </c>
      <c r="E260" t="s">
        <v>5280</v>
      </c>
      <c r="F260" t="s">
        <v>5755</v>
      </c>
      <c r="M260" t="s">
        <v>414</v>
      </c>
    </row>
    <row r="261" spans="1:13" ht="15">
      <c r="C261" t="s">
        <v>7179</v>
      </c>
      <c r="D261" s="83" t="s">
        <v>5625</v>
      </c>
      <c r="E261" t="s">
        <v>5348</v>
      </c>
      <c r="F261" t="s">
        <v>5773</v>
      </c>
      <c r="H261" t="s">
        <v>414</v>
      </c>
      <c r="M261" t="s">
        <v>414</v>
      </c>
    </row>
    <row r="262" spans="1:13" ht="15">
      <c r="A262" t="s">
        <v>3737</v>
      </c>
      <c r="B262" s="74" t="s">
        <v>4421</v>
      </c>
      <c r="C262" t="s">
        <v>6252</v>
      </c>
      <c r="D262" s="83" t="s">
        <v>5578</v>
      </c>
      <c r="E262" t="s">
        <v>5301</v>
      </c>
      <c r="F262" t="s">
        <v>5796</v>
      </c>
      <c r="K262" t="s">
        <v>414</v>
      </c>
    </row>
    <row r="263" spans="1:13" ht="15">
      <c r="C263" t="s">
        <v>7583</v>
      </c>
      <c r="D263" s="83" t="s">
        <v>5526</v>
      </c>
      <c r="E263" t="s">
        <v>5249</v>
      </c>
      <c r="F263" t="s">
        <v>5773</v>
      </c>
      <c r="H263" t="s">
        <v>414</v>
      </c>
      <c r="M263" t="s">
        <v>414</v>
      </c>
    </row>
    <row r="264" spans="1:13" ht="15">
      <c r="C264" t="s">
        <v>6906</v>
      </c>
      <c r="D264" s="83" t="s">
        <v>5486</v>
      </c>
      <c r="E264" t="s">
        <v>5209</v>
      </c>
      <c r="F264" t="s">
        <v>5750</v>
      </c>
      <c r="H264" t="s">
        <v>414</v>
      </c>
      <c r="M264" t="s">
        <v>414</v>
      </c>
    </row>
    <row r="265" spans="1:13" ht="15">
      <c r="A265" t="s">
        <v>4453</v>
      </c>
      <c r="B265" s="81" t="s">
        <v>3175</v>
      </c>
      <c r="C265" t="s">
        <v>6492</v>
      </c>
      <c r="D265" s="83" t="s">
        <v>5578</v>
      </c>
      <c r="E265" t="s">
        <v>5301</v>
      </c>
      <c r="F265" t="s">
        <v>5796</v>
      </c>
      <c r="K265" t="s">
        <v>414</v>
      </c>
    </row>
    <row r="266" spans="1:13" ht="15">
      <c r="A266" t="s">
        <v>3739</v>
      </c>
      <c r="B266" s="12" t="s">
        <v>33</v>
      </c>
      <c r="C266" t="s">
        <v>6551</v>
      </c>
      <c r="D266" s="83" t="s">
        <v>5578</v>
      </c>
      <c r="E266" t="s">
        <v>5301</v>
      </c>
      <c r="F266" t="s">
        <v>5796</v>
      </c>
      <c r="K266" t="s">
        <v>414</v>
      </c>
    </row>
    <row r="267" spans="1:13" ht="15">
      <c r="C267" t="s">
        <v>7621</v>
      </c>
      <c r="D267" s="83" t="s">
        <v>5557</v>
      </c>
      <c r="E267" t="s">
        <v>5280</v>
      </c>
      <c r="F267" t="s">
        <v>5755</v>
      </c>
      <c r="M267" t="s">
        <v>414</v>
      </c>
    </row>
    <row r="268" spans="1:13" ht="15">
      <c r="C268" t="s">
        <v>6953</v>
      </c>
      <c r="D268" s="83" t="s">
        <v>5854</v>
      </c>
      <c r="E268" t="s">
        <v>7772</v>
      </c>
      <c r="F268" t="s">
        <v>7773</v>
      </c>
      <c r="L268" t="s">
        <v>414</v>
      </c>
    </row>
    <row r="269" spans="1:13" ht="15">
      <c r="C269" t="s">
        <v>6018</v>
      </c>
      <c r="D269" s="83" t="s">
        <v>5566</v>
      </c>
      <c r="E269" t="s">
        <v>5289</v>
      </c>
      <c r="F269" t="s">
        <v>5748</v>
      </c>
      <c r="H269" t="s">
        <v>414</v>
      </c>
      <c r="M269" t="s">
        <v>414</v>
      </c>
    </row>
    <row r="270" spans="1:13" ht="15">
      <c r="A270" t="s">
        <v>4525</v>
      </c>
      <c r="B270" s="81" t="s">
        <v>4524</v>
      </c>
      <c r="C270" t="s">
        <v>6102</v>
      </c>
      <c r="D270" s="83" t="s">
        <v>5578</v>
      </c>
      <c r="E270" t="s">
        <v>5301</v>
      </c>
      <c r="F270" t="s">
        <v>5796</v>
      </c>
      <c r="K270" t="s">
        <v>414</v>
      </c>
    </row>
    <row r="271" spans="1:13" ht="15">
      <c r="C271" t="s">
        <v>6018</v>
      </c>
      <c r="D271" s="83" t="s">
        <v>5529</v>
      </c>
      <c r="E271" t="s">
        <v>5252</v>
      </c>
      <c r="F271" t="s">
        <v>5748</v>
      </c>
      <c r="M271" t="s">
        <v>414</v>
      </c>
    </row>
    <row r="272" spans="1:13" ht="15">
      <c r="C272" t="s">
        <v>6982</v>
      </c>
      <c r="D272" s="83" t="s">
        <v>5529</v>
      </c>
      <c r="E272" t="s">
        <v>5252</v>
      </c>
      <c r="F272" t="s">
        <v>5748</v>
      </c>
      <c r="M272" t="s">
        <v>414</v>
      </c>
    </row>
    <row r="273" spans="1:13" ht="15">
      <c r="A273" t="s">
        <v>3738</v>
      </c>
      <c r="B273" s="74" t="s">
        <v>4300</v>
      </c>
      <c r="C273" t="s">
        <v>5886</v>
      </c>
      <c r="D273" s="83" t="s">
        <v>5578</v>
      </c>
      <c r="E273" t="s">
        <v>5301</v>
      </c>
      <c r="F273" t="s">
        <v>5796</v>
      </c>
      <c r="K273" t="s">
        <v>414</v>
      </c>
    </row>
    <row r="274" spans="1:13" ht="15">
      <c r="A274" t="s">
        <v>3139</v>
      </c>
      <c r="B274" t="s">
        <v>4285</v>
      </c>
      <c r="C274" t="s">
        <v>6789</v>
      </c>
      <c r="D274" s="83" t="s">
        <v>5578</v>
      </c>
      <c r="E274" t="s">
        <v>5301</v>
      </c>
      <c r="F274" t="s">
        <v>5796</v>
      </c>
      <c r="K274" t="s">
        <v>414</v>
      </c>
    </row>
    <row r="275" spans="1:13" ht="15">
      <c r="A275" t="s">
        <v>3739</v>
      </c>
      <c r="B275" s="12" t="s">
        <v>33</v>
      </c>
      <c r="C275" t="s">
        <v>7094</v>
      </c>
      <c r="D275" s="83" t="s">
        <v>5612</v>
      </c>
      <c r="E275" t="s">
        <v>5335</v>
      </c>
      <c r="F275" t="s">
        <v>27</v>
      </c>
    </row>
    <row r="276" spans="1:13" ht="15">
      <c r="A276" t="s">
        <v>3739</v>
      </c>
      <c r="B276" s="12" t="s">
        <v>33</v>
      </c>
      <c r="C276" t="s">
        <v>6034</v>
      </c>
      <c r="D276" s="83" t="s">
        <v>5612</v>
      </c>
      <c r="E276" t="s">
        <v>5335</v>
      </c>
      <c r="F276" t="s">
        <v>27</v>
      </c>
    </row>
    <row r="277" spans="1:13" ht="15">
      <c r="A277" t="s">
        <v>10276</v>
      </c>
      <c r="B277" s="117" t="s">
        <v>1396</v>
      </c>
      <c r="C277" t="s">
        <v>6552</v>
      </c>
      <c r="D277" s="83" t="s">
        <v>5498</v>
      </c>
      <c r="E277" t="s">
        <v>5221</v>
      </c>
      <c r="F277" t="s">
        <v>5759</v>
      </c>
      <c r="H277" t="s">
        <v>414</v>
      </c>
      <c r="M277" t="s">
        <v>414</v>
      </c>
    </row>
    <row r="278" spans="1:13" ht="15">
      <c r="C278" t="s">
        <v>6867</v>
      </c>
      <c r="D278" s="83" t="s">
        <v>5589</v>
      </c>
      <c r="E278" t="s">
        <v>5312</v>
      </c>
      <c r="F278" t="s">
        <v>5748</v>
      </c>
      <c r="H278" t="s">
        <v>414</v>
      </c>
      <c r="M278" t="s">
        <v>414</v>
      </c>
    </row>
    <row r="279" spans="1:13" ht="15">
      <c r="A279" t="s">
        <v>3764</v>
      </c>
      <c r="B279" s="12" t="s">
        <v>31</v>
      </c>
      <c r="C279" t="s">
        <v>6287</v>
      </c>
      <c r="D279" s="83" t="s">
        <v>28</v>
      </c>
      <c r="E279" t="s">
        <v>5423</v>
      </c>
      <c r="F279" t="s">
        <v>27</v>
      </c>
      <c r="H279" t="s">
        <v>414</v>
      </c>
      <c r="I279" t="s">
        <v>414</v>
      </c>
      <c r="L279" t="s">
        <v>414</v>
      </c>
    </row>
    <row r="280" spans="1:13" ht="15">
      <c r="A280" t="s">
        <v>3764</v>
      </c>
      <c r="B280" s="12" t="s">
        <v>31</v>
      </c>
      <c r="C280" t="s">
        <v>6375</v>
      </c>
      <c r="D280" s="83" t="s">
        <v>28</v>
      </c>
      <c r="E280" t="s">
        <v>5423</v>
      </c>
      <c r="F280" t="s">
        <v>27</v>
      </c>
      <c r="H280" t="s">
        <v>414</v>
      </c>
      <c r="I280" t="s">
        <v>414</v>
      </c>
      <c r="L280" t="s">
        <v>414</v>
      </c>
    </row>
    <row r="281" spans="1:13" ht="15">
      <c r="A281" t="s">
        <v>3739</v>
      </c>
      <c r="B281" s="12" t="s">
        <v>33</v>
      </c>
      <c r="C281" t="s">
        <v>6453</v>
      </c>
      <c r="D281" s="83" t="s">
        <v>28</v>
      </c>
      <c r="E281" t="s">
        <v>5423</v>
      </c>
      <c r="F281" t="s">
        <v>27</v>
      </c>
      <c r="H281" t="s">
        <v>414</v>
      </c>
      <c r="I281" t="s">
        <v>414</v>
      </c>
      <c r="L281" t="s">
        <v>414</v>
      </c>
    </row>
    <row r="282" spans="1:13" ht="15">
      <c r="C282" t="s">
        <v>6877</v>
      </c>
      <c r="D282" s="83" t="s">
        <v>5589</v>
      </c>
      <c r="E282" t="s">
        <v>5312</v>
      </c>
      <c r="F282" t="s">
        <v>5748</v>
      </c>
      <c r="H282" t="s">
        <v>414</v>
      </c>
      <c r="M282" t="s">
        <v>414</v>
      </c>
    </row>
    <row r="283" spans="1:13" ht="15">
      <c r="C283" t="s">
        <v>6877</v>
      </c>
      <c r="D283" s="83" t="s">
        <v>5525</v>
      </c>
      <c r="E283" t="s">
        <v>5248</v>
      </c>
      <c r="F283" t="s">
        <v>5759</v>
      </c>
      <c r="M283" t="s">
        <v>414</v>
      </c>
    </row>
    <row r="284" spans="1:13" ht="15">
      <c r="C284" t="s">
        <v>6951</v>
      </c>
      <c r="D284" s="83" t="s">
        <v>5493</v>
      </c>
      <c r="E284" t="s">
        <v>5216</v>
      </c>
      <c r="F284" t="s">
        <v>5755</v>
      </c>
      <c r="H284" t="s">
        <v>414</v>
      </c>
      <c r="M284" t="s">
        <v>414</v>
      </c>
    </row>
    <row r="285" spans="1:13" ht="15">
      <c r="C285" t="s">
        <v>6951</v>
      </c>
      <c r="D285" s="83" t="s">
        <v>5854</v>
      </c>
      <c r="E285" t="s">
        <v>7772</v>
      </c>
      <c r="F285" t="s">
        <v>7773</v>
      </c>
      <c r="L285" t="s">
        <v>414</v>
      </c>
    </row>
    <row r="286" spans="1:13" ht="15">
      <c r="A286" t="s">
        <v>3741</v>
      </c>
      <c r="B286" s="86" t="s">
        <v>4295</v>
      </c>
      <c r="C286" t="s">
        <v>6905</v>
      </c>
      <c r="D286" s="83" t="s">
        <v>5857</v>
      </c>
      <c r="E286" t="s">
        <v>7776</v>
      </c>
      <c r="F286" t="s">
        <v>5755</v>
      </c>
      <c r="L286" t="s">
        <v>414</v>
      </c>
    </row>
    <row r="287" spans="1:13" ht="15">
      <c r="A287" t="s">
        <v>3739</v>
      </c>
      <c r="B287" s="12" t="s">
        <v>33</v>
      </c>
      <c r="C287" t="s">
        <v>6034</v>
      </c>
      <c r="D287" s="83" t="s">
        <v>5687</v>
      </c>
      <c r="E287" t="s">
        <v>5410</v>
      </c>
      <c r="F287" t="s">
        <v>5826</v>
      </c>
      <c r="K287" t="s">
        <v>414</v>
      </c>
    </row>
    <row r="288" spans="1:13" ht="15">
      <c r="A288" t="s">
        <v>3739</v>
      </c>
      <c r="B288" s="12" t="s">
        <v>33</v>
      </c>
      <c r="C288" t="s">
        <v>6022</v>
      </c>
      <c r="D288" s="83" t="s">
        <v>35</v>
      </c>
      <c r="E288" t="s">
        <v>34</v>
      </c>
      <c r="F288" t="s">
        <v>27</v>
      </c>
      <c r="H288" t="s">
        <v>414</v>
      </c>
      <c r="I288" t="s">
        <v>414</v>
      </c>
      <c r="K288" t="s">
        <v>414</v>
      </c>
    </row>
    <row r="289" spans="1:13" ht="15">
      <c r="A289" t="s">
        <v>3739</v>
      </c>
      <c r="B289" s="12" t="s">
        <v>33</v>
      </c>
      <c r="C289" t="s">
        <v>6153</v>
      </c>
      <c r="D289" s="83" t="s">
        <v>35</v>
      </c>
      <c r="E289" t="s">
        <v>34</v>
      </c>
      <c r="F289" t="s">
        <v>27</v>
      </c>
      <c r="H289" t="s">
        <v>414</v>
      </c>
      <c r="I289" t="s">
        <v>414</v>
      </c>
      <c r="K289" t="s">
        <v>414</v>
      </c>
    </row>
    <row r="290" spans="1:13" ht="15">
      <c r="A290" t="s">
        <v>3739</v>
      </c>
      <c r="B290" s="12" t="s">
        <v>33</v>
      </c>
      <c r="C290" t="s">
        <v>6037</v>
      </c>
      <c r="D290" s="83" t="s">
        <v>5661</v>
      </c>
      <c r="E290" t="s">
        <v>5384</v>
      </c>
      <c r="F290" t="s">
        <v>5826</v>
      </c>
      <c r="L290" t="s">
        <v>414</v>
      </c>
    </row>
    <row r="291" spans="1:13" ht="15">
      <c r="C291" t="s">
        <v>6448</v>
      </c>
      <c r="D291" s="83" t="s">
        <v>5557</v>
      </c>
      <c r="E291" t="s">
        <v>5280</v>
      </c>
      <c r="F291" t="s">
        <v>5755</v>
      </c>
      <c r="M291" t="s">
        <v>414</v>
      </c>
    </row>
    <row r="292" spans="1:13" ht="15">
      <c r="A292" t="s">
        <v>4565</v>
      </c>
      <c r="B292" s="12" t="s">
        <v>395</v>
      </c>
      <c r="C292" t="s">
        <v>6164</v>
      </c>
      <c r="D292" s="83" t="s">
        <v>5697</v>
      </c>
      <c r="E292" t="s">
        <v>5420</v>
      </c>
      <c r="F292" t="s">
        <v>27</v>
      </c>
      <c r="L292" t="s">
        <v>414</v>
      </c>
    </row>
    <row r="293" spans="1:13" ht="15">
      <c r="C293" t="s">
        <v>6448</v>
      </c>
      <c r="D293" s="83" t="s">
        <v>4175</v>
      </c>
      <c r="E293" t="s">
        <v>5069</v>
      </c>
      <c r="F293" t="s">
        <v>5807</v>
      </c>
      <c r="H293" t="s">
        <v>414</v>
      </c>
    </row>
    <row r="294" spans="1:13" ht="15">
      <c r="C294" t="s">
        <v>6958</v>
      </c>
      <c r="D294" s="83" t="s">
        <v>5486</v>
      </c>
      <c r="E294" t="s">
        <v>5209</v>
      </c>
      <c r="F294" t="s">
        <v>5750</v>
      </c>
      <c r="H294" t="s">
        <v>414</v>
      </c>
      <c r="M294" t="s">
        <v>414</v>
      </c>
    </row>
    <row r="295" spans="1:13" ht="15">
      <c r="A295" t="s">
        <v>3739</v>
      </c>
      <c r="B295" s="12" t="s">
        <v>33</v>
      </c>
      <c r="C295" t="s">
        <v>6446</v>
      </c>
      <c r="D295" s="83" t="s">
        <v>5697</v>
      </c>
      <c r="E295" t="s">
        <v>5420</v>
      </c>
      <c r="F295" t="s">
        <v>27</v>
      </c>
      <c r="L295" t="s">
        <v>414</v>
      </c>
    </row>
    <row r="296" spans="1:13" ht="15">
      <c r="A296" t="s">
        <v>3739</v>
      </c>
      <c r="B296" s="12" t="s">
        <v>33</v>
      </c>
      <c r="C296" t="s">
        <v>6510</v>
      </c>
      <c r="D296" s="83" t="s">
        <v>5697</v>
      </c>
      <c r="E296" t="s">
        <v>5420</v>
      </c>
      <c r="F296" t="s">
        <v>27</v>
      </c>
      <c r="L296" t="s">
        <v>414</v>
      </c>
    </row>
    <row r="297" spans="1:13" ht="15">
      <c r="C297" t="s">
        <v>6961</v>
      </c>
      <c r="D297" s="83" t="s">
        <v>5493</v>
      </c>
      <c r="E297" t="s">
        <v>5216</v>
      </c>
      <c r="F297" t="s">
        <v>5755</v>
      </c>
      <c r="H297" t="s">
        <v>414</v>
      </c>
      <c r="M297" t="s">
        <v>414</v>
      </c>
    </row>
    <row r="298" spans="1:13" ht="15">
      <c r="C298" t="s">
        <v>6961</v>
      </c>
      <c r="D298" s="83" t="s">
        <v>5486</v>
      </c>
      <c r="E298" t="s">
        <v>5209</v>
      </c>
      <c r="F298" t="s">
        <v>5750</v>
      </c>
      <c r="H298" t="s">
        <v>414</v>
      </c>
      <c r="M298" t="s">
        <v>414</v>
      </c>
    </row>
    <row r="299" spans="1:13" ht="15">
      <c r="C299" t="s">
        <v>6964</v>
      </c>
      <c r="D299" s="83" t="s">
        <v>5557</v>
      </c>
      <c r="E299" t="s">
        <v>5280</v>
      </c>
      <c r="F299" t="s">
        <v>5755</v>
      </c>
      <c r="M299" t="s">
        <v>414</v>
      </c>
    </row>
    <row r="300" spans="1:13" ht="15">
      <c r="C300" t="s">
        <v>6964</v>
      </c>
      <c r="D300" s="83" t="s">
        <v>5486</v>
      </c>
      <c r="E300" t="s">
        <v>5209</v>
      </c>
      <c r="F300" t="s">
        <v>5750</v>
      </c>
      <c r="H300" t="s">
        <v>414</v>
      </c>
      <c r="M300" t="s">
        <v>414</v>
      </c>
    </row>
    <row r="301" spans="1:13" ht="15">
      <c r="C301" t="s">
        <v>6972</v>
      </c>
      <c r="D301" s="83" t="s">
        <v>5493</v>
      </c>
      <c r="E301" t="s">
        <v>5216</v>
      </c>
      <c r="F301" t="s">
        <v>5755</v>
      </c>
      <c r="H301" t="s">
        <v>414</v>
      </c>
      <c r="M301" t="s">
        <v>414</v>
      </c>
    </row>
    <row r="302" spans="1:13" ht="15">
      <c r="C302" t="s">
        <v>6972</v>
      </c>
      <c r="D302" s="83" t="s">
        <v>5486</v>
      </c>
      <c r="E302" t="s">
        <v>5209</v>
      </c>
      <c r="F302" t="s">
        <v>5750</v>
      </c>
      <c r="H302" t="s">
        <v>414</v>
      </c>
      <c r="M302" t="s">
        <v>414</v>
      </c>
    </row>
    <row r="303" spans="1:13" ht="15">
      <c r="C303" t="s">
        <v>6972</v>
      </c>
      <c r="D303" s="83" t="s">
        <v>5529</v>
      </c>
      <c r="E303" t="s">
        <v>5252</v>
      </c>
      <c r="F303" t="s">
        <v>5748</v>
      </c>
      <c r="M303" t="s">
        <v>414</v>
      </c>
    </row>
    <row r="304" spans="1:13" ht="15">
      <c r="C304" t="s">
        <v>7589</v>
      </c>
      <c r="D304" s="83" t="s">
        <v>5602</v>
      </c>
      <c r="E304" t="s">
        <v>5325</v>
      </c>
      <c r="F304" t="s">
        <v>1291</v>
      </c>
      <c r="H304" t="s">
        <v>414</v>
      </c>
      <c r="M304" t="s">
        <v>414</v>
      </c>
    </row>
    <row r="305" spans="1:13" ht="15">
      <c r="C305" t="s">
        <v>7761</v>
      </c>
      <c r="D305" s="83" t="s">
        <v>4150</v>
      </c>
      <c r="E305" t="s">
        <v>5043</v>
      </c>
      <c r="F305" t="s">
        <v>31</v>
      </c>
    </row>
    <row r="306" spans="1:13" ht="15">
      <c r="C306" t="s">
        <v>7600</v>
      </c>
      <c r="D306" s="83" t="s">
        <v>5602</v>
      </c>
      <c r="E306" t="s">
        <v>5325</v>
      </c>
      <c r="F306" t="s">
        <v>1291</v>
      </c>
      <c r="H306" t="s">
        <v>414</v>
      </c>
      <c r="M306" t="s">
        <v>414</v>
      </c>
    </row>
    <row r="307" spans="1:13" ht="15">
      <c r="C307" t="s">
        <v>6241</v>
      </c>
      <c r="D307" s="83" t="s">
        <v>5574</v>
      </c>
      <c r="E307" t="s">
        <v>5297</v>
      </c>
      <c r="F307" t="s">
        <v>5794</v>
      </c>
      <c r="H307" t="s">
        <v>414</v>
      </c>
      <c r="M307" t="s">
        <v>414</v>
      </c>
    </row>
    <row r="308" spans="1:13" ht="15">
      <c r="A308" t="s">
        <v>4525</v>
      </c>
      <c r="B308" s="81" t="s">
        <v>4524</v>
      </c>
      <c r="C308" t="s">
        <v>6057</v>
      </c>
      <c r="D308" s="83" t="s">
        <v>5645</v>
      </c>
      <c r="E308" t="s">
        <v>5368</v>
      </c>
      <c r="F308" t="s">
        <v>5825</v>
      </c>
      <c r="K308" t="s">
        <v>414</v>
      </c>
      <c r="L308" t="s">
        <v>414</v>
      </c>
    </row>
    <row r="309" spans="1:13" ht="15">
      <c r="A309" t="s">
        <v>4448</v>
      </c>
      <c r="B309" s="12" t="s">
        <v>1309</v>
      </c>
      <c r="C309" t="s">
        <v>6209</v>
      </c>
      <c r="D309" s="83" t="s">
        <v>5645</v>
      </c>
      <c r="E309" t="s">
        <v>5368</v>
      </c>
      <c r="F309" t="s">
        <v>5825</v>
      </c>
      <c r="K309" t="s">
        <v>414</v>
      </c>
      <c r="L309" t="s">
        <v>414</v>
      </c>
    </row>
    <row r="310" spans="1:13" ht="15">
      <c r="C310" t="s">
        <v>6470</v>
      </c>
      <c r="D310" s="83" t="s">
        <v>5634</v>
      </c>
      <c r="E310" t="s">
        <v>5357</v>
      </c>
      <c r="F310" t="s">
        <v>5811</v>
      </c>
      <c r="H310" t="s">
        <v>414</v>
      </c>
      <c r="L310" t="s">
        <v>414</v>
      </c>
      <c r="M310" t="s">
        <v>414</v>
      </c>
    </row>
    <row r="311" spans="1:13" ht="15">
      <c r="A311" t="s">
        <v>3739</v>
      </c>
      <c r="B311" s="12" t="s">
        <v>33</v>
      </c>
      <c r="C311" t="s">
        <v>6181</v>
      </c>
      <c r="D311" s="83" t="s">
        <v>5645</v>
      </c>
      <c r="E311" t="s">
        <v>5368</v>
      </c>
      <c r="F311" t="s">
        <v>5825</v>
      </c>
      <c r="K311" t="s">
        <v>414</v>
      </c>
      <c r="L311" t="s">
        <v>414</v>
      </c>
    </row>
    <row r="312" spans="1:13" ht="15">
      <c r="A312" t="s">
        <v>3139</v>
      </c>
      <c r="B312" t="s">
        <v>4285</v>
      </c>
      <c r="C312" t="s">
        <v>7016</v>
      </c>
      <c r="D312" s="83" t="s">
        <v>5547</v>
      </c>
      <c r="E312" t="s">
        <v>5270</v>
      </c>
      <c r="F312" t="s">
        <v>5726</v>
      </c>
      <c r="I312" t="s">
        <v>414</v>
      </c>
    </row>
    <row r="313" spans="1:13" ht="15">
      <c r="C313" t="s">
        <v>6934</v>
      </c>
      <c r="D313" s="83" t="s">
        <v>5854</v>
      </c>
      <c r="E313" t="s">
        <v>7772</v>
      </c>
      <c r="F313" t="s">
        <v>7773</v>
      </c>
      <c r="L313" t="s">
        <v>414</v>
      </c>
    </row>
    <row r="314" spans="1:13" ht="15">
      <c r="A314" t="s">
        <v>4525</v>
      </c>
      <c r="B314" s="81" t="s">
        <v>4524</v>
      </c>
      <c r="C314" t="s">
        <v>6001</v>
      </c>
      <c r="D314" s="83" t="s">
        <v>5651</v>
      </c>
      <c r="E314" t="s">
        <v>5374</v>
      </c>
      <c r="F314" t="s">
        <v>5743</v>
      </c>
      <c r="G314" t="s">
        <v>414</v>
      </c>
      <c r="H314" t="s">
        <v>414</v>
      </c>
      <c r="K314" t="s">
        <v>414</v>
      </c>
    </row>
    <row r="315" spans="1:13" ht="15">
      <c r="A315" t="s">
        <v>3739</v>
      </c>
      <c r="B315" s="12" t="s">
        <v>33</v>
      </c>
      <c r="C315" t="s">
        <v>6034</v>
      </c>
      <c r="D315" s="83" t="s">
        <v>5651</v>
      </c>
      <c r="E315" t="s">
        <v>5374</v>
      </c>
      <c r="F315" t="s">
        <v>5743</v>
      </c>
      <c r="G315" t="s">
        <v>414</v>
      </c>
      <c r="H315" t="s">
        <v>414</v>
      </c>
      <c r="K315" t="s">
        <v>414</v>
      </c>
    </row>
    <row r="316" spans="1:13" ht="15">
      <c r="A316" t="s">
        <v>3783</v>
      </c>
      <c r="B316" t="s">
        <v>301</v>
      </c>
      <c r="C316" t="s">
        <v>5931</v>
      </c>
      <c r="D316" s="83" t="s">
        <v>5610</v>
      </c>
      <c r="E316" t="s">
        <v>5333</v>
      </c>
      <c r="F316" t="s">
        <v>5809</v>
      </c>
      <c r="H316" t="s">
        <v>414</v>
      </c>
      <c r="K316" t="s">
        <v>414</v>
      </c>
    </row>
    <row r="317" spans="1:13" ht="15">
      <c r="C317" t="s">
        <v>6427</v>
      </c>
      <c r="D317" s="83" t="s">
        <v>5493</v>
      </c>
      <c r="E317" t="s">
        <v>5216</v>
      </c>
      <c r="F317" t="s">
        <v>5755</v>
      </c>
      <c r="H317" t="s">
        <v>414</v>
      </c>
      <c r="M317" t="s">
        <v>414</v>
      </c>
    </row>
    <row r="318" spans="1:13" ht="15">
      <c r="C318" t="s">
        <v>6427</v>
      </c>
      <c r="D318" s="83" t="s">
        <v>5507</v>
      </c>
      <c r="E318" t="s">
        <v>5230</v>
      </c>
      <c r="F318" t="s">
        <v>5748</v>
      </c>
      <c r="H318" t="s">
        <v>414</v>
      </c>
      <c r="M318" t="s">
        <v>414</v>
      </c>
    </row>
    <row r="319" spans="1:13" ht="15">
      <c r="C319" t="s">
        <v>6427</v>
      </c>
      <c r="D319" s="83" t="s">
        <v>5525</v>
      </c>
      <c r="E319" t="s">
        <v>5248</v>
      </c>
      <c r="F319" t="s">
        <v>5759</v>
      </c>
      <c r="M319" t="s">
        <v>414</v>
      </c>
    </row>
    <row r="320" spans="1:13" ht="15">
      <c r="A320" t="s">
        <v>4525</v>
      </c>
      <c r="B320" s="81" t="s">
        <v>4524</v>
      </c>
      <c r="C320" t="s">
        <v>6180</v>
      </c>
      <c r="D320" s="83" t="s">
        <v>5630</v>
      </c>
      <c r="E320" t="s">
        <v>5353</v>
      </c>
      <c r="F320" t="s">
        <v>5817</v>
      </c>
      <c r="M320" t="s">
        <v>414</v>
      </c>
    </row>
    <row r="321" spans="1:13" ht="15">
      <c r="C321" t="s">
        <v>6427</v>
      </c>
      <c r="D321" s="83" t="s">
        <v>5529</v>
      </c>
      <c r="E321" t="s">
        <v>5252</v>
      </c>
      <c r="F321" t="s">
        <v>5748</v>
      </c>
      <c r="M321" t="s">
        <v>414</v>
      </c>
    </row>
    <row r="322" spans="1:13" ht="15">
      <c r="A322" t="s">
        <v>3739</v>
      </c>
      <c r="B322" s="12" t="s">
        <v>33</v>
      </c>
      <c r="C322" t="s">
        <v>6383</v>
      </c>
      <c r="D322" s="83" t="s">
        <v>5630</v>
      </c>
      <c r="E322" t="s">
        <v>5353</v>
      </c>
      <c r="F322" t="s">
        <v>5817</v>
      </c>
      <c r="M322" t="s">
        <v>414</v>
      </c>
    </row>
    <row r="323" spans="1:13" ht="15">
      <c r="A323" t="s">
        <v>4443</v>
      </c>
      <c r="B323" t="s">
        <v>4287</v>
      </c>
      <c r="C323" t="s">
        <v>6752</v>
      </c>
      <c r="D323" s="83" t="s">
        <v>5630</v>
      </c>
      <c r="E323" t="s">
        <v>5353</v>
      </c>
      <c r="F323" t="s">
        <v>5817</v>
      </c>
      <c r="M323" t="s">
        <v>414</v>
      </c>
    </row>
    <row r="324" spans="1:13" ht="15">
      <c r="A324" t="s">
        <v>3764</v>
      </c>
      <c r="B324" s="12" t="s">
        <v>31</v>
      </c>
      <c r="C324" t="s">
        <v>7322</v>
      </c>
      <c r="D324" s="83" t="s">
        <v>5630</v>
      </c>
      <c r="E324" t="s">
        <v>5353</v>
      </c>
      <c r="F324" t="s">
        <v>5817</v>
      </c>
      <c r="M324" t="s">
        <v>414</v>
      </c>
    </row>
    <row r="325" spans="1:13" ht="15">
      <c r="C325" t="s">
        <v>6427</v>
      </c>
      <c r="D325" s="83" t="s">
        <v>5521</v>
      </c>
      <c r="E325" t="s">
        <v>5244</v>
      </c>
      <c r="F325" t="s">
        <v>5748</v>
      </c>
      <c r="H325" t="s">
        <v>414</v>
      </c>
      <c r="I325" t="s">
        <v>414</v>
      </c>
      <c r="L325" t="s">
        <v>414</v>
      </c>
      <c r="M325" t="s">
        <v>414</v>
      </c>
    </row>
    <row r="326" spans="1:13" ht="15">
      <c r="C326" t="s">
        <v>6131</v>
      </c>
      <c r="D326" s="83" t="s">
        <v>5567</v>
      </c>
      <c r="E326" t="s">
        <v>5290</v>
      </c>
      <c r="F326" t="s">
        <v>5792</v>
      </c>
      <c r="H326" t="s">
        <v>414</v>
      </c>
      <c r="L326" t="s">
        <v>414</v>
      </c>
      <c r="M326" t="s">
        <v>414</v>
      </c>
    </row>
    <row r="327" spans="1:13" ht="15">
      <c r="C327" t="s">
        <v>6131</v>
      </c>
      <c r="D327" s="83" t="s">
        <v>5544</v>
      </c>
      <c r="E327" t="s">
        <v>5267</v>
      </c>
      <c r="F327" t="s">
        <v>5782</v>
      </c>
      <c r="H327" t="s">
        <v>414</v>
      </c>
      <c r="I327" t="s">
        <v>414</v>
      </c>
      <c r="M327" t="s">
        <v>414</v>
      </c>
    </row>
    <row r="328" spans="1:13" ht="15">
      <c r="C328" t="s">
        <v>6432</v>
      </c>
      <c r="D328" s="83" t="s">
        <v>5493</v>
      </c>
      <c r="E328" t="s">
        <v>5216</v>
      </c>
      <c r="F328" t="s">
        <v>5755</v>
      </c>
      <c r="H328" t="s">
        <v>414</v>
      </c>
      <c r="M328" t="s">
        <v>414</v>
      </c>
    </row>
    <row r="329" spans="1:13" ht="15">
      <c r="C329" t="s">
        <v>6432</v>
      </c>
      <c r="D329" s="83" t="s">
        <v>5486</v>
      </c>
      <c r="E329" t="s">
        <v>5209</v>
      </c>
      <c r="F329" t="s">
        <v>5750</v>
      </c>
      <c r="H329" t="s">
        <v>414</v>
      </c>
      <c r="M329" t="s">
        <v>414</v>
      </c>
    </row>
    <row r="330" spans="1:13" ht="15">
      <c r="C330" t="s">
        <v>6432</v>
      </c>
      <c r="D330" s="83" t="s">
        <v>5525</v>
      </c>
      <c r="E330" t="s">
        <v>5248</v>
      </c>
      <c r="F330" t="s">
        <v>5759</v>
      </c>
      <c r="M330" t="s">
        <v>414</v>
      </c>
    </row>
    <row r="331" spans="1:13" ht="15">
      <c r="C331" t="s">
        <v>6790</v>
      </c>
      <c r="D331" s="83" t="s">
        <v>5486</v>
      </c>
      <c r="E331" t="s">
        <v>5209</v>
      </c>
      <c r="F331" t="s">
        <v>5750</v>
      </c>
      <c r="H331" t="s">
        <v>414</v>
      </c>
      <c r="M331" t="s">
        <v>414</v>
      </c>
    </row>
    <row r="332" spans="1:13" ht="15">
      <c r="C332" t="s">
        <v>6790</v>
      </c>
      <c r="D332" s="83" t="s">
        <v>5529</v>
      </c>
      <c r="E332" t="s">
        <v>5252</v>
      </c>
      <c r="F332" t="s">
        <v>5748</v>
      </c>
      <c r="M332" t="s">
        <v>414</v>
      </c>
    </row>
    <row r="333" spans="1:13" ht="15">
      <c r="C333" t="s">
        <v>6912</v>
      </c>
      <c r="D333" s="83" t="s">
        <v>5493</v>
      </c>
      <c r="E333" t="s">
        <v>5216</v>
      </c>
      <c r="F333" t="s">
        <v>5755</v>
      </c>
      <c r="H333" t="s">
        <v>414</v>
      </c>
      <c r="M333" t="s">
        <v>414</v>
      </c>
    </row>
    <row r="334" spans="1:13" ht="15">
      <c r="C334" t="s">
        <v>6912</v>
      </c>
      <c r="D334" s="83" t="s">
        <v>5486</v>
      </c>
      <c r="E334" t="s">
        <v>5209</v>
      </c>
      <c r="F334" t="s">
        <v>5750</v>
      </c>
      <c r="H334" t="s">
        <v>414</v>
      </c>
      <c r="M334" t="s">
        <v>414</v>
      </c>
    </row>
    <row r="335" spans="1:13" ht="15">
      <c r="C335" t="s">
        <v>6912</v>
      </c>
      <c r="D335" s="83" t="s">
        <v>5525</v>
      </c>
      <c r="E335" t="s">
        <v>5248</v>
      </c>
      <c r="F335" t="s">
        <v>5759</v>
      </c>
      <c r="M335" t="s">
        <v>414</v>
      </c>
    </row>
    <row r="336" spans="1:13" ht="15">
      <c r="C336" t="s">
        <v>6912</v>
      </c>
      <c r="D336" s="83" t="s">
        <v>5529</v>
      </c>
      <c r="E336" t="s">
        <v>5252</v>
      </c>
      <c r="F336" t="s">
        <v>5748</v>
      </c>
      <c r="M336" t="s">
        <v>414</v>
      </c>
    </row>
    <row r="337" spans="1:13" ht="15">
      <c r="C337" t="s">
        <v>6249</v>
      </c>
      <c r="D337" s="83" t="s">
        <v>5493</v>
      </c>
      <c r="E337" t="s">
        <v>5216</v>
      </c>
      <c r="F337" t="s">
        <v>5755</v>
      </c>
      <c r="H337" t="s">
        <v>414</v>
      </c>
      <c r="M337" t="s">
        <v>414</v>
      </c>
    </row>
    <row r="338" spans="1:13" ht="15">
      <c r="C338" t="s">
        <v>7684</v>
      </c>
      <c r="D338" s="83" t="s">
        <v>4150</v>
      </c>
      <c r="E338" t="s">
        <v>5043</v>
      </c>
      <c r="F338" t="s">
        <v>31</v>
      </c>
    </row>
    <row r="339" spans="1:13" ht="15">
      <c r="C339" t="s">
        <v>7312</v>
      </c>
      <c r="D339" s="83" t="s">
        <v>5557</v>
      </c>
      <c r="E339" t="s">
        <v>5280</v>
      </c>
      <c r="F339" t="s">
        <v>5755</v>
      </c>
      <c r="M339" t="s">
        <v>414</v>
      </c>
    </row>
    <row r="340" spans="1:13" ht="15">
      <c r="C340" t="s">
        <v>7516</v>
      </c>
      <c r="D340" s="83" t="s">
        <v>4150</v>
      </c>
      <c r="E340" t="s">
        <v>5043</v>
      </c>
      <c r="F340" t="s">
        <v>31</v>
      </c>
    </row>
    <row r="341" spans="1:13" ht="15">
      <c r="C341" t="s">
        <v>7068</v>
      </c>
      <c r="D341" s="83" t="s">
        <v>5557</v>
      </c>
      <c r="E341" t="s">
        <v>5280</v>
      </c>
      <c r="F341" t="s">
        <v>5755</v>
      </c>
      <c r="M341" t="s">
        <v>414</v>
      </c>
    </row>
    <row r="342" spans="1:13" ht="15">
      <c r="C342" t="s">
        <v>6150</v>
      </c>
      <c r="D342" s="83" t="s">
        <v>5566</v>
      </c>
      <c r="E342" t="s">
        <v>5289</v>
      </c>
      <c r="F342" t="s">
        <v>5748</v>
      </c>
      <c r="H342" t="s">
        <v>414</v>
      </c>
      <c r="M342" t="s">
        <v>414</v>
      </c>
    </row>
    <row r="343" spans="1:13" ht="15">
      <c r="C343" t="s">
        <v>7731</v>
      </c>
      <c r="D343" s="83" t="s">
        <v>4150</v>
      </c>
      <c r="E343" t="s">
        <v>5043</v>
      </c>
      <c r="F343" t="s">
        <v>31</v>
      </c>
    </row>
    <row r="344" spans="1:13" ht="15">
      <c r="A344" t="s">
        <v>4525</v>
      </c>
      <c r="B344" s="81" t="s">
        <v>4524</v>
      </c>
      <c r="C344" t="s">
        <v>6026</v>
      </c>
      <c r="D344" s="83" t="s">
        <v>5650</v>
      </c>
      <c r="E344" t="s">
        <v>5373</v>
      </c>
      <c r="F344" t="s">
        <v>5734</v>
      </c>
      <c r="K344" t="s">
        <v>414</v>
      </c>
    </row>
    <row r="345" spans="1:13" ht="15">
      <c r="A345" t="s">
        <v>3747</v>
      </c>
      <c r="B345" t="s">
        <v>4298</v>
      </c>
      <c r="C345" t="s">
        <v>6156</v>
      </c>
      <c r="D345" s="83" t="s">
        <v>5650</v>
      </c>
      <c r="E345" t="s">
        <v>5373</v>
      </c>
      <c r="F345" t="s">
        <v>5734</v>
      </c>
      <c r="K345" t="s">
        <v>414</v>
      </c>
    </row>
    <row r="346" spans="1:13" ht="15">
      <c r="C346" t="s">
        <v>6821</v>
      </c>
      <c r="D346" s="83" t="s">
        <v>5493</v>
      </c>
      <c r="E346" t="s">
        <v>5216</v>
      </c>
      <c r="F346" t="s">
        <v>5755</v>
      </c>
      <c r="H346" t="s">
        <v>414</v>
      </c>
      <c r="M346" t="s">
        <v>414</v>
      </c>
    </row>
    <row r="347" spans="1:13" ht="15">
      <c r="C347" t="s">
        <v>6821</v>
      </c>
      <c r="D347" s="83" t="s">
        <v>5486</v>
      </c>
      <c r="E347" t="s">
        <v>5209</v>
      </c>
      <c r="F347" t="s">
        <v>5750</v>
      </c>
      <c r="H347" t="s">
        <v>414</v>
      </c>
      <c r="M347" t="s">
        <v>414</v>
      </c>
    </row>
    <row r="348" spans="1:13" ht="15">
      <c r="A348" t="s">
        <v>3770</v>
      </c>
      <c r="B348" t="s">
        <v>42</v>
      </c>
      <c r="C348" t="s">
        <v>6064</v>
      </c>
      <c r="D348" s="83" t="s">
        <v>5718</v>
      </c>
      <c r="E348" t="s">
        <v>5442</v>
      </c>
      <c r="F348" t="s">
        <v>5845</v>
      </c>
      <c r="H348" t="s">
        <v>414</v>
      </c>
      <c r="I348" t="s">
        <v>414</v>
      </c>
      <c r="K348" t="s">
        <v>414</v>
      </c>
      <c r="L348" t="s">
        <v>414</v>
      </c>
    </row>
    <row r="349" spans="1:13" ht="15">
      <c r="A349" t="s">
        <v>3773</v>
      </c>
      <c r="B349" t="s">
        <v>1289</v>
      </c>
      <c r="C349" t="s">
        <v>6186</v>
      </c>
      <c r="D349" s="83" t="s">
        <v>5718</v>
      </c>
      <c r="E349" t="s">
        <v>5442</v>
      </c>
      <c r="F349" t="s">
        <v>5845</v>
      </c>
      <c r="H349" t="s">
        <v>414</v>
      </c>
      <c r="I349" t="s">
        <v>414</v>
      </c>
      <c r="K349" t="s">
        <v>414</v>
      </c>
      <c r="L349" t="s">
        <v>414</v>
      </c>
    </row>
    <row r="350" spans="1:13" ht="15">
      <c r="C350" t="s">
        <v>6821</v>
      </c>
      <c r="D350" s="83" t="s">
        <v>5525</v>
      </c>
      <c r="E350" t="s">
        <v>5248</v>
      </c>
      <c r="F350" t="s">
        <v>5759</v>
      </c>
      <c r="M350" t="s">
        <v>414</v>
      </c>
    </row>
    <row r="351" spans="1:13" ht="15">
      <c r="A351" t="s">
        <v>4525</v>
      </c>
      <c r="B351" s="81" t="s">
        <v>4524</v>
      </c>
      <c r="C351" t="s">
        <v>5913</v>
      </c>
      <c r="D351" s="83" t="s">
        <v>5718</v>
      </c>
      <c r="E351" t="s">
        <v>5442</v>
      </c>
      <c r="F351" t="s">
        <v>5845</v>
      </c>
      <c r="H351" t="s">
        <v>414</v>
      </c>
      <c r="I351" t="s">
        <v>414</v>
      </c>
      <c r="K351" t="s">
        <v>414</v>
      </c>
      <c r="L351" t="s">
        <v>414</v>
      </c>
    </row>
    <row r="352" spans="1:13" ht="15">
      <c r="A352" t="s">
        <v>3755</v>
      </c>
      <c r="B352" t="s">
        <v>4533</v>
      </c>
      <c r="C352" t="s">
        <v>6455</v>
      </c>
      <c r="D352" s="83" t="s">
        <v>5718</v>
      </c>
      <c r="E352" t="s">
        <v>5442</v>
      </c>
      <c r="F352" t="s">
        <v>5845</v>
      </c>
      <c r="H352" t="s">
        <v>414</v>
      </c>
      <c r="I352" t="s">
        <v>414</v>
      </c>
      <c r="K352" t="s">
        <v>414</v>
      </c>
      <c r="L352" t="s">
        <v>414</v>
      </c>
    </row>
    <row r="353" spans="1:13" ht="15">
      <c r="C353" t="s">
        <v>6971</v>
      </c>
      <c r="D353" s="83" t="s">
        <v>5589</v>
      </c>
      <c r="E353" t="s">
        <v>5312</v>
      </c>
      <c r="F353" t="s">
        <v>5748</v>
      </c>
      <c r="H353" t="s">
        <v>414</v>
      </c>
      <c r="M353" t="s">
        <v>414</v>
      </c>
    </row>
    <row r="354" spans="1:13" ht="15">
      <c r="C354" t="s">
        <v>7464</v>
      </c>
      <c r="D354" s="83" t="s">
        <v>4150</v>
      </c>
      <c r="E354" t="s">
        <v>5043</v>
      </c>
      <c r="F354" t="s">
        <v>31</v>
      </c>
    </row>
    <row r="355" spans="1:13" ht="15">
      <c r="C355" t="s">
        <v>7408</v>
      </c>
      <c r="D355" s="83" t="s">
        <v>5558</v>
      </c>
      <c r="E355" t="s">
        <v>5281</v>
      </c>
      <c r="F355" t="s">
        <v>5748</v>
      </c>
      <c r="H355" t="s">
        <v>414</v>
      </c>
      <c r="M355" t="s">
        <v>414</v>
      </c>
    </row>
    <row r="356" spans="1:13" ht="15">
      <c r="A356" t="s">
        <v>4498</v>
      </c>
      <c r="B356" s="81" t="s">
        <v>4497</v>
      </c>
      <c r="C356" t="s">
        <v>7120</v>
      </c>
      <c r="D356" s="83" t="s">
        <v>5690</v>
      </c>
      <c r="E356" t="s">
        <v>5413</v>
      </c>
      <c r="F356" t="s">
        <v>5742</v>
      </c>
    </row>
    <row r="357" spans="1:13" ht="15">
      <c r="A357" t="s">
        <v>3767</v>
      </c>
      <c r="B357" t="s">
        <v>1291</v>
      </c>
      <c r="C357" t="s">
        <v>6062</v>
      </c>
      <c r="D357" s="83" t="s">
        <v>5615</v>
      </c>
      <c r="E357" t="s">
        <v>5338</v>
      </c>
      <c r="F357" t="s">
        <v>5734</v>
      </c>
      <c r="H357" t="s">
        <v>414</v>
      </c>
      <c r="M357" t="s">
        <v>414</v>
      </c>
    </row>
    <row r="358" spans="1:13" ht="15">
      <c r="A358" t="s">
        <v>4453</v>
      </c>
      <c r="B358" s="81" t="s">
        <v>3175</v>
      </c>
      <c r="C358" t="s">
        <v>6202</v>
      </c>
      <c r="D358" s="83" t="s">
        <v>5615</v>
      </c>
      <c r="E358" t="s">
        <v>5338</v>
      </c>
      <c r="F358" t="s">
        <v>5734</v>
      </c>
      <c r="H358" t="s">
        <v>414</v>
      </c>
      <c r="M358" t="s">
        <v>414</v>
      </c>
    </row>
    <row r="359" spans="1:13" ht="15">
      <c r="A359" t="s">
        <v>4525</v>
      </c>
      <c r="B359" s="81" t="s">
        <v>4524</v>
      </c>
      <c r="C359" t="s">
        <v>6057</v>
      </c>
      <c r="D359" s="83" t="s">
        <v>5615</v>
      </c>
      <c r="E359" t="s">
        <v>5338</v>
      </c>
      <c r="F359" t="s">
        <v>5734</v>
      </c>
      <c r="H359" t="s">
        <v>414</v>
      </c>
      <c r="M359" t="s">
        <v>414</v>
      </c>
    </row>
    <row r="360" spans="1:13" ht="15">
      <c r="A360" t="s">
        <v>4498</v>
      </c>
      <c r="B360" s="81" t="s">
        <v>4497</v>
      </c>
      <c r="C360" t="s">
        <v>7377</v>
      </c>
      <c r="D360" s="83" t="s">
        <v>5540</v>
      </c>
      <c r="E360" t="s">
        <v>5263</v>
      </c>
      <c r="F360" t="s">
        <v>5730</v>
      </c>
      <c r="H360" t="s">
        <v>414</v>
      </c>
    </row>
    <row r="361" spans="1:13" ht="15">
      <c r="A361" t="s">
        <v>4565</v>
      </c>
      <c r="B361" s="12" t="s">
        <v>395</v>
      </c>
      <c r="C361" t="s">
        <v>6467</v>
      </c>
      <c r="D361" s="83" t="s">
        <v>5615</v>
      </c>
      <c r="E361" t="s">
        <v>5338</v>
      </c>
      <c r="F361" t="s">
        <v>5734</v>
      </c>
      <c r="H361" t="s">
        <v>414</v>
      </c>
      <c r="M361" t="s">
        <v>414</v>
      </c>
    </row>
    <row r="362" spans="1:13" ht="15">
      <c r="A362" t="s">
        <v>4498</v>
      </c>
      <c r="B362" s="81" t="s">
        <v>4497</v>
      </c>
      <c r="C362" t="s">
        <v>6211</v>
      </c>
      <c r="D362" s="83" t="s">
        <v>5635</v>
      </c>
      <c r="E362" t="s">
        <v>5358</v>
      </c>
      <c r="F362" t="s">
        <v>5734</v>
      </c>
      <c r="H362" t="s">
        <v>414</v>
      </c>
      <c r="L362" t="s">
        <v>414</v>
      </c>
    </row>
    <row r="363" spans="1:13" ht="15">
      <c r="A363" t="s">
        <v>4498</v>
      </c>
      <c r="B363" s="81" t="s">
        <v>4497</v>
      </c>
      <c r="C363" t="s">
        <v>6211</v>
      </c>
      <c r="D363" s="83" t="s">
        <v>5493</v>
      </c>
      <c r="E363" t="s">
        <v>5216</v>
      </c>
      <c r="F363" t="s">
        <v>5755</v>
      </c>
      <c r="H363" t="s">
        <v>414</v>
      </c>
      <c r="M363" t="s">
        <v>414</v>
      </c>
    </row>
    <row r="364" spans="1:13" ht="15">
      <c r="A364" t="s">
        <v>4498</v>
      </c>
      <c r="B364" s="81" t="s">
        <v>4497</v>
      </c>
      <c r="C364" t="s">
        <v>6211</v>
      </c>
      <c r="D364" s="83" t="s">
        <v>5507</v>
      </c>
      <c r="E364" t="s">
        <v>5230</v>
      </c>
      <c r="F364" t="s">
        <v>5748</v>
      </c>
      <c r="H364" t="s">
        <v>414</v>
      </c>
      <c r="M364" t="s">
        <v>414</v>
      </c>
    </row>
    <row r="365" spans="1:13" ht="15">
      <c r="A365" t="s">
        <v>4498</v>
      </c>
      <c r="B365" s="81" t="s">
        <v>4497</v>
      </c>
      <c r="C365" t="s">
        <v>6211</v>
      </c>
      <c r="D365" s="83" t="s">
        <v>5525</v>
      </c>
      <c r="E365" t="s">
        <v>5248</v>
      </c>
      <c r="F365" t="s">
        <v>5759</v>
      </c>
      <c r="M365" t="s">
        <v>414</v>
      </c>
    </row>
    <row r="366" spans="1:13" ht="15">
      <c r="A366" t="s">
        <v>3139</v>
      </c>
      <c r="B366" t="s">
        <v>4285</v>
      </c>
      <c r="C366" t="s">
        <v>7016</v>
      </c>
      <c r="D366" s="83" t="s">
        <v>5541</v>
      </c>
      <c r="E366" t="s">
        <v>5264</v>
      </c>
      <c r="F366" t="s">
        <v>5740</v>
      </c>
      <c r="M366" t="s">
        <v>414</v>
      </c>
    </row>
    <row r="367" spans="1:13" ht="15">
      <c r="A367" t="s">
        <v>4498</v>
      </c>
      <c r="B367" s="81" t="s">
        <v>4497</v>
      </c>
      <c r="C367" t="s">
        <v>6211</v>
      </c>
      <c r="D367" s="83" t="s">
        <v>5529</v>
      </c>
      <c r="E367" t="s">
        <v>5252</v>
      </c>
      <c r="F367" t="s">
        <v>5748</v>
      </c>
      <c r="M367" t="s">
        <v>414</v>
      </c>
    </row>
    <row r="368" spans="1:13" ht="15">
      <c r="A368" t="s">
        <v>3783</v>
      </c>
      <c r="B368" t="s">
        <v>301</v>
      </c>
      <c r="C368" t="s">
        <v>5920</v>
      </c>
      <c r="D368" s="83" t="s">
        <v>5635</v>
      </c>
      <c r="E368" t="s">
        <v>5358</v>
      </c>
      <c r="F368" t="s">
        <v>5734</v>
      </c>
      <c r="H368" t="s">
        <v>414</v>
      </c>
      <c r="L368" t="s">
        <v>414</v>
      </c>
    </row>
    <row r="369" spans="1:13" ht="15">
      <c r="A369" t="s">
        <v>3773</v>
      </c>
      <c r="B369" t="s">
        <v>1289</v>
      </c>
      <c r="C369" t="s">
        <v>6096</v>
      </c>
      <c r="D369" s="83" t="s">
        <v>5635</v>
      </c>
      <c r="E369" t="s">
        <v>5358</v>
      </c>
      <c r="F369" t="s">
        <v>5734</v>
      </c>
      <c r="H369" t="s">
        <v>414</v>
      </c>
      <c r="L369" t="s">
        <v>414</v>
      </c>
    </row>
    <row r="370" spans="1:13" ht="15">
      <c r="A370" t="s">
        <v>4498</v>
      </c>
      <c r="B370" s="81" t="s">
        <v>4497</v>
      </c>
      <c r="C370" t="s">
        <v>6211</v>
      </c>
      <c r="D370" s="83" t="s">
        <v>5521</v>
      </c>
      <c r="E370" t="s">
        <v>5244</v>
      </c>
      <c r="F370" t="s">
        <v>5748</v>
      </c>
      <c r="H370" t="s">
        <v>414</v>
      </c>
      <c r="I370" t="s">
        <v>414</v>
      </c>
      <c r="L370" t="s">
        <v>414</v>
      </c>
      <c r="M370" t="s">
        <v>414</v>
      </c>
    </row>
    <row r="371" spans="1:13" ht="15">
      <c r="A371" t="s">
        <v>4498</v>
      </c>
      <c r="B371" s="81" t="s">
        <v>4497</v>
      </c>
      <c r="C371" t="s">
        <v>6211</v>
      </c>
      <c r="D371" s="83" t="s">
        <v>5550</v>
      </c>
      <c r="E371" t="s">
        <v>5273</v>
      </c>
      <c r="F371" t="s">
        <v>5727</v>
      </c>
      <c r="H371" t="s">
        <v>414</v>
      </c>
      <c r="M371" t="s">
        <v>414</v>
      </c>
    </row>
    <row r="372" spans="1:13" ht="15">
      <c r="A372" t="s">
        <v>4498</v>
      </c>
      <c r="B372" s="81" t="s">
        <v>4497</v>
      </c>
      <c r="C372" t="s">
        <v>6211</v>
      </c>
      <c r="D372" s="83" t="s">
        <v>5639</v>
      </c>
      <c r="E372" t="s">
        <v>5362</v>
      </c>
      <c r="F372" t="s">
        <v>5742</v>
      </c>
    </row>
    <row r="373" spans="1:13" ht="15">
      <c r="A373" t="s">
        <v>4498</v>
      </c>
      <c r="B373" s="81" t="s">
        <v>4497</v>
      </c>
      <c r="C373" t="s">
        <v>6211</v>
      </c>
      <c r="D373" s="83" t="s">
        <v>5495</v>
      </c>
      <c r="E373" t="s">
        <v>5218</v>
      </c>
      <c r="F373" t="s">
        <v>5755</v>
      </c>
      <c r="H373" t="s">
        <v>414</v>
      </c>
      <c r="M373" t="s">
        <v>414</v>
      </c>
    </row>
    <row r="374" spans="1:13" ht="15">
      <c r="C374" t="s">
        <v>6969</v>
      </c>
      <c r="D374" s="83" t="s">
        <v>5854</v>
      </c>
      <c r="E374" t="s">
        <v>7772</v>
      </c>
      <c r="F374" t="s">
        <v>7773</v>
      </c>
      <c r="L374" t="s">
        <v>414</v>
      </c>
    </row>
    <row r="375" spans="1:13" ht="15">
      <c r="C375" t="s">
        <v>6212</v>
      </c>
      <c r="D375" s="83" t="s">
        <v>5489</v>
      </c>
      <c r="E375" t="s">
        <v>5212</v>
      </c>
      <c r="F375" t="s">
        <v>5736</v>
      </c>
      <c r="K375" t="s">
        <v>414</v>
      </c>
      <c r="L375" t="s">
        <v>414</v>
      </c>
    </row>
    <row r="376" spans="1:13" ht="15">
      <c r="C376" t="s">
        <v>6553</v>
      </c>
      <c r="D376" s="83" t="s">
        <v>5486</v>
      </c>
      <c r="E376" t="s">
        <v>5209</v>
      </c>
      <c r="F376" t="s">
        <v>5750</v>
      </c>
      <c r="H376" t="s">
        <v>414</v>
      </c>
      <c r="M376" t="s">
        <v>414</v>
      </c>
    </row>
    <row r="377" spans="1:13" ht="15">
      <c r="C377" t="s">
        <v>6553</v>
      </c>
      <c r="D377" s="83" t="s">
        <v>5525</v>
      </c>
      <c r="E377" t="s">
        <v>5248</v>
      </c>
      <c r="F377" t="s">
        <v>5759</v>
      </c>
      <c r="M377" t="s">
        <v>414</v>
      </c>
    </row>
    <row r="378" spans="1:13" ht="15">
      <c r="C378" t="s">
        <v>6553</v>
      </c>
      <c r="D378" s="83" t="s">
        <v>5529</v>
      </c>
      <c r="E378" t="s">
        <v>5252</v>
      </c>
      <c r="F378" t="s">
        <v>5748</v>
      </c>
      <c r="M378" t="s">
        <v>414</v>
      </c>
    </row>
    <row r="379" spans="1:13" ht="15">
      <c r="A379" t="s">
        <v>4554</v>
      </c>
      <c r="B379" t="s">
        <v>4280</v>
      </c>
      <c r="C379" t="s">
        <v>6345</v>
      </c>
      <c r="D379" s="83" t="s">
        <v>5493</v>
      </c>
      <c r="E379" t="s">
        <v>5216</v>
      </c>
      <c r="F379" t="s">
        <v>5755</v>
      </c>
      <c r="H379" t="s">
        <v>414</v>
      </c>
      <c r="M379" t="s">
        <v>414</v>
      </c>
    </row>
    <row r="380" spans="1:13" ht="15">
      <c r="A380" t="s">
        <v>4554</v>
      </c>
      <c r="B380" t="s">
        <v>4280</v>
      </c>
      <c r="C380" t="s">
        <v>6345</v>
      </c>
      <c r="D380" s="83" t="s">
        <v>5529</v>
      </c>
      <c r="E380" t="s">
        <v>5252</v>
      </c>
      <c r="F380" t="s">
        <v>5748</v>
      </c>
      <c r="M380" t="s">
        <v>414</v>
      </c>
    </row>
    <row r="381" spans="1:13" ht="15">
      <c r="A381" t="s">
        <v>3777</v>
      </c>
      <c r="B381" t="s">
        <v>4849</v>
      </c>
      <c r="C381" t="s">
        <v>6869</v>
      </c>
      <c r="D381" s="83" t="s">
        <v>5486</v>
      </c>
      <c r="E381" t="s">
        <v>5209</v>
      </c>
      <c r="F381" t="s">
        <v>5750</v>
      </c>
      <c r="H381" t="s">
        <v>414</v>
      </c>
      <c r="M381" t="s">
        <v>414</v>
      </c>
    </row>
    <row r="382" spans="1:13" ht="15">
      <c r="C382" t="s">
        <v>7004</v>
      </c>
      <c r="D382" s="83" t="s">
        <v>5529</v>
      </c>
      <c r="E382" t="s">
        <v>5252</v>
      </c>
      <c r="F382" t="s">
        <v>5748</v>
      </c>
      <c r="M382" t="s">
        <v>414</v>
      </c>
    </row>
    <row r="383" spans="1:13" ht="15">
      <c r="C383" t="s">
        <v>7045</v>
      </c>
      <c r="D383" s="83" t="s">
        <v>5524</v>
      </c>
      <c r="E383" t="s">
        <v>5247</v>
      </c>
      <c r="F383" t="s">
        <v>5747</v>
      </c>
      <c r="M383" t="s">
        <v>414</v>
      </c>
    </row>
    <row r="384" spans="1:13" ht="15">
      <c r="A384" t="s">
        <v>3777</v>
      </c>
      <c r="B384" t="s">
        <v>4849</v>
      </c>
      <c r="C384" t="s">
        <v>7202</v>
      </c>
      <c r="D384" s="83" t="s">
        <v>5719</v>
      </c>
      <c r="E384" t="s">
        <v>5443</v>
      </c>
      <c r="F384" t="s">
        <v>5848</v>
      </c>
    </row>
    <row r="385" spans="1:13" ht="15">
      <c r="A385" t="s">
        <v>3777</v>
      </c>
      <c r="B385" t="s">
        <v>4849</v>
      </c>
      <c r="C385" t="s">
        <v>6036</v>
      </c>
      <c r="D385" s="83" t="s">
        <v>5695</v>
      </c>
      <c r="E385" t="s">
        <v>5418</v>
      </c>
      <c r="F385" t="s">
        <v>5839</v>
      </c>
      <c r="H385" t="s">
        <v>414</v>
      </c>
      <c r="I385" t="s">
        <v>414</v>
      </c>
      <c r="M385" t="s">
        <v>414</v>
      </c>
    </row>
    <row r="386" spans="1:13" ht="15">
      <c r="A386" t="s">
        <v>3777</v>
      </c>
      <c r="B386" t="s">
        <v>4849</v>
      </c>
      <c r="C386" t="s">
        <v>5912</v>
      </c>
      <c r="D386" s="83" t="s">
        <v>5645</v>
      </c>
      <c r="E386" t="s">
        <v>5368</v>
      </c>
      <c r="F386" t="s">
        <v>5825</v>
      </c>
      <c r="K386" t="s">
        <v>414</v>
      </c>
      <c r="L386" t="s">
        <v>414</v>
      </c>
    </row>
    <row r="387" spans="1:13" ht="15">
      <c r="C387" t="s">
        <v>6576</v>
      </c>
      <c r="D387" s="83" t="s">
        <v>4142</v>
      </c>
      <c r="E387" t="s">
        <v>5035</v>
      </c>
      <c r="F387" t="s">
        <v>5799</v>
      </c>
      <c r="H387" t="s">
        <v>414</v>
      </c>
      <c r="K387" t="s">
        <v>414</v>
      </c>
      <c r="L387" t="s">
        <v>414</v>
      </c>
    </row>
    <row r="388" spans="1:13" ht="15">
      <c r="C388" t="s">
        <v>6163</v>
      </c>
      <c r="D388" s="83" t="s">
        <v>5695</v>
      </c>
      <c r="E388" t="s">
        <v>5418</v>
      </c>
      <c r="F388" t="s">
        <v>5839</v>
      </c>
      <c r="H388" t="s">
        <v>414</v>
      </c>
      <c r="I388" t="s">
        <v>414</v>
      </c>
      <c r="M388" t="s">
        <v>414</v>
      </c>
    </row>
    <row r="389" spans="1:13" ht="15">
      <c r="A389" t="s">
        <v>4525</v>
      </c>
      <c r="B389" s="81" t="s">
        <v>4524</v>
      </c>
      <c r="C389" t="s">
        <v>6001</v>
      </c>
      <c r="D389" s="83" t="s">
        <v>5641</v>
      </c>
      <c r="E389" t="s">
        <v>5364</v>
      </c>
      <c r="F389" t="s">
        <v>5768</v>
      </c>
      <c r="G389" t="s">
        <v>414</v>
      </c>
      <c r="H389" t="s">
        <v>414</v>
      </c>
    </row>
    <row r="390" spans="1:13" ht="15">
      <c r="A390" t="s">
        <v>3746</v>
      </c>
      <c r="B390" s="12" t="s">
        <v>4482</v>
      </c>
      <c r="C390" t="s">
        <v>6183</v>
      </c>
      <c r="D390" s="83" t="s">
        <v>5641</v>
      </c>
      <c r="E390" t="s">
        <v>5364</v>
      </c>
      <c r="F390" t="s">
        <v>5768</v>
      </c>
      <c r="G390" t="s">
        <v>414</v>
      </c>
      <c r="H390" t="s">
        <v>414</v>
      </c>
    </row>
    <row r="391" spans="1:13" ht="15">
      <c r="A391" t="s">
        <v>3739</v>
      </c>
      <c r="B391" s="12" t="s">
        <v>33</v>
      </c>
      <c r="C391" t="s">
        <v>6034</v>
      </c>
      <c r="D391" s="83" t="s">
        <v>5641</v>
      </c>
      <c r="E391" t="s">
        <v>5364</v>
      </c>
      <c r="F391" t="s">
        <v>5768</v>
      </c>
      <c r="G391" t="s">
        <v>414</v>
      </c>
      <c r="H391" t="s">
        <v>414</v>
      </c>
    </row>
    <row r="392" spans="1:13" ht="15">
      <c r="A392" t="s">
        <v>4525</v>
      </c>
      <c r="B392" s="81" t="s">
        <v>4524</v>
      </c>
      <c r="C392" t="s">
        <v>6078</v>
      </c>
      <c r="D392" s="83" t="s">
        <v>5722</v>
      </c>
      <c r="E392" t="s">
        <v>5446</v>
      </c>
      <c r="F392" t="s">
        <v>5835</v>
      </c>
      <c r="H392" t="s">
        <v>414</v>
      </c>
      <c r="K392" t="s">
        <v>414</v>
      </c>
      <c r="L392" t="s">
        <v>414</v>
      </c>
    </row>
    <row r="393" spans="1:13" ht="15">
      <c r="C393" t="s">
        <v>6459</v>
      </c>
      <c r="D393" s="83" t="s">
        <v>5605</v>
      </c>
      <c r="E393" t="s">
        <v>5328</v>
      </c>
      <c r="F393" t="s">
        <v>5806</v>
      </c>
      <c r="L393" t="s">
        <v>414</v>
      </c>
    </row>
    <row r="394" spans="1:13" ht="15">
      <c r="A394" t="s">
        <v>8409</v>
      </c>
      <c r="B394" t="s">
        <v>8411</v>
      </c>
      <c r="C394" t="s">
        <v>7205</v>
      </c>
      <c r="D394" s="83" t="s">
        <v>5477</v>
      </c>
      <c r="E394" t="s">
        <v>5200</v>
      </c>
      <c r="F394" t="s">
        <v>5745</v>
      </c>
    </row>
    <row r="395" spans="1:13" ht="15">
      <c r="A395" t="s">
        <v>3783</v>
      </c>
      <c r="B395" t="s">
        <v>301</v>
      </c>
      <c r="C395" t="s">
        <v>6071</v>
      </c>
      <c r="D395" s="83" t="s">
        <v>5722</v>
      </c>
      <c r="E395" t="s">
        <v>5446</v>
      </c>
      <c r="F395" t="s">
        <v>5835</v>
      </c>
      <c r="H395" t="s">
        <v>414</v>
      </c>
      <c r="K395" t="s">
        <v>414</v>
      </c>
      <c r="L395" t="s">
        <v>414</v>
      </c>
    </row>
    <row r="396" spans="1:13" ht="15">
      <c r="A396" t="s">
        <v>3773</v>
      </c>
      <c r="B396" t="s">
        <v>1289</v>
      </c>
      <c r="C396" t="s">
        <v>6186</v>
      </c>
      <c r="D396" s="83" t="s">
        <v>5722</v>
      </c>
      <c r="E396" t="s">
        <v>5446</v>
      </c>
      <c r="F396" t="s">
        <v>5835</v>
      </c>
      <c r="H396" t="s">
        <v>414</v>
      </c>
      <c r="K396" t="s">
        <v>414</v>
      </c>
      <c r="L396" t="s">
        <v>414</v>
      </c>
    </row>
    <row r="397" spans="1:13" ht="15">
      <c r="C397" t="s">
        <v>6945</v>
      </c>
      <c r="D397" s="83" t="s">
        <v>5529</v>
      </c>
      <c r="E397" t="s">
        <v>5252</v>
      </c>
      <c r="F397" t="s">
        <v>5748</v>
      </c>
      <c r="M397" t="s">
        <v>414</v>
      </c>
    </row>
    <row r="398" spans="1:13" ht="15">
      <c r="A398" t="s">
        <v>3764</v>
      </c>
      <c r="B398" s="12" t="s">
        <v>31</v>
      </c>
      <c r="C398" t="s">
        <v>6567</v>
      </c>
      <c r="D398" s="83" t="s">
        <v>5722</v>
      </c>
      <c r="E398" t="s">
        <v>5446</v>
      </c>
      <c r="F398" t="s">
        <v>5835</v>
      </c>
      <c r="H398" t="s">
        <v>414</v>
      </c>
      <c r="K398" t="s">
        <v>414</v>
      </c>
      <c r="L398" t="s">
        <v>414</v>
      </c>
    </row>
    <row r="399" spans="1:13" ht="15">
      <c r="C399" t="s">
        <v>7405</v>
      </c>
      <c r="D399" s="83" t="s">
        <v>5552</v>
      </c>
      <c r="E399" t="s">
        <v>5275</v>
      </c>
      <c r="F399" t="s">
        <v>5750</v>
      </c>
      <c r="H399" t="s">
        <v>414</v>
      </c>
      <c r="M399" t="s">
        <v>414</v>
      </c>
    </row>
    <row r="400" spans="1:13" ht="15">
      <c r="C400" t="s">
        <v>6349</v>
      </c>
      <c r="D400" s="83" t="s">
        <v>5486</v>
      </c>
      <c r="E400" t="s">
        <v>5209</v>
      </c>
      <c r="F400" t="s">
        <v>5750</v>
      </c>
      <c r="H400" t="s">
        <v>414</v>
      </c>
      <c r="M400" t="s">
        <v>414</v>
      </c>
    </row>
    <row r="401" spans="1:13" ht="15">
      <c r="A401" t="s">
        <v>3746</v>
      </c>
      <c r="B401" s="12" t="s">
        <v>4482</v>
      </c>
      <c r="C401" t="s">
        <v>6650</v>
      </c>
      <c r="D401" s="83" t="s">
        <v>5722</v>
      </c>
      <c r="E401" t="s">
        <v>5446</v>
      </c>
      <c r="F401" t="s">
        <v>5835</v>
      </c>
      <c r="H401" t="s">
        <v>414</v>
      </c>
      <c r="K401" t="s">
        <v>414</v>
      </c>
      <c r="L401" t="s">
        <v>414</v>
      </c>
    </row>
    <row r="402" spans="1:13" ht="15">
      <c r="A402" t="s">
        <v>3739</v>
      </c>
      <c r="B402" s="12" t="s">
        <v>33</v>
      </c>
      <c r="C402" t="s">
        <v>6034</v>
      </c>
      <c r="D402" s="83" t="s">
        <v>5722</v>
      </c>
      <c r="E402" t="s">
        <v>5446</v>
      </c>
      <c r="F402" t="s">
        <v>5835</v>
      </c>
      <c r="H402" t="s">
        <v>414</v>
      </c>
      <c r="K402" t="s">
        <v>414</v>
      </c>
      <c r="L402" t="s">
        <v>414</v>
      </c>
    </row>
    <row r="403" spans="1:13" ht="15">
      <c r="C403" t="s">
        <v>6641</v>
      </c>
      <c r="D403" s="83" t="s">
        <v>5525</v>
      </c>
      <c r="E403" t="s">
        <v>5248</v>
      </c>
      <c r="F403" t="s">
        <v>5759</v>
      </c>
      <c r="M403" t="s">
        <v>414</v>
      </c>
    </row>
    <row r="404" spans="1:13" ht="15">
      <c r="A404" t="s">
        <v>4525</v>
      </c>
      <c r="B404" s="81" t="s">
        <v>4524</v>
      </c>
      <c r="C404" t="s">
        <v>5918</v>
      </c>
      <c r="D404" s="83" t="s">
        <v>5491</v>
      </c>
      <c r="E404" t="s">
        <v>5214</v>
      </c>
      <c r="F404" t="s">
        <v>5753</v>
      </c>
    </row>
    <row r="405" spans="1:13" ht="15">
      <c r="A405" t="s">
        <v>3743</v>
      </c>
      <c r="B405" t="s">
        <v>4290</v>
      </c>
      <c r="C405" t="s">
        <v>6269</v>
      </c>
      <c r="D405" s="83" t="s">
        <v>5491</v>
      </c>
      <c r="E405" t="s">
        <v>5214</v>
      </c>
      <c r="F405" t="s">
        <v>5753</v>
      </c>
    </row>
    <row r="406" spans="1:13" ht="15">
      <c r="C406" t="s">
        <v>6968</v>
      </c>
      <c r="D406" s="83" t="s">
        <v>5525</v>
      </c>
      <c r="E406" t="s">
        <v>5248</v>
      </c>
      <c r="F406" t="s">
        <v>5759</v>
      </c>
      <c r="M406" t="s">
        <v>414</v>
      </c>
    </row>
    <row r="407" spans="1:13" ht="15">
      <c r="C407" t="s">
        <v>5989</v>
      </c>
      <c r="D407" s="83" t="s">
        <v>5493</v>
      </c>
      <c r="E407" t="s">
        <v>5216</v>
      </c>
      <c r="F407" t="s">
        <v>5755</v>
      </c>
      <c r="H407" t="s">
        <v>414</v>
      </c>
      <c r="M407" t="s">
        <v>414</v>
      </c>
    </row>
    <row r="408" spans="1:13" ht="15">
      <c r="C408" t="s">
        <v>6595</v>
      </c>
      <c r="D408" s="83" t="s">
        <v>5486</v>
      </c>
      <c r="E408" t="s">
        <v>5209</v>
      </c>
      <c r="F408" t="s">
        <v>5750</v>
      </c>
      <c r="H408" t="s">
        <v>414</v>
      </c>
      <c r="M408" t="s">
        <v>414</v>
      </c>
    </row>
    <row r="409" spans="1:13" ht="15">
      <c r="C409" t="s">
        <v>6933</v>
      </c>
      <c r="D409" s="83" t="s">
        <v>5529</v>
      </c>
      <c r="E409" t="s">
        <v>5252</v>
      </c>
      <c r="F409" t="s">
        <v>5748</v>
      </c>
      <c r="M409" t="s">
        <v>414</v>
      </c>
    </row>
    <row r="410" spans="1:13" ht="15">
      <c r="A410" t="s">
        <v>3754</v>
      </c>
      <c r="B410" t="s">
        <v>296</v>
      </c>
      <c r="C410" t="s">
        <v>5935</v>
      </c>
      <c r="D410" s="83" t="s">
        <v>5618</v>
      </c>
      <c r="E410" t="s">
        <v>5341</v>
      </c>
      <c r="F410" t="s">
        <v>5813</v>
      </c>
      <c r="H410" t="s">
        <v>414</v>
      </c>
      <c r="K410" t="s">
        <v>414</v>
      </c>
      <c r="M410" t="s">
        <v>414</v>
      </c>
    </row>
    <row r="411" spans="1:13" ht="15">
      <c r="A411" t="s">
        <v>4525</v>
      </c>
      <c r="B411" s="81" t="s">
        <v>4524</v>
      </c>
      <c r="C411" t="s">
        <v>5918</v>
      </c>
      <c r="D411" s="83" t="s">
        <v>5640</v>
      </c>
      <c r="E411" t="s">
        <v>5363</v>
      </c>
      <c r="F411" t="s">
        <v>5753</v>
      </c>
      <c r="K411" t="s">
        <v>414</v>
      </c>
      <c r="M411" t="s">
        <v>414</v>
      </c>
    </row>
    <row r="412" spans="1:13" ht="15">
      <c r="C412" t="s">
        <v>7134</v>
      </c>
      <c r="D412" s="83" t="s">
        <v>5719</v>
      </c>
      <c r="E412" t="s">
        <v>5443</v>
      </c>
      <c r="F412" t="s">
        <v>5848</v>
      </c>
    </row>
    <row r="413" spans="1:13" ht="15">
      <c r="A413" t="s">
        <v>3739</v>
      </c>
      <c r="B413" s="12" t="s">
        <v>33</v>
      </c>
      <c r="C413" t="s">
        <v>6210</v>
      </c>
      <c r="D413" s="83" t="s">
        <v>5640</v>
      </c>
      <c r="E413" t="s">
        <v>5363</v>
      </c>
      <c r="F413" t="s">
        <v>5753</v>
      </c>
      <c r="K413" t="s">
        <v>414</v>
      </c>
      <c r="M413" t="s">
        <v>414</v>
      </c>
    </row>
    <row r="414" spans="1:13" ht="15">
      <c r="A414" t="s">
        <v>3740</v>
      </c>
      <c r="B414" t="s">
        <v>3444</v>
      </c>
      <c r="C414" t="s">
        <v>6757</v>
      </c>
      <c r="D414" s="83" t="s">
        <v>5876</v>
      </c>
      <c r="E414" t="s">
        <v>7800</v>
      </c>
      <c r="F414" t="s">
        <v>5726</v>
      </c>
      <c r="H414" t="s">
        <v>414</v>
      </c>
      <c r="K414" t="s">
        <v>414</v>
      </c>
    </row>
    <row r="415" spans="1:13" ht="15">
      <c r="C415" t="s">
        <v>6049</v>
      </c>
      <c r="D415" s="83" t="s">
        <v>5700</v>
      </c>
      <c r="E415" t="s">
        <v>5424</v>
      </c>
      <c r="F415" t="s">
        <v>5840</v>
      </c>
      <c r="K415" t="s">
        <v>414</v>
      </c>
      <c r="L415" t="s">
        <v>414</v>
      </c>
    </row>
    <row r="416" spans="1:13" ht="15">
      <c r="C416" t="s">
        <v>7198</v>
      </c>
      <c r="D416" s="83" t="s">
        <v>5696</v>
      </c>
      <c r="E416" t="s">
        <v>5419</v>
      </c>
      <c r="F416" t="s">
        <v>5739</v>
      </c>
    </row>
    <row r="417" spans="1:13" ht="15">
      <c r="A417" t="s">
        <v>3767</v>
      </c>
      <c r="B417" t="s">
        <v>1291</v>
      </c>
      <c r="C417" t="s">
        <v>7241</v>
      </c>
      <c r="D417" s="83" t="s">
        <v>5690</v>
      </c>
      <c r="E417" t="s">
        <v>5413</v>
      </c>
      <c r="F417" t="s">
        <v>5742</v>
      </c>
    </row>
    <row r="418" spans="1:13" ht="15">
      <c r="A418" t="s">
        <v>3783</v>
      </c>
      <c r="B418" t="s">
        <v>301</v>
      </c>
      <c r="C418" t="s">
        <v>7289</v>
      </c>
      <c r="D418" s="83" t="s">
        <v>5690</v>
      </c>
      <c r="E418" t="s">
        <v>5413</v>
      </c>
      <c r="F418" t="s">
        <v>5742</v>
      </c>
    </row>
    <row r="419" spans="1:13" ht="15">
      <c r="C419" t="s">
        <v>7210</v>
      </c>
      <c r="D419" s="83" t="s">
        <v>5524</v>
      </c>
      <c r="E419" t="s">
        <v>5247</v>
      </c>
      <c r="F419" t="s">
        <v>5747</v>
      </c>
      <c r="M419" t="s">
        <v>414</v>
      </c>
    </row>
    <row r="420" spans="1:13" ht="15">
      <c r="A420" t="s">
        <v>3739</v>
      </c>
      <c r="B420" s="12" t="s">
        <v>33</v>
      </c>
      <c r="C420" t="s">
        <v>7361</v>
      </c>
      <c r="D420" s="83" t="s">
        <v>5690</v>
      </c>
      <c r="E420" t="s">
        <v>5413</v>
      </c>
      <c r="F420" t="s">
        <v>5742</v>
      </c>
    </row>
    <row r="421" spans="1:13" ht="15">
      <c r="A421" t="s">
        <v>3765</v>
      </c>
      <c r="B421" t="s">
        <v>4302</v>
      </c>
      <c r="C421" t="s">
        <v>5915</v>
      </c>
      <c r="D421" s="83" t="s">
        <v>5627</v>
      </c>
      <c r="E421" t="s">
        <v>5350</v>
      </c>
      <c r="F421" t="s">
        <v>5753</v>
      </c>
      <c r="K421" t="s">
        <v>414</v>
      </c>
      <c r="M421" t="s">
        <v>414</v>
      </c>
    </row>
    <row r="422" spans="1:13" ht="15">
      <c r="A422" t="s">
        <v>3739</v>
      </c>
      <c r="B422" s="12" t="s">
        <v>33</v>
      </c>
      <c r="C422" t="s">
        <v>6094</v>
      </c>
      <c r="D422" s="83" t="s">
        <v>5627</v>
      </c>
      <c r="E422" t="s">
        <v>5350</v>
      </c>
      <c r="F422" t="s">
        <v>5753</v>
      </c>
      <c r="K422" t="s">
        <v>414</v>
      </c>
      <c r="M422" t="s">
        <v>414</v>
      </c>
    </row>
    <row r="423" spans="1:13" ht="15">
      <c r="A423" t="s">
        <v>3777</v>
      </c>
      <c r="B423" t="s">
        <v>4849</v>
      </c>
      <c r="C423" t="s">
        <v>1221</v>
      </c>
      <c r="D423" t="str">
        <f>_xlfn.XLOOKUP(E423,HCP_evidence!H:H,HCP_evidence!I:I)</f>
        <v>https://www.sante.fr/essais-cliniques/2025-523495-23-00/rasolute-304-a-phase-3-multicenter-open-label-randomized-2-arm-study-of-adjuvant-daraxonrasib-versus-standard-of-care-observation-following-completion-of-neoadjuvant-and-or-adjuvant-chemotherapy-in-patients-with-resected-pancreatic-ductal-adenocarcinoma-pdac</v>
      </c>
      <c r="E423" t="s">
        <v>1224</v>
      </c>
      <c r="G423" t="str" cm="1">
        <f t="array" ref="G423">_xlfn.XLOOKUP(E423,HCP_evidence!H:H,IF(HCP_evidence!M:M="Yes","Yes",""))</f>
        <v>Yes</v>
      </c>
      <c r="H423" t="str" cm="1">
        <f t="array" ref="H423">_xlfn.XLOOKUP(E423,HCP_evidence!H:H,IF(HCP_evidence!K:K="Yes","Yes",""))</f>
        <v/>
      </c>
      <c r="I423" t="str" cm="1">
        <f t="array" ref="I423">_xlfn.XLOOKUP(E423,HCP_evidence!H:H,IF(HCP_evidence!J:J="Yes","Yes",""))</f>
        <v/>
      </c>
      <c r="J423" t="e">
        <f>IF(OR(K423="Yes",L423="Yes"),"Yes","")</f>
        <v>#REF!</v>
      </c>
      <c r="K423" t="e" cm="1">
        <f t="array" ref="K423">_xlfn.XLOOKUP(E423,HCP_evidence!H:H,IF(HCP_evidence!#REF!="Yes","Yes",""))</f>
        <v>#REF!</v>
      </c>
      <c r="L423" t="e" cm="1">
        <f t="array" ref="L423">_xlfn.XLOOKUP(E423,HCP_evidence!H:H,IF(HCP_evidence!#REF!="Yes","Yes",""))</f>
        <v>#REF!</v>
      </c>
      <c r="M423" t="str" cm="1">
        <f t="array" ref="M423">_xlfn.XLOOKUP(E423,HCP_evidence!H:H,IF(HCP_evidence!N:N="Yes","Yes",""))</f>
        <v/>
      </c>
    </row>
    <row r="424" spans="1:13" ht="15">
      <c r="A424" t="s">
        <v>3777</v>
      </c>
      <c r="B424" t="s">
        <v>4849</v>
      </c>
      <c r="C424" t="s">
        <v>6234</v>
      </c>
      <c r="D424" s="83" t="s">
        <v>5628</v>
      </c>
      <c r="E424" t="s">
        <v>5351</v>
      </c>
      <c r="F424" t="s">
        <v>5748</v>
      </c>
      <c r="K424" t="s">
        <v>414</v>
      </c>
      <c r="L424" t="s">
        <v>414</v>
      </c>
    </row>
    <row r="425" spans="1:13" ht="15">
      <c r="C425" t="s">
        <v>7258</v>
      </c>
      <c r="D425" s="83" t="s">
        <v>5524</v>
      </c>
      <c r="E425" t="s">
        <v>5247</v>
      </c>
      <c r="F425" t="s">
        <v>5747</v>
      </c>
      <c r="M425" t="s">
        <v>414</v>
      </c>
    </row>
    <row r="426" spans="1:13" ht="15">
      <c r="C426" t="s">
        <v>6611</v>
      </c>
      <c r="D426" s="83" t="s">
        <v>5615</v>
      </c>
      <c r="E426" t="s">
        <v>5338</v>
      </c>
      <c r="F426" t="s">
        <v>5734</v>
      </c>
      <c r="H426" t="s">
        <v>414</v>
      </c>
      <c r="M426" t="s">
        <v>414</v>
      </c>
    </row>
    <row r="427" spans="1:13" ht="15">
      <c r="C427" t="s">
        <v>6277</v>
      </c>
      <c r="D427" s="83" t="s">
        <v>5697</v>
      </c>
      <c r="E427" t="s">
        <v>5420</v>
      </c>
      <c r="F427" t="s">
        <v>27</v>
      </c>
      <c r="L427" t="s">
        <v>414</v>
      </c>
    </row>
    <row r="428" spans="1:13" ht="15">
      <c r="C428" t="s">
        <v>6429</v>
      </c>
      <c r="D428" s="83" t="s">
        <v>5479</v>
      </c>
      <c r="E428" t="s">
        <v>5202</v>
      </c>
      <c r="F428" t="s">
        <v>5746</v>
      </c>
      <c r="H428" t="s">
        <v>414</v>
      </c>
      <c r="M428" t="s">
        <v>414</v>
      </c>
    </row>
    <row r="429" spans="1:13" ht="15">
      <c r="A429" t="s">
        <v>3783</v>
      </c>
      <c r="B429" t="s">
        <v>301</v>
      </c>
      <c r="C429" t="s">
        <v>6076</v>
      </c>
      <c r="D429" s="83" t="s">
        <v>5656</v>
      </c>
      <c r="E429" t="s">
        <v>5379</v>
      </c>
      <c r="F429" t="s">
        <v>5742</v>
      </c>
    </row>
    <row r="430" spans="1:13" ht="15">
      <c r="A430" t="s">
        <v>4525</v>
      </c>
      <c r="B430" s="81" t="s">
        <v>4524</v>
      </c>
      <c r="C430" t="s">
        <v>6193</v>
      </c>
      <c r="D430" s="83" t="s">
        <v>5656</v>
      </c>
      <c r="E430" t="s">
        <v>5379</v>
      </c>
      <c r="F430" t="s">
        <v>5742</v>
      </c>
    </row>
    <row r="431" spans="1:13" ht="15">
      <c r="A431" t="s">
        <v>3738</v>
      </c>
      <c r="B431" s="74" t="s">
        <v>4300</v>
      </c>
      <c r="C431" t="s">
        <v>6299</v>
      </c>
      <c r="D431" s="83" t="s">
        <v>5656</v>
      </c>
      <c r="E431" t="s">
        <v>5379</v>
      </c>
      <c r="F431" t="s">
        <v>5742</v>
      </c>
    </row>
    <row r="432" spans="1:13" ht="15">
      <c r="C432" t="s">
        <v>6712</v>
      </c>
      <c r="D432" s="83" t="s">
        <v>4142</v>
      </c>
      <c r="E432" t="s">
        <v>5035</v>
      </c>
      <c r="F432" t="s">
        <v>5799</v>
      </c>
      <c r="H432" t="s">
        <v>414</v>
      </c>
      <c r="K432" t="s">
        <v>414</v>
      </c>
      <c r="L432" t="s">
        <v>414</v>
      </c>
    </row>
    <row r="433" spans="1:13" ht="15">
      <c r="A433" t="s">
        <v>3746</v>
      </c>
      <c r="B433" s="12" t="s">
        <v>4482</v>
      </c>
      <c r="C433" t="s">
        <v>6458</v>
      </c>
      <c r="D433" s="83" t="s">
        <v>5656</v>
      </c>
      <c r="E433" t="s">
        <v>5379</v>
      </c>
      <c r="F433" t="s">
        <v>5742</v>
      </c>
    </row>
    <row r="434" spans="1:13" ht="15">
      <c r="A434" t="s">
        <v>3739</v>
      </c>
      <c r="B434" s="12" t="s">
        <v>33</v>
      </c>
      <c r="C434" t="s">
        <v>6519</v>
      </c>
      <c r="D434" s="83" t="s">
        <v>5656</v>
      </c>
      <c r="E434" t="s">
        <v>5379</v>
      </c>
      <c r="F434" t="s">
        <v>5742</v>
      </c>
    </row>
    <row r="435" spans="1:13" ht="15">
      <c r="C435" t="s">
        <v>7569</v>
      </c>
      <c r="D435" s="83" t="s">
        <v>5602</v>
      </c>
      <c r="E435" t="s">
        <v>5325</v>
      </c>
      <c r="F435" t="s">
        <v>1291</v>
      </c>
      <c r="H435" t="s">
        <v>414</v>
      </c>
      <c r="M435" t="s">
        <v>414</v>
      </c>
    </row>
    <row r="436" spans="1:13" ht="15">
      <c r="A436" t="s">
        <v>4448</v>
      </c>
      <c r="B436" s="12" t="s">
        <v>1309</v>
      </c>
      <c r="C436" t="s">
        <v>7152</v>
      </c>
      <c r="D436" s="83" t="s">
        <v>5527</v>
      </c>
      <c r="E436" t="s">
        <v>5250</v>
      </c>
      <c r="F436" t="s">
        <v>5774</v>
      </c>
      <c r="H436" t="s">
        <v>414</v>
      </c>
      <c r="M436" t="s">
        <v>414</v>
      </c>
    </row>
    <row r="437" spans="1:13" ht="15">
      <c r="A437" t="s">
        <v>3739</v>
      </c>
      <c r="B437" s="12" t="s">
        <v>33</v>
      </c>
      <c r="C437" t="s">
        <v>6034</v>
      </c>
      <c r="D437" s="83" t="s">
        <v>5527</v>
      </c>
      <c r="E437" t="s">
        <v>5250</v>
      </c>
      <c r="F437" t="s">
        <v>5774</v>
      </c>
      <c r="H437" t="s">
        <v>414</v>
      </c>
      <c r="M437" t="s">
        <v>414</v>
      </c>
    </row>
    <row r="438" spans="1:13" ht="15">
      <c r="C438" t="s">
        <v>5963</v>
      </c>
      <c r="D438" s="83" t="s">
        <v>5628</v>
      </c>
      <c r="E438" t="s">
        <v>5351</v>
      </c>
      <c r="F438" t="s">
        <v>5748</v>
      </c>
      <c r="K438" t="s">
        <v>414</v>
      </c>
      <c r="L438" t="s">
        <v>414</v>
      </c>
    </row>
    <row r="439" spans="1:13" ht="15">
      <c r="C439" t="s">
        <v>7171</v>
      </c>
      <c r="D439" s="83" t="s">
        <v>5596</v>
      </c>
      <c r="E439" t="s">
        <v>5319</v>
      </c>
      <c r="F439" t="s">
        <v>5801</v>
      </c>
    </row>
    <row r="440" spans="1:13" ht="15">
      <c r="A440" t="s">
        <v>3768</v>
      </c>
      <c r="B440" t="s">
        <v>4282</v>
      </c>
      <c r="C440" t="s">
        <v>6087</v>
      </c>
      <c r="D440" s="83" t="s">
        <v>4142</v>
      </c>
      <c r="E440" t="s">
        <v>5035</v>
      </c>
      <c r="F440" t="s">
        <v>5799</v>
      </c>
      <c r="H440" t="s">
        <v>414</v>
      </c>
      <c r="K440" t="s">
        <v>414</v>
      </c>
      <c r="L440" t="s">
        <v>414</v>
      </c>
    </row>
    <row r="441" spans="1:13" ht="15">
      <c r="A441" t="s">
        <v>3738</v>
      </c>
      <c r="B441" s="74" t="s">
        <v>4300</v>
      </c>
      <c r="C441" t="s">
        <v>6623</v>
      </c>
      <c r="D441" s="83" t="s">
        <v>4163</v>
      </c>
      <c r="E441" t="s">
        <v>5057</v>
      </c>
      <c r="F441" t="s">
        <v>5748</v>
      </c>
    </row>
    <row r="442" spans="1:13" ht="15">
      <c r="C442" t="s">
        <v>7161</v>
      </c>
      <c r="D442" s="83" t="s">
        <v>5550</v>
      </c>
      <c r="E442" t="s">
        <v>5273</v>
      </c>
      <c r="F442" t="s">
        <v>5727</v>
      </c>
      <c r="H442" t="s">
        <v>414</v>
      </c>
      <c r="M442" t="s">
        <v>414</v>
      </c>
    </row>
    <row r="443" spans="1:13" ht="15">
      <c r="C443" t="s">
        <v>6805</v>
      </c>
      <c r="D443" s="83" t="s">
        <v>5493</v>
      </c>
      <c r="E443" t="s">
        <v>5216</v>
      </c>
      <c r="F443" t="s">
        <v>5755</v>
      </c>
      <c r="H443" t="s">
        <v>414</v>
      </c>
      <c r="M443" t="s">
        <v>414</v>
      </c>
    </row>
    <row r="444" spans="1:13" ht="15">
      <c r="C444" t="s">
        <v>6805</v>
      </c>
      <c r="D444" s="83" t="s">
        <v>5529</v>
      </c>
      <c r="E444" t="s">
        <v>5252</v>
      </c>
      <c r="F444" t="s">
        <v>5748</v>
      </c>
      <c r="M444" t="s">
        <v>414</v>
      </c>
    </row>
    <row r="445" spans="1:13" ht="15">
      <c r="A445" t="s">
        <v>3139</v>
      </c>
      <c r="B445" t="s">
        <v>4285</v>
      </c>
      <c r="C445" t="s">
        <v>6085</v>
      </c>
      <c r="D445" s="83" t="s">
        <v>4170</v>
      </c>
      <c r="E445" t="s">
        <v>5064</v>
      </c>
      <c r="F445" t="s">
        <v>5747</v>
      </c>
      <c r="K445" t="s">
        <v>414</v>
      </c>
      <c r="L445" t="s">
        <v>414</v>
      </c>
      <c r="M445" t="s">
        <v>414</v>
      </c>
    </row>
    <row r="446" spans="1:13" ht="15">
      <c r="C446" t="s">
        <v>6807</v>
      </c>
      <c r="D446" s="83" t="s">
        <v>5525</v>
      </c>
      <c r="E446" t="s">
        <v>5248</v>
      </c>
      <c r="F446" t="s">
        <v>5759</v>
      </c>
      <c r="M446" t="s">
        <v>414</v>
      </c>
    </row>
    <row r="447" spans="1:13" ht="15">
      <c r="A447" t="s">
        <v>4453</v>
      </c>
      <c r="B447" s="81" t="s">
        <v>3175</v>
      </c>
      <c r="C447" t="s">
        <v>6747</v>
      </c>
      <c r="D447" s="83" t="s">
        <v>4170</v>
      </c>
      <c r="E447" t="s">
        <v>5064</v>
      </c>
      <c r="F447" t="s">
        <v>5747</v>
      </c>
      <c r="K447" t="s">
        <v>414</v>
      </c>
      <c r="L447" t="s">
        <v>414</v>
      </c>
      <c r="M447" t="s">
        <v>414</v>
      </c>
    </row>
    <row r="448" spans="1:13" ht="15">
      <c r="C448" t="s">
        <v>6369</v>
      </c>
      <c r="D448" s="83" t="s">
        <v>5597</v>
      </c>
      <c r="E448" t="s">
        <v>5320</v>
      </c>
      <c r="F448" t="s">
        <v>5802</v>
      </c>
    </row>
    <row r="449" spans="1:13" ht="15">
      <c r="C449" t="s">
        <v>6670</v>
      </c>
      <c r="D449" s="83" t="s">
        <v>5628</v>
      </c>
      <c r="E449" t="s">
        <v>5351</v>
      </c>
      <c r="F449" t="s">
        <v>5748</v>
      </c>
      <c r="K449" t="s">
        <v>414</v>
      </c>
      <c r="L449" t="s">
        <v>414</v>
      </c>
    </row>
    <row r="450" spans="1:13" ht="15">
      <c r="A450" t="s">
        <v>4443</v>
      </c>
      <c r="B450" t="s">
        <v>4287</v>
      </c>
      <c r="C450" t="s">
        <v>6583</v>
      </c>
      <c r="D450" s="83" t="s">
        <v>4170</v>
      </c>
      <c r="E450" t="s">
        <v>5064</v>
      </c>
      <c r="F450" t="s">
        <v>5747</v>
      </c>
      <c r="K450" t="s">
        <v>414</v>
      </c>
      <c r="L450" t="s">
        <v>414</v>
      </c>
      <c r="M450" t="s">
        <v>414</v>
      </c>
    </row>
    <row r="451" spans="1:13" ht="15">
      <c r="C451" t="s">
        <v>6051</v>
      </c>
      <c r="D451" s="83" t="s">
        <v>4164</v>
      </c>
      <c r="E451" t="s">
        <v>5058</v>
      </c>
      <c r="F451" t="s">
        <v>5834</v>
      </c>
    </row>
    <row r="452" spans="1:13" ht="15">
      <c r="A452" t="s">
        <v>3777</v>
      </c>
      <c r="B452" s="90" t="s">
        <v>4849</v>
      </c>
      <c r="C452" t="s">
        <v>6176</v>
      </c>
      <c r="D452" s="83" t="s">
        <v>4164</v>
      </c>
      <c r="E452" t="s">
        <v>5058</v>
      </c>
      <c r="F452" t="s">
        <v>5834</v>
      </c>
    </row>
    <row r="453" spans="1:13" ht="15">
      <c r="C453" t="s">
        <v>6127</v>
      </c>
      <c r="D453" s="83" t="s">
        <v>5589</v>
      </c>
      <c r="E453" t="s">
        <v>5312</v>
      </c>
      <c r="F453" t="s">
        <v>5748</v>
      </c>
      <c r="H453" t="s">
        <v>414</v>
      </c>
      <c r="M453" t="s">
        <v>414</v>
      </c>
    </row>
    <row r="454" spans="1:13" ht="15">
      <c r="C454" t="s">
        <v>6127</v>
      </c>
      <c r="D454" s="83" t="s">
        <v>5514</v>
      </c>
      <c r="E454" t="s">
        <v>5237</v>
      </c>
      <c r="F454" t="s">
        <v>5748</v>
      </c>
      <c r="H454" t="s">
        <v>414</v>
      </c>
      <c r="M454" t="s">
        <v>414</v>
      </c>
    </row>
    <row r="455" spans="1:13" ht="15">
      <c r="A455" t="s">
        <v>3765</v>
      </c>
      <c r="B455" t="s">
        <v>4302</v>
      </c>
      <c r="C455" t="s">
        <v>6733</v>
      </c>
      <c r="D455" s="83" t="s">
        <v>4170</v>
      </c>
      <c r="E455" t="s">
        <v>5064</v>
      </c>
      <c r="F455" t="s">
        <v>5747</v>
      </c>
      <c r="K455" t="s">
        <v>414</v>
      </c>
      <c r="L455" t="s">
        <v>414</v>
      </c>
      <c r="M455" t="s">
        <v>414</v>
      </c>
    </row>
    <row r="456" spans="1:13" ht="15">
      <c r="C456" t="s">
        <v>6991</v>
      </c>
      <c r="D456" s="83" t="s">
        <v>5854</v>
      </c>
      <c r="E456" t="s">
        <v>7772</v>
      </c>
      <c r="F456" t="s">
        <v>7773</v>
      </c>
      <c r="L456" t="s">
        <v>414</v>
      </c>
    </row>
    <row r="457" spans="1:13" ht="15">
      <c r="C457" t="s">
        <v>7003</v>
      </c>
      <c r="D457" s="83" t="s">
        <v>5529</v>
      </c>
      <c r="E457" t="s">
        <v>5252</v>
      </c>
      <c r="F457" t="s">
        <v>5748</v>
      </c>
      <c r="M457" t="s">
        <v>414</v>
      </c>
    </row>
    <row r="458" spans="1:13" ht="15">
      <c r="A458" t="s">
        <v>3739</v>
      </c>
      <c r="B458" s="12" t="s">
        <v>33</v>
      </c>
      <c r="C458" t="s">
        <v>7027</v>
      </c>
      <c r="D458" s="83" t="s">
        <v>4201</v>
      </c>
      <c r="E458" t="s">
        <v>5095</v>
      </c>
      <c r="F458" t="s">
        <v>5780</v>
      </c>
    </row>
    <row r="459" spans="1:13" ht="15">
      <c r="C459" t="s">
        <v>7080</v>
      </c>
      <c r="D459" s="83" t="s">
        <v>4163</v>
      </c>
      <c r="E459" t="s">
        <v>5057</v>
      </c>
      <c r="F459" t="s">
        <v>5748</v>
      </c>
    </row>
    <row r="460" spans="1:13" ht="15">
      <c r="C460" t="s">
        <v>6784</v>
      </c>
      <c r="D460" s="83" t="s">
        <v>5517</v>
      </c>
      <c r="E460" t="s">
        <v>5240</v>
      </c>
      <c r="F460" t="s">
        <v>5748</v>
      </c>
      <c r="M460" t="s">
        <v>414</v>
      </c>
    </row>
    <row r="461" spans="1:13" ht="15">
      <c r="C461" t="s">
        <v>6784</v>
      </c>
      <c r="D461" s="83" t="s">
        <v>5521</v>
      </c>
      <c r="E461" t="s">
        <v>5244</v>
      </c>
      <c r="F461" t="s">
        <v>5748</v>
      </c>
      <c r="H461" t="s">
        <v>414</v>
      </c>
      <c r="I461" t="s">
        <v>414</v>
      </c>
      <c r="L461" t="s">
        <v>414</v>
      </c>
      <c r="M461" t="s">
        <v>414</v>
      </c>
    </row>
    <row r="462" spans="1:13" ht="15">
      <c r="C462" t="s">
        <v>6133</v>
      </c>
      <c r="D462" s="83" t="s">
        <v>5479</v>
      </c>
      <c r="E462" t="s">
        <v>5202</v>
      </c>
      <c r="F462" t="s">
        <v>5746</v>
      </c>
      <c r="H462" t="s">
        <v>414</v>
      </c>
      <c r="M462" t="s">
        <v>414</v>
      </c>
    </row>
    <row r="463" spans="1:13" ht="15">
      <c r="A463" t="s">
        <v>3755</v>
      </c>
      <c r="B463" t="s">
        <v>4533</v>
      </c>
      <c r="C463" t="s">
        <v>7143</v>
      </c>
      <c r="D463" s="83" t="s">
        <v>5471</v>
      </c>
      <c r="E463" t="s">
        <v>5194</v>
      </c>
      <c r="F463" t="s">
        <v>5726</v>
      </c>
      <c r="H463" t="s">
        <v>414</v>
      </c>
      <c r="M463" t="s">
        <v>414</v>
      </c>
    </row>
    <row r="464" spans="1:13" ht="15">
      <c r="A464" t="s">
        <v>3738</v>
      </c>
      <c r="B464" s="74" t="s">
        <v>4300</v>
      </c>
      <c r="C464" t="s">
        <v>7153</v>
      </c>
      <c r="D464" s="83" t="s">
        <v>5471</v>
      </c>
      <c r="E464" t="s">
        <v>5194</v>
      </c>
      <c r="F464" t="s">
        <v>5726</v>
      </c>
      <c r="H464" t="s">
        <v>414</v>
      </c>
      <c r="M464" t="s">
        <v>414</v>
      </c>
    </row>
    <row r="465" spans="1:13" ht="15">
      <c r="A465" t="s">
        <v>3746</v>
      </c>
      <c r="B465" s="12" t="s">
        <v>4482</v>
      </c>
      <c r="C465" t="s">
        <v>6066</v>
      </c>
      <c r="D465" s="83" t="s">
        <v>5471</v>
      </c>
      <c r="E465" t="s">
        <v>5194</v>
      </c>
      <c r="F465" t="s">
        <v>5726</v>
      </c>
      <c r="H465" t="s">
        <v>414</v>
      </c>
      <c r="M465" t="s">
        <v>414</v>
      </c>
    </row>
    <row r="466" spans="1:13" ht="15">
      <c r="C466" t="s">
        <v>6954</v>
      </c>
      <c r="D466" s="83" t="s">
        <v>5486</v>
      </c>
      <c r="E466" t="s">
        <v>5209</v>
      </c>
      <c r="F466" t="s">
        <v>5750</v>
      </c>
      <c r="H466" t="s">
        <v>414</v>
      </c>
      <c r="M466" t="s">
        <v>414</v>
      </c>
    </row>
    <row r="467" spans="1:13" ht="15">
      <c r="A467" t="s">
        <v>3770</v>
      </c>
      <c r="B467" t="s">
        <v>42</v>
      </c>
      <c r="C467" t="s">
        <v>7207</v>
      </c>
      <c r="D467" s="83" t="s">
        <v>4156</v>
      </c>
      <c r="E467" t="s">
        <v>5049</v>
      </c>
      <c r="F467" t="s">
        <v>5760</v>
      </c>
      <c r="M467" t="s">
        <v>414</v>
      </c>
    </row>
    <row r="468" spans="1:13" ht="15">
      <c r="A468" t="s">
        <v>3773</v>
      </c>
      <c r="B468" t="s">
        <v>1289</v>
      </c>
      <c r="C468" t="s">
        <v>7254</v>
      </c>
      <c r="D468" s="83" t="s">
        <v>4156</v>
      </c>
      <c r="E468" t="s">
        <v>5049</v>
      </c>
      <c r="F468" t="s">
        <v>5760</v>
      </c>
      <c r="M468" t="s">
        <v>414</v>
      </c>
    </row>
    <row r="469" spans="1:13" ht="15">
      <c r="A469" t="s">
        <v>3784</v>
      </c>
      <c r="B469" t="s">
        <v>4281</v>
      </c>
      <c r="C469" t="s">
        <v>7631</v>
      </c>
      <c r="D469" s="83" t="s">
        <v>5562</v>
      </c>
      <c r="E469" t="s">
        <v>5285</v>
      </c>
      <c r="F469" t="s">
        <v>5750</v>
      </c>
      <c r="H469" t="s">
        <v>414</v>
      </c>
      <c r="M469" t="s">
        <v>414</v>
      </c>
    </row>
    <row r="470" spans="1:13" ht="15">
      <c r="C470" t="s">
        <v>6913</v>
      </c>
      <c r="D470" s="83" t="s">
        <v>5517</v>
      </c>
      <c r="E470" t="s">
        <v>5240</v>
      </c>
      <c r="F470" t="s">
        <v>5748</v>
      </c>
      <c r="M470" t="s">
        <v>414</v>
      </c>
    </row>
    <row r="471" spans="1:13" ht="15">
      <c r="A471" t="s">
        <v>3786</v>
      </c>
      <c r="B471" t="s">
        <v>4301</v>
      </c>
      <c r="C471" t="s">
        <v>5956</v>
      </c>
      <c r="D471" s="83" t="s">
        <v>5514</v>
      </c>
      <c r="E471" t="s">
        <v>5237</v>
      </c>
      <c r="F471" t="s">
        <v>5748</v>
      </c>
      <c r="H471" t="s">
        <v>414</v>
      </c>
      <c r="M471" t="s">
        <v>414</v>
      </c>
    </row>
    <row r="472" spans="1:13" ht="15">
      <c r="A472" t="s">
        <v>3786</v>
      </c>
      <c r="B472" t="s">
        <v>4301</v>
      </c>
      <c r="C472" t="s">
        <v>5956</v>
      </c>
      <c r="D472" s="83" t="s">
        <v>5529</v>
      </c>
      <c r="E472" t="s">
        <v>5252</v>
      </c>
      <c r="F472" t="s">
        <v>5748</v>
      </c>
      <c r="M472" t="s">
        <v>414</v>
      </c>
    </row>
    <row r="473" spans="1:13" ht="15">
      <c r="A473" t="s">
        <v>3739</v>
      </c>
      <c r="B473" s="12" t="s">
        <v>33</v>
      </c>
      <c r="C473" t="s">
        <v>7487</v>
      </c>
      <c r="D473" s="83" t="s">
        <v>4156</v>
      </c>
      <c r="E473" t="s">
        <v>5049</v>
      </c>
      <c r="F473" t="s">
        <v>5760</v>
      </c>
      <c r="M473" t="s">
        <v>414</v>
      </c>
    </row>
    <row r="474" spans="1:13" ht="15">
      <c r="A474" t="s">
        <v>3786</v>
      </c>
      <c r="B474" t="s">
        <v>4301</v>
      </c>
      <c r="C474" t="s">
        <v>5956</v>
      </c>
      <c r="D474" s="83" t="s">
        <v>5521</v>
      </c>
      <c r="E474" t="s">
        <v>5244</v>
      </c>
      <c r="F474" t="s">
        <v>5748</v>
      </c>
      <c r="H474" t="s">
        <v>414</v>
      </c>
      <c r="I474" t="s">
        <v>414</v>
      </c>
      <c r="L474" t="s">
        <v>414</v>
      </c>
      <c r="M474" t="s">
        <v>414</v>
      </c>
    </row>
    <row r="475" spans="1:13" ht="15">
      <c r="A475" t="s">
        <v>4525</v>
      </c>
      <c r="B475" s="81" t="s">
        <v>4524</v>
      </c>
      <c r="C475" t="s">
        <v>6057</v>
      </c>
      <c r="D475" s="83" t="s">
        <v>5674</v>
      </c>
      <c r="E475" t="s">
        <v>5397</v>
      </c>
      <c r="F475" t="s">
        <v>5739</v>
      </c>
      <c r="G475" t="s">
        <v>414</v>
      </c>
      <c r="H475" t="s">
        <v>414</v>
      </c>
    </row>
    <row r="476" spans="1:13" ht="15">
      <c r="A476" t="s">
        <v>3739</v>
      </c>
      <c r="B476" s="12" t="s">
        <v>33</v>
      </c>
      <c r="C476" t="s">
        <v>6181</v>
      </c>
      <c r="D476" s="83" t="s">
        <v>5674</v>
      </c>
      <c r="E476" t="s">
        <v>5397</v>
      </c>
      <c r="F476" t="s">
        <v>5739</v>
      </c>
      <c r="G476" t="s">
        <v>414</v>
      </c>
      <c r="H476" t="s">
        <v>414</v>
      </c>
    </row>
    <row r="477" spans="1:13" ht="15">
      <c r="A477" t="s">
        <v>3739</v>
      </c>
      <c r="B477" s="12" t="s">
        <v>33</v>
      </c>
      <c r="C477" t="s">
        <v>5971</v>
      </c>
      <c r="D477" s="83" t="s">
        <v>4172</v>
      </c>
      <c r="E477" t="s">
        <v>5066</v>
      </c>
      <c r="F477" t="s">
        <v>5820</v>
      </c>
      <c r="H477" t="s">
        <v>414</v>
      </c>
      <c r="K477" t="s">
        <v>414</v>
      </c>
    </row>
    <row r="478" spans="1:13" ht="15">
      <c r="A478" t="s">
        <v>3786</v>
      </c>
      <c r="B478" t="s">
        <v>4301</v>
      </c>
      <c r="C478" t="s">
        <v>5956</v>
      </c>
      <c r="D478" s="83" t="s">
        <v>5495</v>
      </c>
      <c r="E478" t="s">
        <v>5218</v>
      </c>
      <c r="F478" t="s">
        <v>5755</v>
      </c>
      <c r="H478" t="s">
        <v>414</v>
      </c>
      <c r="M478" t="s">
        <v>414</v>
      </c>
    </row>
    <row r="479" spans="1:13" ht="15">
      <c r="A479" t="s">
        <v>3789</v>
      </c>
      <c r="B479" s="74" t="s">
        <v>4932</v>
      </c>
      <c r="C479" t="s">
        <v>7738</v>
      </c>
      <c r="D479" s="83" t="s">
        <v>5557</v>
      </c>
      <c r="E479" t="s">
        <v>5280</v>
      </c>
      <c r="F479" t="s">
        <v>5755</v>
      </c>
      <c r="M479" t="s">
        <v>414</v>
      </c>
    </row>
    <row r="480" spans="1:13" ht="15">
      <c r="A480" t="s">
        <v>4450</v>
      </c>
      <c r="B480" t="s">
        <v>3356</v>
      </c>
      <c r="C480" t="s">
        <v>6225</v>
      </c>
      <c r="D480" s="83" t="s">
        <v>4160</v>
      </c>
      <c r="E480" t="s">
        <v>5053</v>
      </c>
      <c r="F480" t="s">
        <v>5778</v>
      </c>
      <c r="L480" t="s">
        <v>414</v>
      </c>
    </row>
    <row r="481" spans="1:13" ht="15">
      <c r="A481" t="s">
        <v>3789</v>
      </c>
      <c r="B481" s="74" t="s">
        <v>4932</v>
      </c>
      <c r="C481" t="s">
        <v>6962</v>
      </c>
      <c r="D481" s="83" t="s">
        <v>5493</v>
      </c>
      <c r="E481" t="s">
        <v>5216</v>
      </c>
      <c r="F481" t="s">
        <v>5755</v>
      </c>
      <c r="H481" t="s">
        <v>414</v>
      </c>
      <c r="M481" t="s">
        <v>414</v>
      </c>
    </row>
    <row r="482" spans="1:13" ht="15">
      <c r="A482" t="s">
        <v>3737</v>
      </c>
      <c r="B482" s="74" t="s">
        <v>4421</v>
      </c>
      <c r="C482" t="s">
        <v>6410</v>
      </c>
      <c r="D482" s="83" t="s">
        <v>4160</v>
      </c>
      <c r="E482" t="s">
        <v>5053</v>
      </c>
      <c r="F482" t="s">
        <v>5778</v>
      </c>
      <c r="L482" t="s">
        <v>414</v>
      </c>
    </row>
    <row r="483" spans="1:13" ht="15">
      <c r="A483" t="s">
        <v>3789</v>
      </c>
      <c r="B483" s="74" t="s">
        <v>4932</v>
      </c>
      <c r="C483" t="s">
        <v>6962</v>
      </c>
      <c r="D483" s="83" t="s">
        <v>5525</v>
      </c>
      <c r="E483" t="s">
        <v>5248</v>
      </c>
      <c r="F483" t="s">
        <v>5759</v>
      </c>
      <c r="M483" t="s">
        <v>414</v>
      </c>
    </row>
    <row r="484" spans="1:13" ht="15">
      <c r="A484" t="s">
        <v>3789</v>
      </c>
      <c r="B484" s="74" t="s">
        <v>4932</v>
      </c>
      <c r="C484" t="s">
        <v>7239</v>
      </c>
      <c r="D484" s="83" t="s">
        <v>5681</v>
      </c>
      <c r="E484" t="s">
        <v>5404</v>
      </c>
      <c r="F484" t="s">
        <v>5799</v>
      </c>
    </row>
    <row r="485" spans="1:13" ht="15">
      <c r="A485" t="s">
        <v>3745</v>
      </c>
      <c r="B485" t="s">
        <v>4292</v>
      </c>
      <c r="C485" t="s">
        <v>6584</v>
      </c>
      <c r="D485" s="83" t="s">
        <v>4160</v>
      </c>
      <c r="E485" t="s">
        <v>5053</v>
      </c>
      <c r="F485" t="s">
        <v>5778</v>
      </c>
      <c r="L485" t="s">
        <v>414</v>
      </c>
    </row>
    <row r="486" spans="1:13" ht="15">
      <c r="A486" t="s">
        <v>3739</v>
      </c>
      <c r="B486" s="12" t="s">
        <v>33</v>
      </c>
      <c r="C486" t="s">
        <v>6012</v>
      </c>
      <c r="D486" s="83" t="s">
        <v>5580</v>
      </c>
      <c r="E486" t="s">
        <v>5303</v>
      </c>
      <c r="F486" t="s">
        <v>5780</v>
      </c>
      <c r="I486" t="s">
        <v>414</v>
      </c>
    </row>
    <row r="487" spans="1:13" ht="15">
      <c r="A487" t="s">
        <v>3789</v>
      </c>
      <c r="B487" s="74" t="s">
        <v>4932</v>
      </c>
      <c r="C487" t="s">
        <v>6098</v>
      </c>
      <c r="D487" s="83" t="s">
        <v>5864</v>
      </c>
      <c r="E487" t="s">
        <v>7784</v>
      </c>
      <c r="F487" t="s">
        <v>7785</v>
      </c>
      <c r="H487" t="s">
        <v>414</v>
      </c>
      <c r="L487" t="s">
        <v>414</v>
      </c>
    </row>
    <row r="488" spans="1:13" ht="15">
      <c r="A488" t="s">
        <v>4525</v>
      </c>
      <c r="B488" s="81" t="s">
        <v>4524</v>
      </c>
      <c r="C488" t="s">
        <v>6180</v>
      </c>
      <c r="D488" s="83" t="s">
        <v>4205</v>
      </c>
      <c r="E488" t="s">
        <v>5099</v>
      </c>
      <c r="F488" t="s">
        <v>5842</v>
      </c>
      <c r="M488" t="s">
        <v>414</v>
      </c>
    </row>
    <row r="489" spans="1:13" ht="15">
      <c r="A489" t="s">
        <v>3789</v>
      </c>
      <c r="B489" s="74" t="s">
        <v>4932</v>
      </c>
      <c r="C489" t="s">
        <v>6399</v>
      </c>
      <c r="D489" s="83" t="s">
        <v>5635</v>
      </c>
      <c r="E489" t="s">
        <v>5358</v>
      </c>
      <c r="F489" t="s">
        <v>5734</v>
      </c>
      <c r="H489" t="s">
        <v>414</v>
      </c>
      <c r="L489" t="s">
        <v>414</v>
      </c>
    </row>
    <row r="490" spans="1:13" ht="15">
      <c r="A490" t="s">
        <v>3789</v>
      </c>
      <c r="B490" s="74" t="s">
        <v>4932</v>
      </c>
      <c r="C490" t="s">
        <v>6893</v>
      </c>
      <c r="D490" s="83" t="s">
        <v>4170</v>
      </c>
      <c r="E490" t="s">
        <v>5064</v>
      </c>
      <c r="F490" t="s">
        <v>5747</v>
      </c>
      <c r="K490" t="s">
        <v>414</v>
      </c>
      <c r="L490" t="s">
        <v>414</v>
      </c>
      <c r="M490" t="s">
        <v>414</v>
      </c>
    </row>
    <row r="491" spans="1:13" ht="15">
      <c r="A491" t="s">
        <v>3739</v>
      </c>
      <c r="B491" s="12" t="s">
        <v>33</v>
      </c>
      <c r="C491" t="s">
        <v>6284</v>
      </c>
      <c r="D491" s="83" t="s">
        <v>4205</v>
      </c>
      <c r="E491" t="s">
        <v>5099</v>
      </c>
      <c r="F491" t="s">
        <v>5842</v>
      </c>
      <c r="M491" t="s">
        <v>414</v>
      </c>
    </row>
    <row r="492" spans="1:13" ht="15">
      <c r="A492" t="s">
        <v>3139</v>
      </c>
      <c r="B492" t="s">
        <v>4285</v>
      </c>
      <c r="C492" t="s">
        <v>7039</v>
      </c>
      <c r="D492" s="83" t="s">
        <v>5501</v>
      </c>
      <c r="E492" t="s">
        <v>5224</v>
      </c>
      <c r="F492" t="s">
        <v>5762</v>
      </c>
      <c r="M492" t="s">
        <v>414</v>
      </c>
    </row>
    <row r="493" spans="1:13" ht="15">
      <c r="A493" t="s">
        <v>4443</v>
      </c>
      <c r="B493" t="s">
        <v>4287</v>
      </c>
      <c r="C493" t="s">
        <v>7148</v>
      </c>
      <c r="D493" s="83" t="s">
        <v>5501</v>
      </c>
      <c r="E493" t="s">
        <v>5224</v>
      </c>
      <c r="F493" t="s">
        <v>5762</v>
      </c>
      <c r="M493" t="s">
        <v>414</v>
      </c>
    </row>
    <row r="494" spans="1:13" ht="15">
      <c r="A494" t="s">
        <v>4565</v>
      </c>
      <c r="B494" s="12" t="s">
        <v>395</v>
      </c>
      <c r="C494" t="s">
        <v>5987</v>
      </c>
      <c r="D494" s="83" t="s">
        <v>4199</v>
      </c>
      <c r="E494" t="s">
        <v>5093</v>
      </c>
      <c r="F494" t="s">
        <v>395</v>
      </c>
      <c r="M494" t="s">
        <v>414</v>
      </c>
    </row>
    <row r="495" spans="1:13" ht="15">
      <c r="A495" t="s">
        <v>3789</v>
      </c>
      <c r="B495" s="74" t="s">
        <v>4932</v>
      </c>
      <c r="C495" t="s">
        <v>6893</v>
      </c>
      <c r="D495" s="83" t="s">
        <v>5524</v>
      </c>
      <c r="E495" t="s">
        <v>5247</v>
      </c>
      <c r="F495" t="s">
        <v>5747</v>
      </c>
      <c r="M495" t="s">
        <v>414</v>
      </c>
    </row>
    <row r="496" spans="1:13" ht="15">
      <c r="A496" t="s">
        <v>3789</v>
      </c>
      <c r="B496" s="74" t="s">
        <v>4932</v>
      </c>
      <c r="C496" t="s">
        <v>6893</v>
      </c>
      <c r="D496" s="83" t="s">
        <v>5549</v>
      </c>
      <c r="E496" t="s">
        <v>5272</v>
      </c>
      <c r="F496" t="s">
        <v>5750</v>
      </c>
      <c r="H496" t="s">
        <v>414</v>
      </c>
      <c r="L496" t="s">
        <v>414</v>
      </c>
      <c r="M496" t="s">
        <v>414</v>
      </c>
    </row>
    <row r="497" spans="1:13" ht="15">
      <c r="A497" t="s">
        <v>3789</v>
      </c>
      <c r="B497" s="74" t="s">
        <v>4932</v>
      </c>
      <c r="C497" t="s">
        <v>6893</v>
      </c>
      <c r="D497" s="83" t="s">
        <v>5865</v>
      </c>
      <c r="E497" t="s">
        <v>7786</v>
      </c>
      <c r="F497" t="s">
        <v>5748</v>
      </c>
      <c r="G497" t="s">
        <v>414</v>
      </c>
      <c r="H497" t="s">
        <v>414</v>
      </c>
      <c r="K497" t="s">
        <v>414</v>
      </c>
      <c r="L497" t="s">
        <v>414</v>
      </c>
    </row>
    <row r="498" spans="1:13" ht="15">
      <c r="A498" t="s">
        <v>3789</v>
      </c>
      <c r="B498" s="74" t="s">
        <v>4932</v>
      </c>
      <c r="C498" t="s">
        <v>6893</v>
      </c>
      <c r="D498" s="83" t="s">
        <v>5654</v>
      </c>
      <c r="E498" t="s">
        <v>5377</v>
      </c>
      <c r="F498" t="s">
        <v>5748</v>
      </c>
      <c r="H498" t="s">
        <v>414</v>
      </c>
      <c r="K498" t="s">
        <v>414</v>
      </c>
      <c r="L498" t="s">
        <v>414</v>
      </c>
    </row>
    <row r="499" spans="1:13" ht="15">
      <c r="A499" t="s">
        <v>3789</v>
      </c>
      <c r="B499" s="74" t="s">
        <v>4932</v>
      </c>
      <c r="C499" t="s">
        <v>6893</v>
      </c>
      <c r="D499" s="83" t="s">
        <v>5857</v>
      </c>
      <c r="E499" t="s">
        <v>7776</v>
      </c>
      <c r="F499" t="s">
        <v>5755</v>
      </c>
      <c r="L499" t="s">
        <v>414</v>
      </c>
    </row>
    <row r="500" spans="1:13" ht="15">
      <c r="A500" t="s">
        <v>3789</v>
      </c>
      <c r="B500" s="74" t="s">
        <v>4932</v>
      </c>
      <c r="C500" t="s">
        <v>7580</v>
      </c>
      <c r="D500" s="83" t="s">
        <v>5602</v>
      </c>
      <c r="E500" t="s">
        <v>5325</v>
      </c>
      <c r="F500" t="s">
        <v>1291</v>
      </c>
      <c r="H500" t="s">
        <v>414</v>
      </c>
      <c r="M500" t="s">
        <v>414</v>
      </c>
    </row>
    <row r="501" spans="1:13" ht="15">
      <c r="C501" t="s">
        <v>5964</v>
      </c>
      <c r="D501" s="83" t="s">
        <v>5529</v>
      </c>
      <c r="E501" t="s">
        <v>5252</v>
      </c>
      <c r="F501" t="s">
        <v>5748</v>
      </c>
      <c r="M501" t="s">
        <v>414</v>
      </c>
    </row>
    <row r="502" spans="1:13" ht="15">
      <c r="A502" t="s">
        <v>3750</v>
      </c>
      <c r="B502" t="s">
        <v>504</v>
      </c>
      <c r="C502" t="s">
        <v>5992</v>
      </c>
      <c r="D502" s="83" t="s">
        <v>5511</v>
      </c>
      <c r="E502" t="s">
        <v>5234</v>
      </c>
      <c r="F502" t="s">
        <v>5741</v>
      </c>
      <c r="H502" t="s">
        <v>414</v>
      </c>
      <c r="M502" t="s">
        <v>414</v>
      </c>
    </row>
    <row r="503" spans="1:13" ht="15">
      <c r="A503" t="s">
        <v>3750</v>
      </c>
      <c r="B503" t="s">
        <v>504</v>
      </c>
      <c r="C503" t="s">
        <v>5992</v>
      </c>
      <c r="D503" s="83" t="s">
        <v>5493</v>
      </c>
      <c r="E503" t="s">
        <v>5216</v>
      </c>
      <c r="F503" t="s">
        <v>5755</v>
      </c>
      <c r="H503" t="s">
        <v>414</v>
      </c>
      <c r="M503" t="s">
        <v>414</v>
      </c>
    </row>
    <row r="504" spans="1:13" ht="15">
      <c r="A504" t="s">
        <v>3750</v>
      </c>
      <c r="B504" t="s">
        <v>504</v>
      </c>
      <c r="C504" t="s">
        <v>5992</v>
      </c>
      <c r="D504" s="83" t="s">
        <v>5486</v>
      </c>
      <c r="E504" t="s">
        <v>5209</v>
      </c>
      <c r="F504" t="s">
        <v>5750</v>
      </c>
      <c r="H504" t="s">
        <v>414</v>
      </c>
      <c r="M504" t="s">
        <v>414</v>
      </c>
    </row>
    <row r="505" spans="1:13" ht="15">
      <c r="A505" t="s">
        <v>3750</v>
      </c>
      <c r="B505" t="s">
        <v>504</v>
      </c>
      <c r="C505" t="s">
        <v>5992</v>
      </c>
      <c r="D505" s="83" t="s">
        <v>5525</v>
      </c>
      <c r="E505" t="s">
        <v>5248</v>
      </c>
      <c r="F505" t="s">
        <v>5759</v>
      </c>
      <c r="M505" t="s">
        <v>414</v>
      </c>
    </row>
    <row r="506" spans="1:13" ht="15">
      <c r="A506" t="s">
        <v>3750</v>
      </c>
      <c r="B506" t="s">
        <v>504</v>
      </c>
      <c r="C506" t="s">
        <v>5992</v>
      </c>
      <c r="D506" s="83" t="s">
        <v>5495</v>
      </c>
      <c r="E506" t="s">
        <v>5218</v>
      </c>
      <c r="F506" t="s">
        <v>5755</v>
      </c>
      <c r="H506" t="s">
        <v>414</v>
      </c>
      <c r="M506" t="s">
        <v>414</v>
      </c>
    </row>
    <row r="507" spans="1:13" ht="15">
      <c r="A507" t="s">
        <v>3786</v>
      </c>
      <c r="B507" t="s">
        <v>4301</v>
      </c>
      <c r="C507" t="s">
        <v>5967</v>
      </c>
      <c r="D507" s="83" t="s">
        <v>5467</v>
      </c>
      <c r="E507" t="s">
        <v>5190</v>
      </c>
      <c r="F507" t="s">
        <v>5740</v>
      </c>
      <c r="M507" t="s">
        <v>414</v>
      </c>
    </row>
    <row r="508" spans="1:13" ht="15">
      <c r="A508" t="s">
        <v>3786</v>
      </c>
      <c r="B508" t="s">
        <v>4301</v>
      </c>
      <c r="C508" t="s">
        <v>5967</v>
      </c>
      <c r="D508" s="83" t="s">
        <v>5565</v>
      </c>
      <c r="E508" t="s">
        <v>5288</v>
      </c>
      <c r="F508" t="s">
        <v>5740</v>
      </c>
      <c r="H508" t="s">
        <v>414</v>
      </c>
      <c r="M508" t="s">
        <v>414</v>
      </c>
    </row>
    <row r="509" spans="1:13" ht="15">
      <c r="A509" t="s">
        <v>3750</v>
      </c>
      <c r="B509" t="s">
        <v>504</v>
      </c>
      <c r="C509" t="s">
        <v>6397</v>
      </c>
      <c r="D509" s="83" t="s">
        <v>5593</v>
      </c>
      <c r="E509" t="s">
        <v>5316</v>
      </c>
      <c r="F509" t="s">
        <v>5800</v>
      </c>
      <c r="H509" t="s">
        <v>414</v>
      </c>
      <c r="L509" t="s">
        <v>414</v>
      </c>
      <c r="M509" t="s">
        <v>414</v>
      </c>
    </row>
    <row r="510" spans="1:13" ht="15">
      <c r="A510" t="s">
        <v>3781</v>
      </c>
      <c r="B510" s="12" t="s">
        <v>280</v>
      </c>
      <c r="C510" t="s">
        <v>6351</v>
      </c>
      <c r="D510" s="83" t="s">
        <v>5493</v>
      </c>
      <c r="E510" t="s">
        <v>5216</v>
      </c>
      <c r="F510" t="s">
        <v>5755</v>
      </c>
      <c r="H510" t="s">
        <v>414</v>
      </c>
      <c r="M510" t="s">
        <v>414</v>
      </c>
    </row>
    <row r="511" spans="1:13" ht="15">
      <c r="A511" t="s">
        <v>3781</v>
      </c>
      <c r="B511" s="12" t="s">
        <v>280</v>
      </c>
      <c r="C511" t="s">
        <v>6351</v>
      </c>
      <c r="D511" s="83" t="s">
        <v>5517</v>
      </c>
      <c r="E511" t="s">
        <v>5240</v>
      </c>
      <c r="F511" t="s">
        <v>5748</v>
      </c>
      <c r="M511" t="s">
        <v>414</v>
      </c>
    </row>
    <row r="512" spans="1:13" ht="15">
      <c r="C512" t="s">
        <v>6490</v>
      </c>
      <c r="D512" s="83" t="s">
        <v>5493</v>
      </c>
      <c r="E512" t="s">
        <v>5216</v>
      </c>
      <c r="F512" t="s">
        <v>5755</v>
      </c>
      <c r="H512" t="s">
        <v>414</v>
      </c>
      <c r="M512" t="s">
        <v>414</v>
      </c>
    </row>
    <row r="513" spans="1:13" ht="15">
      <c r="C513" t="s">
        <v>6490</v>
      </c>
      <c r="D513" s="83" t="s">
        <v>5495</v>
      </c>
      <c r="E513" t="s">
        <v>5218</v>
      </c>
      <c r="F513" t="s">
        <v>5755</v>
      </c>
      <c r="H513" t="s">
        <v>414</v>
      </c>
      <c r="M513" t="s">
        <v>414</v>
      </c>
    </row>
    <row r="514" spans="1:13" ht="15">
      <c r="C514" t="s">
        <v>7715</v>
      </c>
      <c r="D514" s="83" t="s">
        <v>5557</v>
      </c>
      <c r="E514" t="s">
        <v>5280</v>
      </c>
      <c r="F514" t="s">
        <v>5755</v>
      </c>
      <c r="M514" t="s">
        <v>414</v>
      </c>
    </row>
    <row r="515" spans="1:13" ht="15">
      <c r="C515" t="s">
        <v>6517</v>
      </c>
      <c r="D515" s="83" t="s">
        <v>5639</v>
      </c>
      <c r="E515" t="s">
        <v>5362</v>
      </c>
      <c r="F515" t="s">
        <v>5742</v>
      </c>
    </row>
    <row r="516" spans="1:13" ht="15">
      <c r="C516" t="s">
        <v>6469</v>
      </c>
      <c r="D516" s="83" t="s">
        <v>5593</v>
      </c>
      <c r="E516" t="s">
        <v>5316</v>
      </c>
      <c r="F516" t="s">
        <v>5800</v>
      </c>
      <c r="H516" t="s">
        <v>414</v>
      </c>
      <c r="L516" t="s">
        <v>414</v>
      </c>
      <c r="M516" t="s">
        <v>414</v>
      </c>
    </row>
    <row r="517" spans="1:13" ht="15">
      <c r="C517" t="s">
        <v>6916</v>
      </c>
      <c r="D517" s="83" t="s">
        <v>5857</v>
      </c>
      <c r="E517" t="s">
        <v>7776</v>
      </c>
      <c r="F517" t="s">
        <v>5755</v>
      </c>
      <c r="L517" t="s">
        <v>414</v>
      </c>
    </row>
    <row r="518" spans="1:13" ht="15">
      <c r="C518" t="s">
        <v>6592</v>
      </c>
      <c r="D518" s="83" t="s">
        <v>5493</v>
      </c>
      <c r="E518" t="s">
        <v>5216</v>
      </c>
      <c r="F518" t="s">
        <v>5755</v>
      </c>
      <c r="H518" t="s">
        <v>414</v>
      </c>
      <c r="M518" t="s">
        <v>414</v>
      </c>
    </row>
    <row r="519" spans="1:13" ht="15">
      <c r="C519" t="s">
        <v>6592</v>
      </c>
      <c r="D519" s="83" t="s">
        <v>5495</v>
      </c>
      <c r="E519" t="s">
        <v>5218</v>
      </c>
      <c r="F519" t="s">
        <v>5755</v>
      </c>
      <c r="H519" t="s">
        <v>414</v>
      </c>
      <c r="M519" t="s">
        <v>414</v>
      </c>
    </row>
    <row r="520" spans="1:13" ht="15">
      <c r="C520" t="s">
        <v>6701</v>
      </c>
      <c r="D520" s="83" t="s">
        <v>5498</v>
      </c>
      <c r="E520" t="s">
        <v>5221</v>
      </c>
      <c r="F520" t="s">
        <v>5759</v>
      </c>
      <c r="H520" t="s">
        <v>414</v>
      </c>
      <c r="M520" t="s">
        <v>414</v>
      </c>
    </row>
    <row r="521" spans="1:13" ht="15">
      <c r="C521" t="s">
        <v>6980</v>
      </c>
      <c r="D521" s="83" t="s">
        <v>5589</v>
      </c>
      <c r="E521" t="s">
        <v>5312</v>
      </c>
      <c r="F521" t="s">
        <v>5748</v>
      </c>
      <c r="H521" t="s">
        <v>414</v>
      </c>
      <c r="M521" t="s">
        <v>414</v>
      </c>
    </row>
    <row r="522" spans="1:13" ht="15">
      <c r="A522" t="s">
        <v>3750</v>
      </c>
      <c r="B522" t="s">
        <v>504</v>
      </c>
      <c r="C522" t="s">
        <v>6709</v>
      </c>
      <c r="D522" s="83" t="s">
        <v>5585</v>
      </c>
      <c r="E522" t="s">
        <v>5308</v>
      </c>
      <c r="F522" t="s">
        <v>1309</v>
      </c>
    </row>
    <row r="523" spans="1:13" ht="15">
      <c r="A523" t="s">
        <v>3750</v>
      </c>
      <c r="B523" t="s">
        <v>504</v>
      </c>
      <c r="C523" t="s">
        <v>5914</v>
      </c>
      <c r="D523" s="83" t="s">
        <v>5861</v>
      </c>
      <c r="E523" t="s">
        <v>7781</v>
      </c>
      <c r="F523" t="s">
        <v>5741</v>
      </c>
      <c r="G523" t="s">
        <v>414</v>
      </c>
      <c r="H523" t="s">
        <v>414</v>
      </c>
      <c r="L523" t="s">
        <v>414</v>
      </c>
      <c r="M523" t="s">
        <v>414</v>
      </c>
    </row>
    <row r="524" spans="1:13" ht="15">
      <c r="A524" t="s">
        <v>3750</v>
      </c>
      <c r="B524" t="s">
        <v>504</v>
      </c>
      <c r="C524" t="s">
        <v>7581</v>
      </c>
      <c r="D524" s="83" t="s">
        <v>5609</v>
      </c>
      <c r="E524" t="s">
        <v>5332</v>
      </c>
      <c r="F524" t="s">
        <v>5726</v>
      </c>
      <c r="H524" t="s">
        <v>414</v>
      </c>
      <c r="I524" t="s">
        <v>414</v>
      </c>
    </row>
    <row r="525" spans="1:13" ht="15">
      <c r="C525" t="s">
        <v>7047</v>
      </c>
      <c r="D525" s="83" t="s">
        <v>5527</v>
      </c>
      <c r="E525" t="s">
        <v>5250</v>
      </c>
      <c r="F525" t="s">
        <v>5774</v>
      </c>
      <c r="H525" t="s">
        <v>414</v>
      </c>
      <c r="M525" t="s">
        <v>414</v>
      </c>
    </row>
    <row r="526" spans="1:13" ht="15">
      <c r="C526" t="s">
        <v>7236</v>
      </c>
      <c r="D526" s="83" t="s">
        <v>4155</v>
      </c>
      <c r="E526" t="s">
        <v>5048</v>
      </c>
      <c r="F526" t="s">
        <v>5829</v>
      </c>
      <c r="H526" t="s">
        <v>414</v>
      </c>
      <c r="M526" t="s">
        <v>414</v>
      </c>
    </row>
    <row r="527" spans="1:13" ht="15">
      <c r="C527" t="s">
        <v>7753</v>
      </c>
      <c r="D527" s="83" t="s">
        <v>5549</v>
      </c>
      <c r="E527" t="s">
        <v>5272</v>
      </c>
      <c r="F527" t="s">
        <v>5750</v>
      </c>
      <c r="H527" t="s">
        <v>414</v>
      </c>
      <c r="L527" t="s">
        <v>414</v>
      </c>
      <c r="M527" t="s">
        <v>414</v>
      </c>
    </row>
    <row r="528" spans="1:13" ht="15">
      <c r="C528" t="s">
        <v>7693</v>
      </c>
      <c r="D528" s="83" t="s">
        <v>5549</v>
      </c>
      <c r="E528" t="s">
        <v>5272</v>
      </c>
      <c r="F528" t="s">
        <v>5750</v>
      </c>
      <c r="H528" t="s">
        <v>414</v>
      </c>
      <c r="L528" t="s">
        <v>414</v>
      </c>
      <c r="M528" t="s">
        <v>414</v>
      </c>
    </row>
    <row r="529" spans="1:13" ht="15">
      <c r="C529" t="s">
        <v>7348</v>
      </c>
      <c r="D529" s="83" t="s">
        <v>5549</v>
      </c>
      <c r="E529" t="s">
        <v>5272</v>
      </c>
      <c r="F529" t="s">
        <v>5750</v>
      </c>
      <c r="H529" t="s">
        <v>414</v>
      </c>
      <c r="L529" t="s">
        <v>414</v>
      </c>
      <c r="M529" t="s">
        <v>414</v>
      </c>
    </row>
    <row r="530" spans="1:13" ht="15">
      <c r="C530" t="s">
        <v>7217</v>
      </c>
      <c r="D530" s="83" t="s">
        <v>5549</v>
      </c>
      <c r="E530" t="s">
        <v>5272</v>
      </c>
      <c r="F530" t="s">
        <v>5750</v>
      </c>
      <c r="H530" t="s">
        <v>414</v>
      </c>
      <c r="L530" t="s">
        <v>414</v>
      </c>
      <c r="M530" t="s">
        <v>414</v>
      </c>
    </row>
    <row r="531" spans="1:13" ht="15">
      <c r="C531" t="s">
        <v>6200</v>
      </c>
      <c r="D531" s="83" t="s">
        <v>5854</v>
      </c>
      <c r="E531" t="s">
        <v>7772</v>
      </c>
      <c r="F531" t="s">
        <v>7773</v>
      </c>
      <c r="L531" t="s">
        <v>414</v>
      </c>
    </row>
    <row r="532" spans="1:13" ht="15">
      <c r="C532" t="s">
        <v>7680</v>
      </c>
      <c r="D532" s="83" t="s">
        <v>5557</v>
      </c>
      <c r="E532" t="s">
        <v>5280</v>
      </c>
      <c r="F532" t="s">
        <v>5755</v>
      </c>
      <c r="M532" t="s">
        <v>414</v>
      </c>
    </row>
    <row r="533" spans="1:13" ht="15">
      <c r="C533" t="s">
        <v>6390</v>
      </c>
      <c r="D533" s="83" t="s">
        <v>5854</v>
      </c>
      <c r="E533" t="s">
        <v>7772</v>
      </c>
      <c r="F533" t="s">
        <v>7773</v>
      </c>
      <c r="L533" t="s">
        <v>414</v>
      </c>
    </row>
    <row r="534" spans="1:13" ht="15">
      <c r="C534" t="s">
        <v>6525</v>
      </c>
      <c r="D534" s="83" t="s">
        <v>5854</v>
      </c>
      <c r="E534" t="s">
        <v>7772</v>
      </c>
      <c r="F534" t="s">
        <v>7773</v>
      </c>
      <c r="L534" t="s">
        <v>414</v>
      </c>
    </row>
    <row r="535" spans="1:13" ht="15">
      <c r="C535" t="s">
        <v>6573</v>
      </c>
      <c r="D535" s="83" t="s">
        <v>5854</v>
      </c>
      <c r="E535" t="s">
        <v>7772</v>
      </c>
      <c r="F535" t="s">
        <v>7773</v>
      </c>
      <c r="L535" t="s">
        <v>414</v>
      </c>
    </row>
    <row r="536" spans="1:13" ht="15">
      <c r="C536" t="s">
        <v>6610</v>
      </c>
      <c r="D536" s="83" t="s">
        <v>5854</v>
      </c>
      <c r="E536" t="s">
        <v>7772</v>
      </c>
      <c r="F536" t="s">
        <v>7773</v>
      </c>
      <c r="L536" t="s">
        <v>414</v>
      </c>
    </row>
    <row r="537" spans="1:13" ht="15">
      <c r="C537" t="s">
        <v>6259</v>
      </c>
      <c r="D537" s="83" t="s">
        <v>5654</v>
      </c>
      <c r="E537" t="s">
        <v>5377</v>
      </c>
      <c r="F537" t="s">
        <v>5748</v>
      </c>
      <c r="H537" t="s">
        <v>414</v>
      </c>
      <c r="K537" t="s">
        <v>414</v>
      </c>
      <c r="L537" t="s">
        <v>414</v>
      </c>
    </row>
    <row r="538" spans="1:13" ht="15">
      <c r="C538" t="s">
        <v>6655</v>
      </c>
      <c r="D538" s="83" t="s">
        <v>5854</v>
      </c>
      <c r="E538" t="s">
        <v>7772</v>
      </c>
      <c r="F538" t="s">
        <v>7773</v>
      </c>
      <c r="L538" t="s">
        <v>414</v>
      </c>
    </row>
    <row r="539" spans="1:13" ht="15">
      <c r="C539" t="s">
        <v>6685</v>
      </c>
      <c r="D539" s="83" t="s">
        <v>5854</v>
      </c>
      <c r="E539" t="s">
        <v>7772</v>
      </c>
      <c r="F539" t="s">
        <v>7773</v>
      </c>
      <c r="L539" t="s">
        <v>414</v>
      </c>
    </row>
    <row r="540" spans="1:13" ht="15">
      <c r="C540" t="s">
        <v>7432</v>
      </c>
      <c r="D540" s="83" t="s">
        <v>5557</v>
      </c>
      <c r="E540" t="s">
        <v>5280</v>
      </c>
      <c r="F540" t="s">
        <v>5755</v>
      </c>
      <c r="M540" t="s">
        <v>414</v>
      </c>
    </row>
    <row r="541" spans="1:13" ht="15">
      <c r="C541" t="s">
        <v>6710</v>
      </c>
      <c r="D541" s="83" t="s">
        <v>5854</v>
      </c>
      <c r="E541" t="s">
        <v>7772</v>
      </c>
      <c r="F541" t="s">
        <v>7773</v>
      </c>
      <c r="L541" t="s">
        <v>414</v>
      </c>
    </row>
    <row r="542" spans="1:13" ht="15">
      <c r="C542" t="s">
        <v>7497</v>
      </c>
      <c r="D542" s="83" t="s">
        <v>5609</v>
      </c>
      <c r="E542" t="s">
        <v>5332</v>
      </c>
      <c r="F542" t="s">
        <v>5726</v>
      </c>
      <c r="H542" t="s">
        <v>414</v>
      </c>
      <c r="I542" t="s">
        <v>414</v>
      </c>
    </row>
    <row r="543" spans="1:13" ht="15">
      <c r="A543" t="s">
        <v>3139</v>
      </c>
      <c r="B543" t="s">
        <v>4285</v>
      </c>
      <c r="C543" t="s">
        <v>6452</v>
      </c>
      <c r="D543" s="83" t="s">
        <v>5666</v>
      </c>
      <c r="E543" t="s">
        <v>5389</v>
      </c>
      <c r="F543" t="s">
        <v>60</v>
      </c>
      <c r="H543" t="s">
        <v>414</v>
      </c>
      <c r="I543" t="s">
        <v>414</v>
      </c>
    </row>
    <row r="544" spans="1:13" ht="15">
      <c r="C544" t="s">
        <v>6837</v>
      </c>
      <c r="D544" s="83" t="s">
        <v>5854</v>
      </c>
      <c r="E544" t="s">
        <v>7772</v>
      </c>
      <c r="F544" t="s">
        <v>7773</v>
      </c>
      <c r="L544" t="s">
        <v>414</v>
      </c>
    </row>
    <row r="545" spans="1:13" ht="15">
      <c r="C545" t="s">
        <v>6813</v>
      </c>
      <c r="D545" s="83" t="s">
        <v>5854</v>
      </c>
      <c r="E545" t="s">
        <v>7772</v>
      </c>
      <c r="F545" t="s">
        <v>7773</v>
      </c>
      <c r="L545" t="s">
        <v>414</v>
      </c>
    </row>
    <row r="546" spans="1:13" ht="15">
      <c r="C546" t="s">
        <v>6826</v>
      </c>
      <c r="D546" s="83" t="s">
        <v>5854</v>
      </c>
      <c r="E546" t="s">
        <v>7772</v>
      </c>
      <c r="F546" t="s">
        <v>7773</v>
      </c>
      <c r="L546" t="s">
        <v>414</v>
      </c>
    </row>
    <row r="547" spans="1:13" ht="15">
      <c r="A547" t="s">
        <v>3767</v>
      </c>
      <c r="B547" t="s">
        <v>1291</v>
      </c>
      <c r="C547" t="s">
        <v>6648</v>
      </c>
      <c r="D547" s="83" t="s">
        <v>5666</v>
      </c>
      <c r="E547" t="s">
        <v>5389</v>
      </c>
      <c r="F547" t="s">
        <v>60</v>
      </c>
      <c r="H547" t="s">
        <v>414</v>
      </c>
      <c r="I547" t="s">
        <v>414</v>
      </c>
    </row>
    <row r="548" spans="1:13" ht="15">
      <c r="A548" t="s">
        <v>4525</v>
      </c>
      <c r="B548" s="81" t="s">
        <v>4524</v>
      </c>
      <c r="C548" t="s">
        <v>6681</v>
      </c>
      <c r="D548" s="83" t="s">
        <v>5666</v>
      </c>
      <c r="E548" t="s">
        <v>5389</v>
      </c>
      <c r="F548" t="s">
        <v>60</v>
      </c>
      <c r="H548" t="s">
        <v>414</v>
      </c>
      <c r="I548" t="s">
        <v>414</v>
      </c>
    </row>
    <row r="549" spans="1:13" ht="15">
      <c r="A549" t="s">
        <v>4453</v>
      </c>
      <c r="B549" s="81" t="s">
        <v>3175</v>
      </c>
      <c r="C549" t="s">
        <v>6706</v>
      </c>
      <c r="D549" s="83" t="s">
        <v>5666</v>
      </c>
      <c r="E549" t="s">
        <v>5389</v>
      </c>
      <c r="F549" t="s">
        <v>60</v>
      </c>
      <c r="H549" t="s">
        <v>414</v>
      </c>
      <c r="I549" t="s">
        <v>414</v>
      </c>
    </row>
    <row r="550" spans="1:13" ht="15">
      <c r="A550" t="s">
        <v>4448</v>
      </c>
      <c r="B550" s="12" t="s">
        <v>1309</v>
      </c>
      <c r="C550" t="s">
        <v>6729</v>
      </c>
      <c r="D550" s="83" t="s">
        <v>5666</v>
      </c>
      <c r="E550" t="s">
        <v>5389</v>
      </c>
      <c r="F550" t="s">
        <v>60</v>
      </c>
      <c r="H550" t="s">
        <v>414</v>
      </c>
      <c r="I550" t="s">
        <v>414</v>
      </c>
    </row>
    <row r="551" spans="1:13" ht="15">
      <c r="A551" t="s">
        <v>3755</v>
      </c>
      <c r="B551" t="s">
        <v>4533</v>
      </c>
      <c r="C551" t="s">
        <v>6750</v>
      </c>
      <c r="D551" s="83" t="s">
        <v>5666</v>
      </c>
      <c r="E551" t="s">
        <v>5389</v>
      </c>
      <c r="F551" t="s">
        <v>60</v>
      </c>
      <c r="H551" t="s">
        <v>414</v>
      </c>
      <c r="I551" t="s">
        <v>414</v>
      </c>
    </row>
    <row r="552" spans="1:13" ht="15">
      <c r="A552" t="s">
        <v>3737</v>
      </c>
      <c r="B552" s="74" t="s">
        <v>4421</v>
      </c>
      <c r="C552" t="s">
        <v>6773</v>
      </c>
      <c r="D552" s="83" t="s">
        <v>5666</v>
      </c>
      <c r="E552" t="s">
        <v>5389</v>
      </c>
      <c r="F552" t="s">
        <v>60</v>
      </c>
      <c r="H552" t="s">
        <v>414</v>
      </c>
      <c r="I552" t="s">
        <v>414</v>
      </c>
    </row>
    <row r="553" spans="1:13" ht="15">
      <c r="C553" t="s">
        <v>6856</v>
      </c>
      <c r="D553" s="83" t="s">
        <v>5854</v>
      </c>
      <c r="E553" t="s">
        <v>7772</v>
      </c>
      <c r="F553" t="s">
        <v>7773</v>
      </c>
      <c r="L553" t="s">
        <v>414</v>
      </c>
    </row>
    <row r="554" spans="1:13" ht="15">
      <c r="C554" t="s">
        <v>6862</v>
      </c>
      <c r="D554" s="83" t="s">
        <v>5854</v>
      </c>
      <c r="E554" t="s">
        <v>7772</v>
      </c>
      <c r="F554" t="s">
        <v>7773</v>
      </c>
      <c r="L554" t="s">
        <v>414</v>
      </c>
    </row>
    <row r="555" spans="1:13" ht="15">
      <c r="A555" t="s">
        <v>4443</v>
      </c>
      <c r="B555" t="s">
        <v>4287</v>
      </c>
      <c r="C555" t="s">
        <v>6824</v>
      </c>
      <c r="D555" s="83" t="s">
        <v>5666</v>
      </c>
      <c r="E555" t="s">
        <v>5389</v>
      </c>
      <c r="F555" t="s">
        <v>60</v>
      </c>
      <c r="H555" t="s">
        <v>414</v>
      </c>
      <c r="I555" t="s">
        <v>414</v>
      </c>
    </row>
    <row r="556" spans="1:13" ht="15">
      <c r="A556" t="s">
        <v>4446</v>
      </c>
      <c r="B556" t="s">
        <v>4445</v>
      </c>
      <c r="C556" t="s">
        <v>6835</v>
      </c>
      <c r="D556" s="83" t="s">
        <v>5666</v>
      </c>
      <c r="E556" t="s">
        <v>5389</v>
      </c>
      <c r="F556" t="s">
        <v>60</v>
      </c>
      <c r="H556" t="s">
        <v>414</v>
      </c>
      <c r="I556" t="s">
        <v>414</v>
      </c>
    </row>
    <row r="557" spans="1:13" ht="15">
      <c r="C557" t="s">
        <v>6873</v>
      </c>
      <c r="D557" s="83" t="s">
        <v>5854</v>
      </c>
      <c r="E557" t="s">
        <v>7772</v>
      </c>
      <c r="F557" t="s">
        <v>7773</v>
      </c>
      <c r="L557" t="s">
        <v>414</v>
      </c>
    </row>
    <row r="558" spans="1:13" ht="15">
      <c r="C558" t="s">
        <v>7535</v>
      </c>
      <c r="D558" s="83" t="s">
        <v>5549</v>
      </c>
      <c r="E558" t="s">
        <v>5272</v>
      </c>
      <c r="F558" t="s">
        <v>5750</v>
      </c>
      <c r="H558" t="s">
        <v>414</v>
      </c>
      <c r="L558" t="s">
        <v>414</v>
      </c>
      <c r="M558" t="s">
        <v>414</v>
      </c>
    </row>
    <row r="559" spans="1:13" ht="15">
      <c r="A559" t="s">
        <v>3741</v>
      </c>
      <c r="B559" t="s">
        <v>4295</v>
      </c>
      <c r="C559" t="s">
        <v>6861</v>
      </c>
      <c r="D559" s="83" t="s">
        <v>5666</v>
      </c>
      <c r="E559" t="s">
        <v>5389</v>
      </c>
      <c r="F559" t="s">
        <v>60</v>
      </c>
      <c r="H559" t="s">
        <v>414</v>
      </c>
      <c r="I559" t="s">
        <v>414</v>
      </c>
    </row>
    <row r="560" spans="1:13" ht="15">
      <c r="A560" t="s">
        <v>4549</v>
      </c>
      <c r="B560" t="s">
        <v>4548</v>
      </c>
      <c r="C560" t="s">
        <v>7104</v>
      </c>
      <c r="D560" s="83" t="s">
        <v>5643</v>
      </c>
      <c r="E560" t="s">
        <v>5366</v>
      </c>
      <c r="F560" t="s">
        <v>5824</v>
      </c>
      <c r="M560" t="s">
        <v>414</v>
      </c>
    </row>
    <row r="561" spans="1:13" ht="15">
      <c r="C561" t="s">
        <v>6306</v>
      </c>
      <c r="D561" s="83" t="s">
        <v>5854</v>
      </c>
      <c r="E561" t="s">
        <v>7772</v>
      </c>
      <c r="F561" t="s">
        <v>7773</v>
      </c>
      <c r="L561" t="s">
        <v>414</v>
      </c>
    </row>
    <row r="562" spans="1:13" ht="15">
      <c r="C562" t="s">
        <v>5904</v>
      </c>
      <c r="D562" s="83" t="s">
        <v>5858</v>
      </c>
      <c r="E562" t="s">
        <v>7777</v>
      </c>
      <c r="F562" t="s">
        <v>5755</v>
      </c>
      <c r="H562" t="s">
        <v>414</v>
      </c>
      <c r="K562" t="s">
        <v>414</v>
      </c>
      <c r="L562" t="s">
        <v>414</v>
      </c>
    </row>
    <row r="563" spans="1:13" ht="15">
      <c r="A563" t="s">
        <v>3756</v>
      </c>
      <c r="B563" t="s">
        <v>4279</v>
      </c>
      <c r="C563" t="s">
        <v>7175</v>
      </c>
      <c r="D563" s="83" t="s">
        <v>5602</v>
      </c>
      <c r="E563" t="s">
        <v>5325</v>
      </c>
      <c r="F563" t="s">
        <v>1291</v>
      </c>
      <c r="H563" t="s">
        <v>414</v>
      </c>
      <c r="M563" t="s">
        <v>414</v>
      </c>
    </row>
    <row r="564" spans="1:13" ht="15">
      <c r="A564" t="s">
        <v>3739</v>
      </c>
      <c r="B564" s="12" t="s">
        <v>33</v>
      </c>
      <c r="C564" t="s">
        <v>6903</v>
      </c>
      <c r="D564" s="83" t="s">
        <v>5666</v>
      </c>
      <c r="E564" t="s">
        <v>5389</v>
      </c>
      <c r="F564" t="s">
        <v>60</v>
      </c>
      <c r="H564" t="s">
        <v>414</v>
      </c>
      <c r="I564" t="s">
        <v>414</v>
      </c>
    </row>
    <row r="565" spans="1:13" ht="15">
      <c r="A565" t="s">
        <v>4453</v>
      </c>
      <c r="B565" s="81" t="s">
        <v>3175</v>
      </c>
      <c r="C565" t="s">
        <v>7112</v>
      </c>
      <c r="D565" s="83" t="s">
        <v>4188</v>
      </c>
      <c r="E565" t="s">
        <v>5082</v>
      </c>
      <c r="F565" t="s">
        <v>60</v>
      </c>
    </row>
    <row r="566" spans="1:13" ht="15">
      <c r="C566" t="s">
        <v>6732</v>
      </c>
      <c r="D566" s="83" t="s">
        <v>5854</v>
      </c>
      <c r="E566" t="s">
        <v>7772</v>
      </c>
      <c r="F566" t="s">
        <v>7773</v>
      </c>
      <c r="L566" t="s">
        <v>414</v>
      </c>
    </row>
    <row r="567" spans="1:13" ht="15">
      <c r="C567" t="s">
        <v>6888</v>
      </c>
      <c r="D567" s="83" t="s">
        <v>5854</v>
      </c>
      <c r="E567" t="s">
        <v>7772</v>
      </c>
      <c r="F567" t="s">
        <v>7773</v>
      </c>
      <c r="L567" t="s">
        <v>414</v>
      </c>
    </row>
    <row r="568" spans="1:13" ht="15">
      <c r="A568" t="s">
        <v>3783</v>
      </c>
      <c r="B568" t="s">
        <v>301</v>
      </c>
      <c r="C568" t="s">
        <v>6071</v>
      </c>
      <c r="D568" s="83" t="s">
        <v>4152</v>
      </c>
      <c r="E568" t="s">
        <v>5045</v>
      </c>
      <c r="F568" t="s">
        <v>301</v>
      </c>
      <c r="M568" t="s">
        <v>414</v>
      </c>
    </row>
    <row r="569" spans="1:13" ht="15">
      <c r="C569" t="s">
        <v>7523</v>
      </c>
      <c r="D569" s="83" t="s">
        <v>5557</v>
      </c>
      <c r="E569" t="s">
        <v>5280</v>
      </c>
      <c r="F569" t="s">
        <v>5755</v>
      </c>
      <c r="M569" t="s">
        <v>414</v>
      </c>
    </row>
    <row r="570" spans="1:13" ht="15">
      <c r="A570" t="s">
        <v>4549</v>
      </c>
      <c r="B570" t="s">
        <v>4548</v>
      </c>
      <c r="C570" t="s">
        <v>7314</v>
      </c>
      <c r="D570" s="83" t="s">
        <v>5562</v>
      </c>
      <c r="E570" t="s">
        <v>5285</v>
      </c>
      <c r="F570" t="s">
        <v>5750</v>
      </c>
      <c r="H570" t="s">
        <v>414</v>
      </c>
      <c r="M570" t="s">
        <v>414</v>
      </c>
    </row>
    <row r="571" spans="1:13" ht="15">
      <c r="A571" t="s">
        <v>3773</v>
      </c>
      <c r="B571" t="s">
        <v>1289</v>
      </c>
      <c r="C571" t="s">
        <v>6186</v>
      </c>
      <c r="D571" s="83" t="s">
        <v>4152</v>
      </c>
      <c r="E571" t="s">
        <v>5045</v>
      </c>
      <c r="F571" t="s">
        <v>301</v>
      </c>
      <c r="M571" t="s">
        <v>414</v>
      </c>
    </row>
    <row r="572" spans="1:13" ht="15">
      <c r="A572" t="s">
        <v>3767</v>
      </c>
      <c r="B572" t="s">
        <v>1291</v>
      </c>
      <c r="C572" t="s">
        <v>6062</v>
      </c>
      <c r="D572" s="83" t="s">
        <v>4152</v>
      </c>
      <c r="E572" t="s">
        <v>5045</v>
      </c>
      <c r="F572" t="s">
        <v>301</v>
      </c>
      <c r="M572" t="s">
        <v>414</v>
      </c>
    </row>
    <row r="573" spans="1:13" ht="15">
      <c r="A573" t="s">
        <v>3755</v>
      </c>
      <c r="B573" t="s">
        <v>4533</v>
      </c>
      <c r="C573" t="s">
        <v>7362</v>
      </c>
      <c r="D573" s="83" t="s">
        <v>4152</v>
      </c>
      <c r="E573" t="s">
        <v>5045</v>
      </c>
      <c r="F573" t="s">
        <v>301</v>
      </c>
      <c r="M573" t="s">
        <v>414</v>
      </c>
    </row>
    <row r="574" spans="1:13" ht="15">
      <c r="A574" t="s">
        <v>4448</v>
      </c>
      <c r="B574" s="12" t="s">
        <v>1309</v>
      </c>
      <c r="C574" t="s">
        <v>6209</v>
      </c>
      <c r="D574" s="83" t="s">
        <v>4152</v>
      </c>
      <c r="E574" t="s">
        <v>5045</v>
      </c>
      <c r="F574" t="s">
        <v>301</v>
      </c>
      <c r="M574" t="s">
        <v>414</v>
      </c>
    </row>
    <row r="575" spans="1:13" ht="15">
      <c r="A575" t="s">
        <v>3764</v>
      </c>
      <c r="B575" s="12" t="s">
        <v>31</v>
      </c>
      <c r="C575" t="s">
        <v>6025</v>
      </c>
      <c r="D575" s="83" t="s">
        <v>4152</v>
      </c>
      <c r="E575" t="s">
        <v>5045</v>
      </c>
      <c r="F575" t="s">
        <v>301</v>
      </c>
      <c r="M575" t="s">
        <v>414</v>
      </c>
    </row>
    <row r="576" spans="1:13" ht="15">
      <c r="C576" t="s">
        <v>7450</v>
      </c>
      <c r="D576" s="83" t="s">
        <v>5552</v>
      </c>
      <c r="E576" t="s">
        <v>5275</v>
      </c>
      <c r="F576" t="s">
        <v>5750</v>
      </c>
      <c r="H576" t="s">
        <v>414</v>
      </c>
      <c r="M576" t="s">
        <v>414</v>
      </c>
    </row>
    <row r="577" spans="1:13" ht="15">
      <c r="C577" t="s">
        <v>6992</v>
      </c>
      <c r="D577" s="83" t="s">
        <v>5854</v>
      </c>
      <c r="E577" t="s">
        <v>7772</v>
      </c>
      <c r="F577" t="s">
        <v>7773</v>
      </c>
      <c r="L577" t="s">
        <v>414</v>
      </c>
    </row>
    <row r="578" spans="1:13" ht="15">
      <c r="C578" t="s">
        <v>6988</v>
      </c>
      <c r="D578" s="83" t="s">
        <v>5854</v>
      </c>
      <c r="E578" t="s">
        <v>7772</v>
      </c>
      <c r="F578" t="s">
        <v>7773</v>
      </c>
      <c r="L578" t="s">
        <v>414</v>
      </c>
    </row>
    <row r="579" spans="1:13" ht="15">
      <c r="C579" t="s">
        <v>6512</v>
      </c>
      <c r="D579" s="83" t="s">
        <v>4175</v>
      </c>
      <c r="E579" t="s">
        <v>5069</v>
      </c>
      <c r="F579" t="s">
        <v>5807</v>
      </c>
      <c r="H579" t="s">
        <v>414</v>
      </c>
    </row>
    <row r="580" spans="1:13" ht="15">
      <c r="A580" t="s">
        <v>3783</v>
      </c>
      <c r="B580" t="s">
        <v>301</v>
      </c>
      <c r="C580" t="s">
        <v>5932</v>
      </c>
      <c r="D580" s="83" t="s">
        <v>5711</v>
      </c>
      <c r="E580" t="s">
        <v>5435</v>
      </c>
      <c r="F580" t="s">
        <v>5779</v>
      </c>
      <c r="M580" t="s">
        <v>414</v>
      </c>
    </row>
    <row r="581" spans="1:13" ht="15">
      <c r="A581" t="s">
        <v>4525</v>
      </c>
      <c r="B581" s="81" t="s">
        <v>4524</v>
      </c>
      <c r="C581" t="s">
        <v>6001</v>
      </c>
      <c r="D581" s="83" t="s">
        <v>5711</v>
      </c>
      <c r="E581" t="s">
        <v>5435</v>
      </c>
      <c r="F581" t="s">
        <v>5779</v>
      </c>
      <c r="M581" t="s">
        <v>414</v>
      </c>
    </row>
    <row r="582" spans="1:13" ht="15">
      <c r="A582" t="s">
        <v>3755</v>
      </c>
      <c r="B582" t="s">
        <v>4533</v>
      </c>
      <c r="C582" t="s">
        <v>6381</v>
      </c>
      <c r="D582" s="83" t="s">
        <v>5711</v>
      </c>
      <c r="E582" t="s">
        <v>5435</v>
      </c>
      <c r="F582" t="s">
        <v>5779</v>
      </c>
      <c r="M582" t="s">
        <v>414</v>
      </c>
    </row>
    <row r="583" spans="1:13" ht="15">
      <c r="C583" t="s">
        <v>7554</v>
      </c>
      <c r="D583" s="83" t="s">
        <v>5562</v>
      </c>
      <c r="E583" t="s">
        <v>5285</v>
      </c>
      <c r="F583" t="s">
        <v>5750</v>
      </c>
      <c r="H583" t="s">
        <v>414</v>
      </c>
      <c r="M583" t="s">
        <v>414</v>
      </c>
    </row>
    <row r="584" spans="1:13" ht="15">
      <c r="C584" t="s">
        <v>6904</v>
      </c>
      <c r="D584" s="83" t="s">
        <v>5854</v>
      </c>
      <c r="E584" t="s">
        <v>7772</v>
      </c>
      <c r="F584" t="s">
        <v>7773</v>
      </c>
      <c r="L584" t="s">
        <v>414</v>
      </c>
    </row>
    <row r="585" spans="1:13" ht="15">
      <c r="A585" t="s">
        <v>3764</v>
      </c>
      <c r="B585" s="12" t="s">
        <v>31</v>
      </c>
      <c r="C585" t="s">
        <v>6025</v>
      </c>
      <c r="D585" s="83" t="s">
        <v>5711</v>
      </c>
      <c r="E585" t="s">
        <v>5435</v>
      </c>
      <c r="F585" t="s">
        <v>5779</v>
      </c>
      <c r="M585" t="s">
        <v>414</v>
      </c>
    </row>
    <row r="586" spans="1:13" ht="15">
      <c r="C586" t="s">
        <v>6908</v>
      </c>
      <c r="D586" s="83" t="s">
        <v>5854</v>
      </c>
      <c r="E586" t="s">
        <v>7772</v>
      </c>
      <c r="F586" t="s">
        <v>7773</v>
      </c>
      <c r="L586" t="s">
        <v>414</v>
      </c>
    </row>
    <row r="587" spans="1:13" ht="15">
      <c r="A587" t="s">
        <v>3746</v>
      </c>
      <c r="B587" s="12" t="s">
        <v>4482</v>
      </c>
      <c r="C587" t="s">
        <v>6650</v>
      </c>
      <c r="D587" s="83" t="s">
        <v>5711</v>
      </c>
      <c r="E587" t="s">
        <v>5435</v>
      </c>
      <c r="F587" t="s">
        <v>5779</v>
      </c>
      <c r="M587" t="s">
        <v>414</v>
      </c>
    </row>
    <row r="588" spans="1:13" ht="15">
      <c r="A588" t="s">
        <v>3739</v>
      </c>
      <c r="B588" s="12" t="s">
        <v>33</v>
      </c>
      <c r="C588" t="s">
        <v>6034</v>
      </c>
      <c r="D588" s="83" t="s">
        <v>5711</v>
      </c>
      <c r="E588" t="s">
        <v>5435</v>
      </c>
      <c r="F588" t="s">
        <v>5779</v>
      </c>
      <c r="M588" t="s">
        <v>414</v>
      </c>
    </row>
    <row r="589" spans="1:13" ht="15">
      <c r="A589" t="s">
        <v>3739</v>
      </c>
      <c r="B589" s="12" t="s">
        <v>33</v>
      </c>
      <c r="C589" t="s">
        <v>6027</v>
      </c>
      <c r="D589" s="83" t="s">
        <v>5715</v>
      </c>
      <c r="E589" t="s">
        <v>5439</v>
      </c>
      <c r="F589" t="s">
        <v>5780</v>
      </c>
      <c r="K589" t="s">
        <v>414</v>
      </c>
    </row>
    <row r="590" spans="1:13" ht="15">
      <c r="A590" t="s">
        <v>3735</v>
      </c>
      <c r="B590" s="74" t="s">
        <v>4288</v>
      </c>
      <c r="C590" t="s">
        <v>7101</v>
      </c>
      <c r="D590" s="83" t="s">
        <v>5638</v>
      </c>
      <c r="E590" t="s">
        <v>5361</v>
      </c>
      <c r="F590" t="s">
        <v>5823</v>
      </c>
    </row>
    <row r="591" spans="1:13" ht="15">
      <c r="A591" t="s">
        <v>4453</v>
      </c>
      <c r="B591" s="81" t="s">
        <v>3175</v>
      </c>
      <c r="C591" t="s">
        <v>7182</v>
      </c>
      <c r="D591" s="83" t="s">
        <v>5638</v>
      </c>
      <c r="E591" t="s">
        <v>5361</v>
      </c>
      <c r="F591" t="s">
        <v>5823</v>
      </c>
    </row>
    <row r="592" spans="1:13" ht="15">
      <c r="A592" t="s">
        <v>4448</v>
      </c>
      <c r="B592" s="12" t="s">
        <v>1309</v>
      </c>
      <c r="C592" t="s">
        <v>7233</v>
      </c>
      <c r="D592" s="83" t="s">
        <v>5638</v>
      </c>
      <c r="E592" t="s">
        <v>5361</v>
      </c>
      <c r="F592" t="s">
        <v>5823</v>
      </c>
    </row>
    <row r="593" spans="1:13" ht="15">
      <c r="C593" t="s">
        <v>6915</v>
      </c>
      <c r="D593" s="83" t="s">
        <v>5854</v>
      </c>
      <c r="E593" t="s">
        <v>7772</v>
      </c>
      <c r="F593" t="s">
        <v>7773</v>
      </c>
      <c r="L593" t="s">
        <v>414</v>
      </c>
    </row>
    <row r="594" spans="1:13" ht="15">
      <c r="A594" t="s">
        <v>4443</v>
      </c>
      <c r="B594" t="s">
        <v>4287</v>
      </c>
      <c r="C594" t="s">
        <v>7324</v>
      </c>
      <c r="D594" s="83" t="s">
        <v>5638</v>
      </c>
      <c r="E594" t="s">
        <v>5361</v>
      </c>
      <c r="F594" t="s">
        <v>5823</v>
      </c>
    </row>
    <row r="595" spans="1:13" ht="15">
      <c r="A595" t="s">
        <v>3739</v>
      </c>
      <c r="B595" s="12" t="s">
        <v>33</v>
      </c>
      <c r="C595" t="s">
        <v>7356</v>
      </c>
      <c r="D595" s="83" t="s">
        <v>5638</v>
      </c>
      <c r="E595" t="s">
        <v>5361</v>
      </c>
      <c r="F595" t="s">
        <v>5823</v>
      </c>
    </row>
    <row r="596" spans="1:13" ht="15">
      <c r="C596" t="s">
        <v>6395</v>
      </c>
      <c r="D596" s="83" t="s">
        <v>5858</v>
      </c>
      <c r="E596" t="s">
        <v>7777</v>
      </c>
      <c r="F596" t="s">
        <v>5755</v>
      </c>
      <c r="H596" t="s">
        <v>414</v>
      </c>
      <c r="K596" t="s">
        <v>414</v>
      </c>
      <c r="L596" t="s">
        <v>414</v>
      </c>
    </row>
    <row r="597" spans="1:13" ht="15">
      <c r="C597" t="s">
        <v>6937</v>
      </c>
      <c r="D597" s="83" t="s">
        <v>5854</v>
      </c>
      <c r="E597" t="s">
        <v>7772</v>
      </c>
      <c r="F597" t="s">
        <v>7773</v>
      </c>
      <c r="L597" t="s">
        <v>414</v>
      </c>
    </row>
    <row r="598" spans="1:13" ht="15">
      <c r="C598" t="s">
        <v>7384</v>
      </c>
      <c r="D598" s="83" t="s">
        <v>5562</v>
      </c>
      <c r="E598" t="s">
        <v>5285</v>
      </c>
      <c r="F598" t="s">
        <v>5750</v>
      </c>
      <c r="H598" t="s">
        <v>414</v>
      </c>
      <c r="M598" t="s">
        <v>414</v>
      </c>
    </row>
    <row r="599" spans="1:13" ht="15">
      <c r="C599" t="s">
        <v>7471</v>
      </c>
      <c r="D599" s="83" t="s">
        <v>5549</v>
      </c>
      <c r="E599" t="s">
        <v>5272</v>
      </c>
      <c r="F599" t="s">
        <v>5750</v>
      </c>
      <c r="H599" t="s">
        <v>414</v>
      </c>
      <c r="L599" t="s">
        <v>414</v>
      </c>
      <c r="M599" t="s">
        <v>414</v>
      </c>
    </row>
    <row r="600" spans="1:13" ht="15">
      <c r="A600" t="s">
        <v>3139</v>
      </c>
      <c r="B600" t="s">
        <v>4285</v>
      </c>
      <c r="C600" t="s">
        <v>6082</v>
      </c>
      <c r="D600" s="83" t="s">
        <v>5603</v>
      </c>
      <c r="E600" t="s">
        <v>5326</v>
      </c>
      <c r="F600" t="s">
        <v>5778</v>
      </c>
      <c r="L600" t="s">
        <v>414</v>
      </c>
    </row>
    <row r="601" spans="1:13" ht="15">
      <c r="C601" t="s">
        <v>7703</v>
      </c>
      <c r="D601" s="83" t="s">
        <v>5562</v>
      </c>
      <c r="E601" t="s">
        <v>5285</v>
      </c>
      <c r="F601" t="s">
        <v>5750</v>
      </c>
      <c r="H601" t="s">
        <v>414</v>
      </c>
      <c r="M601" t="s">
        <v>414</v>
      </c>
    </row>
    <row r="602" spans="1:13" ht="15">
      <c r="C602" t="s">
        <v>6922</v>
      </c>
      <c r="D602" s="83" t="s">
        <v>5854</v>
      </c>
      <c r="E602" t="s">
        <v>7772</v>
      </c>
      <c r="F602" t="s">
        <v>7773</v>
      </c>
      <c r="L602" t="s">
        <v>414</v>
      </c>
    </row>
    <row r="603" spans="1:13" ht="15">
      <c r="A603" t="s">
        <v>4525</v>
      </c>
      <c r="B603" s="81" t="s">
        <v>4524</v>
      </c>
      <c r="C603" t="s">
        <v>5881</v>
      </c>
      <c r="D603" s="83" t="s">
        <v>5603</v>
      </c>
      <c r="E603" t="s">
        <v>5326</v>
      </c>
      <c r="F603" t="s">
        <v>5778</v>
      </c>
      <c r="L603" t="s">
        <v>414</v>
      </c>
    </row>
    <row r="604" spans="1:13" ht="15">
      <c r="C604" t="s">
        <v>6983</v>
      </c>
      <c r="D604" s="83" t="s">
        <v>5854</v>
      </c>
      <c r="E604" t="s">
        <v>7772</v>
      </c>
      <c r="F604" t="s">
        <v>7773</v>
      </c>
      <c r="L604" t="s">
        <v>414</v>
      </c>
    </row>
    <row r="605" spans="1:13" ht="15">
      <c r="A605" t="s">
        <v>3755</v>
      </c>
      <c r="B605" t="s">
        <v>4533</v>
      </c>
      <c r="C605" t="s">
        <v>6524</v>
      </c>
      <c r="D605" s="83" t="s">
        <v>5603</v>
      </c>
      <c r="E605" t="s">
        <v>5326</v>
      </c>
      <c r="F605" t="s">
        <v>5778</v>
      </c>
      <c r="L605" t="s">
        <v>414</v>
      </c>
    </row>
    <row r="606" spans="1:13" ht="15">
      <c r="C606" t="s">
        <v>5890</v>
      </c>
      <c r="D606" s="83" t="s">
        <v>5854</v>
      </c>
      <c r="E606" t="s">
        <v>7772</v>
      </c>
      <c r="F606" t="s">
        <v>7773</v>
      </c>
      <c r="L606" t="s">
        <v>414</v>
      </c>
    </row>
    <row r="607" spans="1:13" ht="15">
      <c r="C607" t="s">
        <v>6931</v>
      </c>
      <c r="D607" s="83" t="s">
        <v>5854</v>
      </c>
      <c r="E607" t="s">
        <v>7772</v>
      </c>
      <c r="F607" t="s">
        <v>7773</v>
      </c>
      <c r="L607" t="s">
        <v>414</v>
      </c>
    </row>
    <row r="608" spans="1:13" ht="15">
      <c r="C608" t="s">
        <v>6847</v>
      </c>
      <c r="D608" s="83" t="s">
        <v>5854</v>
      </c>
      <c r="E608" t="s">
        <v>7772</v>
      </c>
      <c r="F608" t="s">
        <v>7773</v>
      </c>
      <c r="L608" t="s">
        <v>414</v>
      </c>
    </row>
    <row r="609" spans="1:13" ht="15">
      <c r="C609" t="s">
        <v>7472</v>
      </c>
      <c r="D609" s="83" t="s">
        <v>5552</v>
      </c>
      <c r="E609" t="s">
        <v>5275</v>
      </c>
      <c r="F609" t="s">
        <v>5750</v>
      </c>
      <c r="H609" t="s">
        <v>414</v>
      </c>
      <c r="M609" t="s">
        <v>414</v>
      </c>
    </row>
    <row r="610" spans="1:13" ht="15">
      <c r="A610" t="s">
        <v>3747</v>
      </c>
      <c r="B610" t="s">
        <v>4298</v>
      </c>
      <c r="C610" t="s">
        <v>6370</v>
      </c>
      <c r="D610" s="83" t="s">
        <v>5603</v>
      </c>
      <c r="E610" t="s">
        <v>5326</v>
      </c>
      <c r="F610" t="s">
        <v>5778</v>
      </c>
      <c r="L610" t="s">
        <v>414</v>
      </c>
    </row>
    <row r="611" spans="1:13" ht="15">
      <c r="A611" t="s">
        <v>3751</v>
      </c>
      <c r="B611" t="s">
        <v>418</v>
      </c>
      <c r="C611" t="s">
        <v>6731</v>
      </c>
      <c r="D611" s="83" t="s">
        <v>5603</v>
      </c>
      <c r="E611" t="s">
        <v>5326</v>
      </c>
      <c r="F611" t="s">
        <v>5778</v>
      </c>
      <c r="L611" t="s">
        <v>414</v>
      </c>
    </row>
    <row r="612" spans="1:13" ht="15">
      <c r="C612" t="s">
        <v>7688</v>
      </c>
      <c r="D612" s="83" t="s">
        <v>5562</v>
      </c>
      <c r="E612" t="s">
        <v>5285</v>
      </c>
      <c r="F612" t="s">
        <v>5750</v>
      </c>
      <c r="H612" t="s">
        <v>414</v>
      </c>
      <c r="M612" t="s">
        <v>414</v>
      </c>
    </row>
    <row r="613" spans="1:13" ht="15">
      <c r="C613" t="s">
        <v>6476</v>
      </c>
      <c r="D613" s="83" t="s">
        <v>5868</v>
      </c>
      <c r="E613" t="s">
        <v>7789</v>
      </c>
      <c r="F613" t="s">
        <v>5748</v>
      </c>
      <c r="L613" t="s">
        <v>414</v>
      </c>
    </row>
    <row r="614" spans="1:13" ht="15">
      <c r="A614" t="s">
        <v>3739</v>
      </c>
      <c r="B614" s="12" t="s">
        <v>33</v>
      </c>
      <c r="C614" t="s">
        <v>6034</v>
      </c>
      <c r="D614" s="83" t="s">
        <v>5603</v>
      </c>
      <c r="E614" t="s">
        <v>5326</v>
      </c>
      <c r="F614" t="s">
        <v>5778</v>
      </c>
      <c r="L614" t="s">
        <v>414</v>
      </c>
    </row>
    <row r="615" spans="1:13" ht="15">
      <c r="A615" t="s">
        <v>4448</v>
      </c>
      <c r="B615" s="12" t="s">
        <v>1309</v>
      </c>
      <c r="C615" t="s">
        <v>5897</v>
      </c>
      <c r="D615" s="83" t="s">
        <v>5591</v>
      </c>
      <c r="E615" t="s">
        <v>5314</v>
      </c>
      <c r="F615" t="s">
        <v>1309</v>
      </c>
      <c r="H615" t="s">
        <v>414</v>
      </c>
      <c r="L615" t="s">
        <v>414</v>
      </c>
      <c r="M615" t="s">
        <v>414</v>
      </c>
    </row>
    <row r="616" spans="1:13" ht="15">
      <c r="A616" t="s">
        <v>3773</v>
      </c>
      <c r="B616" t="s">
        <v>1289</v>
      </c>
      <c r="C616" t="s">
        <v>6011</v>
      </c>
      <c r="D616" s="83" t="s">
        <v>5573</v>
      </c>
      <c r="E616" t="s">
        <v>5296</v>
      </c>
      <c r="F616" t="s">
        <v>5753</v>
      </c>
    </row>
    <row r="617" spans="1:13" ht="15">
      <c r="A617" t="s">
        <v>3739</v>
      </c>
      <c r="B617" s="12" t="s">
        <v>33</v>
      </c>
      <c r="C617" t="s">
        <v>6034</v>
      </c>
      <c r="D617" s="83" t="s">
        <v>5573</v>
      </c>
      <c r="E617" t="s">
        <v>5296</v>
      </c>
      <c r="F617" t="s">
        <v>5753</v>
      </c>
    </row>
    <row r="618" spans="1:13" ht="15">
      <c r="C618" t="s">
        <v>6827</v>
      </c>
      <c r="D618" s="83" t="s">
        <v>5857</v>
      </c>
      <c r="E618" t="s">
        <v>7776</v>
      </c>
      <c r="F618" t="s">
        <v>5755</v>
      </c>
      <c r="L618" t="s">
        <v>414</v>
      </c>
    </row>
    <row r="619" spans="1:13" ht="15">
      <c r="A619" t="s">
        <v>4448</v>
      </c>
      <c r="B619" s="12" t="s">
        <v>1309</v>
      </c>
      <c r="C619" t="s">
        <v>380</v>
      </c>
      <c r="D619" t="str">
        <f>_xlfn.XLOOKUP(E619,HCP_evidence!H:H,HCP_evidence!I:I)</f>
        <v>https://www.sante.fr/essais-cliniques/2025-522093-36-00/c3651021-etude-de-phase-2b-3-randomisee-en-double-aveugle-visant-a-evaluer-l-efficacite-la-securite-et-la-tolerabilite-du-ponsegromab-pf-06946860-par-rapport-a-un-placebo-les-deux-associes-a-une-chimiotherapie-de-premiere-ligne-chez-des-participants-adultes-atteints-de-cachexie-et-d-adenocarcinome-ductal-pancreatique-metastatique</v>
      </c>
      <c r="E619" t="s">
        <v>1183</v>
      </c>
      <c r="G619" t="str" cm="1">
        <f t="array" ref="G619">_xlfn.XLOOKUP(E619,HCP_evidence!H:H,IF(HCP_evidence!M:M="Yes","Yes",""))</f>
        <v/>
      </c>
      <c r="H619" t="str" cm="1">
        <f t="array" ref="H619">_xlfn.XLOOKUP(E619,HCP_evidence!H:H,IF(HCP_evidence!K:K="Yes","Yes",""))</f>
        <v>Yes</v>
      </c>
      <c r="I619" t="str" cm="1">
        <f t="array" ref="I619">_xlfn.XLOOKUP(E619,HCP_evidence!H:H,IF(HCP_evidence!J:J="Yes","Yes",""))</f>
        <v/>
      </c>
      <c r="J619" t="e">
        <f>IF(OR(K619="Yes",L619="Yes"),"Yes","")</f>
        <v>#REF!</v>
      </c>
      <c r="K619" t="e" cm="1">
        <f t="array" ref="K619">_xlfn.XLOOKUP(E619,HCP_evidence!H:H,IF(HCP_evidence!#REF!="Yes","Yes",""))</f>
        <v>#REF!</v>
      </c>
      <c r="L619" t="e" cm="1">
        <f t="array" ref="L619">_xlfn.XLOOKUP(E619,HCP_evidence!H:H,IF(HCP_evidence!#REF!="Yes","Yes",""))</f>
        <v>#REF!</v>
      </c>
      <c r="M619" t="str" cm="1">
        <f t="array" ref="M619">_xlfn.XLOOKUP(E619,HCP_evidence!H:H,IF(HCP_evidence!N:N="Yes","Yes",""))</f>
        <v/>
      </c>
    </row>
    <row r="620" spans="1:13" ht="15">
      <c r="C620" t="s">
        <v>7376</v>
      </c>
      <c r="D620" s="83" t="s">
        <v>5537</v>
      </c>
      <c r="E620" t="s">
        <v>5260</v>
      </c>
      <c r="F620" t="s">
        <v>5750</v>
      </c>
      <c r="H620" t="s">
        <v>414</v>
      </c>
      <c r="I620" t="s">
        <v>414</v>
      </c>
    </row>
    <row r="621" spans="1:13" ht="15">
      <c r="C621" t="s">
        <v>7612</v>
      </c>
      <c r="D621" s="83" t="s">
        <v>5549</v>
      </c>
      <c r="E621" t="s">
        <v>5272</v>
      </c>
      <c r="F621" t="s">
        <v>5750</v>
      </c>
      <c r="H621" t="s">
        <v>414</v>
      </c>
      <c r="L621" t="s">
        <v>414</v>
      </c>
      <c r="M621" t="s">
        <v>414</v>
      </c>
    </row>
    <row r="622" spans="1:13" ht="15">
      <c r="A622" t="s">
        <v>4565</v>
      </c>
      <c r="B622" s="12" t="s">
        <v>395</v>
      </c>
      <c r="C622" t="s">
        <v>395</v>
      </c>
      <c r="D622" t="e">
        <f>_xlfn.XLOOKUP(E622,HCP_evidence!H:H,HCP_evidence!I:I)</f>
        <v>#N/A</v>
      </c>
      <c r="E622" t="s">
        <v>1203</v>
      </c>
      <c r="G622" t="e" cm="1">
        <f t="array" ref="G622">_xlfn.XLOOKUP(E622,HCP_evidence!H:H,IF(HCP_evidence!M:M="Yes","Yes",""))</f>
        <v>#N/A</v>
      </c>
      <c r="H622" t="e" cm="1">
        <f t="array" ref="H622">_xlfn.XLOOKUP(E622,HCP_evidence!H:H,IF(HCP_evidence!K:K="Yes","Yes",""))</f>
        <v>#N/A</v>
      </c>
      <c r="I622" t="e" cm="1">
        <f t="array" ref="I622">_xlfn.XLOOKUP(E622,HCP_evidence!H:H,IF(HCP_evidence!J:J="Yes","Yes",""))</f>
        <v>#N/A</v>
      </c>
      <c r="J622" t="e">
        <f>IF(OR(K622="Yes",L622="Yes"),"Yes","")</f>
        <v>#REF!</v>
      </c>
      <c r="K622" t="e" cm="1">
        <f t="array" ref="K622">_xlfn.XLOOKUP(E622,HCP_evidence!H:H,IF(HCP_evidence!#REF!="Yes","Yes",""))</f>
        <v>#REF!</v>
      </c>
      <c r="L622" t="e" cm="1">
        <f t="array" ref="L622">_xlfn.XLOOKUP(E622,HCP_evidence!H:H,IF(HCP_evidence!#REF!="Yes","Yes",""))</f>
        <v>#REF!</v>
      </c>
      <c r="M622" t="e" cm="1">
        <f t="array" ref="M622">_xlfn.XLOOKUP(E622,HCP_evidence!H:H,IF(HCP_evidence!N:N="Yes","Yes",""))</f>
        <v>#N/A</v>
      </c>
    </row>
    <row r="623" spans="1:13" ht="15">
      <c r="A623" t="s">
        <v>3739</v>
      </c>
      <c r="B623" s="12" t="s">
        <v>33</v>
      </c>
      <c r="C623" t="s">
        <v>32</v>
      </c>
      <c r="D623" t="e">
        <f>_xlfn.XLOOKUP(E623,HCP_evidence!H:H,HCP_evidence!I:I)</f>
        <v>#N/A</v>
      </c>
      <c r="E623" t="s">
        <v>1203</v>
      </c>
      <c r="G623" t="e" cm="1">
        <f t="array" ref="G623">_xlfn.XLOOKUP(E623,HCP_evidence!H:H,IF(HCP_evidence!M:M="Yes","Yes",""))</f>
        <v>#N/A</v>
      </c>
      <c r="H623" t="e" cm="1">
        <f t="array" ref="H623">_xlfn.XLOOKUP(E623,HCP_evidence!H:H,IF(HCP_evidence!K:K="Yes","Yes",""))</f>
        <v>#N/A</v>
      </c>
      <c r="I623" t="e" cm="1">
        <f t="array" ref="I623">_xlfn.XLOOKUP(E623,HCP_evidence!H:H,IF(HCP_evidence!J:J="Yes","Yes",""))</f>
        <v>#N/A</v>
      </c>
      <c r="J623" t="e">
        <f>IF(OR(K623="Yes",L623="Yes"),"Yes","")</f>
        <v>#REF!</v>
      </c>
      <c r="K623" t="e" cm="1">
        <f t="array" ref="K623">_xlfn.XLOOKUP(E623,HCP_evidence!H:H,IF(HCP_evidence!#REF!="Yes","Yes",""))</f>
        <v>#REF!</v>
      </c>
      <c r="L623" t="e" cm="1">
        <f t="array" ref="L623">_xlfn.XLOOKUP(E623,HCP_evidence!H:H,IF(HCP_evidence!#REF!="Yes","Yes",""))</f>
        <v>#REF!</v>
      </c>
      <c r="M623" t="e" cm="1">
        <f t="array" ref="M623">_xlfn.XLOOKUP(E623,HCP_evidence!H:H,IF(HCP_evidence!N:N="Yes","Yes",""))</f>
        <v>#N/A</v>
      </c>
    </row>
    <row r="624" spans="1:13" ht="15">
      <c r="C624" t="s">
        <v>6956</v>
      </c>
      <c r="D624" s="83" t="s">
        <v>5854</v>
      </c>
      <c r="E624" t="s">
        <v>7772</v>
      </c>
      <c r="F624" t="s">
        <v>7773</v>
      </c>
      <c r="L624" t="s">
        <v>414</v>
      </c>
    </row>
    <row r="625" spans="1:13" ht="15">
      <c r="A625" t="s">
        <v>3139</v>
      </c>
      <c r="B625" t="s">
        <v>4285</v>
      </c>
      <c r="C625" t="s">
        <v>6167</v>
      </c>
      <c r="D625" s="83" t="s">
        <v>5597</v>
      </c>
      <c r="E625" t="s">
        <v>5320</v>
      </c>
      <c r="F625" t="s">
        <v>5802</v>
      </c>
    </row>
    <row r="626" spans="1:13" ht="15">
      <c r="A626" t="s">
        <v>3755</v>
      </c>
      <c r="B626" t="s">
        <v>4533</v>
      </c>
      <c r="C626" t="s">
        <v>6280</v>
      </c>
      <c r="D626" s="83" t="s">
        <v>5597</v>
      </c>
      <c r="E626" t="s">
        <v>5320</v>
      </c>
      <c r="F626" t="s">
        <v>5802</v>
      </c>
    </row>
    <row r="627" spans="1:13" ht="15">
      <c r="C627" t="s">
        <v>7478</v>
      </c>
      <c r="D627" s="83" t="s">
        <v>5616</v>
      </c>
      <c r="E627" t="s">
        <v>5339</v>
      </c>
      <c r="F627" t="s">
        <v>5748</v>
      </c>
      <c r="H627" t="s">
        <v>414</v>
      </c>
      <c r="I627" t="s">
        <v>414</v>
      </c>
      <c r="M627" t="s">
        <v>414</v>
      </c>
    </row>
    <row r="628" spans="1:13" ht="15">
      <c r="A628" t="s">
        <v>4565</v>
      </c>
      <c r="B628" s="12" t="s">
        <v>395</v>
      </c>
      <c r="C628" t="s">
        <v>5987</v>
      </c>
      <c r="D628" s="83" t="s">
        <v>5597</v>
      </c>
      <c r="E628" t="s">
        <v>5320</v>
      </c>
      <c r="F628" t="s">
        <v>5802</v>
      </c>
    </row>
    <row r="629" spans="1:13" ht="15">
      <c r="C629" t="s">
        <v>6966</v>
      </c>
      <c r="D629" s="83" t="s">
        <v>5854</v>
      </c>
      <c r="E629" t="s">
        <v>7772</v>
      </c>
      <c r="F629" t="s">
        <v>7773</v>
      </c>
      <c r="L629" t="s">
        <v>414</v>
      </c>
    </row>
    <row r="630" spans="1:13" ht="15">
      <c r="C630" t="s">
        <v>6973</v>
      </c>
      <c r="D630" s="83" t="s">
        <v>5854</v>
      </c>
      <c r="E630" t="s">
        <v>7772</v>
      </c>
      <c r="F630" t="s">
        <v>7773</v>
      </c>
      <c r="L630" t="s">
        <v>414</v>
      </c>
    </row>
    <row r="631" spans="1:13" ht="15">
      <c r="C631" t="s">
        <v>6208</v>
      </c>
      <c r="D631" s="83" t="s">
        <v>5860</v>
      </c>
      <c r="E631" t="s">
        <v>7780</v>
      </c>
      <c r="F631" t="s">
        <v>5747</v>
      </c>
      <c r="H631" t="s">
        <v>414</v>
      </c>
      <c r="K631" t="s">
        <v>414</v>
      </c>
      <c r="L631" t="s">
        <v>414</v>
      </c>
    </row>
    <row r="632" spans="1:13" ht="15">
      <c r="C632" t="s">
        <v>6976</v>
      </c>
      <c r="D632" s="83" t="s">
        <v>5854</v>
      </c>
      <c r="E632" t="s">
        <v>7772</v>
      </c>
      <c r="F632" t="s">
        <v>7773</v>
      </c>
      <c r="L632" t="s">
        <v>414</v>
      </c>
    </row>
    <row r="633" spans="1:13" ht="15">
      <c r="C633" t="s">
        <v>6754</v>
      </c>
      <c r="D633" s="83" t="s">
        <v>5854</v>
      </c>
      <c r="E633" t="s">
        <v>7772</v>
      </c>
      <c r="F633" t="s">
        <v>7773</v>
      </c>
      <c r="L633" t="s">
        <v>414</v>
      </c>
    </row>
    <row r="634" spans="1:13" ht="15">
      <c r="A634" t="s">
        <v>3752</v>
      </c>
      <c r="B634" t="s">
        <v>4520</v>
      </c>
      <c r="C634" t="s">
        <v>7732</v>
      </c>
      <c r="D634" s="83" t="s">
        <v>5549</v>
      </c>
      <c r="E634" t="s">
        <v>5272</v>
      </c>
      <c r="F634" t="s">
        <v>5750</v>
      </c>
      <c r="H634" t="s">
        <v>414</v>
      </c>
      <c r="L634" t="s">
        <v>414</v>
      </c>
      <c r="M634" t="s">
        <v>414</v>
      </c>
    </row>
    <row r="635" spans="1:13" ht="15">
      <c r="C635" t="s">
        <v>7577</v>
      </c>
      <c r="D635" s="83" t="s">
        <v>5552</v>
      </c>
      <c r="E635" t="s">
        <v>5275</v>
      </c>
      <c r="F635" t="s">
        <v>5750</v>
      </c>
      <c r="H635" t="s">
        <v>414</v>
      </c>
      <c r="M635" t="s">
        <v>414</v>
      </c>
    </row>
    <row r="636" spans="1:13" ht="15">
      <c r="C636" t="s">
        <v>7309</v>
      </c>
      <c r="D636" s="83" t="s">
        <v>5552</v>
      </c>
      <c r="E636" t="s">
        <v>5275</v>
      </c>
      <c r="F636" t="s">
        <v>5750</v>
      </c>
      <c r="H636" t="s">
        <v>414</v>
      </c>
      <c r="M636" t="s">
        <v>414</v>
      </c>
    </row>
    <row r="637" spans="1:13" ht="15">
      <c r="C637" t="s">
        <v>6986</v>
      </c>
      <c r="D637" s="83" t="s">
        <v>5854</v>
      </c>
      <c r="E637" t="s">
        <v>7772</v>
      </c>
      <c r="F637" t="s">
        <v>7773</v>
      </c>
      <c r="L637" t="s">
        <v>414</v>
      </c>
    </row>
    <row r="638" spans="1:13" ht="15">
      <c r="C638" t="s">
        <v>7639</v>
      </c>
      <c r="D638" s="83" t="s">
        <v>5562</v>
      </c>
      <c r="E638" t="s">
        <v>5285</v>
      </c>
      <c r="F638" t="s">
        <v>5750</v>
      </c>
      <c r="H638" t="s">
        <v>414</v>
      </c>
      <c r="M638" t="s">
        <v>414</v>
      </c>
    </row>
    <row r="639" spans="1:13" ht="15">
      <c r="C639" t="s">
        <v>6989</v>
      </c>
      <c r="D639" s="83" t="s">
        <v>5854</v>
      </c>
      <c r="E639" t="s">
        <v>7772</v>
      </c>
      <c r="F639" t="s">
        <v>7773</v>
      </c>
      <c r="L639" t="s">
        <v>414</v>
      </c>
    </row>
    <row r="640" spans="1:13" ht="15">
      <c r="C640" t="s">
        <v>6464</v>
      </c>
      <c r="D640" s="83" t="s">
        <v>5854</v>
      </c>
      <c r="E640" t="s">
        <v>7772</v>
      </c>
      <c r="F640" t="s">
        <v>7773</v>
      </c>
      <c r="L640" t="s">
        <v>414</v>
      </c>
    </row>
    <row r="641" spans="1:13" ht="15">
      <c r="A641" t="s">
        <v>3783</v>
      </c>
      <c r="B641" t="s">
        <v>301</v>
      </c>
      <c r="C641" t="s">
        <v>5932</v>
      </c>
      <c r="D641" s="83" t="s">
        <v>5589</v>
      </c>
      <c r="E641" t="s">
        <v>5312</v>
      </c>
      <c r="F641" t="s">
        <v>5748</v>
      </c>
      <c r="H641" t="s">
        <v>414</v>
      </c>
      <c r="M641" t="s">
        <v>414</v>
      </c>
    </row>
    <row r="642" spans="1:13" ht="15">
      <c r="C642" t="s">
        <v>6990</v>
      </c>
      <c r="D642" s="83" t="s">
        <v>5854</v>
      </c>
      <c r="E642" t="s">
        <v>7772</v>
      </c>
      <c r="F642" t="s">
        <v>7773</v>
      </c>
      <c r="L642" t="s">
        <v>414</v>
      </c>
    </row>
    <row r="643" spans="1:13" ht="15">
      <c r="C643" t="s">
        <v>6776</v>
      </c>
      <c r="D643" s="83" t="s">
        <v>5854</v>
      </c>
      <c r="E643" t="s">
        <v>7772</v>
      </c>
      <c r="F643" t="s">
        <v>7773</v>
      </c>
      <c r="L643" t="s">
        <v>414</v>
      </c>
    </row>
    <row r="644" spans="1:13" ht="15">
      <c r="C644" t="s">
        <v>7675</v>
      </c>
      <c r="D644" s="83" t="s">
        <v>5562</v>
      </c>
      <c r="E644" t="s">
        <v>5285</v>
      </c>
      <c r="F644" t="s">
        <v>5750</v>
      </c>
      <c r="H644" t="s">
        <v>414</v>
      </c>
      <c r="M644" t="s">
        <v>414</v>
      </c>
    </row>
    <row r="645" spans="1:13" ht="15">
      <c r="A645" t="s">
        <v>3139</v>
      </c>
      <c r="B645" t="s">
        <v>4285</v>
      </c>
      <c r="C645" t="s">
        <v>6213</v>
      </c>
      <c r="D645" s="83" t="s">
        <v>5589</v>
      </c>
      <c r="E645" t="s">
        <v>5312</v>
      </c>
      <c r="F645" t="s">
        <v>5748</v>
      </c>
      <c r="H645" t="s">
        <v>414</v>
      </c>
      <c r="M645" t="s">
        <v>414</v>
      </c>
    </row>
    <row r="646" spans="1:13" ht="15">
      <c r="C646" t="s">
        <v>6742</v>
      </c>
      <c r="D646" s="83" t="s">
        <v>5567</v>
      </c>
      <c r="E646" t="s">
        <v>5290</v>
      </c>
      <c r="F646" t="s">
        <v>5792</v>
      </c>
      <c r="H646" t="s">
        <v>414</v>
      </c>
      <c r="L646" t="s">
        <v>414</v>
      </c>
      <c r="M646" t="s">
        <v>414</v>
      </c>
    </row>
    <row r="647" spans="1:13" ht="15">
      <c r="C647" t="s">
        <v>7438</v>
      </c>
      <c r="D647" s="83" t="s">
        <v>5616</v>
      </c>
      <c r="E647" t="s">
        <v>5339</v>
      </c>
      <c r="F647" t="s">
        <v>5748</v>
      </c>
      <c r="H647" t="s">
        <v>414</v>
      </c>
      <c r="I647" t="s">
        <v>414</v>
      </c>
      <c r="M647" t="s">
        <v>414</v>
      </c>
    </row>
    <row r="648" spans="1:13" ht="15">
      <c r="C648" t="s">
        <v>6994</v>
      </c>
      <c r="D648" s="83" t="s">
        <v>5854</v>
      </c>
      <c r="E648" t="s">
        <v>7772</v>
      </c>
      <c r="F648" t="s">
        <v>7773</v>
      </c>
      <c r="L648" t="s">
        <v>414</v>
      </c>
    </row>
    <row r="649" spans="1:13" ht="15">
      <c r="C649" t="s">
        <v>6997</v>
      </c>
      <c r="D649" s="83" t="s">
        <v>5854</v>
      </c>
      <c r="E649" t="s">
        <v>7772</v>
      </c>
      <c r="F649" t="s">
        <v>7773</v>
      </c>
      <c r="L649" t="s">
        <v>414</v>
      </c>
    </row>
    <row r="650" spans="1:13" ht="15">
      <c r="C650" t="s">
        <v>6089</v>
      </c>
      <c r="D650" s="83" t="s">
        <v>5858</v>
      </c>
      <c r="E650" t="s">
        <v>7777</v>
      </c>
      <c r="F650" t="s">
        <v>5755</v>
      </c>
      <c r="H650" t="s">
        <v>414</v>
      </c>
      <c r="K650" t="s">
        <v>414</v>
      </c>
      <c r="L650" t="s">
        <v>414</v>
      </c>
    </row>
    <row r="651" spans="1:13" ht="15">
      <c r="C651" t="s">
        <v>6920</v>
      </c>
      <c r="D651" s="83" t="s">
        <v>5854</v>
      </c>
      <c r="E651" t="s">
        <v>7772</v>
      </c>
      <c r="F651" t="s">
        <v>7773</v>
      </c>
      <c r="L651" t="s">
        <v>414</v>
      </c>
    </row>
    <row r="652" spans="1:13" ht="15">
      <c r="C652" t="s">
        <v>7759</v>
      </c>
      <c r="D652" s="83" t="s">
        <v>4150</v>
      </c>
      <c r="E652" t="s">
        <v>5043</v>
      </c>
      <c r="F652" t="s">
        <v>31</v>
      </c>
    </row>
    <row r="653" spans="1:13" ht="15">
      <c r="C653" t="s">
        <v>7629</v>
      </c>
      <c r="D653" s="83" t="s">
        <v>5552</v>
      </c>
      <c r="E653" t="s">
        <v>5275</v>
      </c>
      <c r="F653" t="s">
        <v>5750</v>
      </c>
      <c r="H653" t="s">
        <v>414</v>
      </c>
      <c r="M653" t="s">
        <v>414</v>
      </c>
    </row>
    <row r="654" spans="1:13" ht="15">
      <c r="C654" t="s">
        <v>7474</v>
      </c>
      <c r="D654" s="83" t="s">
        <v>5562</v>
      </c>
      <c r="E654" t="s">
        <v>5285</v>
      </c>
      <c r="F654" t="s">
        <v>5750</v>
      </c>
      <c r="H654" t="s">
        <v>414</v>
      </c>
      <c r="M654" t="s">
        <v>414</v>
      </c>
    </row>
    <row r="655" spans="1:13" ht="15">
      <c r="C655" t="s">
        <v>6881</v>
      </c>
      <c r="D655" s="83" t="s">
        <v>5854</v>
      </c>
      <c r="E655" t="s">
        <v>7772</v>
      </c>
      <c r="F655" t="s">
        <v>7773</v>
      </c>
      <c r="L655" t="s">
        <v>414</v>
      </c>
    </row>
    <row r="656" spans="1:13" ht="15">
      <c r="C656" t="s">
        <v>6998</v>
      </c>
      <c r="D656" s="83" t="s">
        <v>5854</v>
      </c>
      <c r="E656" t="s">
        <v>7772</v>
      </c>
      <c r="F656" t="s">
        <v>7773</v>
      </c>
      <c r="L656" t="s">
        <v>414</v>
      </c>
    </row>
    <row r="657" spans="1:13" ht="15">
      <c r="C657" t="s">
        <v>6999</v>
      </c>
      <c r="D657" s="83" t="s">
        <v>5854</v>
      </c>
      <c r="E657" t="s">
        <v>7772</v>
      </c>
      <c r="F657" t="s">
        <v>7773</v>
      </c>
      <c r="L657" t="s">
        <v>414</v>
      </c>
    </row>
    <row r="658" spans="1:13" ht="15">
      <c r="C658" t="s">
        <v>6140</v>
      </c>
      <c r="D658" s="83" t="s">
        <v>5604</v>
      </c>
      <c r="E658" t="s">
        <v>5327</v>
      </c>
      <c r="F658" t="s">
        <v>5805</v>
      </c>
      <c r="H658" t="s">
        <v>414</v>
      </c>
      <c r="M658" t="s">
        <v>414</v>
      </c>
    </row>
    <row r="659" spans="1:13" ht="15">
      <c r="C659" t="s">
        <v>7272</v>
      </c>
      <c r="D659" s="83" t="s">
        <v>5562</v>
      </c>
      <c r="E659" t="s">
        <v>5285</v>
      </c>
      <c r="F659" t="s">
        <v>5750</v>
      </c>
      <c r="H659" t="s">
        <v>414</v>
      </c>
      <c r="M659" t="s">
        <v>414</v>
      </c>
    </row>
    <row r="660" spans="1:13" ht="15">
      <c r="C660" t="s">
        <v>7160</v>
      </c>
      <c r="D660" s="83" t="s">
        <v>5549</v>
      </c>
      <c r="E660" t="s">
        <v>5272</v>
      </c>
      <c r="F660" t="s">
        <v>5750</v>
      </c>
      <c r="H660" t="s">
        <v>414</v>
      </c>
      <c r="L660" t="s">
        <v>414</v>
      </c>
      <c r="M660" t="s">
        <v>414</v>
      </c>
    </row>
    <row r="661" spans="1:13" ht="15">
      <c r="A661" t="s">
        <v>4549</v>
      </c>
      <c r="B661" t="s">
        <v>4548</v>
      </c>
      <c r="C661" t="s">
        <v>7308</v>
      </c>
      <c r="D661" s="83" t="s">
        <v>5549</v>
      </c>
      <c r="E661" t="s">
        <v>5272</v>
      </c>
      <c r="F661" t="s">
        <v>5750</v>
      </c>
      <c r="H661" t="s">
        <v>414</v>
      </c>
      <c r="L661" t="s">
        <v>414</v>
      </c>
      <c r="M661" t="s">
        <v>414</v>
      </c>
    </row>
    <row r="662" spans="1:13" ht="15">
      <c r="C662" t="s">
        <v>7162</v>
      </c>
      <c r="D662" s="83" t="s">
        <v>5552</v>
      </c>
      <c r="E662" t="s">
        <v>5275</v>
      </c>
      <c r="F662" t="s">
        <v>5750</v>
      </c>
      <c r="H662" t="s">
        <v>414</v>
      </c>
      <c r="M662" t="s">
        <v>414</v>
      </c>
    </row>
    <row r="663" spans="1:13" ht="15">
      <c r="C663" t="s">
        <v>7576</v>
      </c>
      <c r="D663" s="83" t="s">
        <v>5549</v>
      </c>
      <c r="E663" t="s">
        <v>5272</v>
      </c>
      <c r="F663" t="s">
        <v>5750</v>
      </c>
      <c r="H663" t="s">
        <v>414</v>
      </c>
      <c r="L663" t="s">
        <v>414</v>
      </c>
      <c r="M663" t="s">
        <v>414</v>
      </c>
    </row>
    <row r="664" spans="1:13" ht="15">
      <c r="C664" t="s">
        <v>7492</v>
      </c>
      <c r="D664" s="83" t="s">
        <v>5552</v>
      </c>
      <c r="E664" t="s">
        <v>5275</v>
      </c>
      <c r="F664" t="s">
        <v>5750</v>
      </c>
      <c r="H664" t="s">
        <v>414</v>
      </c>
      <c r="M664" t="s">
        <v>414</v>
      </c>
    </row>
    <row r="665" spans="1:13" ht="15">
      <c r="C665" t="s">
        <v>7522</v>
      </c>
      <c r="D665" s="83" t="s">
        <v>5552</v>
      </c>
      <c r="E665" t="s">
        <v>5275</v>
      </c>
      <c r="F665" t="s">
        <v>5750</v>
      </c>
      <c r="H665" t="s">
        <v>414</v>
      </c>
      <c r="M665" t="s">
        <v>414</v>
      </c>
    </row>
    <row r="666" spans="1:13" ht="15">
      <c r="C666" t="s">
        <v>7579</v>
      </c>
      <c r="D666" s="83" t="s">
        <v>5562</v>
      </c>
      <c r="E666" t="s">
        <v>5285</v>
      </c>
      <c r="F666" t="s">
        <v>5750</v>
      </c>
      <c r="H666" t="s">
        <v>414</v>
      </c>
      <c r="M666" t="s">
        <v>414</v>
      </c>
    </row>
    <row r="667" spans="1:13" ht="15">
      <c r="C667" t="s">
        <v>7567</v>
      </c>
      <c r="D667" s="83" t="s">
        <v>5552</v>
      </c>
      <c r="E667" t="s">
        <v>5275</v>
      </c>
      <c r="F667" t="s">
        <v>5750</v>
      </c>
      <c r="H667" t="s">
        <v>414</v>
      </c>
      <c r="M667" t="s">
        <v>414</v>
      </c>
    </row>
    <row r="668" spans="1:13" ht="15">
      <c r="C668" t="s">
        <v>7615</v>
      </c>
      <c r="D668" s="83" t="s">
        <v>5562</v>
      </c>
      <c r="E668" t="s">
        <v>5285</v>
      </c>
      <c r="F668" t="s">
        <v>5750</v>
      </c>
      <c r="H668" t="s">
        <v>414</v>
      </c>
      <c r="M668" t="s">
        <v>414</v>
      </c>
    </row>
    <row r="669" spans="1:13" ht="15">
      <c r="A669" t="s">
        <v>3747</v>
      </c>
      <c r="B669" t="s">
        <v>4298</v>
      </c>
      <c r="C669" t="s">
        <v>6638</v>
      </c>
      <c r="D669" s="83" t="s">
        <v>5589</v>
      </c>
      <c r="E669" t="s">
        <v>5312</v>
      </c>
      <c r="F669" t="s">
        <v>5748</v>
      </c>
      <c r="H669" t="s">
        <v>414</v>
      </c>
      <c r="M669" t="s">
        <v>414</v>
      </c>
    </row>
    <row r="670" spans="1:13" ht="15">
      <c r="C670" t="s">
        <v>7622</v>
      </c>
      <c r="D670" s="83" t="s">
        <v>5562</v>
      </c>
      <c r="E670" t="s">
        <v>5285</v>
      </c>
      <c r="F670" t="s">
        <v>5750</v>
      </c>
      <c r="H670" t="s">
        <v>414</v>
      </c>
      <c r="M670" t="s">
        <v>414</v>
      </c>
    </row>
    <row r="671" spans="1:13" ht="15">
      <c r="C671" t="s">
        <v>7746</v>
      </c>
      <c r="D671" s="83" t="s">
        <v>5549</v>
      </c>
      <c r="E671" t="s">
        <v>5272</v>
      </c>
      <c r="F671" t="s">
        <v>5750</v>
      </c>
      <c r="H671" t="s">
        <v>414</v>
      </c>
      <c r="L671" t="s">
        <v>414</v>
      </c>
      <c r="M671" t="s">
        <v>414</v>
      </c>
    </row>
    <row r="672" spans="1:13" ht="15">
      <c r="C672" t="s">
        <v>7748</v>
      </c>
      <c r="D672" s="83" t="s">
        <v>5549</v>
      </c>
      <c r="E672" t="s">
        <v>5272</v>
      </c>
      <c r="F672" t="s">
        <v>5750</v>
      </c>
      <c r="H672" t="s">
        <v>414</v>
      </c>
      <c r="L672" t="s">
        <v>414</v>
      </c>
      <c r="M672" t="s">
        <v>414</v>
      </c>
    </row>
    <row r="673" spans="1:13" ht="15">
      <c r="C673" t="s">
        <v>7757</v>
      </c>
      <c r="D673" s="83" t="s">
        <v>5549</v>
      </c>
      <c r="E673" t="s">
        <v>5272</v>
      </c>
      <c r="F673" t="s">
        <v>5750</v>
      </c>
      <c r="H673" t="s">
        <v>414</v>
      </c>
      <c r="L673" t="s">
        <v>414</v>
      </c>
      <c r="M673" t="s">
        <v>414</v>
      </c>
    </row>
    <row r="674" spans="1:13" ht="15">
      <c r="C674" t="s">
        <v>6963</v>
      </c>
      <c r="D674" s="83" t="s">
        <v>5854</v>
      </c>
      <c r="E674" t="s">
        <v>7772</v>
      </c>
      <c r="F674" t="s">
        <v>7773</v>
      </c>
      <c r="L674" t="s">
        <v>414</v>
      </c>
    </row>
    <row r="675" spans="1:13" ht="15">
      <c r="C675" t="s">
        <v>7000</v>
      </c>
      <c r="D675" s="83" t="s">
        <v>5854</v>
      </c>
      <c r="E675" t="s">
        <v>7772</v>
      </c>
      <c r="F675" t="s">
        <v>7773</v>
      </c>
      <c r="L675" t="s">
        <v>414</v>
      </c>
    </row>
    <row r="676" spans="1:13" ht="15">
      <c r="C676" t="s">
        <v>7533</v>
      </c>
      <c r="D676" s="83" t="s">
        <v>5526</v>
      </c>
      <c r="E676" t="s">
        <v>5249</v>
      </c>
      <c r="F676" t="s">
        <v>5773</v>
      </c>
      <c r="H676" t="s">
        <v>414</v>
      </c>
      <c r="M676" t="s">
        <v>414</v>
      </c>
    </row>
    <row r="677" spans="1:13" ht="15">
      <c r="C677" t="s">
        <v>7537</v>
      </c>
      <c r="D677" s="83" t="s">
        <v>5557</v>
      </c>
      <c r="E677" t="s">
        <v>5280</v>
      </c>
      <c r="F677" t="s">
        <v>5755</v>
      </c>
      <c r="M677" t="s">
        <v>414</v>
      </c>
    </row>
    <row r="678" spans="1:13" ht="15">
      <c r="C678" t="s">
        <v>7537</v>
      </c>
      <c r="D678" s="83" t="s">
        <v>4150</v>
      </c>
      <c r="E678" t="s">
        <v>5043</v>
      </c>
      <c r="F678" t="s">
        <v>31</v>
      </c>
    </row>
    <row r="679" spans="1:13" ht="15">
      <c r="C679" t="s">
        <v>6612</v>
      </c>
      <c r="D679" s="83" t="s">
        <v>5616</v>
      </c>
      <c r="E679" t="s">
        <v>5339</v>
      </c>
      <c r="F679" t="s">
        <v>5748</v>
      </c>
      <c r="H679" t="s">
        <v>414</v>
      </c>
      <c r="I679" t="s">
        <v>414</v>
      </c>
      <c r="M679" t="s">
        <v>414</v>
      </c>
    </row>
    <row r="680" spans="1:13" ht="15">
      <c r="C680" t="s">
        <v>6612</v>
      </c>
      <c r="D680" s="83" t="s">
        <v>5857</v>
      </c>
      <c r="E680" t="s">
        <v>7776</v>
      </c>
      <c r="F680" t="s">
        <v>5755</v>
      </c>
      <c r="L680" t="s">
        <v>414</v>
      </c>
    </row>
    <row r="681" spans="1:13" ht="15">
      <c r="C681" t="s">
        <v>7620</v>
      </c>
      <c r="D681" s="83" t="s">
        <v>5549</v>
      </c>
      <c r="E681" t="s">
        <v>5272</v>
      </c>
      <c r="F681" t="s">
        <v>5750</v>
      </c>
      <c r="H681" t="s">
        <v>414</v>
      </c>
      <c r="L681" t="s">
        <v>414</v>
      </c>
      <c r="M681" t="s">
        <v>414</v>
      </c>
    </row>
    <row r="682" spans="1:13" ht="15">
      <c r="C682" t="s">
        <v>6979</v>
      </c>
      <c r="D682" s="83" t="s">
        <v>5854</v>
      </c>
      <c r="E682" t="s">
        <v>7772</v>
      </c>
      <c r="F682" t="s">
        <v>7773</v>
      </c>
      <c r="L682" t="s">
        <v>414</v>
      </c>
    </row>
    <row r="683" spans="1:13" ht="15">
      <c r="C683" t="s">
        <v>7551</v>
      </c>
      <c r="D683" s="83" t="s">
        <v>5549</v>
      </c>
      <c r="E683" t="s">
        <v>5272</v>
      </c>
      <c r="F683" t="s">
        <v>5750</v>
      </c>
      <c r="H683" t="s">
        <v>414</v>
      </c>
      <c r="L683" t="s">
        <v>414</v>
      </c>
      <c r="M683" t="s">
        <v>414</v>
      </c>
    </row>
    <row r="684" spans="1:13" ht="15">
      <c r="C684" t="s">
        <v>6895</v>
      </c>
      <c r="D684" s="83" t="s">
        <v>5854</v>
      </c>
      <c r="E684" t="s">
        <v>7772</v>
      </c>
      <c r="F684" t="s">
        <v>7773</v>
      </c>
      <c r="L684" t="s">
        <v>414</v>
      </c>
    </row>
    <row r="685" spans="1:13" ht="15">
      <c r="A685" t="s">
        <v>3739</v>
      </c>
      <c r="B685" s="12" t="s">
        <v>33</v>
      </c>
      <c r="C685" t="s">
        <v>6257</v>
      </c>
      <c r="D685" s="83" t="s">
        <v>5589</v>
      </c>
      <c r="E685" t="s">
        <v>5312</v>
      </c>
      <c r="F685" t="s">
        <v>5748</v>
      </c>
      <c r="H685" t="s">
        <v>414</v>
      </c>
      <c r="M685" t="s">
        <v>414</v>
      </c>
    </row>
    <row r="686" spans="1:13" ht="15">
      <c r="C686" t="s">
        <v>7702</v>
      </c>
      <c r="D686" s="83" t="s">
        <v>5557</v>
      </c>
      <c r="E686" t="s">
        <v>5280</v>
      </c>
      <c r="F686" t="s">
        <v>5755</v>
      </c>
      <c r="M686" t="s">
        <v>414</v>
      </c>
    </row>
    <row r="687" spans="1:13" ht="15">
      <c r="C687" t="s">
        <v>7385</v>
      </c>
      <c r="D687" s="83" t="s">
        <v>5564</v>
      </c>
      <c r="E687" t="s">
        <v>5287</v>
      </c>
      <c r="F687" t="s">
        <v>5734</v>
      </c>
    </row>
    <row r="688" spans="1:13" ht="15">
      <c r="C688" t="s">
        <v>6985</v>
      </c>
      <c r="D688" s="83" t="s">
        <v>5854</v>
      </c>
      <c r="E688" t="s">
        <v>7772</v>
      </c>
      <c r="F688" t="s">
        <v>7773</v>
      </c>
      <c r="L688" t="s">
        <v>414</v>
      </c>
    </row>
    <row r="689" spans="1:13" ht="15">
      <c r="C689" t="s">
        <v>7009</v>
      </c>
      <c r="D689" s="83" t="s">
        <v>4206</v>
      </c>
      <c r="E689" t="s">
        <v>5100</v>
      </c>
      <c r="F689" t="s">
        <v>5724</v>
      </c>
    </row>
    <row r="690" spans="1:13" ht="15">
      <c r="A690" t="s">
        <v>3738</v>
      </c>
      <c r="B690" s="74" t="s">
        <v>4300</v>
      </c>
      <c r="C690" t="s">
        <v>6443</v>
      </c>
      <c r="D690" s="83" t="s">
        <v>5566</v>
      </c>
      <c r="E690" t="s">
        <v>5289</v>
      </c>
      <c r="F690" t="s">
        <v>5748</v>
      </c>
      <c r="H690" t="s">
        <v>414</v>
      </c>
      <c r="M690" t="s">
        <v>414</v>
      </c>
    </row>
    <row r="691" spans="1:13" ht="15">
      <c r="C691" t="s">
        <v>6083</v>
      </c>
      <c r="D691" s="83" t="s">
        <v>5854</v>
      </c>
      <c r="E691" t="s">
        <v>7772</v>
      </c>
      <c r="F691" t="s">
        <v>7773</v>
      </c>
      <c r="L691" t="s">
        <v>414</v>
      </c>
    </row>
    <row r="692" spans="1:13" ht="15">
      <c r="C692" t="s">
        <v>6927</v>
      </c>
      <c r="D692" s="83" t="s">
        <v>5854</v>
      </c>
      <c r="E692" t="s">
        <v>7772</v>
      </c>
      <c r="F692" t="s">
        <v>7773</v>
      </c>
      <c r="L692" t="s">
        <v>414</v>
      </c>
    </row>
    <row r="693" spans="1:13" ht="15">
      <c r="C693" t="s">
        <v>7002</v>
      </c>
      <c r="D693" s="83" t="s">
        <v>5854</v>
      </c>
      <c r="E693" t="s">
        <v>7772</v>
      </c>
      <c r="F693" t="s">
        <v>7773</v>
      </c>
      <c r="L693" t="s">
        <v>414</v>
      </c>
    </row>
    <row r="694" spans="1:13" ht="15">
      <c r="A694" t="s">
        <v>4448</v>
      </c>
      <c r="B694" s="12" t="s">
        <v>1309</v>
      </c>
      <c r="C694" t="s">
        <v>6209</v>
      </c>
      <c r="D694" s="83" t="s">
        <v>5532</v>
      </c>
      <c r="E694" t="s">
        <v>5255</v>
      </c>
      <c r="F694" t="s">
        <v>5776</v>
      </c>
      <c r="M694" t="s">
        <v>414</v>
      </c>
    </row>
    <row r="695" spans="1:13" ht="15">
      <c r="A695" t="s">
        <v>3739</v>
      </c>
      <c r="B695" s="12" t="s">
        <v>33</v>
      </c>
      <c r="C695" t="s">
        <v>5952</v>
      </c>
      <c r="D695" s="83" t="s">
        <v>5500</v>
      </c>
      <c r="E695" t="s">
        <v>5223</v>
      </c>
      <c r="F695" t="s">
        <v>5761</v>
      </c>
      <c r="H695" t="s">
        <v>414</v>
      </c>
      <c r="L695" t="s">
        <v>414</v>
      </c>
      <c r="M695" t="s">
        <v>414</v>
      </c>
    </row>
    <row r="696" spans="1:13" ht="15">
      <c r="C696" t="s">
        <v>7604</v>
      </c>
      <c r="D696" s="83" t="s">
        <v>5459</v>
      </c>
      <c r="E696" t="s">
        <v>5182</v>
      </c>
      <c r="F696" t="s">
        <v>486</v>
      </c>
      <c r="M696" t="s">
        <v>414</v>
      </c>
    </row>
    <row r="697" spans="1:13" ht="15">
      <c r="C697" t="s">
        <v>7665</v>
      </c>
      <c r="D697" s="83" t="s">
        <v>5552</v>
      </c>
      <c r="E697" t="s">
        <v>5275</v>
      </c>
      <c r="F697" t="s">
        <v>5750</v>
      </c>
      <c r="H697" t="s">
        <v>414</v>
      </c>
      <c r="M697" t="s">
        <v>414</v>
      </c>
    </row>
    <row r="698" spans="1:13" ht="15">
      <c r="C698" t="s">
        <v>6676</v>
      </c>
      <c r="D698" s="83" t="s">
        <v>5486</v>
      </c>
      <c r="E698" t="s">
        <v>5209</v>
      </c>
      <c r="F698" t="s">
        <v>5750</v>
      </c>
      <c r="H698" t="s">
        <v>414</v>
      </c>
      <c r="M698" t="s">
        <v>414</v>
      </c>
    </row>
    <row r="699" spans="1:13" ht="15">
      <c r="C699" t="s">
        <v>6676</v>
      </c>
      <c r="D699" s="83" t="s">
        <v>5525</v>
      </c>
      <c r="E699" t="s">
        <v>5248</v>
      </c>
      <c r="F699" t="s">
        <v>5759</v>
      </c>
      <c r="M699" t="s">
        <v>414</v>
      </c>
    </row>
    <row r="700" spans="1:13" ht="15">
      <c r="C700" t="s">
        <v>6766</v>
      </c>
      <c r="D700" s="83" t="s">
        <v>5493</v>
      </c>
      <c r="E700" t="s">
        <v>5216</v>
      </c>
      <c r="F700" t="s">
        <v>5755</v>
      </c>
      <c r="H700" t="s">
        <v>414</v>
      </c>
      <c r="M700" t="s">
        <v>414</v>
      </c>
    </row>
    <row r="701" spans="1:13" ht="15">
      <c r="A701" t="s">
        <v>7948</v>
      </c>
      <c r="B701" t="s">
        <v>7947</v>
      </c>
      <c r="C701" t="s">
        <v>7380</v>
      </c>
      <c r="D701" s="83" t="s">
        <v>5552</v>
      </c>
      <c r="E701" t="s">
        <v>5275</v>
      </c>
      <c r="F701" t="s">
        <v>5750</v>
      </c>
      <c r="H701" t="s">
        <v>414</v>
      </c>
      <c r="M701" t="s">
        <v>414</v>
      </c>
    </row>
    <row r="702" spans="1:13" ht="15">
      <c r="C702" t="s">
        <v>7570</v>
      </c>
      <c r="D702" s="83" t="s">
        <v>5609</v>
      </c>
      <c r="E702" t="s">
        <v>5332</v>
      </c>
      <c r="F702" t="s">
        <v>5726</v>
      </c>
      <c r="H702" t="s">
        <v>414</v>
      </c>
      <c r="I702" t="s">
        <v>414</v>
      </c>
    </row>
    <row r="703" spans="1:13" ht="15">
      <c r="A703" t="s">
        <v>3783</v>
      </c>
      <c r="B703" t="s">
        <v>301</v>
      </c>
      <c r="C703" t="s">
        <v>5932</v>
      </c>
      <c r="D703" s="83" t="s">
        <v>5493</v>
      </c>
      <c r="E703" t="s">
        <v>5216</v>
      </c>
      <c r="F703" t="s">
        <v>5755</v>
      </c>
      <c r="H703" t="s">
        <v>414</v>
      </c>
      <c r="M703" t="s">
        <v>414</v>
      </c>
    </row>
    <row r="704" spans="1:13" ht="15">
      <c r="C704" t="s">
        <v>6743</v>
      </c>
      <c r="D704" s="83" t="s">
        <v>5589</v>
      </c>
      <c r="E704" t="s">
        <v>5312</v>
      </c>
      <c r="F704" t="s">
        <v>5748</v>
      </c>
      <c r="H704" t="s">
        <v>414</v>
      </c>
      <c r="M704" t="s">
        <v>414</v>
      </c>
    </row>
    <row r="705" spans="1:13" ht="15">
      <c r="C705" t="s">
        <v>6768</v>
      </c>
      <c r="D705" s="83" t="s">
        <v>5517</v>
      </c>
      <c r="E705" t="s">
        <v>5240</v>
      </c>
      <c r="F705" t="s">
        <v>5748</v>
      </c>
      <c r="M705" t="s">
        <v>414</v>
      </c>
    </row>
    <row r="706" spans="1:13" ht="15">
      <c r="C706" t="s">
        <v>6959</v>
      </c>
      <c r="D706" s="83" t="s">
        <v>5854</v>
      </c>
      <c r="E706" t="s">
        <v>7772</v>
      </c>
      <c r="F706" t="s">
        <v>7773</v>
      </c>
      <c r="L706" t="s">
        <v>414</v>
      </c>
    </row>
    <row r="707" spans="1:13" ht="15">
      <c r="C707" t="s">
        <v>6899</v>
      </c>
      <c r="D707" s="83" t="s">
        <v>5589</v>
      </c>
      <c r="E707" t="s">
        <v>5312</v>
      </c>
      <c r="F707" t="s">
        <v>5748</v>
      </c>
      <c r="H707" t="s">
        <v>414</v>
      </c>
      <c r="M707" t="s">
        <v>414</v>
      </c>
    </row>
    <row r="708" spans="1:13" ht="15">
      <c r="C708" t="s">
        <v>6899</v>
      </c>
      <c r="D708" s="83" t="s">
        <v>5493</v>
      </c>
      <c r="E708" t="s">
        <v>5216</v>
      </c>
      <c r="F708" t="s">
        <v>5755</v>
      </c>
      <c r="H708" t="s">
        <v>414</v>
      </c>
      <c r="M708" t="s">
        <v>414</v>
      </c>
    </row>
    <row r="709" spans="1:13" ht="15">
      <c r="A709" t="s">
        <v>3770</v>
      </c>
      <c r="B709" t="s">
        <v>42</v>
      </c>
      <c r="C709" t="s">
        <v>6064</v>
      </c>
      <c r="D709" s="83" t="s">
        <v>5493</v>
      </c>
      <c r="E709" t="s">
        <v>5216</v>
      </c>
      <c r="F709" t="s">
        <v>5755</v>
      </c>
      <c r="H709" t="s">
        <v>414</v>
      </c>
      <c r="M709" t="s">
        <v>414</v>
      </c>
    </row>
    <row r="710" spans="1:13" ht="15">
      <c r="C710" t="s">
        <v>6899</v>
      </c>
      <c r="D710" s="83" t="s">
        <v>5529</v>
      </c>
      <c r="E710" t="s">
        <v>5252</v>
      </c>
      <c r="F710" t="s">
        <v>5748</v>
      </c>
      <c r="M710" t="s">
        <v>414</v>
      </c>
    </row>
    <row r="711" spans="1:13" ht="15">
      <c r="C711" t="s">
        <v>6925</v>
      </c>
      <c r="D711" s="83" t="s">
        <v>5486</v>
      </c>
      <c r="E711" t="s">
        <v>5209</v>
      </c>
      <c r="F711" t="s">
        <v>5750</v>
      </c>
      <c r="H711" t="s">
        <v>414</v>
      </c>
      <c r="M711" t="s">
        <v>414</v>
      </c>
    </row>
    <row r="712" spans="1:13" ht="15">
      <c r="C712" t="s">
        <v>7652</v>
      </c>
      <c r="D712" s="83" t="s">
        <v>5557</v>
      </c>
      <c r="E712" t="s">
        <v>5280</v>
      </c>
      <c r="F712" t="s">
        <v>5755</v>
      </c>
      <c r="M712" t="s">
        <v>414</v>
      </c>
    </row>
    <row r="713" spans="1:13" ht="15">
      <c r="C713" t="s">
        <v>7370</v>
      </c>
      <c r="D713" s="83" t="s">
        <v>4170</v>
      </c>
      <c r="E713" t="s">
        <v>5064</v>
      </c>
      <c r="F713" t="s">
        <v>5747</v>
      </c>
      <c r="K713" t="s">
        <v>414</v>
      </c>
      <c r="L713" t="s">
        <v>414</v>
      </c>
      <c r="M713" t="s">
        <v>414</v>
      </c>
    </row>
    <row r="714" spans="1:13" ht="15">
      <c r="A714" t="s">
        <v>3773</v>
      </c>
      <c r="B714" t="s">
        <v>1289</v>
      </c>
      <c r="C714" t="s">
        <v>6767</v>
      </c>
      <c r="D714" s="83" t="s">
        <v>5493</v>
      </c>
      <c r="E714" t="s">
        <v>5216</v>
      </c>
      <c r="F714" t="s">
        <v>5755</v>
      </c>
      <c r="H714" t="s">
        <v>414</v>
      </c>
      <c r="M714" t="s">
        <v>414</v>
      </c>
    </row>
    <row r="715" spans="1:13" ht="15">
      <c r="C715" t="s">
        <v>7447</v>
      </c>
      <c r="D715" s="83" t="s">
        <v>5536</v>
      </c>
      <c r="E715" t="s">
        <v>5259</v>
      </c>
      <c r="F715" t="s">
        <v>5780</v>
      </c>
      <c r="M715" t="s">
        <v>414</v>
      </c>
    </row>
    <row r="716" spans="1:13" ht="15">
      <c r="C716" t="s">
        <v>6885</v>
      </c>
      <c r="D716" s="83" t="s">
        <v>5589</v>
      </c>
      <c r="E716" t="s">
        <v>5312</v>
      </c>
      <c r="F716" t="s">
        <v>5748</v>
      </c>
      <c r="H716" t="s">
        <v>414</v>
      </c>
      <c r="M716" t="s">
        <v>414</v>
      </c>
    </row>
    <row r="717" spans="1:13" ht="15">
      <c r="C717" t="s">
        <v>6885</v>
      </c>
      <c r="D717" s="83" t="s">
        <v>5486</v>
      </c>
      <c r="E717" t="s">
        <v>5209</v>
      </c>
      <c r="F717" t="s">
        <v>5750</v>
      </c>
      <c r="H717" t="s">
        <v>414</v>
      </c>
      <c r="M717" t="s">
        <v>414</v>
      </c>
    </row>
    <row r="718" spans="1:13" ht="15">
      <c r="C718" t="s">
        <v>6863</v>
      </c>
      <c r="D718" s="83" t="s">
        <v>5857</v>
      </c>
      <c r="E718" t="s">
        <v>7776</v>
      </c>
      <c r="F718" t="s">
        <v>5755</v>
      </c>
      <c r="L718" t="s">
        <v>414</v>
      </c>
    </row>
    <row r="719" spans="1:13" ht="15">
      <c r="A719" t="s">
        <v>3767</v>
      </c>
      <c r="B719" t="s">
        <v>1291</v>
      </c>
      <c r="C719" t="s">
        <v>6062</v>
      </c>
      <c r="D719" s="83" t="s">
        <v>5493</v>
      </c>
      <c r="E719" t="s">
        <v>5216</v>
      </c>
      <c r="F719" t="s">
        <v>5755</v>
      </c>
      <c r="H719" t="s">
        <v>414</v>
      </c>
      <c r="M719" t="s">
        <v>414</v>
      </c>
    </row>
    <row r="720" spans="1:13" ht="15">
      <c r="C720" t="s">
        <v>6981</v>
      </c>
      <c r="D720" s="83" t="s">
        <v>5854</v>
      </c>
      <c r="E720" t="s">
        <v>7772</v>
      </c>
      <c r="F720" t="s">
        <v>7773</v>
      </c>
      <c r="L720" t="s">
        <v>414</v>
      </c>
    </row>
    <row r="721" spans="1:13" ht="15">
      <c r="C721" t="s">
        <v>7125</v>
      </c>
      <c r="D721" s="83" t="s">
        <v>5696</v>
      </c>
      <c r="E721" t="s">
        <v>5419</v>
      </c>
      <c r="F721" t="s">
        <v>5739</v>
      </c>
    </row>
    <row r="722" spans="1:13" ht="15">
      <c r="C722" t="s">
        <v>6118</v>
      </c>
      <c r="D722" s="83" t="s">
        <v>5567</v>
      </c>
      <c r="E722" t="s">
        <v>5290</v>
      </c>
      <c r="F722" t="s">
        <v>5792</v>
      </c>
      <c r="H722" t="s">
        <v>414</v>
      </c>
      <c r="L722" t="s">
        <v>414</v>
      </c>
      <c r="M722" t="s">
        <v>414</v>
      </c>
    </row>
    <row r="723" spans="1:13" ht="15">
      <c r="A723" t="s">
        <v>4525</v>
      </c>
      <c r="B723" s="81" t="s">
        <v>4524</v>
      </c>
      <c r="C723" t="s">
        <v>6001</v>
      </c>
      <c r="D723" s="83" t="s">
        <v>5493</v>
      </c>
      <c r="E723" t="s">
        <v>5216</v>
      </c>
      <c r="F723" t="s">
        <v>5755</v>
      </c>
      <c r="H723" t="s">
        <v>414</v>
      </c>
      <c r="M723" t="s">
        <v>414</v>
      </c>
    </row>
    <row r="724" spans="1:13" ht="15">
      <c r="A724" t="s">
        <v>4453</v>
      </c>
      <c r="B724" s="81" t="s">
        <v>3175</v>
      </c>
      <c r="C724" t="s">
        <v>6911</v>
      </c>
      <c r="D724" s="83" t="s">
        <v>5493</v>
      </c>
      <c r="E724" t="s">
        <v>5216</v>
      </c>
      <c r="F724" t="s">
        <v>5755</v>
      </c>
      <c r="H724" t="s">
        <v>414</v>
      </c>
      <c r="M724" t="s">
        <v>414</v>
      </c>
    </row>
    <row r="725" spans="1:13" ht="15">
      <c r="C725" t="s">
        <v>7140</v>
      </c>
      <c r="D725" s="83" t="s">
        <v>5467</v>
      </c>
      <c r="E725" t="s">
        <v>5190</v>
      </c>
      <c r="F725" t="s">
        <v>5740</v>
      </c>
      <c r="M725" t="s">
        <v>414</v>
      </c>
    </row>
    <row r="726" spans="1:13" ht="15">
      <c r="A726" t="s">
        <v>3755</v>
      </c>
      <c r="B726" t="s">
        <v>4533</v>
      </c>
      <c r="C726" t="s">
        <v>5928</v>
      </c>
      <c r="D726" s="83" t="s">
        <v>5493</v>
      </c>
      <c r="E726" t="s">
        <v>5216</v>
      </c>
      <c r="F726" t="s">
        <v>5755</v>
      </c>
      <c r="H726" t="s">
        <v>414</v>
      </c>
      <c r="M726" t="s">
        <v>414</v>
      </c>
    </row>
    <row r="727" spans="1:13" ht="15">
      <c r="A727" t="s">
        <v>4555</v>
      </c>
      <c r="B727" t="s">
        <v>107</v>
      </c>
      <c r="C727" t="s">
        <v>5976</v>
      </c>
      <c r="D727" s="83" t="s">
        <v>5574</v>
      </c>
      <c r="E727" t="s">
        <v>5297</v>
      </c>
      <c r="F727" t="s">
        <v>5794</v>
      </c>
      <c r="H727" t="s">
        <v>414</v>
      </c>
      <c r="M727" t="s">
        <v>414</v>
      </c>
    </row>
    <row r="728" spans="1:13" ht="15">
      <c r="A728" t="s">
        <v>4555</v>
      </c>
      <c r="B728" t="s">
        <v>107</v>
      </c>
      <c r="C728" t="s">
        <v>6332</v>
      </c>
      <c r="D728" s="83" t="s">
        <v>5567</v>
      </c>
      <c r="E728" t="s">
        <v>5290</v>
      </c>
      <c r="F728" t="s">
        <v>5792</v>
      </c>
      <c r="H728" t="s">
        <v>414</v>
      </c>
      <c r="L728" t="s">
        <v>414</v>
      </c>
      <c r="M728" t="s">
        <v>414</v>
      </c>
    </row>
    <row r="729" spans="1:13" ht="15">
      <c r="A729" t="s">
        <v>4555</v>
      </c>
      <c r="B729" t="s">
        <v>107</v>
      </c>
      <c r="C729" t="s">
        <v>6165</v>
      </c>
      <c r="D729" s="83" t="s">
        <v>5611</v>
      </c>
      <c r="E729" t="s">
        <v>5334</v>
      </c>
      <c r="F729" t="s">
        <v>5810</v>
      </c>
      <c r="L729" t="s">
        <v>414</v>
      </c>
      <c r="M729" t="s">
        <v>414</v>
      </c>
    </row>
    <row r="730" spans="1:13" ht="15">
      <c r="C730" t="s">
        <v>6159</v>
      </c>
      <c r="D730" s="83" t="s">
        <v>5660</v>
      </c>
      <c r="E730" t="s">
        <v>5383</v>
      </c>
      <c r="F730" t="s">
        <v>301</v>
      </c>
      <c r="L730" t="s">
        <v>414</v>
      </c>
    </row>
    <row r="731" spans="1:13" ht="15">
      <c r="A731" t="s">
        <v>3784</v>
      </c>
      <c r="B731" t="s">
        <v>4281</v>
      </c>
      <c r="C731" t="s">
        <v>7691</v>
      </c>
      <c r="D731" s="83" t="s">
        <v>4150</v>
      </c>
      <c r="E731" t="s">
        <v>5043</v>
      </c>
      <c r="F731" t="s">
        <v>31</v>
      </c>
    </row>
    <row r="732" spans="1:13" ht="15">
      <c r="A732" t="s">
        <v>4554</v>
      </c>
      <c r="B732" t="s">
        <v>4280</v>
      </c>
      <c r="C732" t="s">
        <v>7123</v>
      </c>
      <c r="D732" s="83" t="s">
        <v>5877</v>
      </c>
      <c r="E732" t="s">
        <v>7801</v>
      </c>
      <c r="F732" t="s">
        <v>27</v>
      </c>
      <c r="M732" t="s">
        <v>414</v>
      </c>
    </row>
    <row r="733" spans="1:13" ht="15">
      <c r="A733" t="s">
        <v>4555</v>
      </c>
      <c r="B733" t="s">
        <v>107</v>
      </c>
      <c r="C733" t="s">
        <v>6056</v>
      </c>
      <c r="D733" s="83" t="s">
        <v>4205</v>
      </c>
      <c r="E733" t="s">
        <v>5099</v>
      </c>
      <c r="F733" t="s">
        <v>5842</v>
      </c>
      <c r="M733" t="s">
        <v>414</v>
      </c>
    </row>
    <row r="734" spans="1:13" ht="15">
      <c r="A734" t="s">
        <v>4555</v>
      </c>
      <c r="B734" t="s">
        <v>107</v>
      </c>
      <c r="C734" t="s">
        <v>7168</v>
      </c>
      <c r="D734" s="83" t="s">
        <v>5575</v>
      </c>
      <c r="E734" t="s">
        <v>5298</v>
      </c>
      <c r="F734" t="s">
        <v>5795</v>
      </c>
      <c r="I734" t="s">
        <v>414</v>
      </c>
      <c r="M734" t="s">
        <v>414</v>
      </c>
    </row>
    <row r="735" spans="1:13" ht="15">
      <c r="A735" t="s">
        <v>3777</v>
      </c>
      <c r="B735" s="90" t="s">
        <v>4849</v>
      </c>
      <c r="C735" t="s">
        <v>6360</v>
      </c>
      <c r="D735" s="83" t="s">
        <v>5588</v>
      </c>
      <c r="E735" t="s">
        <v>5311</v>
      </c>
      <c r="F735" t="s">
        <v>5740</v>
      </c>
      <c r="M735" t="s">
        <v>414</v>
      </c>
    </row>
    <row r="736" spans="1:13" ht="15">
      <c r="C736" t="s">
        <v>6121</v>
      </c>
      <c r="D736" s="83" t="s">
        <v>5633</v>
      </c>
      <c r="E736" t="s">
        <v>5356</v>
      </c>
      <c r="F736" t="s">
        <v>5734</v>
      </c>
      <c r="H736" t="s">
        <v>414</v>
      </c>
      <c r="K736" t="s">
        <v>414</v>
      </c>
      <c r="M736" t="s">
        <v>414</v>
      </c>
    </row>
    <row r="737" spans="1:13" ht="15">
      <c r="C737" t="s">
        <v>6604</v>
      </c>
      <c r="D737" s="83" t="s">
        <v>5718</v>
      </c>
      <c r="E737" t="s">
        <v>5442</v>
      </c>
      <c r="F737" t="s">
        <v>5845</v>
      </c>
      <c r="H737" t="s">
        <v>414</v>
      </c>
      <c r="I737" t="s">
        <v>414</v>
      </c>
      <c r="K737" t="s">
        <v>414</v>
      </c>
      <c r="L737" t="s">
        <v>414</v>
      </c>
    </row>
    <row r="738" spans="1:13" ht="15">
      <c r="C738" t="s">
        <v>7710</v>
      </c>
      <c r="D738" s="83" t="s">
        <v>5562</v>
      </c>
      <c r="E738" t="s">
        <v>5285</v>
      </c>
      <c r="F738" t="s">
        <v>5750</v>
      </c>
      <c r="H738" t="s">
        <v>414</v>
      </c>
      <c r="M738" t="s">
        <v>414</v>
      </c>
    </row>
    <row r="739" spans="1:13" ht="15">
      <c r="C739" t="s">
        <v>5898</v>
      </c>
      <c r="D739" s="83" t="s">
        <v>5615</v>
      </c>
      <c r="E739" t="s">
        <v>5338</v>
      </c>
      <c r="F739" t="s">
        <v>5734</v>
      </c>
      <c r="H739" t="s">
        <v>414</v>
      </c>
      <c r="M739" t="s">
        <v>414</v>
      </c>
    </row>
    <row r="740" spans="1:13" ht="15">
      <c r="A740" t="s">
        <v>3744</v>
      </c>
      <c r="B740" t="s">
        <v>1243</v>
      </c>
      <c r="C740" t="s">
        <v>6947</v>
      </c>
      <c r="D740" s="83" t="s">
        <v>5493</v>
      </c>
      <c r="E740" t="s">
        <v>5216</v>
      </c>
      <c r="F740" t="s">
        <v>5755</v>
      </c>
      <c r="H740" t="s">
        <v>414</v>
      </c>
      <c r="M740" t="s">
        <v>414</v>
      </c>
    </row>
    <row r="741" spans="1:13" ht="15">
      <c r="C741" t="s">
        <v>7354</v>
      </c>
      <c r="D741" s="83" t="s">
        <v>5609</v>
      </c>
      <c r="E741" t="s">
        <v>5332</v>
      </c>
      <c r="F741" t="s">
        <v>5726</v>
      </c>
      <c r="H741" t="s">
        <v>414</v>
      </c>
      <c r="I741" t="s">
        <v>414</v>
      </c>
    </row>
    <row r="742" spans="1:13" ht="15">
      <c r="C742" t="s">
        <v>7005</v>
      </c>
      <c r="D742" s="83" t="s">
        <v>5529</v>
      </c>
      <c r="E742" t="s">
        <v>5252</v>
      </c>
      <c r="F742" t="s">
        <v>5748</v>
      </c>
      <c r="M742" t="s">
        <v>414</v>
      </c>
    </row>
    <row r="743" spans="1:13" ht="15">
      <c r="A743" t="s">
        <v>4554</v>
      </c>
      <c r="B743" t="s">
        <v>4280</v>
      </c>
      <c r="C743" t="s">
        <v>7088</v>
      </c>
      <c r="D743" s="83" t="s">
        <v>4171</v>
      </c>
      <c r="E743" t="s">
        <v>5065</v>
      </c>
      <c r="F743" t="s">
        <v>5765</v>
      </c>
      <c r="H743" t="s">
        <v>414</v>
      </c>
      <c r="M743" t="s">
        <v>414</v>
      </c>
    </row>
    <row r="744" spans="1:13" ht="15">
      <c r="A744" t="s">
        <v>4554</v>
      </c>
      <c r="B744" t="s">
        <v>4280</v>
      </c>
      <c r="C744" t="s">
        <v>7087</v>
      </c>
      <c r="D744" s="83" t="s">
        <v>5598</v>
      </c>
      <c r="E744" t="s">
        <v>5321</v>
      </c>
      <c r="F744" t="s">
        <v>5803</v>
      </c>
      <c r="I744" t="s">
        <v>414</v>
      </c>
      <c r="M744" t="s">
        <v>414</v>
      </c>
    </row>
    <row r="745" spans="1:13" ht="15">
      <c r="A745" t="s">
        <v>4554</v>
      </c>
      <c r="B745" t="s">
        <v>4280</v>
      </c>
      <c r="C745" t="s">
        <v>6099</v>
      </c>
      <c r="D745" s="83" t="s">
        <v>5865</v>
      </c>
      <c r="E745" t="s">
        <v>7786</v>
      </c>
      <c r="F745" t="s">
        <v>5748</v>
      </c>
      <c r="G745" t="s">
        <v>414</v>
      </c>
      <c r="H745" t="s">
        <v>414</v>
      </c>
      <c r="K745" t="s">
        <v>414</v>
      </c>
      <c r="L745" t="s">
        <v>414</v>
      </c>
    </row>
    <row r="746" spans="1:13" ht="15">
      <c r="A746" t="s">
        <v>3735</v>
      </c>
      <c r="B746" s="74" t="s">
        <v>4288</v>
      </c>
      <c r="C746" t="s">
        <v>6965</v>
      </c>
      <c r="D746" s="83" t="s">
        <v>5493</v>
      </c>
      <c r="E746" t="s">
        <v>5216</v>
      </c>
      <c r="F746" t="s">
        <v>5755</v>
      </c>
      <c r="H746" t="s">
        <v>414</v>
      </c>
      <c r="M746" t="s">
        <v>414</v>
      </c>
    </row>
    <row r="747" spans="1:13" ht="15">
      <c r="A747" t="s">
        <v>4554</v>
      </c>
      <c r="B747" t="s">
        <v>4280</v>
      </c>
      <c r="C747" t="s">
        <v>6099</v>
      </c>
      <c r="D747" s="83" t="s">
        <v>5540</v>
      </c>
      <c r="E747" t="s">
        <v>5263</v>
      </c>
      <c r="F747" t="s">
        <v>5730</v>
      </c>
      <c r="H747" t="s">
        <v>414</v>
      </c>
    </row>
    <row r="748" spans="1:13" ht="15">
      <c r="A748" t="s">
        <v>3746</v>
      </c>
      <c r="B748" s="12" t="s">
        <v>4482</v>
      </c>
      <c r="C748" t="s">
        <v>6066</v>
      </c>
      <c r="D748" s="83" t="s">
        <v>5493</v>
      </c>
      <c r="E748" t="s">
        <v>5216</v>
      </c>
      <c r="F748" t="s">
        <v>5755</v>
      </c>
      <c r="H748" t="s">
        <v>414</v>
      </c>
      <c r="M748" t="s">
        <v>414</v>
      </c>
    </row>
    <row r="749" spans="1:13" ht="15">
      <c r="A749" t="s">
        <v>4554</v>
      </c>
      <c r="B749" t="s">
        <v>4280</v>
      </c>
      <c r="C749" t="s">
        <v>6099</v>
      </c>
      <c r="D749" s="83" t="s">
        <v>5654</v>
      </c>
      <c r="E749" t="s">
        <v>5377</v>
      </c>
      <c r="F749" t="s">
        <v>5748</v>
      </c>
      <c r="H749" t="s">
        <v>414</v>
      </c>
      <c r="K749" t="s">
        <v>414</v>
      </c>
      <c r="L749" t="s">
        <v>414</v>
      </c>
    </row>
    <row r="750" spans="1:13" ht="15">
      <c r="A750" t="s">
        <v>3777</v>
      </c>
      <c r="B750" s="90" t="s">
        <v>4849</v>
      </c>
      <c r="C750" t="s">
        <v>7617</v>
      </c>
      <c r="D750" s="83" t="s">
        <v>4150</v>
      </c>
      <c r="E750" t="s">
        <v>5043</v>
      </c>
      <c r="F750" t="s">
        <v>31</v>
      </c>
    </row>
    <row r="751" spans="1:13" ht="15">
      <c r="A751" t="s">
        <v>3739</v>
      </c>
      <c r="B751" s="12" t="s">
        <v>33</v>
      </c>
      <c r="C751" t="s">
        <v>6257</v>
      </c>
      <c r="D751" s="83" t="s">
        <v>5493</v>
      </c>
      <c r="E751" t="s">
        <v>5216</v>
      </c>
      <c r="F751" t="s">
        <v>5755</v>
      </c>
      <c r="H751" t="s">
        <v>414</v>
      </c>
      <c r="M751" t="s">
        <v>414</v>
      </c>
    </row>
    <row r="752" spans="1:13" ht="15">
      <c r="A752" t="s">
        <v>3777</v>
      </c>
      <c r="B752" s="90" t="s">
        <v>4849</v>
      </c>
      <c r="C752" t="s">
        <v>6205</v>
      </c>
      <c r="D752" s="83" t="s">
        <v>5859</v>
      </c>
      <c r="E752" t="s">
        <v>7778</v>
      </c>
      <c r="F752" t="s">
        <v>7779</v>
      </c>
      <c r="K752" t="s">
        <v>414</v>
      </c>
    </row>
    <row r="753" spans="1:13" ht="15">
      <c r="A753" t="s">
        <v>3777</v>
      </c>
      <c r="B753" s="90" t="s">
        <v>4849</v>
      </c>
      <c r="C753" t="s">
        <v>6689</v>
      </c>
      <c r="D753" s="83" t="s">
        <v>5865</v>
      </c>
      <c r="E753" t="s">
        <v>7786</v>
      </c>
      <c r="F753" t="s">
        <v>5748</v>
      </c>
      <c r="G753" t="s">
        <v>414</v>
      </c>
      <c r="H753" t="s">
        <v>414</v>
      </c>
      <c r="K753" t="s">
        <v>414</v>
      </c>
      <c r="L753" t="s">
        <v>414</v>
      </c>
    </row>
    <row r="754" spans="1:13" ht="15">
      <c r="A754" t="s">
        <v>3777</v>
      </c>
      <c r="B754" s="90" t="s">
        <v>4849</v>
      </c>
      <c r="C754" t="s">
        <v>7369</v>
      </c>
      <c r="D754" s="83" t="s">
        <v>5459</v>
      </c>
      <c r="E754" t="s">
        <v>5182</v>
      </c>
      <c r="F754" t="s">
        <v>486</v>
      </c>
      <c r="M754" t="s">
        <v>414</v>
      </c>
    </row>
    <row r="755" spans="1:13" ht="15">
      <c r="A755" t="s">
        <v>3777</v>
      </c>
      <c r="B755" s="90" t="s">
        <v>4849</v>
      </c>
      <c r="C755" t="s">
        <v>6689</v>
      </c>
      <c r="D755" s="83" t="s">
        <v>5654</v>
      </c>
      <c r="E755" t="s">
        <v>5377</v>
      </c>
      <c r="F755" t="s">
        <v>5748</v>
      </c>
      <c r="H755" t="s">
        <v>414</v>
      </c>
      <c r="K755" t="s">
        <v>414</v>
      </c>
      <c r="L755" t="s">
        <v>414</v>
      </c>
    </row>
    <row r="756" spans="1:13" ht="15">
      <c r="C756" t="s">
        <v>7129</v>
      </c>
      <c r="D756" s="83" t="s">
        <v>5878</v>
      </c>
      <c r="E756" t="s">
        <v>7802</v>
      </c>
      <c r="F756" t="s">
        <v>5758</v>
      </c>
      <c r="M756" t="s">
        <v>414</v>
      </c>
    </row>
    <row r="757" spans="1:13" ht="15">
      <c r="C757" t="s">
        <v>7626</v>
      </c>
      <c r="D757" s="83" t="s">
        <v>5459</v>
      </c>
      <c r="E757" t="s">
        <v>5182</v>
      </c>
      <c r="F757" t="s">
        <v>486</v>
      </c>
      <c r="M757" t="s">
        <v>414</v>
      </c>
    </row>
    <row r="758" spans="1:13" ht="15">
      <c r="C758" t="s">
        <v>5879</v>
      </c>
      <c r="D758" s="83" t="s">
        <v>4180</v>
      </c>
      <c r="E758" t="s">
        <v>5074</v>
      </c>
      <c r="F758" t="s">
        <v>5758</v>
      </c>
      <c r="L758" t="s">
        <v>414</v>
      </c>
    </row>
    <row r="759" spans="1:13" ht="15">
      <c r="C759" t="s">
        <v>6041</v>
      </c>
      <c r="D759" s="83" t="s">
        <v>5597</v>
      </c>
      <c r="E759" t="s">
        <v>5320</v>
      </c>
      <c r="F759" t="s">
        <v>5802</v>
      </c>
    </row>
    <row r="760" spans="1:13" ht="15">
      <c r="C760" t="s">
        <v>7618</v>
      </c>
      <c r="D760" s="83" t="s">
        <v>5459</v>
      </c>
      <c r="E760" t="s">
        <v>5182</v>
      </c>
      <c r="F760" t="s">
        <v>486</v>
      </c>
      <c r="M760" t="s">
        <v>414</v>
      </c>
    </row>
    <row r="761" spans="1:13" ht="15">
      <c r="C761" t="s">
        <v>6201</v>
      </c>
      <c r="D761" s="83" t="s">
        <v>4144</v>
      </c>
      <c r="E761" t="s">
        <v>5037</v>
      </c>
      <c r="F761" t="s">
        <v>5755</v>
      </c>
      <c r="H761" t="s">
        <v>414</v>
      </c>
      <c r="I761" t="s">
        <v>414</v>
      </c>
      <c r="L761" t="s">
        <v>414</v>
      </c>
    </row>
    <row r="762" spans="1:13" ht="15">
      <c r="A762" t="s">
        <v>3139</v>
      </c>
      <c r="B762" t="s">
        <v>4285</v>
      </c>
      <c r="C762" t="s">
        <v>6213</v>
      </c>
      <c r="D762" s="83" t="s">
        <v>5486</v>
      </c>
      <c r="E762" t="s">
        <v>5209</v>
      </c>
      <c r="F762" t="s">
        <v>5750</v>
      </c>
      <c r="H762" t="s">
        <v>414</v>
      </c>
      <c r="M762" t="s">
        <v>414</v>
      </c>
    </row>
    <row r="763" spans="1:13" ht="15">
      <c r="C763" t="s">
        <v>6201</v>
      </c>
      <c r="D763" s="83" t="s">
        <v>5856</v>
      </c>
      <c r="E763" t="s">
        <v>7775</v>
      </c>
      <c r="F763" t="s">
        <v>5748</v>
      </c>
      <c r="L763" t="s">
        <v>414</v>
      </c>
    </row>
    <row r="764" spans="1:13" ht="15">
      <c r="C764" t="s">
        <v>7157</v>
      </c>
      <c r="D764" s="83" t="s">
        <v>5537</v>
      </c>
      <c r="E764" t="s">
        <v>5260</v>
      </c>
      <c r="F764" t="s">
        <v>5750</v>
      </c>
      <c r="H764" t="s">
        <v>414</v>
      </c>
      <c r="I764" t="s">
        <v>414</v>
      </c>
    </row>
    <row r="765" spans="1:13" ht="15">
      <c r="A765" t="s">
        <v>3773</v>
      </c>
      <c r="B765" t="s">
        <v>1289</v>
      </c>
      <c r="C765" t="s">
        <v>6767</v>
      </c>
      <c r="D765" s="83" t="s">
        <v>5486</v>
      </c>
      <c r="E765" t="s">
        <v>5209</v>
      </c>
      <c r="F765" t="s">
        <v>5750</v>
      </c>
      <c r="H765" t="s">
        <v>414</v>
      </c>
      <c r="M765" t="s">
        <v>414</v>
      </c>
    </row>
    <row r="766" spans="1:13" ht="15">
      <c r="C766" t="s">
        <v>7566</v>
      </c>
      <c r="D766" s="83" t="s">
        <v>5549</v>
      </c>
      <c r="E766" t="s">
        <v>5272</v>
      </c>
      <c r="F766" t="s">
        <v>5750</v>
      </c>
      <c r="H766" t="s">
        <v>414</v>
      </c>
      <c r="L766" t="s">
        <v>414</v>
      </c>
      <c r="M766" t="s">
        <v>414</v>
      </c>
    </row>
    <row r="767" spans="1:13" ht="15">
      <c r="A767" t="s">
        <v>3787</v>
      </c>
      <c r="B767" t="s">
        <v>7848</v>
      </c>
      <c r="C767" t="s">
        <v>7063</v>
      </c>
      <c r="D767" s="83" t="s">
        <v>5549</v>
      </c>
      <c r="E767" t="s">
        <v>5272</v>
      </c>
      <c r="F767" t="s">
        <v>5750</v>
      </c>
      <c r="H767" t="s">
        <v>414</v>
      </c>
      <c r="L767" t="s">
        <v>414</v>
      </c>
      <c r="M767" t="s">
        <v>414</v>
      </c>
    </row>
    <row r="768" spans="1:13" ht="15">
      <c r="A768" t="s">
        <v>3741</v>
      </c>
      <c r="B768" s="86" t="s">
        <v>4295</v>
      </c>
      <c r="C768" t="s">
        <v>6941</v>
      </c>
      <c r="D768" s="83" t="s">
        <v>5557</v>
      </c>
      <c r="E768" t="s">
        <v>5280</v>
      </c>
      <c r="F768" t="s">
        <v>5755</v>
      </c>
      <c r="M768" t="s">
        <v>414</v>
      </c>
    </row>
    <row r="769" spans="1:13" ht="15">
      <c r="A769" t="s">
        <v>3741</v>
      </c>
      <c r="B769" s="86" t="s">
        <v>4295</v>
      </c>
      <c r="C769" t="s">
        <v>6941</v>
      </c>
      <c r="D769" s="83" t="s">
        <v>5493</v>
      </c>
      <c r="E769" t="s">
        <v>5216</v>
      </c>
      <c r="F769" t="s">
        <v>5755</v>
      </c>
      <c r="H769" t="s">
        <v>414</v>
      </c>
      <c r="M769" t="s">
        <v>414</v>
      </c>
    </row>
    <row r="770" spans="1:13" ht="15">
      <c r="A770" t="s">
        <v>3741</v>
      </c>
      <c r="B770" s="86" t="s">
        <v>4295</v>
      </c>
      <c r="C770" t="s">
        <v>6941</v>
      </c>
      <c r="D770" s="83" t="s">
        <v>5486</v>
      </c>
      <c r="E770" t="s">
        <v>5209</v>
      </c>
      <c r="F770" t="s">
        <v>5750</v>
      </c>
      <c r="H770" t="s">
        <v>414</v>
      </c>
      <c r="M770" t="s">
        <v>414</v>
      </c>
    </row>
    <row r="771" spans="1:13" ht="15">
      <c r="A771" t="s">
        <v>3741</v>
      </c>
      <c r="B771" s="86" t="s">
        <v>4295</v>
      </c>
      <c r="C771" t="s">
        <v>6941</v>
      </c>
      <c r="D771" s="83" t="s">
        <v>5529</v>
      </c>
      <c r="E771" t="s">
        <v>5252</v>
      </c>
      <c r="F771" t="s">
        <v>5748</v>
      </c>
      <c r="M771" t="s">
        <v>414</v>
      </c>
    </row>
    <row r="772" spans="1:13" ht="15">
      <c r="A772" t="s">
        <v>4450</v>
      </c>
      <c r="B772" t="s">
        <v>3356</v>
      </c>
      <c r="C772" t="s">
        <v>6194</v>
      </c>
      <c r="D772" s="83" t="s">
        <v>5486</v>
      </c>
      <c r="E772" t="s">
        <v>5209</v>
      </c>
      <c r="F772" t="s">
        <v>5750</v>
      </c>
      <c r="H772" t="s">
        <v>414</v>
      </c>
      <c r="M772" t="s">
        <v>414</v>
      </c>
    </row>
    <row r="773" spans="1:13" ht="15">
      <c r="C773" t="s">
        <v>6002</v>
      </c>
      <c r="D773" s="83" t="s">
        <v>5504</v>
      </c>
      <c r="E773" t="s">
        <v>5227</v>
      </c>
      <c r="F773" t="s">
        <v>5759</v>
      </c>
      <c r="H773" t="s">
        <v>414</v>
      </c>
      <c r="M773" t="s">
        <v>414</v>
      </c>
    </row>
    <row r="774" spans="1:13" ht="15">
      <c r="A774" t="s">
        <v>4453</v>
      </c>
      <c r="B774" s="81" t="s">
        <v>3175</v>
      </c>
      <c r="C774" t="s">
        <v>6682</v>
      </c>
      <c r="D774" s="83" t="s">
        <v>5486</v>
      </c>
      <c r="E774" t="s">
        <v>5209</v>
      </c>
      <c r="F774" t="s">
        <v>5750</v>
      </c>
      <c r="H774" t="s">
        <v>414</v>
      </c>
      <c r="M774" t="s">
        <v>414</v>
      </c>
    </row>
    <row r="775" spans="1:13" ht="15">
      <c r="C775" t="s">
        <v>6002</v>
      </c>
      <c r="D775" s="83" t="s">
        <v>5521</v>
      </c>
      <c r="E775" t="s">
        <v>5244</v>
      </c>
      <c r="F775" t="s">
        <v>5748</v>
      </c>
      <c r="H775" t="s">
        <v>414</v>
      </c>
      <c r="I775" t="s">
        <v>414</v>
      </c>
      <c r="L775" t="s">
        <v>414</v>
      </c>
      <c r="M775" t="s">
        <v>414</v>
      </c>
    </row>
    <row r="776" spans="1:13" ht="15">
      <c r="A776" t="s">
        <v>3755</v>
      </c>
      <c r="B776" t="s">
        <v>4533</v>
      </c>
      <c r="C776" t="s">
        <v>5928</v>
      </c>
      <c r="D776" s="83" t="s">
        <v>5486</v>
      </c>
      <c r="E776" t="s">
        <v>5209</v>
      </c>
      <c r="F776" t="s">
        <v>5750</v>
      </c>
      <c r="H776" t="s">
        <v>414</v>
      </c>
      <c r="M776" t="s">
        <v>414</v>
      </c>
    </row>
    <row r="777" spans="1:13" ht="15">
      <c r="C777" t="s">
        <v>7248</v>
      </c>
      <c r="D777" s="83" t="s">
        <v>4150</v>
      </c>
      <c r="E777" t="s">
        <v>5043</v>
      </c>
      <c r="F777" t="s">
        <v>31</v>
      </c>
    </row>
    <row r="778" spans="1:13" ht="15">
      <c r="C778" t="s">
        <v>7165</v>
      </c>
      <c r="D778" s="83" t="s">
        <v>5557</v>
      </c>
      <c r="E778" t="s">
        <v>5280</v>
      </c>
      <c r="F778" t="s">
        <v>5755</v>
      </c>
      <c r="M778" t="s">
        <v>414</v>
      </c>
    </row>
    <row r="779" spans="1:13" ht="15">
      <c r="C779" t="s">
        <v>7046</v>
      </c>
      <c r="D779" s="83" t="s">
        <v>5526</v>
      </c>
      <c r="E779" t="s">
        <v>5249</v>
      </c>
      <c r="F779" t="s">
        <v>5773</v>
      </c>
      <c r="H779" t="s">
        <v>414</v>
      </c>
      <c r="M779" t="s">
        <v>414</v>
      </c>
    </row>
    <row r="780" spans="1:13" ht="15">
      <c r="C780" t="s">
        <v>5929</v>
      </c>
      <c r="D780" s="83" t="s">
        <v>5494</v>
      </c>
      <c r="E780" t="s">
        <v>5217</v>
      </c>
      <c r="F780" t="s">
        <v>5756</v>
      </c>
      <c r="L780" t="s">
        <v>414</v>
      </c>
      <c r="M780" t="s">
        <v>414</v>
      </c>
    </row>
    <row r="781" spans="1:13" ht="15">
      <c r="C781" t="s">
        <v>5929</v>
      </c>
      <c r="D781" s="83" t="s">
        <v>4136</v>
      </c>
      <c r="E781" t="s">
        <v>5030</v>
      </c>
      <c r="F781" t="s">
        <v>5725</v>
      </c>
      <c r="K781" t="s">
        <v>414</v>
      </c>
      <c r="L781" t="s">
        <v>414</v>
      </c>
      <c r="M781" t="s">
        <v>414</v>
      </c>
    </row>
    <row r="782" spans="1:13" ht="15">
      <c r="C782" t="s">
        <v>7029</v>
      </c>
      <c r="D782" s="83" t="s">
        <v>5477</v>
      </c>
      <c r="E782" t="s">
        <v>5200</v>
      </c>
      <c r="F782" t="s">
        <v>5745</v>
      </c>
    </row>
    <row r="783" spans="1:13" ht="15">
      <c r="A783" t="s">
        <v>4446</v>
      </c>
      <c r="B783" t="s">
        <v>4445</v>
      </c>
      <c r="C783" t="s">
        <v>6484</v>
      </c>
      <c r="D783" s="83" t="s">
        <v>5486</v>
      </c>
      <c r="E783" t="s">
        <v>5209</v>
      </c>
      <c r="F783" t="s">
        <v>5750</v>
      </c>
      <c r="H783" t="s">
        <v>414</v>
      </c>
      <c r="M783" t="s">
        <v>414</v>
      </c>
    </row>
    <row r="784" spans="1:13" ht="15">
      <c r="C784" t="s">
        <v>7130</v>
      </c>
      <c r="D784" s="83" t="s">
        <v>4137</v>
      </c>
      <c r="E784" t="s">
        <v>5031</v>
      </c>
      <c r="F784" t="s">
        <v>60</v>
      </c>
    </row>
    <row r="785" spans="1:13" ht="15">
      <c r="C785" t="s">
        <v>5961</v>
      </c>
      <c r="D785" s="83" t="s">
        <v>5567</v>
      </c>
      <c r="E785" t="s">
        <v>5290</v>
      </c>
      <c r="F785" t="s">
        <v>5792</v>
      </c>
      <c r="H785" t="s">
        <v>414</v>
      </c>
      <c r="L785" t="s">
        <v>414</v>
      </c>
      <c r="M785" t="s">
        <v>414</v>
      </c>
    </row>
    <row r="786" spans="1:13" ht="15">
      <c r="C786" t="s">
        <v>5961</v>
      </c>
      <c r="D786" s="83" t="s">
        <v>5540</v>
      </c>
      <c r="E786" t="s">
        <v>5263</v>
      </c>
      <c r="F786" t="s">
        <v>5730</v>
      </c>
      <c r="H786" t="s">
        <v>414</v>
      </c>
    </row>
    <row r="787" spans="1:13" ht="15">
      <c r="C787" t="s">
        <v>5961</v>
      </c>
      <c r="D787" s="83" t="s">
        <v>4136</v>
      </c>
      <c r="E787" t="s">
        <v>5030</v>
      </c>
      <c r="F787" t="s">
        <v>5725</v>
      </c>
      <c r="K787" t="s">
        <v>414</v>
      </c>
      <c r="L787" t="s">
        <v>414</v>
      </c>
      <c r="M787" t="s">
        <v>414</v>
      </c>
    </row>
    <row r="788" spans="1:13" ht="15">
      <c r="C788" t="s">
        <v>7468</v>
      </c>
      <c r="D788" s="83" t="s">
        <v>5536</v>
      </c>
      <c r="E788" t="s">
        <v>5259</v>
      </c>
      <c r="F788" t="s">
        <v>5780</v>
      </c>
      <c r="M788" t="s">
        <v>414</v>
      </c>
    </row>
    <row r="789" spans="1:13" ht="15">
      <c r="A789" t="s">
        <v>3744</v>
      </c>
      <c r="B789" t="s">
        <v>1243</v>
      </c>
      <c r="C789" t="s">
        <v>6947</v>
      </c>
      <c r="D789" s="83" t="s">
        <v>5486</v>
      </c>
      <c r="E789" t="s">
        <v>5209</v>
      </c>
      <c r="F789" t="s">
        <v>5750</v>
      </c>
      <c r="H789" t="s">
        <v>414</v>
      </c>
      <c r="M789" t="s">
        <v>414</v>
      </c>
    </row>
    <row r="790" spans="1:13" ht="15">
      <c r="A790" t="s">
        <v>4563</v>
      </c>
      <c r="B790" t="s">
        <v>3550</v>
      </c>
      <c r="C790" t="s">
        <v>7663</v>
      </c>
      <c r="D790" s="83" t="s">
        <v>4150</v>
      </c>
      <c r="E790" t="s">
        <v>5043</v>
      </c>
      <c r="F790" t="s">
        <v>31</v>
      </c>
    </row>
    <row r="791" spans="1:13" ht="15">
      <c r="C791" t="s">
        <v>7352</v>
      </c>
      <c r="D791" s="83" t="s">
        <v>5562</v>
      </c>
      <c r="E791" t="s">
        <v>5285</v>
      </c>
      <c r="F791" t="s">
        <v>5750</v>
      </c>
      <c r="H791" t="s">
        <v>414</v>
      </c>
      <c r="M791" t="s">
        <v>414</v>
      </c>
    </row>
    <row r="792" spans="1:13" ht="15">
      <c r="A792" t="s">
        <v>4554</v>
      </c>
      <c r="B792" t="s">
        <v>4280</v>
      </c>
      <c r="C792" t="s">
        <v>6195</v>
      </c>
      <c r="D792" s="83" t="s">
        <v>5722</v>
      </c>
      <c r="E792" t="s">
        <v>5446</v>
      </c>
      <c r="F792" t="s">
        <v>5835</v>
      </c>
      <c r="H792" t="s">
        <v>414</v>
      </c>
      <c r="K792" t="s">
        <v>414</v>
      </c>
      <c r="L792" t="s">
        <v>414</v>
      </c>
    </row>
    <row r="793" spans="1:13" ht="15">
      <c r="A793" t="s">
        <v>4554</v>
      </c>
      <c r="B793" t="s">
        <v>4280</v>
      </c>
      <c r="C793" t="s">
        <v>6402</v>
      </c>
      <c r="D793" s="83" t="s">
        <v>5864</v>
      </c>
      <c r="E793" t="s">
        <v>7784</v>
      </c>
      <c r="F793" t="s">
        <v>7785</v>
      </c>
      <c r="H793" t="s">
        <v>414</v>
      </c>
      <c r="L793" t="s">
        <v>414</v>
      </c>
    </row>
    <row r="794" spans="1:13" ht="15">
      <c r="A794" t="s">
        <v>4554</v>
      </c>
      <c r="B794" t="s">
        <v>4280</v>
      </c>
      <c r="C794" t="s">
        <v>6081</v>
      </c>
      <c r="D794" s="83" t="s">
        <v>5853</v>
      </c>
      <c r="E794" t="s">
        <v>7770</v>
      </c>
      <c r="F794" t="s">
        <v>7771</v>
      </c>
      <c r="G794" t="s">
        <v>414</v>
      </c>
      <c r="L794" t="s">
        <v>414</v>
      </c>
    </row>
    <row r="795" spans="1:13" ht="15">
      <c r="A795" t="s">
        <v>3735</v>
      </c>
      <c r="B795" s="74" t="s">
        <v>4288</v>
      </c>
      <c r="C795" t="s">
        <v>6965</v>
      </c>
      <c r="D795" s="83" t="s">
        <v>5486</v>
      </c>
      <c r="E795" t="s">
        <v>5209</v>
      </c>
      <c r="F795" t="s">
        <v>5750</v>
      </c>
      <c r="H795" t="s">
        <v>414</v>
      </c>
      <c r="M795" t="s">
        <v>414</v>
      </c>
    </row>
    <row r="796" spans="1:13" ht="15">
      <c r="C796" t="s">
        <v>6044</v>
      </c>
      <c r="D796" s="83" t="s">
        <v>4168</v>
      </c>
      <c r="E796" t="s">
        <v>5062</v>
      </c>
      <c r="F796" t="s">
        <v>5846</v>
      </c>
      <c r="L796" t="s">
        <v>414</v>
      </c>
    </row>
    <row r="797" spans="1:13" ht="15">
      <c r="C797" t="s">
        <v>7396</v>
      </c>
      <c r="D797" s="83" t="s">
        <v>4150</v>
      </c>
      <c r="E797" t="s">
        <v>5043</v>
      </c>
      <c r="F797" t="s">
        <v>31</v>
      </c>
    </row>
    <row r="798" spans="1:13" ht="15">
      <c r="C798" t="s">
        <v>6112</v>
      </c>
      <c r="D798" s="83" t="s">
        <v>5494</v>
      </c>
      <c r="E798" t="s">
        <v>5217</v>
      </c>
      <c r="F798" t="s">
        <v>5756</v>
      </c>
      <c r="L798" t="s">
        <v>414</v>
      </c>
      <c r="M798" t="s">
        <v>414</v>
      </c>
    </row>
    <row r="799" spans="1:13" ht="15">
      <c r="A799" t="s">
        <v>3783</v>
      </c>
      <c r="B799" t="s">
        <v>301</v>
      </c>
      <c r="C799" t="s">
        <v>5932</v>
      </c>
      <c r="D799" s="83" t="s">
        <v>5660</v>
      </c>
      <c r="E799" t="s">
        <v>5383</v>
      </c>
      <c r="F799" t="s">
        <v>301</v>
      </c>
      <c r="L799" t="s">
        <v>414</v>
      </c>
    </row>
    <row r="800" spans="1:13" ht="15">
      <c r="C800" t="s">
        <v>6112</v>
      </c>
      <c r="D800" s="83" t="s">
        <v>4136</v>
      </c>
      <c r="E800" t="s">
        <v>5030</v>
      </c>
      <c r="F800" t="s">
        <v>5725</v>
      </c>
      <c r="K800" t="s">
        <v>414</v>
      </c>
      <c r="L800" t="s">
        <v>414</v>
      </c>
      <c r="M800" t="s">
        <v>414</v>
      </c>
    </row>
    <row r="801" spans="1:13" ht="15">
      <c r="A801" t="s">
        <v>3754</v>
      </c>
      <c r="B801" t="s">
        <v>296</v>
      </c>
      <c r="C801" t="s">
        <v>6462</v>
      </c>
      <c r="D801" s="83" t="s">
        <v>5853</v>
      </c>
      <c r="E801" t="s">
        <v>7770</v>
      </c>
      <c r="F801" t="s">
        <v>7771</v>
      </c>
      <c r="G801" t="s">
        <v>414</v>
      </c>
      <c r="L801" t="s">
        <v>414</v>
      </c>
    </row>
    <row r="802" spans="1:13" ht="15">
      <c r="C802" t="s">
        <v>6513</v>
      </c>
      <c r="D802" s="83" t="s">
        <v>5597</v>
      </c>
      <c r="E802" t="s">
        <v>5320</v>
      </c>
      <c r="F802" t="s">
        <v>5802</v>
      </c>
    </row>
    <row r="803" spans="1:13" ht="15">
      <c r="C803" t="s">
        <v>6574</v>
      </c>
      <c r="D803" s="83" t="s">
        <v>5615</v>
      </c>
      <c r="E803" t="s">
        <v>5338</v>
      </c>
      <c r="F803" t="s">
        <v>5734</v>
      </c>
      <c r="H803" t="s">
        <v>414</v>
      </c>
      <c r="M803" t="s">
        <v>414</v>
      </c>
    </row>
    <row r="804" spans="1:13" ht="15">
      <c r="A804" t="s">
        <v>4508</v>
      </c>
      <c r="B804" t="s">
        <v>4507</v>
      </c>
      <c r="C804" t="s">
        <v>7034</v>
      </c>
      <c r="D804" s="83" t="s">
        <v>5487</v>
      </c>
      <c r="E804" t="s">
        <v>5210</v>
      </c>
      <c r="F804" t="s">
        <v>5751</v>
      </c>
      <c r="M804" t="s">
        <v>414</v>
      </c>
    </row>
    <row r="805" spans="1:13" ht="15">
      <c r="A805" t="s">
        <v>4448</v>
      </c>
      <c r="B805" s="12" t="s">
        <v>1309</v>
      </c>
      <c r="C805" t="s">
        <v>5883</v>
      </c>
      <c r="D805" s="83" t="s">
        <v>5850</v>
      </c>
      <c r="E805" t="s">
        <v>7766</v>
      </c>
      <c r="F805" t="s">
        <v>7767</v>
      </c>
      <c r="M805" t="s">
        <v>414</v>
      </c>
    </row>
    <row r="806" spans="1:13" ht="15">
      <c r="A806" t="s">
        <v>3754</v>
      </c>
      <c r="B806" t="s">
        <v>296</v>
      </c>
      <c r="C806" t="s">
        <v>6761</v>
      </c>
      <c r="D806" s="83" t="s">
        <v>4140</v>
      </c>
      <c r="E806" t="s">
        <v>5033</v>
      </c>
      <c r="F806" t="s">
        <v>5741</v>
      </c>
      <c r="L806" t="s">
        <v>414</v>
      </c>
      <c r="M806" t="s">
        <v>414</v>
      </c>
    </row>
    <row r="807" spans="1:13" ht="15">
      <c r="C807" t="s">
        <v>6157</v>
      </c>
      <c r="D807" s="83" t="s">
        <v>5675</v>
      </c>
      <c r="E807" t="s">
        <v>5398</v>
      </c>
      <c r="F807" t="s">
        <v>5793</v>
      </c>
      <c r="G807" t="s">
        <v>414</v>
      </c>
      <c r="K807" t="s">
        <v>414</v>
      </c>
    </row>
    <row r="808" spans="1:13" ht="15">
      <c r="A808" t="s">
        <v>3783</v>
      </c>
      <c r="B808" t="s">
        <v>301</v>
      </c>
      <c r="C808" t="s">
        <v>5908</v>
      </c>
      <c r="D808" s="83" t="s">
        <v>5465</v>
      </c>
      <c r="E808" t="s">
        <v>5188</v>
      </c>
      <c r="F808" t="s">
        <v>301</v>
      </c>
      <c r="L808" t="s">
        <v>414</v>
      </c>
      <c r="M808" t="s">
        <v>414</v>
      </c>
    </row>
    <row r="809" spans="1:13" ht="15">
      <c r="C809" t="s">
        <v>7121</v>
      </c>
      <c r="D809" s="83" t="s">
        <v>5691</v>
      </c>
      <c r="E809" t="s">
        <v>5414</v>
      </c>
      <c r="F809" t="s">
        <v>5835</v>
      </c>
      <c r="H809" t="s">
        <v>414</v>
      </c>
      <c r="I809" t="s">
        <v>414</v>
      </c>
    </row>
    <row r="810" spans="1:13" ht="15">
      <c r="C810" t="s">
        <v>6228</v>
      </c>
      <c r="D810" s="83" t="s">
        <v>5494</v>
      </c>
      <c r="E810" t="s">
        <v>5217</v>
      </c>
      <c r="F810" t="s">
        <v>5756</v>
      </c>
      <c r="L810" t="s">
        <v>414</v>
      </c>
      <c r="M810" t="s">
        <v>414</v>
      </c>
    </row>
    <row r="811" spans="1:13" ht="15">
      <c r="C811" t="s">
        <v>5885</v>
      </c>
      <c r="D811" s="83" t="s">
        <v>5851</v>
      </c>
      <c r="E811" t="s">
        <v>7768</v>
      </c>
      <c r="F811" t="s">
        <v>5783</v>
      </c>
      <c r="L811" t="s">
        <v>414</v>
      </c>
    </row>
    <row r="812" spans="1:13" ht="15">
      <c r="A812" t="s">
        <v>3765</v>
      </c>
      <c r="B812" t="s">
        <v>4302</v>
      </c>
      <c r="C812" t="s">
        <v>7201</v>
      </c>
      <c r="D812" s="83" t="s">
        <v>4150</v>
      </c>
      <c r="E812" t="s">
        <v>5043</v>
      </c>
      <c r="F812" t="s">
        <v>31</v>
      </c>
    </row>
    <row r="813" spans="1:13" ht="15">
      <c r="C813" t="s">
        <v>5885</v>
      </c>
      <c r="D813" s="83" t="s">
        <v>5621</v>
      </c>
      <c r="E813" t="s">
        <v>5344</v>
      </c>
      <c r="F813" t="s">
        <v>5783</v>
      </c>
      <c r="H813" t="s">
        <v>414</v>
      </c>
      <c r="L813" t="s">
        <v>414</v>
      </c>
      <c r="M813" t="s">
        <v>414</v>
      </c>
    </row>
    <row r="814" spans="1:13" ht="15">
      <c r="C814" t="s">
        <v>7713</v>
      </c>
      <c r="D814" s="83" t="s">
        <v>5526</v>
      </c>
      <c r="E814" t="s">
        <v>5249</v>
      </c>
      <c r="F814" t="s">
        <v>5773</v>
      </c>
      <c r="H814" t="s">
        <v>414</v>
      </c>
      <c r="M814" t="s">
        <v>414</v>
      </c>
    </row>
    <row r="815" spans="1:13" ht="15">
      <c r="A815" t="s">
        <v>3774</v>
      </c>
      <c r="B815" t="s">
        <v>4831</v>
      </c>
      <c r="C815" t="s">
        <v>7192</v>
      </c>
      <c r="D815" s="83" t="s">
        <v>5690</v>
      </c>
      <c r="E815" t="s">
        <v>5413</v>
      </c>
      <c r="F815" t="s">
        <v>5742</v>
      </c>
    </row>
    <row r="816" spans="1:13" ht="15">
      <c r="A816" t="s">
        <v>4555</v>
      </c>
      <c r="B816" t="s">
        <v>107</v>
      </c>
      <c r="C816" t="s">
        <v>6198</v>
      </c>
      <c r="D816" s="83" t="s">
        <v>5853</v>
      </c>
      <c r="E816" t="s">
        <v>7770</v>
      </c>
      <c r="F816" t="s">
        <v>7771</v>
      </c>
      <c r="G816" t="s">
        <v>414</v>
      </c>
      <c r="L816" t="s">
        <v>414</v>
      </c>
    </row>
    <row r="817" spans="1:13" ht="15">
      <c r="C817" t="s">
        <v>7193</v>
      </c>
      <c r="D817" s="83" t="s">
        <v>4152</v>
      </c>
      <c r="E817" t="s">
        <v>5045</v>
      </c>
      <c r="F817" t="s">
        <v>301</v>
      </c>
      <c r="M817" t="s">
        <v>414</v>
      </c>
    </row>
    <row r="818" spans="1:13" ht="15">
      <c r="C818" t="s">
        <v>6222</v>
      </c>
      <c r="D818" s="83" t="s">
        <v>4140</v>
      </c>
      <c r="E818" t="s">
        <v>5033</v>
      </c>
      <c r="F818" t="s">
        <v>5741</v>
      </c>
      <c r="L818" t="s">
        <v>414</v>
      </c>
      <c r="M818" t="s">
        <v>414</v>
      </c>
    </row>
    <row r="819" spans="1:13" ht="15">
      <c r="A819" t="s">
        <v>3783</v>
      </c>
      <c r="B819" t="s">
        <v>301</v>
      </c>
      <c r="C819" t="s">
        <v>6071</v>
      </c>
      <c r="D819" s="83" t="s">
        <v>4150</v>
      </c>
      <c r="E819" t="s">
        <v>5043</v>
      </c>
      <c r="F819" t="s">
        <v>31</v>
      </c>
    </row>
    <row r="820" spans="1:13" ht="15">
      <c r="C820" t="s">
        <v>6023</v>
      </c>
      <c r="D820" s="83" t="s">
        <v>4173</v>
      </c>
      <c r="E820" t="s">
        <v>5067</v>
      </c>
      <c r="F820" t="s">
        <v>1216</v>
      </c>
    </row>
    <row r="821" spans="1:13" ht="15">
      <c r="C821" t="s">
        <v>7758</v>
      </c>
      <c r="D821" s="83" t="s">
        <v>4150</v>
      </c>
      <c r="E821" t="s">
        <v>5043</v>
      </c>
      <c r="F821" t="s">
        <v>31</v>
      </c>
    </row>
    <row r="822" spans="1:13" ht="15">
      <c r="A822" t="s">
        <v>3784</v>
      </c>
      <c r="B822" t="s">
        <v>4281</v>
      </c>
      <c r="C822" t="s">
        <v>6111</v>
      </c>
      <c r="D822" s="83" t="s">
        <v>4146</v>
      </c>
      <c r="E822" t="s">
        <v>5039</v>
      </c>
      <c r="F822" t="s">
        <v>5741</v>
      </c>
      <c r="L822" t="s">
        <v>414</v>
      </c>
      <c r="M822" t="s">
        <v>414</v>
      </c>
    </row>
    <row r="823" spans="1:13" ht="15">
      <c r="C823" t="s">
        <v>7716</v>
      </c>
      <c r="D823" s="83" t="s">
        <v>5562</v>
      </c>
      <c r="E823" t="s">
        <v>5285</v>
      </c>
      <c r="F823" t="s">
        <v>5750</v>
      </c>
      <c r="H823" t="s">
        <v>414</v>
      </c>
      <c r="M823" t="s">
        <v>414</v>
      </c>
    </row>
    <row r="824" spans="1:13" ht="15">
      <c r="A824" t="s">
        <v>3770</v>
      </c>
      <c r="B824" t="s">
        <v>42</v>
      </c>
      <c r="C824" t="s">
        <v>6064</v>
      </c>
      <c r="D824" s="83" t="s">
        <v>4150</v>
      </c>
      <c r="E824" t="s">
        <v>5043</v>
      </c>
      <c r="F824" t="s">
        <v>31</v>
      </c>
    </row>
    <row r="825" spans="1:13" ht="15">
      <c r="C825" t="s">
        <v>6329</v>
      </c>
      <c r="D825" s="83" t="s">
        <v>5494</v>
      </c>
      <c r="E825" t="s">
        <v>5217</v>
      </c>
      <c r="F825" t="s">
        <v>5756</v>
      </c>
      <c r="L825" t="s">
        <v>414</v>
      </c>
      <c r="M825" t="s">
        <v>414</v>
      </c>
    </row>
    <row r="826" spans="1:13" ht="15">
      <c r="C826" t="s">
        <v>7250</v>
      </c>
      <c r="D826" s="83" t="s">
        <v>5459</v>
      </c>
      <c r="E826" t="s">
        <v>5182</v>
      </c>
      <c r="F826" t="s">
        <v>486</v>
      </c>
      <c r="M826" t="s">
        <v>414</v>
      </c>
    </row>
    <row r="827" spans="1:13" ht="15">
      <c r="A827" t="s">
        <v>7948</v>
      </c>
      <c r="B827" t="s">
        <v>7947</v>
      </c>
      <c r="C827" t="s">
        <v>7452</v>
      </c>
      <c r="D827" s="83" t="s">
        <v>5557</v>
      </c>
      <c r="E827" t="s">
        <v>5280</v>
      </c>
      <c r="F827" t="s">
        <v>5755</v>
      </c>
      <c r="M827" t="s">
        <v>414</v>
      </c>
    </row>
    <row r="828" spans="1:13" ht="15">
      <c r="C828" t="s">
        <v>6393</v>
      </c>
      <c r="D828" s="83" t="s">
        <v>5537</v>
      </c>
      <c r="E828" t="s">
        <v>5260</v>
      </c>
      <c r="F828" t="s">
        <v>5750</v>
      </c>
      <c r="H828" t="s">
        <v>414</v>
      </c>
      <c r="I828" t="s">
        <v>414</v>
      </c>
    </row>
    <row r="829" spans="1:13" ht="15">
      <c r="C829" t="s">
        <v>6393</v>
      </c>
      <c r="D829" s="83" t="s">
        <v>5549</v>
      </c>
      <c r="E829" t="s">
        <v>5272</v>
      </c>
      <c r="F829" t="s">
        <v>5750</v>
      </c>
      <c r="H829" t="s">
        <v>414</v>
      </c>
      <c r="L829" t="s">
        <v>414</v>
      </c>
      <c r="M829" t="s">
        <v>414</v>
      </c>
    </row>
    <row r="830" spans="1:13" ht="15">
      <c r="C830" t="s">
        <v>6393</v>
      </c>
      <c r="D830" s="83" t="s">
        <v>5857</v>
      </c>
      <c r="E830" t="s">
        <v>7776</v>
      </c>
      <c r="F830" t="s">
        <v>5755</v>
      </c>
      <c r="L830" t="s">
        <v>414</v>
      </c>
    </row>
    <row r="831" spans="1:13" ht="15">
      <c r="A831" t="s">
        <v>3767</v>
      </c>
      <c r="B831" t="s">
        <v>1291</v>
      </c>
      <c r="C831" t="s">
        <v>6364</v>
      </c>
      <c r="D831" s="83" t="s">
        <v>4150</v>
      </c>
      <c r="E831" t="s">
        <v>5043</v>
      </c>
      <c r="F831" t="s">
        <v>31</v>
      </c>
    </row>
    <row r="832" spans="1:13" ht="15">
      <c r="C832" t="s">
        <v>7093</v>
      </c>
      <c r="D832" s="83" t="s">
        <v>5609</v>
      </c>
      <c r="E832" t="s">
        <v>5332</v>
      </c>
      <c r="F832" t="s">
        <v>5726</v>
      </c>
      <c r="H832" t="s">
        <v>414</v>
      </c>
      <c r="I832" t="s">
        <v>414</v>
      </c>
    </row>
    <row r="833" spans="1:13" ht="15">
      <c r="C833" t="s">
        <v>7056</v>
      </c>
      <c r="D833" s="83" t="s">
        <v>5537</v>
      </c>
      <c r="E833" t="s">
        <v>5260</v>
      </c>
      <c r="F833" t="s">
        <v>5750</v>
      </c>
      <c r="H833" t="s">
        <v>414</v>
      </c>
      <c r="I833" t="s">
        <v>414</v>
      </c>
    </row>
    <row r="834" spans="1:13" ht="15">
      <c r="C834" t="s">
        <v>7176</v>
      </c>
      <c r="D834" s="83" t="s">
        <v>5609</v>
      </c>
      <c r="E834" t="s">
        <v>5332</v>
      </c>
      <c r="F834" t="s">
        <v>5726</v>
      </c>
      <c r="H834" t="s">
        <v>414</v>
      </c>
      <c r="I834" t="s">
        <v>414</v>
      </c>
    </row>
    <row r="835" spans="1:13" ht="15">
      <c r="A835" t="s">
        <v>4525</v>
      </c>
      <c r="B835" s="81" t="s">
        <v>4524</v>
      </c>
      <c r="C835" t="s">
        <v>5913</v>
      </c>
      <c r="D835" s="83" t="s">
        <v>4150</v>
      </c>
      <c r="E835" t="s">
        <v>5043</v>
      </c>
      <c r="F835" t="s">
        <v>31</v>
      </c>
    </row>
    <row r="836" spans="1:13" ht="15">
      <c r="A836" t="s">
        <v>4448</v>
      </c>
      <c r="B836" s="12" t="s">
        <v>1309</v>
      </c>
      <c r="C836" t="s">
        <v>5919</v>
      </c>
      <c r="D836" s="83" t="s">
        <v>4150</v>
      </c>
      <c r="E836" t="s">
        <v>5043</v>
      </c>
      <c r="F836" t="s">
        <v>31</v>
      </c>
    </row>
    <row r="837" spans="1:13" ht="15">
      <c r="A837" t="s">
        <v>3755</v>
      </c>
      <c r="B837" t="s">
        <v>4533</v>
      </c>
      <c r="C837" t="s">
        <v>7656</v>
      </c>
      <c r="D837" s="83" t="s">
        <v>4150</v>
      </c>
      <c r="E837" t="s">
        <v>5043</v>
      </c>
      <c r="F837" t="s">
        <v>31</v>
      </c>
    </row>
    <row r="838" spans="1:13" ht="15">
      <c r="C838" t="s">
        <v>7219</v>
      </c>
      <c r="D838" s="83" t="s">
        <v>5557</v>
      </c>
      <c r="E838" t="s">
        <v>5280</v>
      </c>
      <c r="F838" t="s">
        <v>5755</v>
      </c>
      <c r="M838" t="s">
        <v>414</v>
      </c>
    </row>
    <row r="839" spans="1:13" ht="15">
      <c r="C839" t="s">
        <v>5884</v>
      </c>
      <c r="D839" s="83" t="s">
        <v>5585</v>
      </c>
      <c r="E839" t="s">
        <v>5308</v>
      </c>
      <c r="F839" t="s">
        <v>1309</v>
      </c>
    </row>
    <row r="840" spans="1:13" ht="15">
      <c r="A840" t="s">
        <v>4565</v>
      </c>
      <c r="B840" s="12" t="s">
        <v>395</v>
      </c>
      <c r="C840" t="s">
        <v>5996</v>
      </c>
      <c r="D840" s="83" t="s">
        <v>4150</v>
      </c>
      <c r="E840" t="s">
        <v>5043</v>
      </c>
      <c r="F840" t="s">
        <v>31</v>
      </c>
    </row>
    <row r="841" spans="1:13" ht="15">
      <c r="A841" t="s">
        <v>4554</v>
      </c>
      <c r="B841" t="s">
        <v>4280</v>
      </c>
      <c r="C841" t="s">
        <v>7048</v>
      </c>
      <c r="D841" s="83" t="s">
        <v>5528</v>
      </c>
      <c r="E841" t="s">
        <v>5251</v>
      </c>
      <c r="F841" t="s">
        <v>5743</v>
      </c>
      <c r="H841" t="s">
        <v>414</v>
      </c>
      <c r="M841" t="s">
        <v>414</v>
      </c>
    </row>
    <row r="842" spans="1:13" ht="15">
      <c r="C842" t="s">
        <v>7030</v>
      </c>
      <c r="D842" s="83" t="s">
        <v>4170</v>
      </c>
      <c r="E842" t="s">
        <v>5064</v>
      </c>
      <c r="F842" t="s">
        <v>5747</v>
      </c>
      <c r="K842" t="s">
        <v>414</v>
      </c>
      <c r="L842" t="s">
        <v>414</v>
      </c>
      <c r="M842" t="s">
        <v>414</v>
      </c>
    </row>
    <row r="843" spans="1:13" ht="15">
      <c r="C843" t="s">
        <v>7186</v>
      </c>
      <c r="D843" s="83" t="s">
        <v>4155</v>
      </c>
      <c r="E843" t="s">
        <v>5048</v>
      </c>
      <c r="F843" t="s">
        <v>5829</v>
      </c>
      <c r="H843" t="s">
        <v>414</v>
      </c>
      <c r="M843" t="s">
        <v>414</v>
      </c>
    </row>
    <row r="844" spans="1:13" ht="15">
      <c r="C844" t="s">
        <v>5947</v>
      </c>
      <c r="D844" s="83" t="s">
        <v>4149</v>
      </c>
      <c r="E844" t="s">
        <v>5042</v>
      </c>
      <c r="F844" t="s">
        <v>5748</v>
      </c>
      <c r="K844" t="s">
        <v>414</v>
      </c>
      <c r="L844" t="s">
        <v>414</v>
      </c>
      <c r="M844" t="s">
        <v>414</v>
      </c>
    </row>
    <row r="845" spans="1:13" ht="15">
      <c r="A845" t="s">
        <v>3738</v>
      </c>
      <c r="B845" s="74" t="s">
        <v>4300</v>
      </c>
      <c r="C845" t="s">
        <v>7712</v>
      </c>
      <c r="D845" s="83" t="s">
        <v>4150</v>
      </c>
      <c r="E845" t="s">
        <v>5043</v>
      </c>
      <c r="F845" t="s">
        <v>31</v>
      </c>
    </row>
    <row r="846" spans="1:13" ht="15">
      <c r="C846" t="s">
        <v>6770</v>
      </c>
      <c r="D846" s="83" t="s">
        <v>4144</v>
      </c>
      <c r="E846" t="s">
        <v>5037</v>
      </c>
      <c r="F846" t="s">
        <v>5755</v>
      </c>
      <c r="H846" t="s">
        <v>414</v>
      </c>
      <c r="I846" t="s">
        <v>414</v>
      </c>
      <c r="L846" t="s">
        <v>414</v>
      </c>
    </row>
    <row r="847" spans="1:13" ht="15">
      <c r="A847" t="s">
        <v>3747</v>
      </c>
      <c r="B847" t="s">
        <v>4298</v>
      </c>
      <c r="C847" t="s">
        <v>7722</v>
      </c>
      <c r="D847" s="83" t="s">
        <v>4150</v>
      </c>
      <c r="E847" t="s">
        <v>5043</v>
      </c>
      <c r="F847" t="s">
        <v>31</v>
      </c>
    </row>
    <row r="848" spans="1:13" ht="15">
      <c r="C848" t="s">
        <v>6090</v>
      </c>
      <c r="D848" s="83" t="s">
        <v>5859</v>
      </c>
      <c r="E848" t="s">
        <v>7778</v>
      </c>
      <c r="F848" t="s">
        <v>7779</v>
      </c>
      <c r="K848" t="s">
        <v>414</v>
      </c>
    </row>
    <row r="849" spans="1:13" ht="15">
      <c r="C849" t="s">
        <v>7037</v>
      </c>
      <c r="D849" s="83" t="s">
        <v>4156</v>
      </c>
      <c r="E849" t="s">
        <v>5049</v>
      </c>
      <c r="F849" t="s">
        <v>5760</v>
      </c>
      <c r="M849" t="s">
        <v>414</v>
      </c>
    </row>
    <row r="850" spans="1:13" ht="15">
      <c r="A850" t="s">
        <v>3743</v>
      </c>
      <c r="B850" t="s">
        <v>4290</v>
      </c>
      <c r="C850" t="s">
        <v>7734</v>
      </c>
      <c r="D850" s="83" t="s">
        <v>4150</v>
      </c>
      <c r="E850" t="s">
        <v>5043</v>
      </c>
      <c r="F850" t="s">
        <v>31</v>
      </c>
    </row>
    <row r="851" spans="1:13" ht="15">
      <c r="C851" t="s">
        <v>5944</v>
      </c>
      <c r="D851" s="83" t="s">
        <v>5572</v>
      </c>
      <c r="E851" t="s">
        <v>5295</v>
      </c>
      <c r="F851" t="s">
        <v>5783</v>
      </c>
      <c r="K851" t="s">
        <v>414</v>
      </c>
      <c r="L851" t="s">
        <v>414</v>
      </c>
      <c r="M851" t="s">
        <v>414</v>
      </c>
    </row>
    <row r="852" spans="1:13" ht="15">
      <c r="C852" t="s">
        <v>5944</v>
      </c>
      <c r="D852" s="83" t="s">
        <v>5585</v>
      </c>
      <c r="E852" t="s">
        <v>5308</v>
      </c>
      <c r="F852" t="s">
        <v>1309</v>
      </c>
    </row>
    <row r="853" spans="1:13" ht="15">
      <c r="A853" t="s">
        <v>3754</v>
      </c>
      <c r="B853" t="s">
        <v>296</v>
      </c>
      <c r="C853" t="s">
        <v>7353</v>
      </c>
      <c r="D853" s="83" t="s">
        <v>5575</v>
      </c>
      <c r="E853" t="s">
        <v>5298</v>
      </c>
      <c r="F853" t="s">
        <v>5795</v>
      </c>
      <c r="I853" t="s">
        <v>414</v>
      </c>
      <c r="M853" t="s">
        <v>414</v>
      </c>
    </row>
    <row r="854" spans="1:13" ht="15">
      <c r="C854" t="s">
        <v>5910</v>
      </c>
      <c r="D854" s="83" t="s">
        <v>4167</v>
      </c>
      <c r="E854" t="s">
        <v>5061</v>
      </c>
      <c r="F854" t="s">
        <v>5783</v>
      </c>
      <c r="L854" t="s">
        <v>414</v>
      </c>
      <c r="M854" t="s">
        <v>414</v>
      </c>
    </row>
    <row r="855" spans="1:13" ht="15">
      <c r="A855" t="s">
        <v>3774</v>
      </c>
      <c r="B855" t="s">
        <v>4831</v>
      </c>
      <c r="C855" t="s">
        <v>7247</v>
      </c>
      <c r="D855" s="83" t="s">
        <v>4137</v>
      </c>
      <c r="E855" t="s">
        <v>5031</v>
      </c>
      <c r="F855" t="s">
        <v>60</v>
      </c>
    </row>
    <row r="856" spans="1:13" ht="15">
      <c r="C856" t="s">
        <v>6063</v>
      </c>
      <c r="D856" s="83" t="s">
        <v>4193</v>
      </c>
      <c r="E856" t="s">
        <v>5087</v>
      </c>
      <c r="F856" t="s">
        <v>5831</v>
      </c>
      <c r="H856" t="s">
        <v>414</v>
      </c>
    </row>
    <row r="857" spans="1:13" ht="15">
      <c r="C857" t="s">
        <v>7145</v>
      </c>
      <c r="D857" s="83" t="s">
        <v>4170</v>
      </c>
      <c r="E857" t="s">
        <v>5064</v>
      </c>
      <c r="F857" t="s">
        <v>5747</v>
      </c>
      <c r="K857" t="s">
        <v>414</v>
      </c>
      <c r="L857" t="s">
        <v>414</v>
      </c>
      <c r="M857" t="s">
        <v>414</v>
      </c>
    </row>
    <row r="858" spans="1:13" ht="15">
      <c r="C858" t="s">
        <v>7295</v>
      </c>
      <c r="D858" s="83" t="s">
        <v>4137</v>
      </c>
      <c r="E858" t="s">
        <v>5031</v>
      </c>
      <c r="F858" t="s">
        <v>60</v>
      </c>
    </row>
    <row r="859" spans="1:13" ht="15">
      <c r="C859" t="s">
        <v>7279</v>
      </c>
      <c r="D859" s="83" t="s">
        <v>5526</v>
      </c>
      <c r="E859" t="s">
        <v>5249</v>
      </c>
      <c r="F859" t="s">
        <v>5773</v>
      </c>
      <c r="H859" t="s">
        <v>414</v>
      </c>
      <c r="M859" t="s">
        <v>414</v>
      </c>
    </row>
    <row r="860" spans="1:13" ht="15">
      <c r="A860" t="s">
        <v>3735</v>
      </c>
      <c r="B860" s="74" t="s">
        <v>4288</v>
      </c>
      <c r="C860" t="s">
        <v>7754</v>
      </c>
      <c r="D860" s="83" t="s">
        <v>4150</v>
      </c>
      <c r="E860" t="s">
        <v>5043</v>
      </c>
      <c r="F860" t="s">
        <v>31</v>
      </c>
    </row>
    <row r="861" spans="1:13" ht="15">
      <c r="A861" t="s">
        <v>3746</v>
      </c>
      <c r="B861" s="12" t="s">
        <v>4482</v>
      </c>
      <c r="C861" t="s">
        <v>7756</v>
      </c>
      <c r="D861" s="83" t="s">
        <v>4150</v>
      </c>
      <c r="E861" t="s">
        <v>5043</v>
      </c>
      <c r="F861" t="s">
        <v>31</v>
      </c>
    </row>
    <row r="862" spans="1:13" ht="15">
      <c r="C862" t="s">
        <v>7279</v>
      </c>
      <c r="D862" s="83" t="s">
        <v>5609</v>
      </c>
      <c r="E862" t="s">
        <v>5332</v>
      </c>
      <c r="F862" t="s">
        <v>5726</v>
      </c>
      <c r="H862" t="s">
        <v>414</v>
      </c>
      <c r="I862" t="s">
        <v>414</v>
      </c>
    </row>
    <row r="863" spans="1:13" ht="15">
      <c r="A863" t="s">
        <v>7948</v>
      </c>
      <c r="B863" t="s">
        <v>7947</v>
      </c>
      <c r="C863" t="s">
        <v>6040</v>
      </c>
      <c r="D863" s="83" t="s">
        <v>4175</v>
      </c>
      <c r="E863" t="s">
        <v>5069</v>
      </c>
      <c r="F863" t="s">
        <v>5807</v>
      </c>
      <c r="H863" t="s">
        <v>414</v>
      </c>
    </row>
    <row r="864" spans="1:13" ht="15">
      <c r="A864" t="s">
        <v>7948</v>
      </c>
      <c r="B864" t="s">
        <v>7947</v>
      </c>
      <c r="C864" t="s">
        <v>6700</v>
      </c>
      <c r="D864" s="83" t="s">
        <v>5493</v>
      </c>
      <c r="E864" t="s">
        <v>5216</v>
      </c>
      <c r="F864" t="s">
        <v>5755</v>
      </c>
      <c r="H864" t="s">
        <v>414</v>
      </c>
      <c r="M864" t="s">
        <v>414</v>
      </c>
    </row>
    <row r="865" spans="1:13" ht="15">
      <c r="A865" t="s">
        <v>7948</v>
      </c>
      <c r="B865" t="s">
        <v>7947</v>
      </c>
      <c r="C865" t="s">
        <v>6700</v>
      </c>
      <c r="D865" s="83" t="s">
        <v>5525</v>
      </c>
      <c r="E865" t="s">
        <v>5248</v>
      </c>
      <c r="F865" t="s">
        <v>5759</v>
      </c>
      <c r="M865" t="s">
        <v>414</v>
      </c>
    </row>
    <row r="866" spans="1:13" ht="15">
      <c r="A866" t="s">
        <v>7948</v>
      </c>
      <c r="B866" t="s">
        <v>7947</v>
      </c>
      <c r="C866" t="s">
        <v>6700</v>
      </c>
      <c r="D866" s="83" t="s">
        <v>5529</v>
      </c>
      <c r="E866" t="s">
        <v>5252</v>
      </c>
      <c r="F866" t="s">
        <v>5748</v>
      </c>
      <c r="M866" t="s">
        <v>414</v>
      </c>
    </row>
    <row r="867" spans="1:13" ht="15">
      <c r="A867" t="s">
        <v>3739</v>
      </c>
      <c r="B867" s="12" t="s">
        <v>33</v>
      </c>
      <c r="C867" t="s">
        <v>6181</v>
      </c>
      <c r="D867" s="83" t="s">
        <v>4150</v>
      </c>
      <c r="E867" t="s">
        <v>5043</v>
      </c>
      <c r="F867" t="s">
        <v>31</v>
      </c>
    </row>
    <row r="868" spans="1:13" ht="15">
      <c r="A868" t="s">
        <v>3764</v>
      </c>
      <c r="B868" s="12" t="s">
        <v>31</v>
      </c>
      <c r="C868" t="s">
        <v>7763</v>
      </c>
      <c r="D868" s="83" t="s">
        <v>4150</v>
      </c>
      <c r="E868" t="s">
        <v>5043</v>
      </c>
      <c r="F868" t="s">
        <v>31</v>
      </c>
    </row>
    <row r="869" spans="1:13" ht="15">
      <c r="C869" t="s">
        <v>7156</v>
      </c>
      <c r="D869" s="83" t="s">
        <v>5536</v>
      </c>
      <c r="E869" t="s">
        <v>5259</v>
      </c>
      <c r="F869" t="s">
        <v>5780</v>
      </c>
      <c r="M869" t="s">
        <v>414</v>
      </c>
    </row>
    <row r="870" spans="1:13" ht="15">
      <c r="A870" t="s">
        <v>3765</v>
      </c>
      <c r="B870" t="s">
        <v>4302</v>
      </c>
      <c r="C870" t="s">
        <v>5941</v>
      </c>
      <c r="D870" s="83" t="s">
        <v>4203</v>
      </c>
      <c r="E870" t="s">
        <v>5097</v>
      </c>
      <c r="F870" t="s">
        <v>31</v>
      </c>
      <c r="K870" t="s">
        <v>414</v>
      </c>
      <c r="L870" t="s">
        <v>414</v>
      </c>
      <c r="M870" t="s">
        <v>414</v>
      </c>
    </row>
    <row r="871" spans="1:13" ht="15">
      <c r="C871" t="s">
        <v>7334</v>
      </c>
      <c r="D871" s="83" t="s">
        <v>4137</v>
      </c>
      <c r="E871" t="s">
        <v>5031</v>
      </c>
      <c r="F871" t="s">
        <v>60</v>
      </c>
    </row>
    <row r="872" spans="1:13" ht="15">
      <c r="C872" t="s">
        <v>6303</v>
      </c>
      <c r="D872" s="83" t="s">
        <v>5585</v>
      </c>
      <c r="E872" t="s">
        <v>5308</v>
      </c>
      <c r="F872" t="s">
        <v>1309</v>
      </c>
    </row>
    <row r="873" spans="1:13" ht="15">
      <c r="C873" t="s">
        <v>6575</v>
      </c>
      <c r="D873" s="83" t="s">
        <v>5857</v>
      </c>
      <c r="E873" t="s">
        <v>7776</v>
      </c>
      <c r="F873" t="s">
        <v>5755</v>
      </c>
      <c r="L873" t="s">
        <v>414</v>
      </c>
    </row>
    <row r="874" spans="1:13" ht="15">
      <c r="C874" t="s">
        <v>7561</v>
      </c>
      <c r="D874" s="83" t="s">
        <v>4150</v>
      </c>
      <c r="E874" t="s">
        <v>5043</v>
      </c>
      <c r="F874" t="s">
        <v>31</v>
      </c>
    </row>
    <row r="875" spans="1:13" ht="15">
      <c r="C875" t="s">
        <v>7214</v>
      </c>
      <c r="D875" s="83" t="s">
        <v>5536</v>
      </c>
      <c r="E875" t="s">
        <v>5259</v>
      </c>
      <c r="F875" t="s">
        <v>5780</v>
      </c>
      <c r="M875" t="s">
        <v>414</v>
      </c>
    </row>
    <row r="876" spans="1:13" ht="15">
      <c r="C876" t="s">
        <v>7764</v>
      </c>
      <c r="D876" s="83" t="s">
        <v>4150</v>
      </c>
      <c r="E876" t="s">
        <v>5043</v>
      </c>
      <c r="F876" t="s">
        <v>31</v>
      </c>
    </row>
    <row r="877" spans="1:13" ht="15">
      <c r="C877" t="s">
        <v>6832</v>
      </c>
      <c r="D877" s="83" t="s">
        <v>5486</v>
      </c>
      <c r="E877" t="s">
        <v>5209</v>
      </c>
      <c r="F877" t="s">
        <v>5750</v>
      </c>
      <c r="H877" t="s">
        <v>414</v>
      </c>
      <c r="M877" t="s">
        <v>414</v>
      </c>
    </row>
    <row r="878" spans="1:13" ht="15">
      <c r="C878" t="s">
        <v>6832</v>
      </c>
      <c r="D878" s="83" t="s">
        <v>5525</v>
      </c>
      <c r="E878" t="s">
        <v>5248</v>
      </c>
      <c r="F878" t="s">
        <v>5759</v>
      </c>
      <c r="M878" t="s">
        <v>414</v>
      </c>
    </row>
    <row r="879" spans="1:13" ht="15">
      <c r="C879" t="s">
        <v>6832</v>
      </c>
      <c r="D879" s="83" t="s">
        <v>5529</v>
      </c>
      <c r="E879" t="s">
        <v>5252</v>
      </c>
      <c r="F879" t="s">
        <v>5748</v>
      </c>
      <c r="M879" t="s">
        <v>414</v>
      </c>
    </row>
    <row r="880" spans="1:13" ht="15">
      <c r="C880" t="s">
        <v>6433</v>
      </c>
      <c r="D880" s="83" t="s">
        <v>5480</v>
      </c>
      <c r="E880" t="s">
        <v>5203</v>
      </c>
      <c r="F880" t="s">
        <v>5748</v>
      </c>
      <c r="M880" t="s">
        <v>414</v>
      </c>
    </row>
    <row r="881" spans="1:13" ht="15">
      <c r="C881" t="s">
        <v>6077</v>
      </c>
      <c r="D881" s="83" t="s">
        <v>4169</v>
      </c>
      <c r="E881" t="s">
        <v>5063</v>
      </c>
      <c r="F881" t="s">
        <v>5748</v>
      </c>
    </row>
    <row r="882" spans="1:13" ht="15">
      <c r="C882" t="s">
        <v>5905</v>
      </c>
      <c r="D882" s="83" t="s">
        <v>5859</v>
      </c>
      <c r="E882" t="s">
        <v>7778</v>
      </c>
      <c r="F882" t="s">
        <v>7779</v>
      </c>
      <c r="K882" t="s">
        <v>414</v>
      </c>
    </row>
    <row r="883" spans="1:13" ht="15">
      <c r="A883" t="s">
        <v>4443</v>
      </c>
      <c r="B883" t="s">
        <v>4287</v>
      </c>
      <c r="C883" t="s">
        <v>7136</v>
      </c>
      <c r="D883" s="83" t="s">
        <v>4219</v>
      </c>
      <c r="E883" t="s">
        <v>5113</v>
      </c>
      <c r="F883" t="s">
        <v>5725</v>
      </c>
    </row>
    <row r="884" spans="1:13" ht="15">
      <c r="C884" t="s">
        <v>7574</v>
      </c>
      <c r="D884" s="83" t="s">
        <v>4150</v>
      </c>
      <c r="E884" t="s">
        <v>5043</v>
      </c>
      <c r="F884" t="s">
        <v>31</v>
      </c>
    </row>
    <row r="885" spans="1:13" ht="15">
      <c r="C885" t="s">
        <v>7585</v>
      </c>
      <c r="D885" s="83" t="s">
        <v>5549</v>
      </c>
      <c r="E885" t="s">
        <v>5272</v>
      </c>
      <c r="F885" t="s">
        <v>5750</v>
      </c>
      <c r="H885" t="s">
        <v>414</v>
      </c>
      <c r="L885" t="s">
        <v>414</v>
      </c>
      <c r="M885" t="s">
        <v>414</v>
      </c>
    </row>
    <row r="886" spans="1:13" ht="15">
      <c r="A886" t="s">
        <v>3139</v>
      </c>
      <c r="B886" t="s">
        <v>4285</v>
      </c>
      <c r="C886" t="s">
        <v>5921</v>
      </c>
      <c r="D886" s="83" t="s">
        <v>5489</v>
      </c>
      <c r="E886" t="s">
        <v>5212</v>
      </c>
      <c r="F886" t="s">
        <v>5736</v>
      </c>
      <c r="K886" t="s">
        <v>414</v>
      </c>
      <c r="L886" t="s">
        <v>414</v>
      </c>
    </row>
    <row r="887" spans="1:13" ht="15">
      <c r="A887" t="s">
        <v>3737</v>
      </c>
      <c r="B887" s="74" t="s">
        <v>4421</v>
      </c>
      <c r="C887" t="s">
        <v>6097</v>
      </c>
      <c r="D887" s="83" t="s">
        <v>5489</v>
      </c>
      <c r="E887" t="s">
        <v>5212</v>
      </c>
      <c r="F887" t="s">
        <v>5736</v>
      </c>
      <c r="K887" t="s">
        <v>414</v>
      </c>
      <c r="L887" t="s">
        <v>414</v>
      </c>
    </row>
    <row r="888" spans="1:13" ht="15">
      <c r="C888" t="s">
        <v>6110</v>
      </c>
      <c r="D888" s="83" t="s">
        <v>4149</v>
      </c>
      <c r="E888" t="s">
        <v>5042</v>
      </c>
      <c r="F888" t="s">
        <v>5748</v>
      </c>
      <c r="K888" t="s">
        <v>414</v>
      </c>
      <c r="L888" t="s">
        <v>414</v>
      </c>
      <c r="M888" t="s">
        <v>414</v>
      </c>
    </row>
    <row r="889" spans="1:13" ht="15">
      <c r="C889" t="s">
        <v>6292</v>
      </c>
      <c r="D889" s="83" t="s">
        <v>5718</v>
      </c>
      <c r="E889" t="s">
        <v>5442</v>
      </c>
      <c r="F889" t="s">
        <v>5845</v>
      </c>
      <c r="H889" t="s">
        <v>414</v>
      </c>
      <c r="I889" t="s">
        <v>414</v>
      </c>
      <c r="K889" t="s">
        <v>414</v>
      </c>
      <c r="L889" t="s">
        <v>414</v>
      </c>
    </row>
    <row r="890" spans="1:13" ht="15">
      <c r="A890" t="s">
        <v>3740</v>
      </c>
      <c r="B890" t="s">
        <v>3444</v>
      </c>
      <c r="C890" t="s">
        <v>6400</v>
      </c>
      <c r="D890" s="83" t="s">
        <v>5489</v>
      </c>
      <c r="E890" t="s">
        <v>5212</v>
      </c>
      <c r="F890" t="s">
        <v>5736</v>
      </c>
      <c r="K890" t="s">
        <v>414</v>
      </c>
      <c r="L890" t="s">
        <v>414</v>
      </c>
    </row>
    <row r="891" spans="1:13" ht="15">
      <c r="A891" t="s">
        <v>3774</v>
      </c>
      <c r="B891" t="s">
        <v>4831</v>
      </c>
      <c r="C891" t="s">
        <v>7342</v>
      </c>
      <c r="D891" s="83" t="s">
        <v>5526</v>
      </c>
      <c r="E891" t="s">
        <v>5249</v>
      </c>
      <c r="F891" t="s">
        <v>5773</v>
      </c>
      <c r="H891" t="s">
        <v>414</v>
      </c>
      <c r="M891" t="s">
        <v>414</v>
      </c>
    </row>
    <row r="892" spans="1:13" ht="15">
      <c r="A892" t="s">
        <v>3777</v>
      </c>
      <c r="B892" s="90" t="s">
        <v>4849</v>
      </c>
      <c r="C892" t="s">
        <v>7367</v>
      </c>
      <c r="D892" s="83" t="s">
        <v>4137</v>
      </c>
      <c r="E892" t="s">
        <v>5031</v>
      </c>
      <c r="F892" t="s">
        <v>60</v>
      </c>
    </row>
    <row r="893" spans="1:13" ht="15">
      <c r="A893" t="s">
        <v>3739</v>
      </c>
      <c r="B893" s="12" t="s">
        <v>33</v>
      </c>
      <c r="C893" t="s">
        <v>6257</v>
      </c>
      <c r="D893" s="83" t="s">
        <v>5504</v>
      </c>
      <c r="E893" t="s">
        <v>5227</v>
      </c>
      <c r="F893" t="s">
        <v>5759</v>
      </c>
      <c r="H893" t="s">
        <v>414</v>
      </c>
      <c r="M893" t="s">
        <v>414</v>
      </c>
    </row>
    <row r="894" spans="1:13" ht="15">
      <c r="A894" t="s">
        <v>3777</v>
      </c>
      <c r="B894" s="90" t="s">
        <v>4849</v>
      </c>
      <c r="C894" t="s">
        <v>6226</v>
      </c>
      <c r="D894" s="83" t="s">
        <v>4149</v>
      </c>
      <c r="E894" t="s">
        <v>5042</v>
      </c>
      <c r="F894" t="s">
        <v>5748</v>
      </c>
      <c r="K894" t="s">
        <v>414</v>
      </c>
      <c r="L894" t="s">
        <v>414</v>
      </c>
      <c r="M894" t="s">
        <v>414</v>
      </c>
    </row>
    <row r="895" spans="1:13" ht="15">
      <c r="C895" t="s">
        <v>6368</v>
      </c>
      <c r="D895" s="83" t="s">
        <v>4175</v>
      </c>
      <c r="E895" t="s">
        <v>5069</v>
      </c>
      <c r="F895" t="s">
        <v>5807</v>
      </c>
      <c r="H895" t="s">
        <v>414</v>
      </c>
    </row>
    <row r="896" spans="1:13" ht="15">
      <c r="A896" t="s">
        <v>3770</v>
      </c>
      <c r="B896" t="s">
        <v>42</v>
      </c>
      <c r="C896" t="s">
        <v>6064</v>
      </c>
      <c r="D896" s="83" t="s">
        <v>5675</v>
      </c>
      <c r="E896" t="s">
        <v>5398</v>
      </c>
      <c r="F896" t="s">
        <v>5793</v>
      </c>
      <c r="G896" t="s">
        <v>414</v>
      </c>
      <c r="K896" t="s">
        <v>414</v>
      </c>
    </row>
    <row r="897" spans="1:13" ht="15">
      <c r="A897" t="s">
        <v>3767</v>
      </c>
      <c r="B897" t="s">
        <v>1291</v>
      </c>
      <c r="C897" t="s">
        <v>6364</v>
      </c>
      <c r="D897" s="83" t="s">
        <v>5675</v>
      </c>
      <c r="E897" t="s">
        <v>5398</v>
      </c>
      <c r="F897" t="s">
        <v>5793</v>
      </c>
      <c r="G897" t="s">
        <v>414</v>
      </c>
      <c r="K897" t="s">
        <v>414</v>
      </c>
    </row>
    <row r="898" spans="1:13" ht="15">
      <c r="A898" t="s">
        <v>4525</v>
      </c>
      <c r="B898" s="81" t="s">
        <v>4524</v>
      </c>
      <c r="C898" t="s">
        <v>5881</v>
      </c>
      <c r="D898" s="83" t="s">
        <v>5675</v>
      </c>
      <c r="E898" t="s">
        <v>5398</v>
      </c>
      <c r="F898" t="s">
        <v>5793</v>
      </c>
      <c r="G898" t="s">
        <v>414</v>
      </c>
      <c r="K898" t="s">
        <v>414</v>
      </c>
    </row>
    <row r="899" spans="1:13" ht="15">
      <c r="C899" t="s">
        <v>7578</v>
      </c>
      <c r="D899" s="83" t="s">
        <v>5557</v>
      </c>
      <c r="E899" t="s">
        <v>5280</v>
      </c>
      <c r="F899" t="s">
        <v>5755</v>
      </c>
      <c r="M899" t="s">
        <v>414</v>
      </c>
    </row>
    <row r="900" spans="1:13" ht="15">
      <c r="A900" t="s">
        <v>4503</v>
      </c>
      <c r="B900" s="81" t="s">
        <v>3207</v>
      </c>
      <c r="C900" t="s">
        <v>6307</v>
      </c>
      <c r="D900" s="83" t="s">
        <v>5590</v>
      </c>
      <c r="E900" t="s">
        <v>5313</v>
      </c>
      <c r="F900" t="s">
        <v>5778</v>
      </c>
      <c r="H900" t="s">
        <v>414</v>
      </c>
      <c r="K900" t="s">
        <v>414</v>
      </c>
      <c r="L900" t="s">
        <v>414</v>
      </c>
      <c r="M900" t="s">
        <v>414</v>
      </c>
    </row>
    <row r="901" spans="1:13" ht="15">
      <c r="A901" t="s">
        <v>3750</v>
      </c>
      <c r="B901" t="s">
        <v>504</v>
      </c>
      <c r="C901" t="s">
        <v>7444</v>
      </c>
      <c r="D901" s="83" t="s">
        <v>4137</v>
      </c>
      <c r="E901" t="s">
        <v>5031</v>
      </c>
      <c r="F901" t="s">
        <v>60</v>
      </c>
    </row>
    <row r="902" spans="1:13" ht="15">
      <c r="A902" t="s">
        <v>3750</v>
      </c>
      <c r="B902" t="s">
        <v>504</v>
      </c>
      <c r="C902" t="s">
        <v>5985</v>
      </c>
      <c r="D902" s="83" t="s">
        <v>4165</v>
      </c>
      <c r="E902" t="s">
        <v>5059</v>
      </c>
      <c r="F902" t="s">
        <v>5736</v>
      </c>
      <c r="K902" t="s">
        <v>414</v>
      </c>
      <c r="L902" t="s">
        <v>414</v>
      </c>
      <c r="M902" t="s">
        <v>414</v>
      </c>
    </row>
    <row r="903" spans="1:13" ht="15">
      <c r="C903" t="s">
        <v>6235</v>
      </c>
      <c r="D903" s="83" t="s">
        <v>5633</v>
      </c>
      <c r="E903" t="s">
        <v>5356</v>
      </c>
      <c r="F903" t="s">
        <v>5734</v>
      </c>
      <c r="H903" t="s">
        <v>414</v>
      </c>
      <c r="K903" t="s">
        <v>414</v>
      </c>
      <c r="M903" t="s">
        <v>414</v>
      </c>
    </row>
    <row r="904" spans="1:13" ht="15">
      <c r="C904" t="s">
        <v>6422</v>
      </c>
      <c r="D904" s="83" t="s">
        <v>5574</v>
      </c>
      <c r="E904" t="s">
        <v>5297</v>
      </c>
      <c r="F904" t="s">
        <v>5794</v>
      </c>
      <c r="H904" t="s">
        <v>414</v>
      </c>
      <c r="M904" t="s">
        <v>414</v>
      </c>
    </row>
    <row r="905" spans="1:13" ht="15">
      <c r="C905" t="s">
        <v>7323</v>
      </c>
      <c r="D905" s="83" t="s">
        <v>5629</v>
      </c>
      <c r="E905" t="s">
        <v>5352</v>
      </c>
      <c r="F905" t="s">
        <v>5812</v>
      </c>
      <c r="I905" t="s">
        <v>414</v>
      </c>
    </row>
    <row r="906" spans="1:13" ht="15">
      <c r="A906" t="s">
        <v>3770</v>
      </c>
      <c r="B906" t="s">
        <v>42</v>
      </c>
      <c r="C906" t="s">
        <v>6498</v>
      </c>
      <c r="D906" s="83" t="s">
        <v>4144</v>
      </c>
      <c r="E906" t="s">
        <v>5037</v>
      </c>
      <c r="F906" t="s">
        <v>5755</v>
      </c>
      <c r="H906" t="s">
        <v>414</v>
      </c>
      <c r="I906" t="s">
        <v>414</v>
      </c>
      <c r="L906" t="s">
        <v>414</v>
      </c>
    </row>
    <row r="907" spans="1:13" ht="15">
      <c r="C907" t="s">
        <v>7555</v>
      </c>
      <c r="D907" s="83" t="s">
        <v>5602</v>
      </c>
      <c r="E907" t="s">
        <v>5325</v>
      </c>
      <c r="F907" t="s">
        <v>1291</v>
      </c>
      <c r="H907" t="s">
        <v>414</v>
      </c>
      <c r="M907" t="s">
        <v>414</v>
      </c>
    </row>
    <row r="908" spans="1:13" ht="15">
      <c r="A908" t="s">
        <v>3773</v>
      </c>
      <c r="B908" t="s">
        <v>1289</v>
      </c>
      <c r="C908" t="s">
        <v>6270</v>
      </c>
      <c r="D908" s="83" t="s">
        <v>4144</v>
      </c>
      <c r="E908" t="s">
        <v>5037</v>
      </c>
      <c r="F908" t="s">
        <v>5755</v>
      </c>
      <c r="H908" t="s">
        <v>414</v>
      </c>
      <c r="I908" t="s">
        <v>414</v>
      </c>
      <c r="L908" t="s">
        <v>414</v>
      </c>
    </row>
    <row r="909" spans="1:13" ht="15">
      <c r="A909" t="s">
        <v>4525</v>
      </c>
      <c r="B909" s="81" t="s">
        <v>4524</v>
      </c>
      <c r="C909" t="s">
        <v>6046</v>
      </c>
      <c r="D909" s="83" t="s">
        <v>4144</v>
      </c>
      <c r="E909" t="s">
        <v>5037</v>
      </c>
      <c r="F909" t="s">
        <v>5755</v>
      </c>
      <c r="H909" t="s">
        <v>414</v>
      </c>
      <c r="I909" t="s">
        <v>414</v>
      </c>
      <c r="L909" t="s">
        <v>414</v>
      </c>
    </row>
    <row r="910" spans="1:13" ht="15">
      <c r="A910" t="s">
        <v>3755</v>
      </c>
      <c r="B910" t="s">
        <v>4533</v>
      </c>
      <c r="C910" t="s">
        <v>6677</v>
      </c>
      <c r="D910" s="83" t="s">
        <v>4144</v>
      </c>
      <c r="E910" t="s">
        <v>5037</v>
      </c>
      <c r="F910" t="s">
        <v>5755</v>
      </c>
      <c r="H910" t="s">
        <v>414</v>
      </c>
      <c r="I910" t="s">
        <v>414</v>
      </c>
      <c r="L910" t="s">
        <v>414</v>
      </c>
    </row>
    <row r="911" spans="1:13" ht="15">
      <c r="A911" t="s">
        <v>4448</v>
      </c>
      <c r="B911" s="12" t="s">
        <v>1309</v>
      </c>
      <c r="C911" t="s">
        <v>5923</v>
      </c>
      <c r="D911" s="83" t="s">
        <v>4144</v>
      </c>
      <c r="E911" t="s">
        <v>5037</v>
      </c>
      <c r="F911" t="s">
        <v>5755</v>
      </c>
      <c r="H911" t="s">
        <v>414</v>
      </c>
      <c r="I911" t="s">
        <v>414</v>
      </c>
      <c r="L911" t="s">
        <v>414</v>
      </c>
    </row>
    <row r="912" spans="1:13" ht="15">
      <c r="C912" t="s">
        <v>6516</v>
      </c>
      <c r="D912" s="83" t="s">
        <v>5718</v>
      </c>
      <c r="E912" t="s">
        <v>5442</v>
      </c>
      <c r="F912" t="s">
        <v>5845</v>
      </c>
      <c r="H912" t="s">
        <v>414</v>
      </c>
      <c r="I912" t="s">
        <v>414</v>
      </c>
      <c r="K912" t="s">
        <v>414</v>
      </c>
      <c r="L912" t="s">
        <v>414</v>
      </c>
    </row>
    <row r="913" spans="1:13" ht="15">
      <c r="C913" t="s">
        <v>6042</v>
      </c>
      <c r="D913" s="83" t="s">
        <v>4174</v>
      </c>
      <c r="E913" t="s">
        <v>5068</v>
      </c>
      <c r="F913" t="s">
        <v>1216</v>
      </c>
    </row>
    <row r="914" spans="1:13" ht="15">
      <c r="C914" t="s">
        <v>7014</v>
      </c>
      <c r="D914" s="83" t="s">
        <v>5456</v>
      </c>
      <c r="E914" t="s">
        <v>5179</v>
      </c>
      <c r="F914" t="s">
        <v>5732</v>
      </c>
    </row>
    <row r="915" spans="1:13" ht="15">
      <c r="A915" t="s">
        <v>4508</v>
      </c>
      <c r="B915" s="74" t="s">
        <v>4507</v>
      </c>
      <c r="C915" t="s">
        <v>7463</v>
      </c>
      <c r="D915" s="83" t="s">
        <v>4137</v>
      </c>
      <c r="E915" t="s">
        <v>5031</v>
      </c>
      <c r="F915" t="s">
        <v>60</v>
      </c>
    </row>
    <row r="916" spans="1:13" ht="15">
      <c r="C916" t="s">
        <v>7076</v>
      </c>
      <c r="D916" s="83" t="s">
        <v>5576</v>
      </c>
      <c r="E916" t="s">
        <v>5299</v>
      </c>
      <c r="F916" t="s">
        <v>5732</v>
      </c>
    </row>
    <row r="917" spans="1:13" ht="15">
      <c r="C917" t="s">
        <v>6735</v>
      </c>
      <c r="D917" s="83" t="s">
        <v>5634</v>
      </c>
      <c r="E917" t="s">
        <v>5357</v>
      </c>
      <c r="F917" t="s">
        <v>5811</v>
      </c>
      <c r="H917" t="s">
        <v>414</v>
      </c>
      <c r="L917" t="s">
        <v>414</v>
      </c>
      <c r="M917" t="s">
        <v>414</v>
      </c>
    </row>
    <row r="918" spans="1:13" ht="15">
      <c r="C918" t="s">
        <v>6546</v>
      </c>
      <c r="D918" s="83" t="s">
        <v>4137</v>
      </c>
      <c r="E918" t="s">
        <v>5031</v>
      </c>
      <c r="F918" t="s">
        <v>60</v>
      </c>
    </row>
    <row r="919" spans="1:13" ht="15">
      <c r="C919" t="s">
        <v>6546</v>
      </c>
      <c r="D919" s="83" t="s">
        <v>5574</v>
      </c>
      <c r="E919" t="s">
        <v>5297</v>
      </c>
      <c r="F919" t="s">
        <v>5794</v>
      </c>
      <c r="H919" t="s">
        <v>414</v>
      </c>
      <c r="M919" t="s">
        <v>414</v>
      </c>
    </row>
    <row r="920" spans="1:13" ht="15">
      <c r="A920" t="s">
        <v>3745</v>
      </c>
      <c r="B920" t="s">
        <v>4292</v>
      </c>
      <c r="C920" t="s">
        <v>6854</v>
      </c>
      <c r="D920" s="83" t="s">
        <v>4144</v>
      </c>
      <c r="E920" t="s">
        <v>5037</v>
      </c>
      <c r="F920" t="s">
        <v>5755</v>
      </c>
      <c r="H920" t="s">
        <v>414</v>
      </c>
      <c r="I920" t="s">
        <v>414</v>
      </c>
      <c r="L920" t="s">
        <v>414</v>
      </c>
    </row>
    <row r="921" spans="1:13" ht="15">
      <c r="A921" t="s">
        <v>3739</v>
      </c>
      <c r="B921" s="12" t="s">
        <v>33</v>
      </c>
      <c r="C921" t="s">
        <v>6860</v>
      </c>
      <c r="D921" s="83" t="s">
        <v>4144</v>
      </c>
      <c r="E921" t="s">
        <v>5037</v>
      </c>
      <c r="F921" t="s">
        <v>5755</v>
      </c>
      <c r="H921" t="s">
        <v>414</v>
      </c>
      <c r="I921" t="s">
        <v>414</v>
      </c>
      <c r="L921" t="s">
        <v>414</v>
      </c>
    </row>
    <row r="922" spans="1:13" ht="15">
      <c r="C922" t="s">
        <v>6538</v>
      </c>
      <c r="D922" s="83" t="s">
        <v>4144</v>
      </c>
      <c r="E922" t="s">
        <v>5037</v>
      </c>
      <c r="F922" t="s">
        <v>5755</v>
      </c>
      <c r="H922" t="s">
        <v>414</v>
      </c>
      <c r="I922" t="s">
        <v>414</v>
      </c>
      <c r="L922" t="s">
        <v>414</v>
      </c>
    </row>
    <row r="923" spans="1:13" ht="15">
      <c r="C923" t="s">
        <v>6538</v>
      </c>
      <c r="D923" s="83" t="s">
        <v>4149</v>
      </c>
      <c r="E923" t="s">
        <v>5042</v>
      </c>
      <c r="F923" t="s">
        <v>5748</v>
      </c>
      <c r="K923" t="s">
        <v>414</v>
      </c>
      <c r="L923" t="s">
        <v>414</v>
      </c>
      <c r="M923" t="s">
        <v>414</v>
      </c>
    </row>
    <row r="924" spans="1:13" ht="15">
      <c r="C924" t="s">
        <v>7417</v>
      </c>
      <c r="D924" s="83" t="s">
        <v>4155</v>
      </c>
      <c r="E924" t="s">
        <v>5048</v>
      </c>
      <c r="F924" t="s">
        <v>5829</v>
      </c>
      <c r="H924" t="s">
        <v>414</v>
      </c>
      <c r="M924" t="s">
        <v>414</v>
      </c>
    </row>
    <row r="925" spans="1:13" ht="15">
      <c r="A925" t="s">
        <v>4446</v>
      </c>
      <c r="B925" t="s">
        <v>4445</v>
      </c>
      <c r="C925" t="s">
        <v>6240</v>
      </c>
      <c r="D925" s="83" t="s">
        <v>4154</v>
      </c>
      <c r="E925" t="s">
        <v>5047</v>
      </c>
      <c r="F925" t="s">
        <v>5737</v>
      </c>
      <c r="H925" t="s">
        <v>414</v>
      </c>
      <c r="L925" t="s">
        <v>414</v>
      </c>
      <c r="M925" t="s">
        <v>414</v>
      </c>
    </row>
    <row r="926" spans="1:13" ht="15">
      <c r="A926" t="s">
        <v>3741</v>
      </c>
      <c r="B926" s="86" t="s">
        <v>4295</v>
      </c>
      <c r="C926" t="s">
        <v>7737</v>
      </c>
      <c r="D926" s="83" t="s">
        <v>4150</v>
      </c>
      <c r="E926" t="s">
        <v>5043</v>
      </c>
      <c r="F926" t="s">
        <v>31</v>
      </c>
    </row>
    <row r="927" spans="1:13" ht="15">
      <c r="A927" t="s">
        <v>3741</v>
      </c>
      <c r="B927" s="86" t="s">
        <v>4295</v>
      </c>
      <c r="C927" t="s">
        <v>6530</v>
      </c>
      <c r="D927" s="83" t="s">
        <v>5859</v>
      </c>
      <c r="E927" t="s">
        <v>7778</v>
      </c>
      <c r="F927" t="s">
        <v>7779</v>
      </c>
      <c r="K927" t="s">
        <v>414</v>
      </c>
    </row>
    <row r="928" spans="1:13" ht="15">
      <c r="A928" t="s">
        <v>3741</v>
      </c>
      <c r="B928" s="86" t="s">
        <v>4295</v>
      </c>
      <c r="C928" t="s">
        <v>6417</v>
      </c>
      <c r="D928" s="83" t="s">
        <v>4170</v>
      </c>
      <c r="E928" t="s">
        <v>5064</v>
      </c>
      <c r="F928" t="s">
        <v>5747</v>
      </c>
      <c r="K928" t="s">
        <v>414</v>
      </c>
      <c r="L928" t="s">
        <v>414</v>
      </c>
      <c r="M928" t="s">
        <v>414</v>
      </c>
    </row>
    <row r="929" spans="1:13" ht="15">
      <c r="A929" t="s">
        <v>3741</v>
      </c>
      <c r="B929" s="86" t="s">
        <v>4295</v>
      </c>
      <c r="C929" t="s">
        <v>6417</v>
      </c>
      <c r="D929" s="83" t="s">
        <v>4149</v>
      </c>
      <c r="E929" t="s">
        <v>5042</v>
      </c>
      <c r="F929" t="s">
        <v>5748</v>
      </c>
      <c r="K929" t="s">
        <v>414</v>
      </c>
      <c r="L929" t="s">
        <v>414</v>
      </c>
      <c r="M929" t="s">
        <v>414</v>
      </c>
    </row>
    <row r="930" spans="1:13" ht="15">
      <c r="A930" t="s">
        <v>3741</v>
      </c>
      <c r="B930" s="86" t="s">
        <v>4295</v>
      </c>
      <c r="C930" t="s">
        <v>6417</v>
      </c>
      <c r="D930" s="83" t="s">
        <v>5628</v>
      </c>
      <c r="E930" t="s">
        <v>5351</v>
      </c>
      <c r="F930" t="s">
        <v>5748</v>
      </c>
      <c r="K930" t="s">
        <v>414</v>
      </c>
      <c r="L930" t="s">
        <v>414</v>
      </c>
    </row>
    <row r="931" spans="1:13" ht="15">
      <c r="A931" t="s">
        <v>4450</v>
      </c>
      <c r="B931" t="s">
        <v>3356</v>
      </c>
      <c r="C931" t="s">
        <v>7252</v>
      </c>
      <c r="D931" s="83" t="s">
        <v>5477</v>
      </c>
      <c r="E931" t="s">
        <v>5200</v>
      </c>
      <c r="F931" t="s">
        <v>5745</v>
      </c>
    </row>
    <row r="932" spans="1:13" ht="15">
      <c r="A932" t="s">
        <v>3744</v>
      </c>
      <c r="B932" t="s">
        <v>1243</v>
      </c>
      <c r="C932" t="s">
        <v>7300</v>
      </c>
      <c r="D932" s="83" t="s">
        <v>5477</v>
      </c>
      <c r="E932" t="s">
        <v>5200</v>
      </c>
      <c r="F932" t="s">
        <v>5745</v>
      </c>
    </row>
    <row r="933" spans="1:13" ht="15">
      <c r="A933" t="s">
        <v>3741</v>
      </c>
      <c r="B933" s="86" t="s">
        <v>4295</v>
      </c>
      <c r="C933" t="s">
        <v>7083</v>
      </c>
      <c r="D933" s="83" t="s">
        <v>4220</v>
      </c>
      <c r="E933" t="s">
        <v>5114</v>
      </c>
      <c r="F933" t="s">
        <v>144</v>
      </c>
      <c r="M933" t="s">
        <v>414</v>
      </c>
    </row>
    <row r="934" spans="1:13" ht="15">
      <c r="A934" t="s">
        <v>4556</v>
      </c>
      <c r="B934" s="74" t="s">
        <v>1248</v>
      </c>
      <c r="C934" t="s">
        <v>7534</v>
      </c>
      <c r="D934" s="83" t="s">
        <v>5537</v>
      </c>
      <c r="E934" t="s">
        <v>5260</v>
      </c>
      <c r="F934" t="s">
        <v>5750</v>
      </c>
      <c r="H934" t="s">
        <v>414</v>
      </c>
      <c r="I934" t="s">
        <v>414</v>
      </c>
    </row>
    <row r="935" spans="1:13" ht="15">
      <c r="A935" t="s">
        <v>4556</v>
      </c>
      <c r="B935" s="74" t="s">
        <v>1248</v>
      </c>
      <c r="C935" t="s">
        <v>7515</v>
      </c>
      <c r="D935" s="83" t="s">
        <v>4137</v>
      </c>
      <c r="E935" t="s">
        <v>5031</v>
      </c>
      <c r="F935" t="s">
        <v>60</v>
      </c>
    </row>
    <row r="936" spans="1:13" ht="15">
      <c r="C936" t="s">
        <v>7747</v>
      </c>
      <c r="D936" s="83" t="s">
        <v>4150</v>
      </c>
      <c r="E936" t="s">
        <v>5043</v>
      </c>
      <c r="F936" t="s">
        <v>31</v>
      </c>
    </row>
    <row r="937" spans="1:13" ht="15">
      <c r="A937" t="s">
        <v>3773</v>
      </c>
      <c r="B937" t="s">
        <v>1289</v>
      </c>
      <c r="C937" t="s">
        <v>7320</v>
      </c>
      <c r="D937" s="83" t="s">
        <v>5602</v>
      </c>
      <c r="E937" t="s">
        <v>5325</v>
      </c>
      <c r="F937" t="s">
        <v>1291</v>
      </c>
      <c r="H937" t="s">
        <v>414</v>
      </c>
      <c r="M937" t="s">
        <v>414</v>
      </c>
    </row>
    <row r="938" spans="1:13" ht="15">
      <c r="A938" t="s">
        <v>3767</v>
      </c>
      <c r="B938" t="s">
        <v>1291</v>
      </c>
      <c r="C938" t="s">
        <v>6062</v>
      </c>
      <c r="D938" s="83" t="s">
        <v>5602</v>
      </c>
      <c r="E938" t="s">
        <v>5325</v>
      </c>
      <c r="F938" t="s">
        <v>1291</v>
      </c>
      <c r="H938" t="s">
        <v>414</v>
      </c>
      <c r="M938" t="s">
        <v>414</v>
      </c>
    </row>
    <row r="939" spans="1:13" ht="15">
      <c r="C939" t="s">
        <v>5907</v>
      </c>
      <c r="D939" s="83" t="s">
        <v>4170</v>
      </c>
      <c r="E939" t="s">
        <v>5064</v>
      </c>
      <c r="F939" t="s">
        <v>5747</v>
      </c>
      <c r="K939" t="s">
        <v>414</v>
      </c>
      <c r="L939" t="s">
        <v>414</v>
      </c>
      <c r="M939" t="s">
        <v>414</v>
      </c>
    </row>
    <row r="940" spans="1:13" ht="15">
      <c r="A940" t="s">
        <v>4450</v>
      </c>
      <c r="B940" t="s">
        <v>3356</v>
      </c>
      <c r="C940" t="s">
        <v>7414</v>
      </c>
      <c r="D940" s="83" t="s">
        <v>5602</v>
      </c>
      <c r="E940" t="s">
        <v>5325</v>
      </c>
      <c r="F940" t="s">
        <v>1291</v>
      </c>
      <c r="H940" t="s">
        <v>414</v>
      </c>
      <c r="M940" t="s">
        <v>414</v>
      </c>
    </row>
    <row r="941" spans="1:13" ht="15">
      <c r="A941" t="s">
        <v>4525</v>
      </c>
      <c r="B941" s="81" t="s">
        <v>4524</v>
      </c>
      <c r="C941" t="s">
        <v>7436</v>
      </c>
      <c r="D941" s="83" t="s">
        <v>5602</v>
      </c>
      <c r="E941" t="s">
        <v>5325</v>
      </c>
      <c r="F941" t="s">
        <v>1291</v>
      </c>
      <c r="H941" t="s">
        <v>414</v>
      </c>
      <c r="M941" t="s">
        <v>414</v>
      </c>
    </row>
    <row r="942" spans="1:13" ht="15">
      <c r="A942" t="s">
        <v>4448</v>
      </c>
      <c r="B942" s="12" t="s">
        <v>1309</v>
      </c>
      <c r="C942" t="s">
        <v>7457</v>
      </c>
      <c r="D942" s="83" t="s">
        <v>5602</v>
      </c>
      <c r="E942" t="s">
        <v>5325</v>
      </c>
      <c r="F942" t="s">
        <v>1291</v>
      </c>
      <c r="H942" t="s">
        <v>414</v>
      </c>
      <c r="M942" t="s">
        <v>414</v>
      </c>
    </row>
    <row r="943" spans="1:13" ht="15">
      <c r="C943" t="s">
        <v>5907</v>
      </c>
      <c r="D943" s="83" t="s">
        <v>4144</v>
      </c>
      <c r="E943" t="s">
        <v>5037</v>
      </c>
      <c r="F943" t="s">
        <v>5755</v>
      </c>
      <c r="H943" t="s">
        <v>414</v>
      </c>
      <c r="I943" t="s">
        <v>414</v>
      </c>
      <c r="L943" t="s">
        <v>414</v>
      </c>
    </row>
    <row r="944" spans="1:13" ht="15">
      <c r="C944" t="s">
        <v>5907</v>
      </c>
      <c r="D944" s="83" t="s">
        <v>4198</v>
      </c>
      <c r="E944" t="s">
        <v>5092</v>
      </c>
      <c r="F944" t="s">
        <v>5764</v>
      </c>
      <c r="L944" t="s">
        <v>414</v>
      </c>
    </row>
    <row r="945" spans="1:13" ht="15">
      <c r="C945" t="s">
        <v>5940</v>
      </c>
      <c r="D945" s="83" t="s">
        <v>5867</v>
      </c>
      <c r="E945" t="s">
        <v>7788</v>
      </c>
      <c r="F945" t="s">
        <v>5764</v>
      </c>
      <c r="L945" t="s">
        <v>414</v>
      </c>
    </row>
    <row r="946" spans="1:13" ht="15">
      <c r="A946" t="s">
        <v>4565</v>
      </c>
      <c r="B946" s="12" t="s">
        <v>395</v>
      </c>
      <c r="C946" t="s">
        <v>7526</v>
      </c>
      <c r="D946" s="83" t="s">
        <v>5602</v>
      </c>
      <c r="E946" t="s">
        <v>5325</v>
      </c>
      <c r="F946" t="s">
        <v>1291</v>
      </c>
      <c r="H946" t="s">
        <v>414</v>
      </c>
      <c r="M946" t="s">
        <v>414</v>
      </c>
    </row>
    <row r="947" spans="1:13" ht="15">
      <c r="A947" t="s">
        <v>3765</v>
      </c>
      <c r="B947" t="s">
        <v>4302</v>
      </c>
      <c r="C947" t="s">
        <v>7540</v>
      </c>
      <c r="D947" s="83" t="s">
        <v>5602</v>
      </c>
      <c r="E947" t="s">
        <v>5325</v>
      </c>
      <c r="F947" t="s">
        <v>1291</v>
      </c>
      <c r="H947" t="s">
        <v>414</v>
      </c>
      <c r="M947" t="s">
        <v>414</v>
      </c>
    </row>
    <row r="948" spans="1:13" ht="15">
      <c r="C948" t="s">
        <v>6666</v>
      </c>
      <c r="D948" s="83" t="s">
        <v>4149</v>
      </c>
      <c r="E948" t="s">
        <v>5042</v>
      </c>
      <c r="F948" t="s">
        <v>5748</v>
      </c>
      <c r="K948" t="s">
        <v>414</v>
      </c>
      <c r="L948" t="s">
        <v>414</v>
      </c>
      <c r="M948" t="s">
        <v>414</v>
      </c>
    </row>
    <row r="949" spans="1:13" ht="15">
      <c r="C949" t="s">
        <v>7564</v>
      </c>
      <c r="D949" s="83" t="s">
        <v>5537</v>
      </c>
      <c r="E949" t="s">
        <v>5260</v>
      </c>
      <c r="F949" t="s">
        <v>5750</v>
      </c>
      <c r="H949" t="s">
        <v>414</v>
      </c>
      <c r="I949" t="s">
        <v>414</v>
      </c>
    </row>
    <row r="950" spans="1:13" ht="15">
      <c r="C950" t="s">
        <v>7531</v>
      </c>
      <c r="D950" s="83" t="s">
        <v>4137</v>
      </c>
      <c r="E950" t="s">
        <v>5031</v>
      </c>
      <c r="F950" t="s">
        <v>60</v>
      </c>
    </row>
    <row r="951" spans="1:13" ht="15">
      <c r="C951" t="s">
        <v>6864</v>
      </c>
      <c r="D951" s="83" t="s">
        <v>5858</v>
      </c>
      <c r="E951" t="s">
        <v>7777</v>
      </c>
      <c r="F951" t="s">
        <v>5755</v>
      </c>
      <c r="H951" t="s">
        <v>414</v>
      </c>
      <c r="K951" t="s">
        <v>414</v>
      </c>
      <c r="L951" t="s">
        <v>414</v>
      </c>
    </row>
    <row r="952" spans="1:13" ht="15">
      <c r="C952" t="s">
        <v>7053</v>
      </c>
      <c r="D952" s="83" t="s">
        <v>5534</v>
      </c>
      <c r="E952" t="s">
        <v>5257</v>
      </c>
      <c r="F952" t="s">
        <v>5778</v>
      </c>
      <c r="M952" t="s">
        <v>414</v>
      </c>
    </row>
    <row r="953" spans="1:13" ht="15">
      <c r="A953" t="s">
        <v>3139</v>
      </c>
      <c r="B953" t="s">
        <v>4285</v>
      </c>
      <c r="C953" t="s">
        <v>6085</v>
      </c>
      <c r="D953" s="83" t="s">
        <v>4218</v>
      </c>
      <c r="E953" t="s">
        <v>5112</v>
      </c>
      <c r="F953" t="s">
        <v>5725</v>
      </c>
      <c r="M953" t="s">
        <v>414</v>
      </c>
    </row>
    <row r="954" spans="1:13" ht="15">
      <c r="A954" t="s">
        <v>4448</v>
      </c>
      <c r="B954" s="12" t="s">
        <v>1309</v>
      </c>
      <c r="C954" t="s">
        <v>5919</v>
      </c>
      <c r="D954" s="83" t="s">
        <v>4186</v>
      </c>
      <c r="E954" t="s">
        <v>5080</v>
      </c>
      <c r="F954" t="s">
        <v>1309</v>
      </c>
    </row>
    <row r="955" spans="1:13" ht="15">
      <c r="A955" t="s">
        <v>3783</v>
      </c>
      <c r="B955" t="s">
        <v>301</v>
      </c>
      <c r="C955" t="s">
        <v>5932</v>
      </c>
      <c r="D955" s="83" t="s">
        <v>5516</v>
      </c>
      <c r="E955" t="s">
        <v>5239</v>
      </c>
      <c r="F955" t="s">
        <v>301</v>
      </c>
      <c r="H955" t="s">
        <v>414</v>
      </c>
      <c r="M955" t="s">
        <v>414</v>
      </c>
    </row>
    <row r="956" spans="1:13" ht="15">
      <c r="A956" t="s">
        <v>3139</v>
      </c>
      <c r="B956" t="s">
        <v>4285</v>
      </c>
      <c r="C956" t="s">
        <v>5895</v>
      </c>
      <c r="D956" s="83" t="s">
        <v>5590</v>
      </c>
      <c r="E956" t="s">
        <v>5313</v>
      </c>
      <c r="F956" t="s">
        <v>5778</v>
      </c>
      <c r="H956" t="s">
        <v>414</v>
      </c>
      <c r="K956" t="s">
        <v>414</v>
      </c>
      <c r="L956" t="s">
        <v>414</v>
      </c>
      <c r="M956" t="s">
        <v>414</v>
      </c>
    </row>
    <row r="957" spans="1:13" ht="15">
      <c r="C957" t="s">
        <v>7560</v>
      </c>
      <c r="D957" s="83" t="s">
        <v>4137</v>
      </c>
      <c r="E957" t="s">
        <v>5031</v>
      </c>
      <c r="F957" t="s">
        <v>60</v>
      </c>
    </row>
    <row r="958" spans="1:13" ht="15">
      <c r="A958" t="s">
        <v>4448</v>
      </c>
      <c r="B958" s="12" t="s">
        <v>1309</v>
      </c>
      <c r="C958" t="s">
        <v>5919</v>
      </c>
      <c r="D958" s="83" t="s">
        <v>5590</v>
      </c>
      <c r="E958" t="s">
        <v>5313</v>
      </c>
      <c r="F958" t="s">
        <v>5778</v>
      </c>
      <c r="H958" t="s">
        <v>414</v>
      </c>
      <c r="K958" t="s">
        <v>414</v>
      </c>
      <c r="L958" t="s">
        <v>414</v>
      </c>
      <c r="M958" t="s">
        <v>414</v>
      </c>
    </row>
    <row r="959" spans="1:13" ht="15">
      <c r="C959" t="s">
        <v>7532</v>
      </c>
      <c r="D959" s="83" t="s">
        <v>4170</v>
      </c>
      <c r="E959" t="s">
        <v>5064</v>
      </c>
      <c r="F959" t="s">
        <v>5747</v>
      </c>
      <c r="K959" t="s">
        <v>414</v>
      </c>
      <c r="L959" t="s">
        <v>414</v>
      </c>
      <c r="M959" t="s">
        <v>414</v>
      </c>
    </row>
    <row r="960" spans="1:13" ht="15">
      <c r="C960" t="s">
        <v>6799</v>
      </c>
      <c r="D960" s="83" t="s">
        <v>5493</v>
      </c>
      <c r="E960" t="s">
        <v>5216</v>
      </c>
      <c r="F960" t="s">
        <v>5755</v>
      </c>
      <c r="H960" t="s">
        <v>414</v>
      </c>
      <c r="M960" t="s">
        <v>414</v>
      </c>
    </row>
    <row r="961" spans="1:13" ht="15">
      <c r="A961" t="s">
        <v>3745</v>
      </c>
      <c r="B961" t="s">
        <v>4292</v>
      </c>
      <c r="C961" t="s">
        <v>6465</v>
      </c>
      <c r="D961" s="83" t="s">
        <v>5590</v>
      </c>
      <c r="E961" t="s">
        <v>5313</v>
      </c>
      <c r="F961" t="s">
        <v>5778</v>
      </c>
      <c r="H961" t="s">
        <v>414</v>
      </c>
      <c r="K961" t="s">
        <v>414</v>
      </c>
      <c r="L961" t="s">
        <v>414</v>
      </c>
      <c r="M961" t="s">
        <v>414</v>
      </c>
    </row>
    <row r="962" spans="1:13" ht="15">
      <c r="A962" t="s">
        <v>3739</v>
      </c>
      <c r="B962" s="12" t="s">
        <v>33</v>
      </c>
      <c r="C962" t="s">
        <v>6094</v>
      </c>
      <c r="D962" s="83" t="s">
        <v>5590</v>
      </c>
      <c r="E962" t="s">
        <v>5313</v>
      </c>
      <c r="F962" t="s">
        <v>5778</v>
      </c>
      <c r="H962" t="s">
        <v>414</v>
      </c>
      <c r="K962" t="s">
        <v>414</v>
      </c>
      <c r="L962" t="s">
        <v>414</v>
      </c>
      <c r="M962" t="s">
        <v>414</v>
      </c>
    </row>
    <row r="963" spans="1:13" ht="15">
      <c r="C963" t="s">
        <v>6799</v>
      </c>
      <c r="D963" s="83" t="s">
        <v>5634</v>
      </c>
      <c r="E963" t="s">
        <v>5357</v>
      </c>
      <c r="F963" t="s">
        <v>5811</v>
      </c>
      <c r="H963" t="s">
        <v>414</v>
      </c>
      <c r="L963" t="s">
        <v>414</v>
      </c>
      <c r="M963" t="s">
        <v>414</v>
      </c>
    </row>
    <row r="964" spans="1:13" ht="15">
      <c r="C964" t="s">
        <v>6166</v>
      </c>
      <c r="D964" s="83" t="s">
        <v>4175</v>
      </c>
      <c r="E964" t="s">
        <v>5069</v>
      </c>
      <c r="F964" t="s">
        <v>5807</v>
      </c>
      <c r="H964" t="s">
        <v>414</v>
      </c>
    </row>
    <row r="965" spans="1:13" ht="15">
      <c r="A965" t="s">
        <v>4525</v>
      </c>
      <c r="B965" s="81" t="s">
        <v>4524</v>
      </c>
      <c r="C965" t="s">
        <v>6046</v>
      </c>
      <c r="D965" s="83" t="s">
        <v>5546</v>
      </c>
      <c r="E965" t="s">
        <v>5269</v>
      </c>
      <c r="F965" t="s">
        <v>5784</v>
      </c>
      <c r="L965" t="s">
        <v>414</v>
      </c>
    </row>
    <row r="966" spans="1:13" ht="15">
      <c r="C966" t="s">
        <v>7286</v>
      </c>
      <c r="D966" s="83" t="s">
        <v>4155</v>
      </c>
      <c r="E966" t="s">
        <v>5048</v>
      </c>
      <c r="F966" t="s">
        <v>5829</v>
      </c>
      <c r="H966" t="s">
        <v>414</v>
      </c>
      <c r="M966" t="s">
        <v>414</v>
      </c>
    </row>
    <row r="967" spans="1:13" ht="15">
      <c r="C967" t="s">
        <v>5925</v>
      </c>
      <c r="D967" s="83" t="s">
        <v>5606</v>
      </c>
      <c r="E967" t="s">
        <v>5329</v>
      </c>
      <c r="F967" t="s">
        <v>5807</v>
      </c>
      <c r="I967" t="s">
        <v>414</v>
      </c>
      <c r="L967" t="s">
        <v>414</v>
      </c>
      <c r="M967" t="s">
        <v>414</v>
      </c>
    </row>
    <row r="968" spans="1:13" ht="15">
      <c r="C968" t="s">
        <v>5925</v>
      </c>
      <c r="D968" s="83" t="s">
        <v>5670</v>
      </c>
      <c r="E968" t="s">
        <v>5393</v>
      </c>
      <c r="F968" t="s">
        <v>5807</v>
      </c>
      <c r="H968" t="s">
        <v>414</v>
      </c>
      <c r="I968" t="s">
        <v>414</v>
      </c>
    </row>
    <row r="969" spans="1:13" ht="15">
      <c r="C969" t="s">
        <v>6412</v>
      </c>
      <c r="D969" s="83" t="s">
        <v>5865</v>
      </c>
      <c r="E969" t="s">
        <v>7786</v>
      </c>
      <c r="F969" t="s">
        <v>5748</v>
      </c>
      <c r="G969" t="s">
        <v>414</v>
      </c>
      <c r="H969" t="s">
        <v>414</v>
      </c>
      <c r="K969" t="s">
        <v>414</v>
      </c>
      <c r="L969" t="s">
        <v>414</v>
      </c>
    </row>
    <row r="970" spans="1:13" ht="15">
      <c r="C970" t="s">
        <v>6412</v>
      </c>
      <c r="D970" s="83" t="s">
        <v>5654</v>
      </c>
      <c r="E970" t="s">
        <v>5377</v>
      </c>
      <c r="F970" t="s">
        <v>5748</v>
      </c>
      <c r="H970" t="s">
        <v>414</v>
      </c>
      <c r="K970" t="s">
        <v>414</v>
      </c>
      <c r="L970" t="s">
        <v>414</v>
      </c>
    </row>
    <row r="971" spans="1:13" ht="15">
      <c r="A971" t="s">
        <v>3738</v>
      </c>
      <c r="B971" s="74" t="s">
        <v>4300</v>
      </c>
      <c r="C971" t="s">
        <v>6074</v>
      </c>
      <c r="D971" s="83" t="s">
        <v>4212</v>
      </c>
      <c r="E971" t="s">
        <v>5106</v>
      </c>
      <c r="F971" t="s">
        <v>5847</v>
      </c>
    </row>
    <row r="972" spans="1:13" ht="15">
      <c r="A972" t="s">
        <v>3735</v>
      </c>
      <c r="B972" s="74" t="s">
        <v>4288</v>
      </c>
      <c r="C972" t="s">
        <v>6192</v>
      </c>
      <c r="D972" s="83" t="s">
        <v>4212</v>
      </c>
      <c r="E972" t="s">
        <v>5106</v>
      </c>
      <c r="F972" t="s">
        <v>5847</v>
      </c>
    </row>
    <row r="973" spans="1:13" ht="15">
      <c r="C973" t="s">
        <v>6412</v>
      </c>
      <c r="D973" s="83" t="s">
        <v>5494</v>
      </c>
      <c r="E973" t="s">
        <v>5217</v>
      </c>
      <c r="F973" t="s">
        <v>5756</v>
      </c>
      <c r="L973" t="s">
        <v>414</v>
      </c>
      <c r="M973" t="s">
        <v>414</v>
      </c>
    </row>
    <row r="974" spans="1:13" ht="15">
      <c r="C974" t="s">
        <v>6619</v>
      </c>
      <c r="D974" s="83" t="s">
        <v>4136</v>
      </c>
      <c r="E974" t="s">
        <v>5030</v>
      </c>
      <c r="F974" t="s">
        <v>5725</v>
      </c>
      <c r="K974" t="s">
        <v>414</v>
      </c>
      <c r="L974" t="s">
        <v>414</v>
      </c>
      <c r="M974" t="s">
        <v>414</v>
      </c>
    </row>
    <row r="975" spans="1:13" ht="15">
      <c r="C975" t="s">
        <v>7477</v>
      </c>
      <c r="D975" s="83" t="s">
        <v>5609</v>
      </c>
      <c r="E975" t="s">
        <v>5332</v>
      </c>
      <c r="F975" t="s">
        <v>5726</v>
      </c>
      <c r="H975" t="s">
        <v>414</v>
      </c>
      <c r="I975" t="s">
        <v>414</v>
      </c>
    </row>
    <row r="976" spans="1:13" ht="15">
      <c r="C976" t="s">
        <v>7568</v>
      </c>
      <c r="D976" s="83" t="s">
        <v>5562</v>
      </c>
      <c r="E976" t="s">
        <v>5285</v>
      </c>
      <c r="F976" t="s">
        <v>5750</v>
      </c>
      <c r="H976" t="s">
        <v>414</v>
      </c>
      <c r="M976" t="s">
        <v>414</v>
      </c>
    </row>
    <row r="977" spans="1:13" ht="15">
      <c r="C977" t="s">
        <v>7625</v>
      </c>
      <c r="D977" s="83" t="s">
        <v>4150</v>
      </c>
      <c r="E977" t="s">
        <v>5043</v>
      </c>
      <c r="F977" t="s">
        <v>31</v>
      </c>
    </row>
    <row r="978" spans="1:13" ht="15">
      <c r="A978" t="s">
        <v>3768</v>
      </c>
      <c r="B978" t="s">
        <v>4282</v>
      </c>
      <c r="C978" t="s">
        <v>5974</v>
      </c>
      <c r="D978" s="83" t="s">
        <v>4162</v>
      </c>
      <c r="E978" t="s">
        <v>5056</v>
      </c>
      <c r="F978" t="s">
        <v>5756</v>
      </c>
      <c r="L978" t="s">
        <v>414</v>
      </c>
      <c r="M978" t="s">
        <v>414</v>
      </c>
    </row>
    <row r="979" spans="1:13" ht="15">
      <c r="A979" t="s">
        <v>3768</v>
      </c>
      <c r="B979" t="s">
        <v>4282</v>
      </c>
      <c r="C979" t="s">
        <v>6015</v>
      </c>
      <c r="D979" s="83" t="s">
        <v>5562</v>
      </c>
      <c r="E979" t="s">
        <v>5285</v>
      </c>
      <c r="F979" t="s">
        <v>5750</v>
      </c>
      <c r="H979" t="s">
        <v>414</v>
      </c>
      <c r="M979" t="s">
        <v>414</v>
      </c>
    </row>
    <row r="980" spans="1:13" ht="15">
      <c r="A980" t="s">
        <v>3768</v>
      </c>
      <c r="B980" t="s">
        <v>4282</v>
      </c>
      <c r="C980" t="s">
        <v>6015</v>
      </c>
      <c r="D980" s="83" t="s">
        <v>4182</v>
      </c>
      <c r="E980" t="s">
        <v>5076</v>
      </c>
      <c r="F980" t="s">
        <v>5725</v>
      </c>
      <c r="L980" t="s">
        <v>414</v>
      </c>
      <c r="M980" t="s">
        <v>414</v>
      </c>
    </row>
    <row r="981" spans="1:13" ht="15">
      <c r="A981" t="s">
        <v>3768</v>
      </c>
      <c r="B981" t="s">
        <v>4282</v>
      </c>
      <c r="C981" t="s">
        <v>7172</v>
      </c>
      <c r="D981" s="83" t="s">
        <v>5598</v>
      </c>
      <c r="E981" t="s">
        <v>5321</v>
      </c>
      <c r="F981" t="s">
        <v>5803</v>
      </c>
      <c r="I981" t="s">
        <v>414</v>
      </c>
      <c r="M981" t="s">
        <v>414</v>
      </c>
    </row>
    <row r="982" spans="1:13" ht="15">
      <c r="A982" t="s">
        <v>3768</v>
      </c>
      <c r="B982" t="s">
        <v>4282</v>
      </c>
      <c r="C982" t="s">
        <v>7010</v>
      </c>
      <c r="D982" s="83" t="s">
        <v>5450</v>
      </c>
      <c r="E982" t="s">
        <v>5173</v>
      </c>
      <c r="F982" t="s">
        <v>5727</v>
      </c>
      <c r="I982" t="s">
        <v>414</v>
      </c>
    </row>
    <row r="983" spans="1:13" ht="15">
      <c r="A983" t="s">
        <v>3768</v>
      </c>
      <c r="B983" t="s">
        <v>4282</v>
      </c>
      <c r="C983" t="s">
        <v>7263</v>
      </c>
      <c r="D983" s="83" t="s">
        <v>5537</v>
      </c>
      <c r="E983" t="s">
        <v>5260</v>
      </c>
      <c r="F983" t="s">
        <v>5750</v>
      </c>
      <c r="H983" t="s">
        <v>414</v>
      </c>
      <c r="I983" t="s">
        <v>414</v>
      </c>
    </row>
    <row r="984" spans="1:13" ht="15">
      <c r="A984" t="s">
        <v>3768</v>
      </c>
      <c r="B984" t="s">
        <v>4282</v>
      </c>
      <c r="C984" t="s">
        <v>5990</v>
      </c>
      <c r="D984" s="83" t="s">
        <v>5479</v>
      </c>
      <c r="E984" t="s">
        <v>5202</v>
      </c>
      <c r="F984" t="s">
        <v>5746</v>
      </c>
      <c r="H984" t="s">
        <v>414</v>
      </c>
      <c r="M984" t="s">
        <v>414</v>
      </c>
    </row>
    <row r="985" spans="1:13" ht="15">
      <c r="A985" t="s">
        <v>3768</v>
      </c>
      <c r="B985" t="s">
        <v>4282</v>
      </c>
      <c r="C985" t="s">
        <v>7263</v>
      </c>
      <c r="D985" s="83" t="s">
        <v>5549</v>
      </c>
      <c r="E985" t="s">
        <v>5272</v>
      </c>
      <c r="F985" t="s">
        <v>5750</v>
      </c>
      <c r="H985" t="s">
        <v>414</v>
      </c>
      <c r="L985" t="s">
        <v>414</v>
      </c>
      <c r="M985" t="s">
        <v>414</v>
      </c>
    </row>
    <row r="986" spans="1:13" ht="15">
      <c r="A986" t="s">
        <v>3768</v>
      </c>
      <c r="B986" t="s">
        <v>4282</v>
      </c>
      <c r="C986" t="s">
        <v>6430</v>
      </c>
      <c r="D986" s="83" t="s">
        <v>5578</v>
      </c>
      <c r="E986" t="s">
        <v>5301</v>
      </c>
      <c r="F986" t="s">
        <v>5796</v>
      </c>
      <c r="K986" t="s">
        <v>414</v>
      </c>
    </row>
    <row r="987" spans="1:13" ht="15">
      <c r="A987" t="s">
        <v>3770</v>
      </c>
      <c r="B987" t="s">
        <v>42</v>
      </c>
      <c r="C987" t="s">
        <v>6064</v>
      </c>
      <c r="D987" s="83" t="s">
        <v>5629</v>
      </c>
      <c r="E987" t="s">
        <v>5352</v>
      </c>
      <c r="F987" t="s">
        <v>5812</v>
      </c>
      <c r="I987" t="s">
        <v>414</v>
      </c>
    </row>
    <row r="988" spans="1:13" ht="15">
      <c r="A988" t="s">
        <v>3139</v>
      </c>
      <c r="B988" t="s">
        <v>4285</v>
      </c>
      <c r="C988" t="s">
        <v>7232</v>
      </c>
      <c r="D988" s="83" t="s">
        <v>5629</v>
      </c>
      <c r="E988" t="s">
        <v>5352</v>
      </c>
      <c r="F988" t="s">
        <v>5812</v>
      </c>
      <c r="I988" t="s">
        <v>414</v>
      </c>
    </row>
    <row r="989" spans="1:13" ht="15">
      <c r="C989" t="s">
        <v>6618</v>
      </c>
      <c r="D989" s="83" t="s">
        <v>5865</v>
      </c>
      <c r="E989" t="s">
        <v>7786</v>
      </c>
      <c r="F989" t="s">
        <v>5748</v>
      </c>
      <c r="G989" t="s">
        <v>414</v>
      </c>
      <c r="H989" t="s">
        <v>414</v>
      </c>
      <c r="K989" t="s">
        <v>414</v>
      </c>
      <c r="L989" t="s">
        <v>414</v>
      </c>
    </row>
    <row r="990" spans="1:13" ht="15">
      <c r="C990" t="s">
        <v>7372</v>
      </c>
      <c r="D990" s="83" t="s">
        <v>4156</v>
      </c>
      <c r="E990" t="s">
        <v>5049</v>
      </c>
      <c r="F990" t="s">
        <v>5760</v>
      </c>
      <c r="M990" t="s">
        <v>414</v>
      </c>
    </row>
    <row r="991" spans="1:13" ht="15">
      <c r="C991" t="s">
        <v>7319</v>
      </c>
      <c r="D991" s="83" t="s">
        <v>5598</v>
      </c>
      <c r="E991" t="s">
        <v>5321</v>
      </c>
      <c r="F991" t="s">
        <v>5803</v>
      </c>
      <c r="I991" t="s">
        <v>414</v>
      </c>
      <c r="M991" t="s">
        <v>414</v>
      </c>
    </row>
    <row r="992" spans="1:13" ht="15">
      <c r="C992" t="s">
        <v>7061</v>
      </c>
      <c r="D992" s="83" t="s">
        <v>4159</v>
      </c>
      <c r="E992" t="s">
        <v>5052</v>
      </c>
      <c r="F992" t="s">
        <v>5741</v>
      </c>
      <c r="H992" t="s">
        <v>414</v>
      </c>
      <c r="M992" t="s">
        <v>414</v>
      </c>
    </row>
    <row r="993" spans="1:13" ht="15">
      <c r="C993" t="s">
        <v>7445</v>
      </c>
      <c r="D993" s="83" t="s">
        <v>5526</v>
      </c>
      <c r="E993" t="s">
        <v>5249</v>
      </c>
      <c r="F993" t="s">
        <v>5773</v>
      </c>
      <c r="H993" t="s">
        <v>414</v>
      </c>
      <c r="M993" t="s">
        <v>414</v>
      </c>
    </row>
    <row r="994" spans="1:13" ht="15">
      <c r="C994" t="s">
        <v>7466</v>
      </c>
      <c r="D994" s="83" t="s">
        <v>5526</v>
      </c>
      <c r="E994" t="s">
        <v>5249</v>
      </c>
      <c r="F994" t="s">
        <v>5773</v>
      </c>
      <c r="H994" t="s">
        <v>414</v>
      </c>
      <c r="M994" t="s">
        <v>414</v>
      </c>
    </row>
    <row r="995" spans="1:13" ht="15">
      <c r="A995" t="s">
        <v>4556</v>
      </c>
      <c r="B995" s="74" t="s">
        <v>1248</v>
      </c>
      <c r="C995" t="s">
        <v>7431</v>
      </c>
      <c r="D995" s="83" t="s">
        <v>5556</v>
      </c>
      <c r="E995" t="s">
        <v>5279</v>
      </c>
      <c r="F995" t="s">
        <v>1216</v>
      </c>
    </row>
    <row r="996" spans="1:13" ht="15">
      <c r="A996" t="s">
        <v>3753</v>
      </c>
      <c r="B996" t="s">
        <v>4296</v>
      </c>
      <c r="C996" t="s">
        <v>6486</v>
      </c>
      <c r="D996" s="83" t="s">
        <v>5574</v>
      </c>
      <c r="E996" t="s">
        <v>5297</v>
      </c>
      <c r="F996" t="s">
        <v>5794</v>
      </c>
      <c r="H996" t="s">
        <v>414</v>
      </c>
      <c r="M996" t="s">
        <v>414</v>
      </c>
    </row>
    <row r="997" spans="1:13" ht="15">
      <c r="A997" t="s">
        <v>3787</v>
      </c>
      <c r="B997" t="s">
        <v>7848</v>
      </c>
      <c r="C997" t="s">
        <v>7167</v>
      </c>
      <c r="D997" s="83" t="s">
        <v>5562</v>
      </c>
      <c r="E997" t="s">
        <v>5285</v>
      </c>
      <c r="F997" t="s">
        <v>5750</v>
      </c>
      <c r="H997" t="s">
        <v>414</v>
      </c>
      <c r="M997" t="s">
        <v>414</v>
      </c>
    </row>
    <row r="998" spans="1:13" ht="15">
      <c r="C998" t="s">
        <v>7401</v>
      </c>
      <c r="D998" s="83" t="s">
        <v>5526</v>
      </c>
      <c r="E998" t="s">
        <v>5249</v>
      </c>
      <c r="F998" t="s">
        <v>5773</v>
      </c>
      <c r="H998" t="s">
        <v>414</v>
      </c>
      <c r="M998" t="s">
        <v>414</v>
      </c>
    </row>
    <row r="999" spans="1:13" ht="15">
      <c r="C999" t="s">
        <v>7643</v>
      </c>
      <c r="D999" s="83" t="s">
        <v>5526</v>
      </c>
      <c r="E999" t="s">
        <v>5249</v>
      </c>
      <c r="F999" t="s">
        <v>5773</v>
      </c>
      <c r="H999" t="s">
        <v>414</v>
      </c>
      <c r="M999" t="s">
        <v>414</v>
      </c>
    </row>
    <row r="1000" spans="1:13" ht="15">
      <c r="C1000" t="s">
        <v>7638</v>
      </c>
      <c r="D1000" s="83" t="s">
        <v>5557</v>
      </c>
      <c r="E1000" t="s">
        <v>5280</v>
      </c>
      <c r="F1000" t="s">
        <v>5755</v>
      </c>
      <c r="M1000" t="s">
        <v>414</v>
      </c>
    </row>
    <row r="1001" spans="1:13" ht="15">
      <c r="C1001" t="s">
        <v>6126</v>
      </c>
      <c r="D1001" s="83" t="s">
        <v>4154</v>
      </c>
      <c r="E1001" t="s">
        <v>5047</v>
      </c>
      <c r="F1001" t="s">
        <v>5737</v>
      </c>
      <c r="H1001" t="s">
        <v>414</v>
      </c>
      <c r="L1001" t="s">
        <v>414</v>
      </c>
      <c r="M1001" t="s">
        <v>414</v>
      </c>
    </row>
    <row r="1002" spans="1:13" ht="15">
      <c r="C1002" t="s">
        <v>6126</v>
      </c>
      <c r="D1002" s="83" t="s">
        <v>5683</v>
      </c>
      <c r="E1002" t="s">
        <v>5406</v>
      </c>
      <c r="F1002" t="s">
        <v>5734</v>
      </c>
      <c r="H1002" t="s">
        <v>414</v>
      </c>
      <c r="K1002" t="s">
        <v>414</v>
      </c>
    </row>
    <row r="1003" spans="1:13" ht="15">
      <c r="A1003" t="s">
        <v>4554</v>
      </c>
      <c r="B1003" t="s">
        <v>4280</v>
      </c>
      <c r="C1003" t="s">
        <v>6309</v>
      </c>
      <c r="D1003" s="83" t="s">
        <v>4142</v>
      </c>
      <c r="E1003" t="s">
        <v>5035</v>
      </c>
      <c r="F1003" t="s">
        <v>5799</v>
      </c>
      <c r="H1003" t="s">
        <v>414</v>
      </c>
      <c r="K1003" t="s">
        <v>414</v>
      </c>
      <c r="L1003" t="s">
        <v>414</v>
      </c>
    </row>
    <row r="1004" spans="1:13" ht="15">
      <c r="A1004" t="s">
        <v>4554</v>
      </c>
      <c r="B1004" t="s">
        <v>4280</v>
      </c>
      <c r="C1004" t="s">
        <v>5896</v>
      </c>
      <c r="D1004" s="83" t="s">
        <v>4144</v>
      </c>
      <c r="E1004" t="s">
        <v>5037</v>
      </c>
      <c r="F1004" t="s">
        <v>5755</v>
      </c>
      <c r="H1004" t="s">
        <v>414</v>
      </c>
      <c r="I1004" t="s">
        <v>414</v>
      </c>
      <c r="L1004" t="s">
        <v>414</v>
      </c>
    </row>
    <row r="1005" spans="1:13" ht="15">
      <c r="A1005" t="s">
        <v>4554</v>
      </c>
      <c r="B1005" t="s">
        <v>4280</v>
      </c>
      <c r="C1005" t="s">
        <v>5896</v>
      </c>
      <c r="D1005" s="83" t="s">
        <v>5858</v>
      </c>
      <c r="E1005" t="s">
        <v>7777</v>
      </c>
      <c r="F1005" t="s">
        <v>5755</v>
      </c>
      <c r="H1005" t="s">
        <v>414</v>
      </c>
      <c r="K1005" t="s">
        <v>414</v>
      </c>
      <c r="L1005" t="s">
        <v>414</v>
      </c>
    </row>
    <row r="1006" spans="1:13" ht="15">
      <c r="A1006" t="s">
        <v>4554</v>
      </c>
      <c r="B1006" t="s">
        <v>4280</v>
      </c>
      <c r="C1006" t="s">
        <v>5896</v>
      </c>
      <c r="D1006" s="83" t="s">
        <v>5856</v>
      </c>
      <c r="E1006" t="s">
        <v>7775</v>
      </c>
      <c r="F1006" t="s">
        <v>5748</v>
      </c>
      <c r="L1006" t="s">
        <v>414</v>
      </c>
    </row>
    <row r="1007" spans="1:13" ht="15">
      <c r="A1007" t="s">
        <v>3788</v>
      </c>
      <c r="B1007" t="s">
        <v>4889</v>
      </c>
      <c r="C1007" t="s">
        <v>6652</v>
      </c>
      <c r="D1007" s="83" t="s">
        <v>5585</v>
      </c>
      <c r="E1007" t="s">
        <v>5308</v>
      </c>
      <c r="F1007" t="s">
        <v>1309</v>
      </c>
    </row>
    <row r="1008" spans="1:13" ht="15">
      <c r="C1008" t="s">
        <v>6794</v>
      </c>
      <c r="D1008" s="83" t="s">
        <v>5588</v>
      </c>
      <c r="E1008" t="s">
        <v>5311</v>
      </c>
      <c r="F1008" t="s">
        <v>5740</v>
      </c>
      <c r="M1008" t="s">
        <v>414</v>
      </c>
    </row>
    <row r="1009" spans="1:13" ht="15">
      <c r="C1009" t="s">
        <v>7212</v>
      </c>
      <c r="D1009" s="83" t="s">
        <v>5528</v>
      </c>
      <c r="E1009" t="s">
        <v>5251</v>
      </c>
      <c r="F1009" t="s">
        <v>5743</v>
      </c>
      <c r="H1009" t="s">
        <v>414</v>
      </c>
      <c r="M1009" t="s">
        <v>414</v>
      </c>
    </row>
    <row r="1010" spans="1:13" ht="15">
      <c r="C1010" t="s">
        <v>6314</v>
      </c>
      <c r="D1010" s="83" t="s">
        <v>5635</v>
      </c>
      <c r="E1010" t="s">
        <v>5358</v>
      </c>
      <c r="F1010" t="s">
        <v>5734</v>
      </c>
      <c r="H1010" t="s">
        <v>414</v>
      </c>
      <c r="L1010" t="s">
        <v>414</v>
      </c>
    </row>
    <row r="1011" spans="1:13" ht="15">
      <c r="C1011" t="s">
        <v>7345</v>
      </c>
      <c r="D1011" s="83" t="s">
        <v>5537</v>
      </c>
      <c r="E1011" t="s">
        <v>5260</v>
      </c>
      <c r="F1011" t="s">
        <v>5750</v>
      </c>
      <c r="H1011" t="s">
        <v>414</v>
      </c>
      <c r="I1011" t="s">
        <v>414</v>
      </c>
    </row>
    <row r="1012" spans="1:13" ht="15">
      <c r="A1012" t="s">
        <v>3139</v>
      </c>
      <c r="B1012" t="s">
        <v>4285</v>
      </c>
      <c r="C1012" t="s">
        <v>6213</v>
      </c>
      <c r="D1012" s="83" t="s">
        <v>5634</v>
      </c>
      <c r="E1012" t="s">
        <v>5357</v>
      </c>
      <c r="F1012" t="s">
        <v>5811</v>
      </c>
      <c r="H1012" t="s">
        <v>414</v>
      </c>
      <c r="L1012" t="s">
        <v>414</v>
      </c>
      <c r="M1012" t="s">
        <v>414</v>
      </c>
    </row>
    <row r="1013" spans="1:13" ht="15">
      <c r="A1013" t="s">
        <v>3777</v>
      </c>
      <c r="B1013" s="90" t="s">
        <v>4849</v>
      </c>
      <c r="C1013" t="s">
        <v>6308</v>
      </c>
      <c r="D1013" s="83" t="s">
        <v>5494</v>
      </c>
      <c r="E1013" t="s">
        <v>5217</v>
      </c>
      <c r="F1013" t="s">
        <v>5756</v>
      </c>
      <c r="L1013" t="s">
        <v>414</v>
      </c>
      <c r="M1013" t="s">
        <v>414</v>
      </c>
    </row>
    <row r="1014" spans="1:13" ht="15">
      <c r="A1014" t="s">
        <v>3777</v>
      </c>
      <c r="B1014" s="90" t="s">
        <v>4849</v>
      </c>
      <c r="C1014" t="s">
        <v>6308</v>
      </c>
      <c r="D1014" s="83" t="s">
        <v>5856</v>
      </c>
      <c r="E1014" t="s">
        <v>7775</v>
      </c>
      <c r="F1014" t="s">
        <v>5748</v>
      </c>
      <c r="L1014" t="s">
        <v>414</v>
      </c>
    </row>
    <row r="1015" spans="1:13" ht="15">
      <c r="A1015" t="s">
        <v>3750</v>
      </c>
      <c r="B1015" t="s">
        <v>504</v>
      </c>
      <c r="C1015" t="s">
        <v>5970</v>
      </c>
      <c r="D1015" s="83" t="s">
        <v>4215</v>
      </c>
      <c r="E1015" t="s">
        <v>5109</v>
      </c>
      <c r="F1015" t="s">
        <v>5736</v>
      </c>
      <c r="H1015" t="s">
        <v>414</v>
      </c>
      <c r="K1015" t="s">
        <v>414</v>
      </c>
      <c r="L1015" t="s">
        <v>414</v>
      </c>
      <c r="M1015" t="s">
        <v>414</v>
      </c>
    </row>
    <row r="1016" spans="1:13" ht="15">
      <c r="A1016" t="s">
        <v>3767</v>
      </c>
      <c r="B1016" t="s">
        <v>1291</v>
      </c>
      <c r="C1016" t="s">
        <v>6062</v>
      </c>
      <c r="D1016" s="83" t="s">
        <v>5634</v>
      </c>
      <c r="E1016" t="s">
        <v>5357</v>
      </c>
      <c r="F1016" t="s">
        <v>5811</v>
      </c>
      <c r="H1016" t="s">
        <v>414</v>
      </c>
      <c r="L1016" t="s">
        <v>414</v>
      </c>
      <c r="M1016" t="s">
        <v>414</v>
      </c>
    </row>
    <row r="1017" spans="1:13" ht="15">
      <c r="A1017" t="s">
        <v>4525</v>
      </c>
      <c r="B1017" s="81" t="s">
        <v>4524</v>
      </c>
      <c r="C1017" t="s">
        <v>6578</v>
      </c>
      <c r="D1017" s="83" t="s">
        <v>5634</v>
      </c>
      <c r="E1017" t="s">
        <v>5357</v>
      </c>
      <c r="F1017" t="s">
        <v>5811</v>
      </c>
      <c r="H1017" t="s">
        <v>414</v>
      </c>
      <c r="L1017" t="s">
        <v>414</v>
      </c>
      <c r="M1017" t="s">
        <v>414</v>
      </c>
    </row>
    <row r="1018" spans="1:13" ht="15">
      <c r="A1018" t="s">
        <v>3750</v>
      </c>
      <c r="B1018" t="s">
        <v>504</v>
      </c>
      <c r="C1018" t="s">
        <v>6667</v>
      </c>
      <c r="D1018" s="83" t="s">
        <v>5494</v>
      </c>
      <c r="E1018" t="s">
        <v>5217</v>
      </c>
      <c r="F1018" t="s">
        <v>5756</v>
      </c>
      <c r="L1018" t="s">
        <v>414</v>
      </c>
      <c r="M1018" t="s">
        <v>414</v>
      </c>
    </row>
    <row r="1019" spans="1:13" ht="15">
      <c r="A1019" t="s">
        <v>4555</v>
      </c>
      <c r="B1019" t="s">
        <v>107</v>
      </c>
      <c r="C1019" t="s">
        <v>7486</v>
      </c>
      <c r="D1019" s="83" t="s">
        <v>4150</v>
      </c>
      <c r="E1019" t="s">
        <v>5043</v>
      </c>
      <c r="F1019" t="s">
        <v>31</v>
      </c>
    </row>
    <row r="1020" spans="1:13" ht="15">
      <c r="A1020" t="s">
        <v>4555</v>
      </c>
      <c r="B1020" t="s">
        <v>107</v>
      </c>
      <c r="C1020" t="s">
        <v>6353</v>
      </c>
      <c r="D1020" s="83" t="s">
        <v>4144</v>
      </c>
      <c r="E1020" t="s">
        <v>5037</v>
      </c>
      <c r="F1020" t="s">
        <v>5755</v>
      </c>
      <c r="H1020" t="s">
        <v>414</v>
      </c>
      <c r="I1020" t="s">
        <v>414</v>
      </c>
      <c r="L1020" t="s">
        <v>414</v>
      </c>
    </row>
    <row r="1021" spans="1:13" ht="15">
      <c r="A1021" t="s">
        <v>3738</v>
      </c>
      <c r="B1021" s="74" t="s">
        <v>4300</v>
      </c>
      <c r="C1021" t="s">
        <v>6713</v>
      </c>
      <c r="D1021" s="83" t="s">
        <v>5634</v>
      </c>
      <c r="E1021" t="s">
        <v>5357</v>
      </c>
      <c r="F1021" t="s">
        <v>5811</v>
      </c>
      <c r="H1021" t="s">
        <v>414</v>
      </c>
      <c r="L1021" t="s">
        <v>414</v>
      </c>
      <c r="M1021" t="s">
        <v>414</v>
      </c>
    </row>
    <row r="1022" spans="1:13" ht="15">
      <c r="A1022" t="s">
        <v>4555</v>
      </c>
      <c r="B1022" t="s">
        <v>107</v>
      </c>
      <c r="C1022" t="s">
        <v>6353</v>
      </c>
      <c r="D1022" s="83" t="s">
        <v>5616</v>
      </c>
      <c r="E1022" t="s">
        <v>5339</v>
      </c>
      <c r="F1022" t="s">
        <v>5748</v>
      </c>
      <c r="H1022" t="s">
        <v>414</v>
      </c>
      <c r="I1022" t="s">
        <v>414</v>
      </c>
      <c r="M1022" t="s">
        <v>414</v>
      </c>
    </row>
    <row r="1023" spans="1:13" ht="15">
      <c r="A1023" t="s">
        <v>4555</v>
      </c>
      <c r="B1023" t="s">
        <v>107</v>
      </c>
      <c r="C1023" t="s">
        <v>6353</v>
      </c>
      <c r="D1023" s="83" t="s">
        <v>5654</v>
      </c>
      <c r="E1023" t="s">
        <v>5377</v>
      </c>
      <c r="F1023" t="s">
        <v>5748</v>
      </c>
      <c r="H1023" t="s">
        <v>414</v>
      </c>
      <c r="K1023" t="s">
        <v>414</v>
      </c>
      <c r="L1023" t="s">
        <v>414</v>
      </c>
    </row>
    <row r="1024" spans="1:13" ht="15">
      <c r="A1024" t="s">
        <v>3745</v>
      </c>
      <c r="B1024" t="s">
        <v>4292</v>
      </c>
      <c r="C1024" t="s">
        <v>6779</v>
      </c>
      <c r="D1024" s="83" t="s">
        <v>5634</v>
      </c>
      <c r="E1024" t="s">
        <v>5357</v>
      </c>
      <c r="F1024" t="s">
        <v>5811</v>
      </c>
      <c r="H1024" t="s">
        <v>414</v>
      </c>
      <c r="L1024" t="s">
        <v>414</v>
      </c>
      <c r="M1024" t="s">
        <v>414</v>
      </c>
    </row>
    <row r="1025" spans="1:13" ht="15">
      <c r="C1025" t="s">
        <v>7762</v>
      </c>
      <c r="D1025" s="83" t="s">
        <v>4150</v>
      </c>
      <c r="E1025" t="s">
        <v>5043</v>
      </c>
      <c r="F1025" t="s">
        <v>31</v>
      </c>
    </row>
    <row r="1026" spans="1:13" ht="15">
      <c r="A1026" t="s">
        <v>4565</v>
      </c>
      <c r="B1026" s="12" t="s">
        <v>395</v>
      </c>
      <c r="C1026" t="s">
        <v>7114</v>
      </c>
      <c r="D1026" s="83" t="s">
        <v>5679</v>
      </c>
      <c r="E1026" t="s">
        <v>5402</v>
      </c>
      <c r="F1026" t="s">
        <v>5823</v>
      </c>
      <c r="M1026" t="s">
        <v>414</v>
      </c>
    </row>
    <row r="1027" spans="1:13" ht="15">
      <c r="A1027" t="s">
        <v>4525</v>
      </c>
      <c r="B1027" s="81" t="s">
        <v>4524</v>
      </c>
      <c r="C1027" t="s">
        <v>7188</v>
      </c>
      <c r="D1027" s="83" t="s">
        <v>5679</v>
      </c>
      <c r="E1027" t="s">
        <v>5402</v>
      </c>
      <c r="F1027" t="s">
        <v>5823</v>
      </c>
      <c r="M1027" t="s">
        <v>414</v>
      </c>
    </row>
    <row r="1028" spans="1:13" ht="15">
      <c r="A1028" t="s">
        <v>3746</v>
      </c>
      <c r="B1028" s="12" t="s">
        <v>4482</v>
      </c>
      <c r="C1028" t="s">
        <v>7238</v>
      </c>
      <c r="D1028" s="83" t="s">
        <v>5679</v>
      </c>
      <c r="E1028" t="s">
        <v>5402</v>
      </c>
      <c r="F1028" t="s">
        <v>5823</v>
      </c>
      <c r="M1028" t="s">
        <v>414</v>
      </c>
    </row>
    <row r="1029" spans="1:13" ht="15">
      <c r="A1029" t="s">
        <v>3767</v>
      </c>
      <c r="B1029" t="s">
        <v>1291</v>
      </c>
      <c r="C1029" t="s">
        <v>7287</v>
      </c>
      <c r="D1029" s="83" t="s">
        <v>5679</v>
      </c>
      <c r="E1029" t="s">
        <v>5402</v>
      </c>
      <c r="F1029" t="s">
        <v>5823</v>
      </c>
      <c r="M1029" t="s">
        <v>414</v>
      </c>
    </row>
    <row r="1030" spans="1:13" ht="15">
      <c r="C1030" t="s">
        <v>6312</v>
      </c>
      <c r="D1030" s="83" t="s">
        <v>5860</v>
      </c>
      <c r="E1030" t="s">
        <v>7780</v>
      </c>
      <c r="F1030" t="s">
        <v>5747</v>
      </c>
      <c r="H1030" t="s">
        <v>414</v>
      </c>
      <c r="K1030" t="s">
        <v>414</v>
      </c>
      <c r="L1030" t="s">
        <v>414</v>
      </c>
    </row>
    <row r="1031" spans="1:13" ht="15">
      <c r="A1031" t="s">
        <v>3739</v>
      </c>
      <c r="B1031" s="12" t="s">
        <v>33</v>
      </c>
      <c r="C1031" t="s">
        <v>7359</v>
      </c>
      <c r="D1031" s="83" t="s">
        <v>5679</v>
      </c>
      <c r="E1031" t="s">
        <v>5402</v>
      </c>
      <c r="F1031" t="s">
        <v>5823</v>
      </c>
      <c r="M1031" t="s">
        <v>414</v>
      </c>
    </row>
    <row r="1032" spans="1:13" ht="15">
      <c r="C1032" t="s">
        <v>6312</v>
      </c>
      <c r="D1032" s="83" t="s">
        <v>5494</v>
      </c>
      <c r="E1032" t="s">
        <v>5217</v>
      </c>
      <c r="F1032" t="s">
        <v>5756</v>
      </c>
      <c r="L1032" t="s">
        <v>414</v>
      </c>
      <c r="M1032" t="s">
        <v>414</v>
      </c>
    </row>
    <row r="1033" spans="1:13" ht="15">
      <c r="A1033" t="s">
        <v>4450</v>
      </c>
      <c r="B1033" t="s">
        <v>3356</v>
      </c>
      <c r="C1033" t="s">
        <v>5900</v>
      </c>
      <c r="D1033" s="83" t="s">
        <v>5653</v>
      </c>
      <c r="E1033" t="s">
        <v>5376</v>
      </c>
      <c r="F1033" t="s">
        <v>5749</v>
      </c>
    </row>
    <row r="1034" spans="1:13" ht="15">
      <c r="A1034" t="s">
        <v>3139</v>
      </c>
      <c r="B1034" t="s">
        <v>4285</v>
      </c>
      <c r="C1034" t="s">
        <v>7016</v>
      </c>
      <c r="D1034" s="83" t="s">
        <v>5458</v>
      </c>
      <c r="E1034" t="s">
        <v>5181</v>
      </c>
      <c r="F1034" t="s">
        <v>5734</v>
      </c>
      <c r="H1034" t="s">
        <v>414</v>
      </c>
      <c r="I1034" t="s">
        <v>414</v>
      </c>
    </row>
    <row r="1035" spans="1:13" ht="15">
      <c r="A1035" t="s">
        <v>4453</v>
      </c>
      <c r="B1035" s="81" t="s">
        <v>3175</v>
      </c>
      <c r="C1035" t="s">
        <v>7138</v>
      </c>
      <c r="D1035" s="83" t="s">
        <v>5458</v>
      </c>
      <c r="E1035" t="s">
        <v>5181</v>
      </c>
      <c r="F1035" t="s">
        <v>5734</v>
      </c>
      <c r="H1035" t="s">
        <v>414</v>
      </c>
      <c r="I1035" t="s">
        <v>414</v>
      </c>
    </row>
    <row r="1036" spans="1:13" ht="15">
      <c r="C1036" t="s">
        <v>7077</v>
      </c>
      <c r="D1036" s="83" t="s">
        <v>4197</v>
      </c>
      <c r="E1036" t="s">
        <v>5091</v>
      </c>
      <c r="F1036" t="s">
        <v>5758</v>
      </c>
    </row>
    <row r="1037" spans="1:13" ht="15">
      <c r="A1037" t="s">
        <v>3739</v>
      </c>
      <c r="B1037" s="12" t="s">
        <v>33</v>
      </c>
      <c r="C1037" t="s">
        <v>6034</v>
      </c>
      <c r="D1037" s="83" t="s">
        <v>5458</v>
      </c>
      <c r="E1037" t="s">
        <v>5181</v>
      </c>
      <c r="F1037" t="s">
        <v>5734</v>
      </c>
      <c r="H1037" t="s">
        <v>414</v>
      </c>
      <c r="I1037" t="s">
        <v>414</v>
      </c>
    </row>
    <row r="1038" spans="1:13" ht="15">
      <c r="C1038" t="s">
        <v>7363</v>
      </c>
      <c r="D1038" s="83" t="s">
        <v>5691</v>
      </c>
      <c r="E1038" t="s">
        <v>5414</v>
      </c>
      <c r="F1038" t="s">
        <v>5835</v>
      </c>
      <c r="H1038" t="s">
        <v>414</v>
      </c>
      <c r="I1038" t="s">
        <v>414</v>
      </c>
    </row>
    <row r="1039" spans="1:13" ht="15">
      <c r="C1039" t="s">
        <v>7412</v>
      </c>
      <c r="D1039" s="83" t="s">
        <v>5596</v>
      </c>
      <c r="E1039" t="s">
        <v>5319</v>
      </c>
      <c r="F1039" t="s">
        <v>5801</v>
      </c>
    </row>
    <row r="1040" spans="1:13" ht="15">
      <c r="C1040" t="s">
        <v>6508</v>
      </c>
      <c r="D1040" s="83" t="s">
        <v>5675</v>
      </c>
      <c r="E1040" t="s">
        <v>5398</v>
      </c>
      <c r="F1040" t="s">
        <v>5793</v>
      </c>
      <c r="G1040" t="s">
        <v>414</v>
      </c>
      <c r="K1040" t="s">
        <v>414</v>
      </c>
    </row>
    <row r="1041" spans="1:13" ht="15">
      <c r="A1041" t="s">
        <v>4525</v>
      </c>
      <c r="B1041" s="81" t="s">
        <v>4524</v>
      </c>
      <c r="C1041" t="s">
        <v>7291</v>
      </c>
      <c r="D1041" s="83" t="s">
        <v>5877</v>
      </c>
      <c r="E1041" t="s">
        <v>7801</v>
      </c>
      <c r="F1041" t="s">
        <v>27</v>
      </c>
      <c r="M1041" t="s">
        <v>414</v>
      </c>
    </row>
    <row r="1042" spans="1:13" ht="15">
      <c r="C1042" t="s">
        <v>6508</v>
      </c>
      <c r="D1042" s="83" t="s">
        <v>5669</v>
      </c>
      <c r="E1042" t="s">
        <v>5392</v>
      </c>
      <c r="F1042" t="s">
        <v>5793</v>
      </c>
      <c r="G1042" t="s">
        <v>414</v>
      </c>
      <c r="K1042" t="s">
        <v>414</v>
      </c>
    </row>
    <row r="1043" spans="1:13" ht="15">
      <c r="A1043" t="s">
        <v>3755</v>
      </c>
      <c r="B1043" t="s">
        <v>4533</v>
      </c>
      <c r="C1043" t="s">
        <v>7365</v>
      </c>
      <c r="D1043" s="83" t="s">
        <v>5877</v>
      </c>
      <c r="E1043" t="s">
        <v>7801</v>
      </c>
      <c r="F1043" t="s">
        <v>27</v>
      </c>
      <c r="M1043" t="s">
        <v>414</v>
      </c>
    </row>
    <row r="1044" spans="1:13" ht="15">
      <c r="C1044" t="s">
        <v>6272</v>
      </c>
      <c r="D1044" s="83" t="s">
        <v>4173</v>
      </c>
      <c r="E1044" t="s">
        <v>5067</v>
      </c>
      <c r="F1044" t="s">
        <v>1216</v>
      </c>
    </row>
    <row r="1045" spans="1:13" ht="15">
      <c r="C1045" t="s">
        <v>6272</v>
      </c>
      <c r="D1045" s="83" t="s">
        <v>5459</v>
      </c>
      <c r="E1045" t="s">
        <v>5182</v>
      </c>
      <c r="F1045" t="s">
        <v>486</v>
      </c>
      <c r="M1045" t="s">
        <v>414</v>
      </c>
    </row>
    <row r="1046" spans="1:13" ht="15">
      <c r="C1046" t="s">
        <v>6720</v>
      </c>
      <c r="D1046" s="83" t="s">
        <v>5494</v>
      </c>
      <c r="E1046" t="s">
        <v>5217</v>
      </c>
      <c r="F1046" t="s">
        <v>5756</v>
      </c>
      <c r="L1046" t="s">
        <v>414</v>
      </c>
      <c r="M1046" t="s">
        <v>414</v>
      </c>
    </row>
    <row r="1047" spans="1:13" ht="15">
      <c r="C1047" t="s">
        <v>6272</v>
      </c>
      <c r="D1047" s="83" t="s">
        <v>4136</v>
      </c>
      <c r="E1047" t="s">
        <v>5030</v>
      </c>
      <c r="F1047" t="s">
        <v>5725</v>
      </c>
      <c r="K1047" t="s">
        <v>414</v>
      </c>
      <c r="L1047" t="s">
        <v>414</v>
      </c>
      <c r="M1047" t="s">
        <v>414</v>
      </c>
    </row>
    <row r="1048" spans="1:13" ht="15">
      <c r="C1048" t="s">
        <v>6739</v>
      </c>
      <c r="D1048" s="83" t="s">
        <v>5494</v>
      </c>
      <c r="E1048" t="s">
        <v>5217</v>
      </c>
      <c r="F1048" t="s">
        <v>5756</v>
      </c>
      <c r="L1048" t="s">
        <v>414</v>
      </c>
      <c r="M1048" t="s">
        <v>414</v>
      </c>
    </row>
    <row r="1049" spans="1:13" ht="15">
      <c r="C1049" t="s">
        <v>6665</v>
      </c>
      <c r="D1049" s="83" t="s">
        <v>4140</v>
      </c>
      <c r="E1049" t="s">
        <v>5033</v>
      </c>
      <c r="F1049" t="s">
        <v>5741</v>
      </c>
      <c r="L1049" t="s">
        <v>414</v>
      </c>
      <c r="M1049" t="s">
        <v>414</v>
      </c>
    </row>
    <row r="1050" spans="1:13" ht="15">
      <c r="C1050" t="s">
        <v>5901</v>
      </c>
      <c r="D1050" s="83" t="s">
        <v>5857</v>
      </c>
      <c r="E1050" t="s">
        <v>7776</v>
      </c>
      <c r="F1050" t="s">
        <v>5755</v>
      </c>
      <c r="L1050" t="s">
        <v>414</v>
      </c>
    </row>
    <row r="1051" spans="1:13" ht="15">
      <c r="C1051" t="s">
        <v>7067</v>
      </c>
      <c r="D1051" s="83" t="s">
        <v>5556</v>
      </c>
      <c r="E1051" t="s">
        <v>5279</v>
      </c>
      <c r="F1051" t="s">
        <v>1216</v>
      </c>
    </row>
    <row r="1052" spans="1:13" ht="15">
      <c r="A1052" t="s">
        <v>3739</v>
      </c>
      <c r="B1052" s="12" t="s">
        <v>33</v>
      </c>
      <c r="C1052" t="s">
        <v>6181</v>
      </c>
      <c r="D1052" s="83" t="s">
        <v>5877</v>
      </c>
      <c r="E1052" t="s">
        <v>7801</v>
      </c>
      <c r="F1052" t="s">
        <v>27</v>
      </c>
      <c r="M1052" t="s">
        <v>414</v>
      </c>
    </row>
    <row r="1053" spans="1:13" ht="15">
      <c r="A1053" t="s">
        <v>4503</v>
      </c>
      <c r="B1053" s="81" t="s">
        <v>3207</v>
      </c>
      <c r="C1053" t="s">
        <v>6900</v>
      </c>
      <c r="D1053" s="83" t="s">
        <v>5493</v>
      </c>
      <c r="E1053" t="s">
        <v>5216</v>
      </c>
      <c r="F1053" t="s">
        <v>5755</v>
      </c>
      <c r="H1053" t="s">
        <v>414</v>
      </c>
      <c r="M1053" t="s">
        <v>414</v>
      </c>
    </row>
    <row r="1054" spans="1:13" ht="15">
      <c r="A1054" t="s">
        <v>4503</v>
      </c>
      <c r="B1054" s="81" t="s">
        <v>3207</v>
      </c>
      <c r="C1054" t="s">
        <v>6900</v>
      </c>
      <c r="D1054" s="83" t="s">
        <v>5486</v>
      </c>
      <c r="E1054" t="s">
        <v>5209</v>
      </c>
      <c r="F1054" t="s">
        <v>5750</v>
      </c>
      <c r="H1054" t="s">
        <v>414</v>
      </c>
      <c r="M1054" t="s">
        <v>414</v>
      </c>
    </row>
    <row r="1055" spans="1:13" ht="15">
      <c r="A1055" t="s">
        <v>3767</v>
      </c>
      <c r="B1055" t="s">
        <v>1291</v>
      </c>
      <c r="C1055" t="s">
        <v>6062</v>
      </c>
      <c r="D1055" s="83" t="s">
        <v>5604</v>
      </c>
      <c r="E1055" t="s">
        <v>5327</v>
      </c>
      <c r="F1055" t="s">
        <v>5805</v>
      </c>
      <c r="H1055" t="s">
        <v>414</v>
      </c>
      <c r="M1055" t="s">
        <v>414</v>
      </c>
    </row>
    <row r="1056" spans="1:13" ht="15">
      <c r="A1056" t="s">
        <v>4503</v>
      </c>
      <c r="B1056" s="81" t="s">
        <v>3207</v>
      </c>
      <c r="C1056" t="s">
        <v>6756</v>
      </c>
      <c r="D1056" s="83" t="s">
        <v>5857</v>
      </c>
      <c r="E1056" t="s">
        <v>7776</v>
      </c>
      <c r="F1056" t="s">
        <v>5755</v>
      </c>
      <c r="L1056" t="s">
        <v>414</v>
      </c>
    </row>
    <row r="1057" spans="1:13" ht="15">
      <c r="A1057" t="s">
        <v>4503</v>
      </c>
      <c r="B1057" s="81" t="s">
        <v>3207</v>
      </c>
      <c r="C1057" t="s">
        <v>7382</v>
      </c>
      <c r="D1057" s="83" t="s">
        <v>5556</v>
      </c>
      <c r="E1057" t="s">
        <v>5279</v>
      </c>
      <c r="F1057" t="s">
        <v>1216</v>
      </c>
    </row>
    <row r="1058" spans="1:13" ht="15">
      <c r="C1058" t="s">
        <v>7064</v>
      </c>
      <c r="D1058" s="83" t="s">
        <v>5551</v>
      </c>
      <c r="E1058" t="s">
        <v>5274</v>
      </c>
      <c r="F1058" t="s">
        <v>5787</v>
      </c>
      <c r="M1058" t="s">
        <v>414</v>
      </c>
    </row>
    <row r="1059" spans="1:13" ht="15">
      <c r="C1059" t="s">
        <v>5948</v>
      </c>
      <c r="D1059" s="83" t="s">
        <v>4152</v>
      </c>
      <c r="E1059" t="s">
        <v>5045</v>
      </c>
      <c r="F1059" t="s">
        <v>301</v>
      </c>
      <c r="M1059" t="s">
        <v>414</v>
      </c>
    </row>
    <row r="1060" spans="1:13" ht="15">
      <c r="C1060" t="s">
        <v>5948</v>
      </c>
      <c r="D1060" s="83" t="s">
        <v>5660</v>
      </c>
      <c r="E1060" t="s">
        <v>5383</v>
      </c>
      <c r="F1060" t="s">
        <v>301</v>
      </c>
      <c r="L1060" t="s">
        <v>414</v>
      </c>
    </row>
    <row r="1061" spans="1:13" ht="15">
      <c r="C1061" t="s">
        <v>5948</v>
      </c>
      <c r="D1061" s="83" t="s">
        <v>5716</v>
      </c>
      <c r="E1061" t="s">
        <v>5440</v>
      </c>
      <c r="F1061" t="s">
        <v>5787</v>
      </c>
      <c r="I1061" t="s">
        <v>414</v>
      </c>
      <c r="L1061" t="s">
        <v>414</v>
      </c>
    </row>
    <row r="1062" spans="1:13" ht="15">
      <c r="A1062" t="s">
        <v>3139</v>
      </c>
      <c r="B1062" t="s">
        <v>4285</v>
      </c>
      <c r="C1062" t="s">
        <v>6085</v>
      </c>
      <c r="D1062" s="83" t="s">
        <v>5558</v>
      </c>
      <c r="E1062" t="s">
        <v>5281</v>
      </c>
      <c r="F1062" t="s">
        <v>5748</v>
      </c>
      <c r="H1062" t="s">
        <v>414</v>
      </c>
      <c r="M1062" t="s">
        <v>414</v>
      </c>
    </row>
    <row r="1063" spans="1:13" ht="15">
      <c r="C1063" t="s">
        <v>5948</v>
      </c>
      <c r="D1063" s="83" t="s">
        <v>5859</v>
      </c>
      <c r="E1063" t="s">
        <v>7778</v>
      </c>
      <c r="F1063" t="s">
        <v>7779</v>
      </c>
      <c r="K1063" t="s">
        <v>414</v>
      </c>
    </row>
    <row r="1064" spans="1:13" ht="15">
      <c r="C1064" t="s">
        <v>6955</v>
      </c>
      <c r="D1064" s="83" t="s">
        <v>5525</v>
      </c>
      <c r="E1064" t="s">
        <v>5248</v>
      </c>
      <c r="F1064" t="s">
        <v>5759</v>
      </c>
      <c r="M1064" t="s">
        <v>414</v>
      </c>
    </row>
    <row r="1065" spans="1:13" ht="15">
      <c r="A1065" t="s">
        <v>3755</v>
      </c>
      <c r="B1065" t="s">
        <v>4533</v>
      </c>
      <c r="C1065" t="s">
        <v>7383</v>
      </c>
      <c r="D1065" s="83" t="s">
        <v>5558</v>
      </c>
      <c r="E1065" t="s">
        <v>5281</v>
      </c>
      <c r="F1065" t="s">
        <v>5748</v>
      </c>
      <c r="H1065" t="s">
        <v>414</v>
      </c>
      <c r="M1065" t="s">
        <v>414</v>
      </c>
    </row>
    <row r="1066" spans="1:13" ht="15">
      <c r="C1066" t="s">
        <v>6955</v>
      </c>
      <c r="D1066" s="83" t="s">
        <v>5529</v>
      </c>
      <c r="E1066" t="s">
        <v>5252</v>
      </c>
      <c r="F1066" t="s">
        <v>5748</v>
      </c>
      <c r="M1066" t="s">
        <v>414</v>
      </c>
    </row>
    <row r="1067" spans="1:13" ht="15">
      <c r="A1067" t="s">
        <v>4446</v>
      </c>
      <c r="B1067" t="s">
        <v>4445</v>
      </c>
      <c r="C1067" t="s">
        <v>6240</v>
      </c>
      <c r="D1067" s="83" t="s">
        <v>5558</v>
      </c>
      <c r="E1067" t="s">
        <v>5281</v>
      </c>
      <c r="F1067" t="s">
        <v>5748</v>
      </c>
      <c r="H1067" t="s">
        <v>414</v>
      </c>
      <c r="M1067" t="s">
        <v>414</v>
      </c>
    </row>
    <row r="1068" spans="1:13" ht="15">
      <c r="A1068" t="s">
        <v>3738</v>
      </c>
      <c r="B1068" s="74" t="s">
        <v>4300</v>
      </c>
      <c r="C1068" t="s">
        <v>7453</v>
      </c>
      <c r="D1068" s="83" t="s">
        <v>5558</v>
      </c>
      <c r="E1068" t="s">
        <v>5281</v>
      </c>
      <c r="F1068" t="s">
        <v>5748</v>
      </c>
      <c r="H1068" t="s">
        <v>414</v>
      </c>
      <c r="M1068" t="s">
        <v>414</v>
      </c>
    </row>
    <row r="1069" spans="1:13" ht="15">
      <c r="C1069" t="s">
        <v>6656</v>
      </c>
      <c r="D1069" s="83" t="s">
        <v>4156</v>
      </c>
      <c r="E1069" t="s">
        <v>5049</v>
      </c>
      <c r="F1069" t="s">
        <v>5760</v>
      </c>
      <c r="M1069" t="s">
        <v>414</v>
      </c>
    </row>
    <row r="1070" spans="1:13" ht="15">
      <c r="C1070" t="s">
        <v>6656</v>
      </c>
      <c r="D1070" s="83" t="s">
        <v>5865</v>
      </c>
      <c r="E1070" t="s">
        <v>7786</v>
      </c>
      <c r="F1070" t="s">
        <v>5748</v>
      </c>
      <c r="G1070" t="s">
        <v>414</v>
      </c>
      <c r="H1070" t="s">
        <v>414</v>
      </c>
      <c r="K1070" t="s">
        <v>414</v>
      </c>
      <c r="L1070" t="s">
        <v>414</v>
      </c>
    </row>
    <row r="1071" spans="1:13" ht="15">
      <c r="A1071" t="s">
        <v>3741</v>
      </c>
      <c r="B1071" t="s">
        <v>4295</v>
      </c>
      <c r="C1071" t="s">
        <v>7508</v>
      </c>
      <c r="D1071" s="83" t="s">
        <v>5558</v>
      </c>
      <c r="E1071" t="s">
        <v>5281</v>
      </c>
      <c r="F1071" t="s">
        <v>5748</v>
      </c>
      <c r="H1071" t="s">
        <v>414</v>
      </c>
      <c r="M1071" t="s">
        <v>414</v>
      </c>
    </row>
    <row r="1072" spans="1:13" ht="15">
      <c r="C1072" t="s">
        <v>6656</v>
      </c>
      <c r="D1072" s="83" t="s">
        <v>5654</v>
      </c>
      <c r="E1072" t="s">
        <v>5377</v>
      </c>
      <c r="F1072" t="s">
        <v>5748</v>
      </c>
      <c r="H1072" t="s">
        <v>414</v>
      </c>
      <c r="K1072" t="s">
        <v>414</v>
      </c>
      <c r="L1072" t="s">
        <v>414</v>
      </c>
    </row>
    <row r="1073" spans="1:13" ht="15">
      <c r="C1073" t="s">
        <v>6656</v>
      </c>
      <c r="D1073" s="83" t="s">
        <v>5856</v>
      </c>
      <c r="E1073" t="s">
        <v>7775</v>
      </c>
      <c r="F1073" t="s">
        <v>5748</v>
      </c>
      <c r="L1073" t="s">
        <v>414</v>
      </c>
    </row>
    <row r="1074" spans="1:13" ht="15">
      <c r="C1074" t="s">
        <v>6523</v>
      </c>
      <c r="D1074" s="83" t="s">
        <v>5853</v>
      </c>
      <c r="E1074" t="s">
        <v>7770</v>
      </c>
      <c r="F1074" t="s">
        <v>7771</v>
      </c>
      <c r="G1074" t="s">
        <v>414</v>
      </c>
      <c r="L1074" t="s">
        <v>414</v>
      </c>
    </row>
    <row r="1075" spans="1:13" ht="15">
      <c r="A1075" t="s">
        <v>4556</v>
      </c>
      <c r="B1075" s="74" t="s">
        <v>1248</v>
      </c>
      <c r="C1075" t="s">
        <v>6711</v>
      </c>
      <c r="D1075" s="83" t="s">
        <v>5856</v>
      </c>
      <c r="E1075" t="s">
        <v>7775</v>
      </c>
      <c r="F1075" t="s">
        <v>5748</v>
      </c>
      <c r="L1075" t="s">
        <v>414</v>
      </c>
    </row>
    <row r="1076" spans="1:13" ht="15">
      <c r="C1076" t="s">
        <v>6846</v>
      </c>
      <c r="D1076" s="83" t="s">
        <v>5585</v>
      </c>
      <c r="E1076" t="s">
        <v>5308</v>
      </c>
      <c r="F1076" t="s">
        <v>1309</v>
      </c>
    </row>
    <row r="1077" spans="1:13" ht="15">
      <c r="A1077" t="s">
        <v>3741</v>
      </c>
      <c r="B1077" s="86" t="s">
        <v>4295</v>
      </c>
      <c r="C1077" t="s">
        <v>5975</v>
      </c>
      <c r="D1077" s="83" t="s">
        <v>5485</v>
      </c>
      <c r="E1077" t="s">
        <v>5208</v>
      </c>
      <c r="F1077" t="s">
        <v>144</v>
      </c>
      <c r="G1077" t="s">
        <v>414</v>
      </c>
    </row>
    <row r="1078" spans="1:13" ht="15">
      <c r="A1078" t="s">
        <v>3741</v>
      </c>
      <c r="B1078" s="86" t="s">
        <v>4295</v>
      </c>
      <c r="C1078" t="s">
        <v>6758</v>
      </c>
      <c r="D1078" s="83" t="s">
        <v>5634</v>
      </c>
      <c r="E1078" t="s">
        <v>5357</v>
      </c>
      <c r="F1078" t="s">
        <v>5811</v>
      </c>
      <c r="H1078" t="s">
        <v>414</v>
      </c>
      <c r="L1078" t="s">
        <v>414</v>
      </c>
      <c r="M1078" t="s">
        <v>414</v>
      </c>
    </row>
    <row r="1079" spans="1:13" ht="15">
      <c r="A1079" t="s">
        <v>4448</v>
      </c>
      <c r="B1079" s="12" t="s">
        <v>1309</v>
      </c>
      <c r="C1079" t="s">
        <v>5923</v>
      </c>
      <c r="D1079" s="83" t="s">
        <v>4194</v>
      </c>
      <c r="E1079" t="s">
        <v>5088</v>
      </c>
      <c r="F1079" t="s">
        <v>1309</v>
      </c>
      <c r="H1079" t="s">
        <v>414</v>
      </c>
      <c r="L1079" t="s">
        <v>414</v>
      </c>
    </row>
    <row r="1080" spans="1:13" ht="15">
      <c r="A1080" t="s">
        <v>3741</v>
      </c>
      <c r="B1080" s="86" t="s">
        <v>4295</v>
      </c>
      <c r="C1080" t="s">
        <v>6398</v>
      </c>
      <c r="D1080" s="83" t="s">
        <v>5860</v>
      </c>
      <c r="E1080" t="s">
        <v>7780</v>
      </c>
      <c r="F1080" t="s">
        <v>5747</v>
      </c>
      <c r="H1080" t="s">
        <v>414</v>
      </c>
      <c r="K1080" t="s">
        <v>414</v>
      </c>
      <c r="L1080" t="s">
        <v>414</v>
      </c>
    </row>
    <row r="1081" spans="1:13" ht="15">
      <c r="A1081" t="s">
        <v>3741</v>
      </c>
      <c r="B1081" s="86" t="s">
        <v>4295</v>
      </c>
      <c r="C1081" t="s">
        <v>6398</v>
      </c>
      <c r="D1081" s="83" t="s">
        <v>5459</v>
      </c>
      <c r="E1081" t="s">
        <v>5182</v>
      </c>
      <c r="F1081" t="s">
        <v>486</v>
      </c>
      <c r="M1081" t="s">
        <v>414</v>
      </c>
    </row>
    <row r="1082" spans="1:13" ht="15">
      <c r="A1082" t="s">
        <v>3741</v>
      </c>
      <c r="B1082" s="86" t="s">
        <v>4295</v>
      </c>
      <c r="C1082" t="s">
        <v>6398</v>
      </c>
      <c r="D1082" s="83" t="s">
        <v>5494</v>
      </c>
      <c r="E1082" t="s">
        <v>5217</v>
      </c>
      <c r="F1082" t="s">
        <v>5756</v>
      </c>
      <c r="L1082" t="s">
        <v>414</v>
      </c>
      <c r="M1082" t="s">
        <v>414</v>
      </c>
    </row>
    <row r="1083" spans="1:13" ht="15">
      <c r="A1083" t="s">
        <v>3737</v>
      </c>
      <c r="B1083" s="74" t="s">
        <v>4421</v>
      </c>
      <c r="C1083" t="s">
        <v>7266</v>
      </c>
      <c r="D1083" s="83" t="s">
        <v>4159</v>
      </c>
      <c r="E1083" t="s">
        <v>5052</v>
      </c>
      <c r="F1083" t="s">
        <v>5741</v>
      </c>
      <c r="H1083" t="s">
        <v>414</v>
      </c>
      <c r="M1083" t="s">
        <v>414</v>
      </c>
    </row>
    <row r="1084" spans="1:13" ht="15">
      <c r="A1084" t="s">
        <v>3741</v>
      </c>
      <c r="B1084" s="86" t="s">
        <v>4295</v>
      </c>
      <c r="C1084" t="s">
        <v>6398</v>
      </c>
      <c r="D1084" s="83" t="s">
        <v>5856</v>
      </c>
      <c r="E1084" t="s">
        <v>7775</v>
      </c>
      <c r="F1084" t="s">
        <v>5748</v>
      </c>
      <c r="L1084" t="s">
        <v>414</v>
      </c>
    </row>
    <row r="1085" spans="1:13" ht="15">
      <c r="A1085" t="s">
        <v>7843</v>
      </c>
      <c r="B1085" s="81" t="s">
        <v>7842</v>
      </c>
      <c r="C1085" t="s">
        <v>7378</v>
      </c>
      <c r="D1085" s="83" t="s">
        <v>4159</v>
      </c>
      <c r="E1085" t="s">
        <v>5052</v>
      </c>
      <c r="F1085" t="s">
        <v>5741</v>
      </c>
      <c r="H1085" t="s">
        <v>414</v>
      </c>
      <c r="M1085" t="s">
        <v>414</v>
      </c>
    </row>
    <row r="1086" spans="1:13" ht="15">
      <c r="A1086" t="s">
        <v>3773</v>
      </c>
      <c r="B1086" t="s">
        <v>1289</v>
      </c>
      <c r="C1086" t="s">
        <v>6190</v>
      </c>
      <c r="D1086" s="83" t="s">
        <v>4159</v>
      </c>
      <c r="E1086" t="s">
        <v>5052</v>
      </c>
      <c r="F1086" t="s">
        <v>5741</v>
      </c>
      <c r="H1086" t="s">
        <v>414</v>
      </c>
      <c r="M1086" t="s">
        <v>414</v>
      </c>
    </row>
    <row r="1087" spans="1:13" ht="15">
      <c r="A1087" t="s">
        <v>4556</v>
      </c>
      <c r="B1087" s="74" t="s">
        <v>1248</v>
      </c>
      <c r="C1087" t="s">
        <v>6577</v>
      </c>
      <c r="D1087" s="83" t="s">
        <v>5859</v>
      </c>
      <c r="E1087" t="s">
        <v>7778</v>
      </c>
      <c r="F1087" t="s">
        <v>7779</v>
      </c>
      <c r="K1087" t="s">
        <v>414</v>
      </c>
    </row>
    <row r="1088" spans="1:13" ht="15">
      <c r="A1088" t="s">
        <v>4448</v>
      </c>
      <c r="B1088" s="12" t="s">
        <v>1309</v>
      </c>
      <c r="C1088" t="s">
        <v>5949</v>
      </c>
      <c r="D1088" s="83" t="s">
        <v>5871</v>
      </c>
      <c r="E1088" t="s">
        <v>7792</v>
      </c>
      <c r="F1088" t="s">
        <v>7767</v>
      </c>
      <c r="L1088" t="s">
        <v>414</v>
      </c>
    </row>
    <row r="1089" spans="1:13" ht="15">
      <c r="A1089" t="s">
        <v>4556</v>
      </c>
      <c r="B1089" s="74" t="s">
        <v>1248</v>
      </c>
      <c r="C1089" t="s">
        <v>6842</v>
      </c>
      <c r="D1089" s="83" t="s">
        <v>5494</v>
      </c>
      <c r="E1089" t="s">
        <v>5217</v>
      </c>
      <c r="F1089" t="s">
        <v>5756</v>
      </c>
      <c r="L1089" t="s">
        <v>414</v>
      </c>
      <c r="M1089" t="s">
        <v>414</v>
      </c>
    </row>
    <row r="1090" spans="1:13" ht="15">
      <c r="C1090" t="s">
        <v>6849</v>
      </c>
      <c r="D1090" s="83" t="s">
        <v>5557</v>
      </c>
      <c r="E1090" t="s">
        <v>5280</v>
      </c>
      <c r="F1090" t="s">
        <v>5755</v>
      </c>
      <c r="M1090" t="s">
        <v>414</v>
      </c>
    </row>
    <row r="1091" spans="1:13" ht="15">
      <c r="C1091" t="s">
        <v>6849</v>
      </c>
      <c r="D1091" s="83" t="s">
        <v>5858</v>
      </c>
      <c r="E1091" t="s">
        <v>7777</v>
      </c>
      <c r="F1091" t="s">
        <v>5755</v>
      </c>
      <c r="H1091" t="s">
        <v>414</v>
      </c>
      <c r="K1091" t="s">
        <v>414</v>
      </c>
      <c r="L1091" t="s">
        <v>414</v>
      </c>
    </row>
    <row r="1092" spans="1:13" ht="15">
      <c r="C1092" t="s">
        <v>7593</v>
      </c>
      <c r="D1092" s="83" t="s">
        <v>5459</v>
      </c>
      <c r="E1092" t="s">
        <v>5182</v>
      </c>
      <c r="F1092" t="s">
        <v>486</v>
      </c>
      <c r="M1092" t="s">
        <v>414</v>
      </c>
    </row>
    <row r="1093" spans="1:13" ht="15">
      <c r="C1093" t="s">
        <v>6849</v>
      </c>
      <c r="D1093" s="83" t="s">
        <v>5494</v>
      </c>
      <c r="E1093" t="s">
        <v>5217</v>
      </c>
      <c r="F1093" t="s">
        <v>5756</v>
      </c>
      <c r="L1093" t="s">
        <v>414</v>
      </c>
      <c r="M1093" t="s">
        <v>414</v>
      </c>
    </row>
    <row r="1094" spans="1:13" ht="15">
      <c r="C1094" t="s">
        <v>6849</v>
      </c>
      <c r="D1094" s="83" t="s">
        <v>5857</v>
      </c>
      <c r="E1094" t="s">
        <v>7776</v>
      </c>
      <c r="F1094" t="s">
        <v>5755</v>
      </c>
      <c r="L1094" t="s">
        <v>414</v>
      </c>
    </row>
    <row r="1095" spans="1:13" ht="15">
      <c r="A1095" t="s">
        <v>3773</v>
      </c>
      <c r="B1095" t="s">
        <v>1289</v>
      </c>
      <c r="C1095" t="s">
        <v>6270</v>
      </c>
      <c r="D1095" s="83" t="s">
        <v>5567</v>
      </c>
      <c r="E1095" t="s">
        <v>5290</v>
      </c>
      <c r="F1095" t="s">
        <v>5792</v>
      </c>
      <c r="H1095" t="s">
        <v>414</v>
      </c>
      <c r="L1095" t="s">
        <v>414</v>
      </c>
      <c r="M1095" t="s">
        <v>414</v>
      </c>
    </row>
    <row r="1096" spans="1:13" ht="15">
      <c r="C1096" t="s">
        <v>7749</v>
      </c>
      <c r="D1096" s="83" t="s">
        <v>4150</v>
      </c>
      <c r="E1096" t="s">
        <v>5043</v>
      </c>
      <c r="F1096" t="s">
        <v>31</v>
      </c>
    </row>
    <row r="1097" spans="1:13" ht="15">
      <c r="C1097" t="s">
        <v>5903</v>
      </c>
      <c r="D1097" s="83" t="s">
        <v>4192</v>
      </c>
      <c r="E1097" t="s">
        <v>5086</v>
      </c>
      <c r="F1097" t="s">
        <v>5818</v>
      </c>
      <c r="M1097" t="s">
        <v>414</v>
      </c>
    </row>
    <row r="1098" spans="1:13" ht="15">
      <c r="A1098" t="s">
        <v>3755</v>
      </c>
      <c r="B1098" t="s">
        <v>4533</v>
      </c>
      <c r="C1098" t="s">
        <v>6629</v>
      </c>
      <c r="D1098" s="83" t="s">
        <v>5567</v>
      </c>
      <c r="E1098" t="s">
        <v>5290</v>
      </c>
      <c r="F1098" t="s">
        <v>5792</v>
      </c>
      <c r="H1098" t="s">
        <v>414</v>
      </c>
      <c r="L1098" t="s">
        <v>414</v>
      </c>
      <c r="M1098" t="s">
        <v>414</v>
      </c>
    </row>
    <row r="1099" spans="1:13" ht="15">
      <c r="C1099" t="s">
        <v>6615</v>
      </c>
      <c r="D1099" s="83" t="s">
        <v>5859</v>
      </c>
      <c r="E1099" t="s">
        <v>7778</v>
      </c>
      <c r="F1099" t="s">
        <v>7779</v>
      </c>
      <c r="K1099" t="s">
        <v>414</v>
      </c>
    </row>
    <row r="1100" spans="1:13" ht="15">
      <c r="A1100" t="s">
        <v>4565</v>
      </c>
      <c r="B1100" s="12" t="s">
        <v>395</v>
      </c>
      <c r="C1100" t="s">
        <v>6696</v>
      </c>
      <c r="D1100" s="83" t="s">
        <v>5567</v>
      </c>
      <c r="E1100" t="s">
        <v>5290</v>
      </c>
      <c r="F1100" t="s">
        <v>5792</v>
      </c>
      <c r="H1100" t="s">
        <v>414</v>
      </c>
      <c r="L1100" t="s">
        <v>414</v>
      </c>
      <c r="M1100" t="s">
        <v>414</v>
      </c>
    </row>
    <row r="1101" spans="1:13" ht="15">
      <c r="A1101" t="s">
        <v>3738</v>
      </c>
      <c r="B1101" s="74" t="s">
        <v>4300</v>
      </c>
      <c r="C1101" t="s">
        <v>6722</v>
      </c>
      <c r="D1101" s="83" t="s">
        <v>5567</v>
      </c>
      <c r="E1101" t="s">
        <v>5290</v>
      </c>
      <c r="F1101" t="s">
        <v>5792</v>
      </c>
      <c r="H1101" t="s">
        <v>414</v>
      </c>
      <c r="L1101" t="s">
        <v>414</v>
      </c>
      <c r="M1101" t="s">
        <v>414</v>
      </c>
    </row>
    <row r="1102" spans="1:13" ht="15">
      <c r="C1102" t="s">
        <v>7158</v>
      </c>
      <c r="D1102" s="83" t="s">
        <v>4159</v>
      </c>
      <c r="E1102" t="s">
        <v>5052</v>
      </c>
      <c r="F1102" t="s">
        <v>5741</v>
      </c>
      <c r="H1102" t="s">
        <v>414</v>
      </c>
      <c r="M1102" t="s">
        <v>414</v>
      </c>
    </row>
    <row r="1103" spans="1:13" ht="15">
      <c r="C1103" t="s">
        <v>6850</v>
      </c>
      <c r="D1103" s="83" t="s">
        <v>5494</v>
      </c>
      <c r="E1103" t="s">
        <v>5217</v>
      </c>
      <c r="F1103" t="s">
        <v>5756</v>
      </c>
      <c r="L1103" t="s">
        <v>414</v>
      </c>
      <c r="M1103" t="s">
        <v>414</v>
      </c>
    </row>
    <row r="1104" spans="1:13" ht="15">
      <c r="C1104" t="s">
        <v>6850</v>
      </c>
      <c r="D1104" s="83" t="s">
        <v>4136</v>
      </c>
      <c r="E1104" t="s">
        <v>5030</v>
      </c>
      <c r="F1104" t="s">
        <v>5725</v>
      </c>
      <c r="K1104" t="s">
        <v>414</v>
      </c>
      <c r="L1104" t="s">
        <v>414</v>
      </c>
      <c r="M1104" t="s">
        <v>414</v>
      </c>
    </row>
    <row r="1105" spans="1:13" ht="15">
      <c r="C1105" t="s">
        <v>6073</v>
      </c>
      <c r="D1105" s="83" t="s">
        <v>5677</v>
      </c>
      <c r="E1105" t="s">
        <v>5400</v>
      </c>
      <c r="F1105" t="s">
        <v>5832</v>
      </c>
      <c r="H1105" t="s">
        <v>414</v>
      </c>
    </row>
    <row r="1106" spans="1:13" ht="15">
      <c r="C1106" t="s">
        <v>6865</v>
      </c>
      <c r="D1106" s="83" t="s">
        <v>5494</v>
      </c>
      <c r="E1106" t="s">
        <v>5217</v>
      </c>
      <c r="F1106" t="s">
        <v>5756</v>
      </c>
      <c r="L1106" t="s">
        <v>414</v>
      </c>
      <c r="M1106" t="s">
        <v>414</v>
      </c>
    </row>
    <row r="1107" spans="1:13" ht="15">
      <c r="C1107" t="s">
        <v>6608</v>
      </c>
      <c r="D1107" s="83" t="s">
        <v>5853</v>
      </c>
      <c r="E1107" t="s">
        <v>7770</v>
      </c>
      <c r="F1107" t="s">
        <v>7771</v>
      </c>
      <c r="G1107" t="s">
        <v>414</v>
      </c>
      <c r="L1107" t="s">
        <v>414</v>
      </c>
    </row>
    <row r="1108" spans="1:13" ht="15">
      <c r="C1108" t="s">
        <v>6718</v>
      </c>
      <c r="D1108" s="83" t="s">
        <v>5868</v>
      </c>
      <c r="E1108" t="s">
        <v>7789</v>
      </c>
      <c r="F1108" t="s">
        <v>5748</v>
      </c>
      <c r="L1108" t="s">
        <v>414</v>
      </c>
    </row>
    <row r="1109" spans="1:13" ht="15">
      <c r="C1109" t="s">
        <v>6876</v>
      </c>
      <c r="D1109" s="83" t="s">
        <v>5494</v>
      </c>
      <c r="E1109" t="s">
        <v>5217</v>
      </c>
      <c r="F1109" t="s">
        <v>5756</v>
      </c>
      <c r="L1109" t="s">
        <v>414</v>
      </c>
      <c r="M1109" t="s">
        <v>414</v>
      </c>
    </row>
    <row r="1110" spans="1:13" ht="15">
      <c r="C1110" t="s">
        <v>7379</v>
      </c>
      <c r="D1110" s="83" t="s">
        <v>5549</v>
      </c>
      <c r="E1110" t="s">
        <v>5272</v>
      </c>
      <c r="F1110" t="s">
        <v>5750</v>
      </c>
      <c r="H1110" t="s">
        <v>414</v>
      </c>
      <c r="L1110" t="s">
        <v>414</v>
      </c>
      <c r="M1110" t="s">
        <v>414</v>
      </c>
    </row>
    <row r="1111" spans="1:13" ht="15">
      <c r="C1111" t="s">
        <v>7509</v>
      </c>
      <c r="D1111" s="83" t="s">
        <v>5562</v>
      </c>
      <c r="E1111" t="s">
        <v>5285</v>
      </c>
      <c r="F1111" t="s">
        <v>5750</v>
      </c>
      <c r="H1111" t="s">
        <v>414</v>
      </c>
      <c r="M1111" t="s">
        <v>414</v>
      </c>
    </row>
    <row r="1112" spans="1:13" ht="15">
      <c r="C1112" t="s">
        <v>7506</v>
      </c>
      <c r="D1112" s="83" t="s">
        <v>5552</v>
      </c>
      <c r="E1112" t="s">
        <v>5275</v>
      </c>
      <c r="F1112" t="s">
        <v>5750</v>
      </c>
      <c r="H1112" t="s">
        <v>414</v>
      </c>
      <c r="M1112" t="s">
        <v>414</v>
      </c>
    </row>
    <row r="1113" spans="1:13" ht="15">
      <c r="C1113" t="s">
        <v>7536</v>
      </c>
      <c r="D1113" s="83" t="s">
        <v>5552</v>
      </c>
      <c r="E1113" t="s">
        <v>5275</v>
      </c>
      <c r="F1113" t="s">
        <v>5750</v>
      </c>
      <c r="H1113" t="s">
        <v>414</v>
      </c>
      <c r="M1113" t="s">
        <v>414</v>
      </c>
    </row>
    <row r="1114" spans="1:13" ht="15">
      <c r="C1114" t="s">
        <v>7406</v>
      </c>
      <c r="D1114" s="83" t="s">
        <v>5556</v>
      </c>
      <c r="E1114" t="s">
        <v>5279</v>
      </c>
      <c r="F1114" t="s">
        <v>1216</v>
      </c>
    </row>
    <row r="1115" spans="1:13" ht="15">
      <c r="C1115" t="s">
        <v>7659</v>
      </c>
      <c r="D1115" s="83" t="s">
        <v>5552</v>
      </c>
      <c r="E1115" t="s">
        <v>5275</v>
      </c>
      <c r="F1115" t="s">
        <v>5750</v>
      </c>
      <c r="H1115" t="s">
        <v>414</v>
      </c>
      <c r="M1115" t="s">
        <v>414</v>
      </c>
    </row>
    <row r="1116" spans="1:13" ht="15">
      <c r="C1116" t="s">
        <v>7745</v>
      </c>
      <c r="D1116" s="83" t="s">
        <v>5549</v>
      </c>
      <c r="E1116" t="s">
        <v>5272</v>
      </c>
      <c r="F1116" t="s">
        <v>5750</v>
      </c>
      <c r="H1116" t="s">
        <v>414</v>
      </c>
      <c r="L1116" t="s">
        <v>414</v>
      </c>
      <c r="M1116" t="s">
        <v>414</v>
      </c>
    </row>
    <row r="1117" spans="1:13" ht="15">
      <c r="A1117" t="s">
        <v>4554</v>
      </c>
      <c r="B1117" t="s">
        <v>4280</v>
      </c>
      <c r="C1117" t="s">
        <v>6378</v>
      </c>
      <c r="D1117" s="83" t="s">
        <v>5702</v>
      </c>
      <c r="E1117" t="s">
        <v>5426</v>
      </c>
      <c r="F1117" t="s">
        <v>5726</v>
      </c>
      <c r="H1117" t="s">
        <v>414</v>
      </c>
    </row>
    <row r="1118" spans="1:13" ht="15">
      <c r="A1118" t="s">
        <v>3139</v>
      </c>
      <c r="B1118" t="s">
        <v>4285</v>
      </c>
      <c r="C1118" t="s">
        <v>6085</v>
      </c>
      <c r="D1118" s="83" t="s">
        <v>5616</v>
      </c>
      <c r="E1118" t="s">
        <v>5339</v>
      </c>
      <c r="F1118" t="s">
        <v>5748</v>
      </c>
      <c r="H1118" t="s">
        <v>414</v>
      </c>
      <c r="I1118" t="s">
        <v>414</v>
      </c>
      <c r="M1118" t="s">
        <v>414</v>
      </c>
    </row>
    <row r="1119" spans="1:13" ht="15">
      <c r="C1119" t="s">
        <v>6336</v>
      </c>
      <c r="D1119" s="83" t="s">
        <v>5453</v>
      </c>
      <c r="E1119" t="s">
        <v>5176</v>
      </c>
      <c r="F1119" t="s">
        <v>5729</v>
      </c>
      <c r="H1119" t="s">
        <v>414</v>
      </c>
      <c r="K1119" t="s">
        <v>414</v>
      </c>
      <c r="L1119" t="s">
        <v>414</v>
      </c>
    </row>
    <row r="1120" spans="1:13" ht="15">
      <c r="A1120" t="s">
        <v>3773</v>
      </c>
      <c r="B1120" t="s">
        <v>1289</v>
      </c>
      <c r="C1120" t="s">
        <v>6270</v>
      </c>
      <c r="D1120" s="83" t="s">
        <v>5616</v>
      </c>
      <c r="E1120" t="s">
        <v>5339</v>
      </c>
      <c r="F1120" t="s">
        <v>5748</v>
      </c>
      <c r="H1120" t="s">
        <v>414</v>
      </c>
      <c r="I1120" t="s">
        <v>414</v>
      </c>
      <c r="M1120" t="s">
        <v>414</v>
      </c>
    </row>
    <row r="1121" spans="1:13" ht="15">
      <c r="A1121" t="s">
        <v>3789</v>
      </c>
      <c r="B1121" s="74" t="s">
        <v>4932</v>
      </c>
      <c r="C1121" t="s">
        <v>7752</v>
      </c>
      <c r="D1121" s="83" t="s">
        <v>4150</v>
      </c>
      <c r="E1121" t="s">
        <v>5043</v>
      </c>
      <c r="F1121" t="s">
        <v>31</v>
      </c>
    </row>
    <row r="1122" spans="1:13" ht="15">
      <c r="C1122" t="s">
        <v>7023</v>
      </c>
      <c r="D1122" s="83" t="s">
        <v>5469</v>
      </c>
      <c r="E1122" t="s">
        <v>5192</v>
      </c>
      <c r="F1122" t="s">
        <v>5742</v>
      </c>
      <c r="H1122" t="s">
        <v>414</v>
      </c>
      <c r="I1122" t="s">
        <v>414</v>
      </c>
      <c r="M1122" t="s">
        <v>414</v>
      </c>
    </row>
    <row r="1123" spans="1:13" ht="15">
      <c r="A1123" t="s">
        <v>4525</v>
      </c>
      <c r="B1123" s="81" t="s">
        <v>4524</v>
      </c>
      <c r="C1123" t="s">
        <v>6046</v>
      </c>
      <c r="D1123" s="83" t="s">
        <v>5616</v>
      </c>
      <c r="E1123" t="s">
        <v>5339</v>
      </c>
      <c r="F1123" t="s">
        <v>5748</v>
      </c>
      <c r="H1123" t="s">
        <v>414</v>
      </c>
      <c r="I1123" t="s">
        <v>414</v>
      </c>
      <c r="M1123" t="s">
        <v>414</v>
      </c>
    </row>
    <row r="1124" spans="1:13" ht="15">
      <c r="C1124" t="s">
        <v>7042</v>
      </c>
      <c r="D1124" s="83" t="s">
        <v>5512</v>
      </c>
      <c r="E1124" t="s">
        <v>5235</v>
      </c>
      <c r="F1124" t="s">
        <v>5769</v>
      </c>
      <c r="M1124" t="s">
        <v>414</v>
      </c>
    </row>
    <row r="1125" spans="1:13" ht="15">
      <c r="C1125" t="s">
        <v>7340</v>
      </c>
      <c r="D1125" s="83" t="s">
        <v>5512</v>
      </c>
      <c r="E1125" t="s">
        <v>5235</v>
      </c>
      <c r="F1125" t="s">
        <v>5769</v>
      </c>
      <c r="M1125" t="s">
        <v>414</v>
      </c>
    </row>
    <row r="1126" spans="1:13" ht="15">
      <c r="C1126" t="s">
        <v>7261</v>
      </c>
      <c r="D1126" s="83" t="s">
        <v>5535</v>
      </c>
      <c r="E1126" t="s">
        <v>5258</v>
      </c>
      <c r="F1126" t="s">
        <v>5779</v>
      </c>
      <c r="H1126" t="s">
        <v>414</v>
      </c>
      <c r="M1126" t="s">
        <v>414</v>
      </c>
    </row>
    <row r="1127" spans="1:13" ht="15">
      <c r="C1127" t="s">
        <v>6673</v>
      </c>
      <c r="D1127" s="83" t="s">
        <v>5583</v>
      </c>
      <c r="E1127" t="s">
        <v>5306</v>
      </c>
      <c r="F1127" t="s">
        <v>5797</v>
      </c>
      <c r="H1127" t="s">
        <v>414</v>
      </c>
      <c r="I1127" t="s">
        <v>414</v>
      </c>
      <c r="M1127" t="s">
        <v>414</v>
      </c>
    </row>
    <row r="1128" spans="1:13" ht="15">
      <c r="A1128" t="s">
        <v>4443</v>
      </c>
      <c r="B1128" t="s">
        <v>4287</v>
      </c>
      <c r="C1128" t="s">
        <v>6583</v>
      </c>
      <c r="D1128" s="83" t="s">
        <v>5616</v>
      </c>
      <c r="E1128" t="s">
        <v>5339</v>
      </c>
      <c r="F1128" t="s">
        <v>5748</v>
      </c>
      <c r="H1128" t="s">
        <v>414</v>
      </c>
      <c r="I1128" t="s">
        <v>414</v>
      </c>
      <c r="M1128" t="s">
        <v>414</v>
      </c>
    </row>
    <row r="1129" spans="1:13" ht="15">
      <c r="C1129" t="s">
        <v>6177</v>
      </c>
      <c r="D1129" s="83" t="s">
        <v>28</v>
      </c>
      <c r="E1129" t="s">
        <v>5423</v>
      </c>
      <c r="F1129" t="s">
        <v>27</v>
      </c>
      <c r="H1129" t="s">
        <v>414</v>
      </c>
      <c r="I1129" t="s">
        <v>414</v>
      </c>
      <c r="L1129" t="s">
        <v>414</v>
      </c>
    </row>
    <row r="1130" spans="1:13" ht="15">
      <c r="A1130" t="s">
        <v>3741</v>
      </c>
      <c r="B1130" t="s">
        <v>4295</v>
      </c>
      <c r="C1130" t="s">
        <v>6879</v>
      </c>
      <c r="D1130" s="83" t="s">
        <v>5616</v>
      </c>
      <c r="E1130" t="s">
        <v>5339</v>
      </c>
      <c r="F1130" t="s">
        <v>5748</v>
      </c>
      <c r="H1130" t="s">
        <v>414</v>
      </c>
      <c r="I1130" t="s">
        <v>414</v>
      </c>
      <c r="M1130" t="s">
        <v>414</v>
      </c>
    </row>
    <row r="1131" spans="1:13" ht="15">
      <c r="C1131" t="s">
        <v>6952</v>
      </c>
      <c r="D1131" s="83" t="s">
        <v>5493</v>
      </c>
      <c r="E1131" t="s">
        <v>5216</v>
      </c>
      <c r="F1131" t="s">
        <v>5755</v>
      </c>
      <c r="H1131" t="s">
        <v>414</v>
      </c>
      <c r="M1131" t="s">
        <v>414</v>
      </c>
    </row>
    <row r="1132" spans="1:13" ht="15">
      <c r="C1132" t="s">
        <v>6952</v>
      </c>
      <c r="D1132" s="83" t="s">
        <v>5486</v>
      </c>
      <c r="E1132" t="s">
        <v>5209</v>
      </c>
      <c r="F1132" t="s">
        <v>5750</v>
      </c>
      <c r="H1132" t="s">
        <v>414</v>
      </c>
      <c r="M1132" t="s">
        <v>414</v>
      </c>
    </row>
    <row r="1133" spans="1:13" ht="15">
      <c r="A1133" t="s">
        <v>4443</v>
      </c>
      <c r="B1133" t="s">
        <v>4287</v>
      </c>
      <c r="C1133" t="s">
        <v>5960</v>
      </c>
      <c r="D1133" s="83" t="s">
        <v>5545</v>
      </c>
      <c r="E1133" t="s">
        <v>5268</v>
      </c>
      <c r="F1133" t="s">
        <v>5725</v>
      </c>
      <c r="H1133" t="s">
        <v>414</v>
      </c>
      <c r="L1133" t="s">
        <v>414</v>
      </c>
      <c r="M1133" t="s">
        <v>414</v>
      </c>
    </row>
    <row r="1134" spans="1:13" ht="15">
      <c r="C1134" t="s">
        <v>7668</v>
      </c>
      <c r="D1134" s="83" t="s">
        <v>5609</v>
      </c>
      <c r="E1134" t="s">
        <v>5332</v>
      </c>
      <c r="F1134" t="s">
        <v>5726</v>
      </c>
      <c r="H1134" t="s">
        <v>414</v>
      </c>
      <c r="I1134" t="s">
        <v>414</v>
      </c>
    </row>
    <row r="1135" spans="1:13" ht="15">
      <c r="C1135" t="s">
        <v>6943</v>
      </c>
      <c r="D1135" s="83" t="s">
        <v>5589</v>
      </c>
      <c r="E1135" t="s">
        <v>5312</v>
      </c>
      <c r="F1135" t="s">
        <v>5748</v>
      </c>
      <c r="H1135" t="s">
        <v>414</v>
      </c>
      <c r="M1135" t="s">
        <v>414</v>
      </c>
    </row>
    <row r="1136" spans="1:13" ht="15">
      <c r="C1136" t="s">
        <v>6978</v>
      </c>
      <c r="D1136" s="83" t="s">
        <v>5493</v>
      </c>
      <c r="E1136" t="s">
        <v>5216</v>
      </c>
      <c r="F1136" t="s">
        <v>5755</v>
      </c>
      <c r="H1136" t="s">
        <v>414</v>
      </c>
      <c r="M1136" t="s">
        <v>414</v>
      </c>
    </row>
    <row r="1137" spans="1:13" ht="15">
      <c r="A1137" t="s">
        <v>3139</v>
      </c>
      <c r="B1137" t="s">
        <v>4285</v>
      </c>
      <c r="C1137" t="s">
        <v>7226</v>
      </c>
      <c r="D1137" s="83" t="s">
        <v>5598</v>
      </c>
      <c r="E1137" t="s">
        <v>5321</v>
      </c>
      <c r="F1137" t="s">
        <v>5803</v>
      </c>
      <c r="I1137" t="s">
        <v>414</v>
      </c>
      <c r="M1137" t="s">
        <v>414</v>
      </c>
    </row>
    <row r="1138" spans="1:13" ht="15">
      <c r="A1138" t="s">
        <v>3773</v>
      </c>
      <c r="B1138" t="s">
        <v>1289</v>
      </c>
      <c r="C1138" t="s">
        <v>6190</v>
      </c>
      <c r="D1138" s="83" t="s">
        <v>5598</v>
      </c>
      <c r="E1138" t="s">
        <v>5321</v>
      </c>
      <c r="F1138" t="s">
        <v>5803</v>
      </c>
      <c r="I1138" t="s">
        <v>414</v>
      </c>
      <c r="M1138" t="s">
        <v>414</v>
      </c>
    </row>
    <row r="1139" spans="1:13" ht="15">
      <c r="C1139" t="s">
        <v>7552</v>
      </c>
      <c r="D1139" s="83" t="s">
        <v>5552</v>
      </c>
      <c r="E1139" t="s">
        <v>5275</v>
      </c>
      <c r="F1139" t="s">
        <v>5750</v>
      </c>
      <c r="H1139" t="s">
        <v>414</v>
      </c>
      <c r="M1139" t="s">
        <v>414</v>
      </c>
    </row>
    <row r="1140" spans="1:13" ht="15">
      <c r="A1140" t="s">
        <v>4525</v>
      </c>
      <c r="B1140" s="81" t="s">
        <v>4524</v>
      </c>
      <c r="C1140" t="s">
        <v>5913</v>
      </c>
      <c r="D1140" s="83" t="s">
        <v>5598</v>
      </c>
      <c r="E1140" t="s">
        <v>5321</v>
      </c>
      <c r="F1140" t="s">
        <v>5803</v>
      </c>
      <c r="I1140" t="s">
        <v>414</v>
      </c>
      <c r="M1140" t="s">
        <v>414</v>
      </c>
    </row>
    <row r="1141" spans="1:13" ht="15">
      <c r="A1141" t="s">
        <v>4453</v>
      </c>
      <c r="B1141" s="81" t="s">
        <v>3175</v>
      </c>
      <c r="C1141" t="s">
        <v>7138</v>
      </c>
      <c r="D1141" s="83" t="s">
        <v>5598</v>
      </c>
      <c r="E1141" t="s">
        <v>5321</v>
      </c>
      <c r="F1141" t="s">
        <v>5803</v>
      </c>
      <c r="I1141" t="s">
        <v>414</v>
      </c>
      <c r="M1141" t="s">
        <v>414</v>
      </c>
    </row>
    <row r="1142" spans="1:13" ht="15">
      <c r="A1142" t="s">
        <v>3738</v>
      </c>
      <c r="B1142" s="74" t="s">
        <v>4300</v>
      </c>
      <c r="C1142" t="s">
        <v>7413</v>
      </c>
      <c r="D1142" s="83" t="s">
        <v>5598</v>
      </c>
      <c r="E1142" t="s">
        <v>5321</v>
      </c>
      <c r="F1142" t="s">
        <v>5803</v>
      </c>
      <c r="I1142" t="s">
        <v>414</v>
      </c>
      <c r="M1142" t="s">
        <v>414</v>
      </c>
    </row>
    <row r="1143" spans="1:13" ht="15">
      <c r="C1143" t="s">
        <v>6702</v>
      </c>
      <c r="D1143" s="83" t="s">
        <v>5517</v>
      </c>
      <c r="E1143" t="s">
        <v>5240</v>
      </c>
      <c r="F1143" t="s">
        <v>5748</v>
      </c>
      <c r="M1143" t="s">
        <v>414</v>
      </c>
    </row>
    <row r="1144" spans="1:13" ht="15">
      <c r="C1144" t="s">
        <v>5880</v>
      </c>
      <c r="D1144" s="83" t="s">
        <v>5605</v>
      </c>
      <c r="E1144" t="s">
        <v>5328</v>
      </c>
      <c r="F1144" t="s">
        <v>5806</v>
      </c>
      <c r="L1144" t="s">
        <v>414</v>
      </c>
    </row>
    <row r="1145" spans="1:13" ht="15">
      <c r="C1145" t="s">
        <v>7085</v>
      </c>
      <c r="D1145" s="83" t="s">
        <v>5596</v>
      </c>
      <c r="E1145" t="s">
        <v>5319</v>
      </c>
      <c r="F1145" t="s">
        <v>5801</v>
      </c>
    </row>
    <row r="1146" spans="1:13" ht="15">
      <c r="A1146" t="s">
        <v>3773</v>
      </c>
      <c r="B1146" t="s">
        <v>1289</v>
      </c>
      <c r="C1146" t="s">
        <v>7041</v>
      </c>
      <c r="D1146" s="83" t="s">
        <v>5505</v>
      </c>
      <c r="E1146" t="s">
        <v>5228</v>
      </c>
      <c r="F1146" t="s">
        <v>5765</v>
      </c>
      <c r="H1146" t="s">
        <v>414</v>
      </c>
      <c r="L1146" t="s">
        <v>414</v>
      </c>
      <c r="M1146" t="s">
        <v>414</v>
      </c>
    </row>
    <row r="1147" spans="1:13" ht="15">
      <c r="C1147" t="s">
        <v>7650</v>
      </c>
      <c r="D1147" s="83" t="s">
        <v>5549</v>
      </c>
      <c r="E1147" t="s">
        <v>5272</v>
      </c>
      <c r="F1147" t="s">
        <v>5750</v>
      </c>
      <c r="H1147" t="s">
        <v>414</v>
      </c>
      <c r="L1147" t="s">
        <v>414</v>
      </c>
      <c r="M1147" t="s">
        <v>414</v>
      </c>
    </row>
    <row r="1148" spans="1:13" ht="15">
      <c r="C1148" t="s">
        <v>6006</v>
      </c>
      <c r="D1148" s="83" t="s">
        <v>5654</v>
      </c>
      <c r="E1148" t="s">
        <v>5377</v>
      </c>
      <c r="F1148" t="s">
        <v>5748</v>
      </c>
      <c r="H1148" t="s">
        <v>414</v>
      </c>
      <c r="K1148" t="s">
        <v>414</v>
      </c>
      <c r="L1148" t="s">
        <v>414</v>
      </c>
    </row>
    <row r="1149" spans="1:13" ht="15">
      <c r="A1149" t="s">
        <v>3816</v>
      </c>
      <c r="B1149" t="s">
        <v>1512</v>
      </c>
      <c r="C1149" t="s">
        <v>6744</v>
      </c>
      <c r="D1149" s="83" t="s">
        <v>5498</v>
      </c>
      <c r="E1149" t="s">
        <v>5221</v>
      </c>
      <c r="F1149" t="s">
        <v>5759</v>
      </c>
      <c r="H1149" t="s">
        <v>414</v>
      </c>
      <c r="M1149" t="s">
        <v>414</v>
      </c>
    </row>
    <row r="1150" spans="1:13" ht="15">
      <c r="C1150" t="s">
        <v>5977</v>
      </c>
      <c r="D1150" s="83" t="s">
        <v>5589</v>
      </c>
      <c r="E1150" t="s">
        <v>5312</v>
      </c>
      <c r="F1150" t="s">
        <v>5748</v>
      </c>
      <c r="H1150" t="s">
        <v>414</v>
      </c>
      <c r="M1150" t="s">
        <v>414</v>
      </c>
    </row>
    <row r="1151" spans="1:13" ht="15">
      <c r="C1151" t="s">
        <v>6003</v>
      </c>
      <c r="D1151" s="83" t="s">
        <v>5517</v>
      </c>
      <c r="E1151" t="s">
        <v>5240</v>
      </c>
      <c r="F1151" t="s">
        <v>5748</v>
      </c>
      <c r="M1151" t="s">
        <v>414</v>
      </c>
    </row>
    <row r="1152" spans="1:13" ht="15">
      <c r="A1152" t="s">
        <v>8512</v>
      </c>
      <c r="B1152" t="s">
        <v>8511</v>
      </c>
      <c r="C1152" t="s">
        <v>6984</v>
      </c>
      <c r="D1152" s="83" t="s">
        <v>5529</v>
      </c>
      <c r="E1152" t="s">
        <v>5252</v>
      </c>
      <c r="F1152" t="s">
        <v>5748</v>
      </c>
      <c r="M1152" t="s">
        <v>414</v>
      </c>
    </row>
    <row r="1153" spans="1:13" ht="15">
      <c r="C1153" t="s">
        <v>6568</v>
      </c>
      <c r="D1153" s="83" t="s">
        <v>5605</v>
      </c>
      <c r="E1153" t="s">
        <v>5328</v>
      </c>
      <c r="F1153" t="s">
        <v>5806</v>
      </c>
      <c r="L1153" t="s">
        <v>414</v>
      </c>
    </row>
    <row r="1154" spans="1:13" ht="15">
      <c r="C1154" t="s">
        <v>6786</v>
      </c>
      <c r="D1154" s="83" t="s">
        <v>5589</v>
      </c>
      <c r="E1154" t="s">
        <v>5312</v>
      </c>
      <c r="F1154" t="s">
        <v>5748</v>
      </c>
      <c r="H1154" t="s">
        <v>414</v>
      </c>
      <c r="M1154" t="s">
        <v>414</v>
      </c>
    </row>
    <row r="1155" spans="1:13" ht="15">
      <c r="A1155" t="s">
        <v>4525</v>
      </c>
      <c r="B1155" s="81" t="s">
        <v>4524</v>
      </c>
      <c r="C1155" t="s">
        <v>5881</v>
      </c>
      <c r="D1155" s="83" t="s">
        <v>5601</v>
      </c>
      <c r="E1155" t="s">
        <v>5324</v>
      </c>
      <c r="F1155" t="s">
        <v>5727</v>
      </c>
      <c r="H1155" t="s">
        <v>414</v>
      </c>
      <c r="K1155" t="s">
        <v>414</v>
      </c>
      <c r="L1155" t="s">
        <v>414</v>
      </c>
      <c r="M1155" t="s">
        <v>414</v>
      </c>
    </row>
    <row r="1156" spans="1:13" ht="15">
      <c r="C1156" t="s">
        <v>6910</v>
      </c>
      <c r="D1156" s="83" t="s">
        <v>5589</v>
      </c>
      <c r="E1156" t="s">
        <v>5312</v>
      </c>
      <c r="F1156" t="s">
        <v>5748</v>
      </c>
      <c r="H1156" t="s">
        <v>414</v>
      </c>
      <c r="M1156" t="s">
        <v>414</v>
      </c>
    </row>
    <row r="1157" spans="1:13" ht="15">
      <c r="C1157" t="s">
        <v>7024</v>
      </c>
      <c r="D1157" s="83" t="s">
        <v>5470</v>
      </c>
      <c r="E1157" t="s">
        <v>5193</v>
      </c>
      <c r="F1157" t="s">
        <v>5735</v>
      </c>
      <c r="H1157" t="s">
        <v>414</v>
      </c>
      <c r="M1157" t="s">
        <v>414</v>
      </c>
    </row>
    <row r="1158" spans="1:13" ht="15">
      <c r="A1158" t="s">
        <v>3773</v>
      </c>
      <c r="B1158" t="s">
        <v>1289</v>
      </c>
      <c r="C1158" t="s">
        <v>6270</v>
      </c>
      <c r="D1158" s="83" t="s">
        <v>5524</v>
      </c>
      <c r="E1158" t="s">
        <v>5247</v>
      </c>
      <c r="F1158" t="s">
        <v>5747</v>
      </c>
      <c r="M1158" t="s">
        <v>414</v>
      </c>
    </row>
    <row r="1159" spans="1:13" ht="15">
      <c r="C1159" t="s">
        <v>6196</v>
      </c>
      <c r="D1159" s="83" t="s">
        <v>5605</v>
      </c>
      <c r="E1159" t="s">
        <v>5328</v>
      </c>
      <c r="F1159" t="s">
        <v>5806</v>
      </c>
      <c r="L1159" t="s">
        <v>414</v>
      </c>
    </row>
    <row r="1160" spans="1:13" ht="15">
      <c r="C1160" t="s">
        <v>6139</v>
      </c>
      <c r="D1160" s="83" t="s">
        <v>5517</v>
      </c>
      <c r="E1160" t="s">
        <v>5240</v>
      </c>
      <c r="F1160" t="s">
        <v>5748</v>
      </c>
      <c r="M1160" t="s">
        <v>414</v>
      </c>
    </row>
    <row r="1161" spans="1:13" ht="15">
      <c r="C1161" t="s">
        <v>6207</v>
      </c>
      <c r="D1161" s="83" t="s">
        <v>5593</v>
      </c>
      <c r="E1161" t="s">
        <v>5316</v>
      </c>
      <c r="F1161" t="s">
        <v>5800</v>
      </c>
      <c r="H1161" t="s">
        <v>414</v>
      </c>
      <c r="L1161" t="s">
        <v>414</v>
      </c>
      <c r="M1161" t="s">
        <v>414</v>
      </c>
    </row>
    <row r="1162" spans="1:13" ht="15">
      <c r="A1162" t="s">
        <v>3741</v>
      </c>
      <c r="B1162" t="s">
        <v>4295</v>
      </c>
      <c r="C1162" t="s">
        <v>7341</v>
      </c>
      <c r="D1162" s="83" t="s">
        <v>5524</v>
      </c>
      <c r="E1162" t="s">
        <v>5247</v>
      </c>
      <c r="F1162" t="s">
        <v>5747</v>
      </c>
      <c r="M1162" t="s">
        <v>414</v>
      </c>
    </row>
    <row r="1163" spans="1:13" ht="15">
      <c r="C1163" t="s">
        <v>6594</v>
      </c>
      <c r="D1163" s="83" t="s">
        <v>5702</v>
      </c>
      <c r="E1163" t="s">
        <v>5426</v>
      </c>
      <c r="F1163" t="s">
        <v>5726</v>
      </c>
      <c r="H1163" t="s">
        <v>414</v>
      </c>
    </row>
    <row r="1164" spans="1:13" ht="15">
      <c r="A1164" t="s">
        <v>3735</v>
      </c>
      <c r="B1164" s="74" t="s">
        <v>4288</v>
      </c>
      <c r="C1164" t="s">
        <v>7400</v>
      </c>
      <c r="D1164" s="83" t="s">
        <v>5524</v>
      </c>
      <c r="E1164" t="s">
        <v>5247</v>
      </c>
      <c r="F1164" t="s">
        <v>5747</v>
      </c>
      <c r="M1164" t="s">
        <v>414</v>
      </c>
    </row>
    <row r="1165" spans="1:13" ht="15">
      <c r="C1165" t="s">
        <v>6594</v>
      </c>
      <c r="D1165" s="83" t="s">
        <v>5498</v>
      </c>
      <c r="E1165" t="s">
        <v>5221</v>
      </c>
      <c r="F1165" t="s">
        <v>5759</v>
      </c>
      <c r="H1165" t="s">
        <v>414</v>
      </c>
      <c r="M1165" t="s">
        <v>414</v>
      </c>
    </row>
    <row r="1166" spans="1:13" ht="15">
      <c r="C1166" t="s">
        <v>7682</v>
      </c>
      <c r="D1166" s="83" t="s">
        <v>5609</v>
      </c>
      <c r="E1166" t="s">
        <v>5332</v>
      </c>
      <c r="F1166" t="s">
        <v>5726</v>
      </c>
      <c r="H1166" t="s">
        <v>414</v>
      </c>
      <c r="I1166" t="s">
        <v>414</v>
      </c>
    </row>
    <row r="1167" spans="1:13" ht="15">
      <c r="A1167" t="s">
        <v>4525</v>
      </c>
      <c r="B1167" s="81" t="s">
        <v>4524</v>
      </c>
      <c r="C1167" t="s">
        <v>7137</v>
      </c>
      <c r="D1167" s="83" t="s">
        <v>5450</v>
      </c>
      <c r="E1167" t="s">
        <v>5173</v>
      </c>
      <c r="F1167" t="s">
        <v>5727</v>
      </c>
      <c r="I1167" t="s">
        <v>414</v>
      </c>
    </row>
    <row r="1168" spans="1:13" ht="15">
      <c r="A1168" t="s">
        <v>4448</v>
      </c>
      <c r="B1168" s="12" t="s">
        <v>1309</v>
      </c>
      <c r="C1168" t="s">
        <v>5919</v>
      </c>
      <c r="D1168" s="83" t="s">
        <v>5874</v>
      </c>
      <c r="E1168" t="s">
        <v>7797</v>
      </c>
      <c r="F1168" t="s">
        <v>1309</v>
      </c>
    </row>
    <row r="1169" spans="1:13" ht="15">
      <c r="C1169" t="s">
        <v>7720</v>
      </c>
      <c r="D1169" s="83" t="s">
        <v>5557</v>
      </c>
      <c r="E1169" t="s">
        <v>5280</v>
      </c>
      <c r="F1169" t="s">
        <v>5755</v>
      </c>
      <c r="M1169" t="s">
        <v>414</v>
      </c>
    </row>
    <row r="1170" spans="1:13" ht="15">
      <c r="C1170" t="s">
        <v>7013</v>
      </c>
      <c r="D1170" s="83" t="s">
        <v>5454</v>
      </c>
      <c r="E1170" t="s">
        <v>5177</v>
      </c>
      <c r="F1170" t="s">
        <v>5730</v>
      </c>
    </row>
    <row r="1171" spans="1:13" ht="15">
      <c r="A1171" t="s">
        <v>3783</v>
      </c>
      <c r="B1171" t="s">
        <v>301</v>
      </c>
      <c r="C1171" t="s">
        <v>6071</v>
      </c>
      <c r="D1171" s="83" t="s">
        <v>4140</v>
      </c>
      <c r="E1171" t="s">
        <v>5033</v>
      </c>
      <c r="F1171" t="s">
        <v>5741</v>
      </c>
      <c r="L1171" t="s">
        <v>414</v>
      </c>
      <c r="M1171" t="s">
        <v>414</v>
      </c>
    </row>
    <row r="1172" spans="1:13" ht="15">
      <c r="A1172" t="s">
        <v>3819</v>
      </c>
      <c r="B1172" t="s">
        <v>8313</v>
      </c>
      <c r="C1172" t="s">
        <v>7687</v>
      </c>
      <c r="D1172" s="83" t="s">
        <v>5552</v>
      </c>
      <c r="E1172" t="s">
        <v>5275</v>
      </c>
      <c r="F1172" t="s">
        <v>5750</v>
      </c>
      <c r="H1172" t="s">
        <v>414</v>
      </c>
      <c r="M1172" t="s">
        <v>414</v>
      </c>
    </row>
    <row r="1173" spans="1:13" ht="15">
      <c r="C1173" t="s">
        <v>6727</v>
      </c>
      <c r="D1173" s="83" t="s">
        <v>5517</v>
      </c>
      <c r="E1173" t="s">
        <v>5240</v>
      </c>
      <c r="F1173" t="s">
        <v>5748</v>
      </c>
      <c r="M1173" t="s">
        <v>414</v>
      </c>
    </row>
    <row r="1174" spans="1:13" ht="15">
      <c r="A1174" t="s">
        <v>3770</v>
      </c>
      <c r="B1174" t="s">
        <v>42</v>
      </c>
      <c r="C1174" t="s">
        <v>6409</v>
      </c>
      <c r="D1174" s="83" t="s">
        <v>4140</v>
      </c>
      <c r="E1174" t="s">
        <v>5033</v>
      </c>
      <c r="F1174" t="s">
        <v>5741</v>
      </c>
      <c r="L1174" t="s">
        <v>414</v>
      </c>
      <c r="M1174" t="s">
        <v>414</v>
      </c>
    </row>
    <row r="1175" spans="1:13" ht="15">
      <c r="A1175" t="s">
        <v>3773</v>
      </c>
      <c r="B1175" t="s">
        <v>1289</v>
      </c>
      <c r="C1175" t="s">
        <v>6186</v>
      </c>
      <c r="D1175" s="83" t="s">
        <v>4140</v>
      </c>
      <c r="E1175" t="s">
        <v>5033</v>
      </c>
      <c r="F1175" t="s">
        <v>5741</v>
      </c>
      <c r="L1175" t="s">
        <v>414</v>
      </c>
      <c r="M1175" t="s">
        <v>414</v>
      </c>
    </row>
    <row r="1176" spans="1:13" ht="15">
      <c r="A1176" t="s">
        <v>3767</v>
      </c>
      <c r="B1176" t="s">
        <v>1291</v>
      </c>
      <c r="C1176" t="s">
        <v>6364</v>
      </c>
      <c r="D1176" s="83" t="s">
        <v>4140</v>
      </c>
      <c r="E1176" t="s">
        <v>5033</v>
      </c>
      <c r="F1176" t="s">
        <v>5741</v>
      </c>
      <c r="L1176" t="s">
        <v>414</v>
      </c>
      <c r="M1176" t="s">
        <v>414</v>
      </c>
    </row>
    <row r="1177" spans="1:13" ht="15">
      <c r="A1177" t="s">
        <v>4448</v>
      </c>
      <c r="B1177" s="12" t="s">
        <v>1309</v>
      </c>
      <c r="C1177" t="s">
        <v>5897</v>
      </c>
      <c r="D1177" s="83" t="s">
        <v>4140</v>
      </c>
      <c r="E1177" t="s">
        <v>5033</v>
      </c>
      <c r="F1177" t="s">
        <v>5741</v>
      </c>
      <c r="L1177" t="s">
        <v>414</v>
      </c>
      <c r="M1177" t="s">
        <v>414</v>
      </c>
    </row>
    <row r="1178" spans="1:13" ht="15">
      <c r="C1178" t="s">
        <v>6844</v>
      </c>
      <c r="D1178" s="83" t="s">
        <v>5486</v>
      </c>
      <c r="E1178" t="s">
        <v>5209</v>
      </c>
      <c r="F1178" t="s">
        <v>5750</v>
      </c>
      <c r="H1178" t="s">
        <v>414</v>
      </c>
      <c r="M1178" t="s">
        <v>414</v>
      </c>
    </row>
    <row r="1179" spans="1:13" ht="15">
      <c r="A1179" t="s">
        <v>3819</v>
      </c>
      <c r="B1179" t="s">
        <v>8313</v>
      </c>
      <c r="C1179" t="s">
        <v>6919</v>
      </c>
      <c r="D1179" s="83" t="s">
        <v>5589</v>
      </c>
      <c r="E1179" t="s">
        <v>5312</v>
      </c>
      <c r="F1179" t="s">
        <v>5748</v>
      </c>
      <c r="H1179" t="s">
        <v>414</v>
      </c>
      <c r="M1179" t="s">
        <v>414</v>
      </c>
    </row>
    <row r="1180" spans="1:13" ht="15">
      <c r="A1180" t="s">
        <v>4446</v>
      </c>
      <c r="B1180" t="s">
        <v>4445</v>
      </c>
      <c r="C1180" t="s">
        <v>6692</v>
      </c>
      <c r="D1180" s="83" t="s">
        <v>4140</v>
      </c>
      <c r="E1180" t="s">
        <v>5033</v>
      </c>
      <c r="F1180" t="s">
        <v>5741</v>
      </c>
      <c r="L1180" t="s">
        <v>414</v>
      </c>
      <c r="M1180" t="s">
        <v>414</v>
      </c>
    </row>
    <row r="1181" spans="1:13" ht="15">
      <c r="A1181" t="s">
        <v>3819</v>
      </c>
      <c r="B1181" t="s">
        <v>8313</v>
      </c>
      <c r="C1181" t="s">
        <v>6919</v>
      </c>
      <c r="D1181" s="83" t="s">
        <v>5517</v>
      </c>
      <c r="E1181" t="s">
        <v>5240</v>
      </c>
      <c r="F1181" t="s">
        <v>5748</v>
      </c>
      <c r="M1181" t="s">
        <v>414</v>
      </c>
    </row>
    <row r="1182" spans="1:13" ht="15">
      <c r="A1182" t="s">
        <v>3738</v>
      </c>
      <c r="B1182" s="74" t="s">
        <v>4300</v>
      </c>
      <c r="C1182" t="s">
        <v>6738</v>
      </c>
      <c r="D1182" s="83" t="s">
        <v>4140</v>
      </c>
      <c r="E1182" t="s">
        <v>5033</v>
      </c>
      <c r="F1182" t="s">
        <v>5741</v>
      </c>
      <c r="L1182" t="s">
        <v>414</v>
      </c>
      <c r="M1182" t="s">
        <v>414</v>
      </c>
    </row>
    <row r="1183" spans="1:13" ht="15">
      <c r="A1183" t="s">
        <v>3819</v>
      </c>
      <c r="B1183" t="s">
        <v>8313</v>
      </c>
      <c r="C1183" t="s">
        <v>6902</v>
      </c>
      <c r="D1183" s="83" t="s">
        <v>5654</v>
      </c>
      <c r="E1183" t="s">
        <v>5377</v>
      </c>
      <c r="F1183" t="s">
        <v>5748</v>
      </c>
      <c r="H1183" t="s">
        <v>414</v>
      </c>
      <c r="K1183" t="s">
        <v>414</v>
      </c>
      <c r="L1183" t="s">
        <v>414</v>
      </c>
    </row>
    <row r="1184" spans="1:13" ht="15">
      <c r="C1184" t="s">
        <v>7185</v>
      </c>
      <c r="D1184" s="83" t="s">
        <v>4196</v>
      </c>
      <c r="E1184" t="s">
        <v>5090</v>
      </c>
      <c r="F1184" t="s">
        <v>5828</v>
      </c>
      <c r="H1184" t="s">
        <v>414</v>
      </c>
    </row>
    <row r="1185" spans="1:13" ht="15">
      <c r="A1185" t="s">
        <v>3746</v>
      </c>
      <c r="B1185" s="12" t="s">
        <v>4482</v>
      </c>
      <c r="C1185" t="s">
        <v>6650</v>
      </c>
      <c r="D1185" s="83" t="s">
        <v>4140</v>
      </c>
      <c r="E1185" t="s">
        <v>5033</v>
      </c>
      <c r="F1185" t="s">
        <v>5741</v>
      </c>
      <c r="L1185" t="s">
        <v>414</v>
      </c>
      <c r="M1185" t="s">
        <v>414</v>
      </c>
    </row>
    <row r="1186" spans="1:13" ht="15">
      <c r="C1186" t="s">
        <v>7065</v>
      </c>
      <c r="D1186" s="83" t="s">
        <v>5552</v>
      </c>
      <c r="E1186" t="s">
        <v>5275</v>
      </c>
      <c r="F1186" t="s">
        <v>5750</v>
      </c>
      <c r="H1186" t="s">
        <v>414</v>
      </c>
      <c r="M1186" t="s">
        <v>414</v>
      </c>
    </row>
    <row r="1187" spans="1:13" ht="15">
      <c r="C1187" t="s">
        <v>7071</v>
      </c>
      <c r="D1187" s="83" t="s">
        <v>5562</v>
      </c>
      <c r="E1187" t="s">
        <v>5285</v>
      </c>
      <c r="F1187" t="s">
        <v>5750</v>
      </c>
      <c r="H1187" t="s">
        <v>414</v>
      </c>
      <c r="M1187" t="s">
        <v>414</v>
      </c>
    </row>
    <row r="1188" spans="1:13" ht="15">
      <c r="A1188" t="s">
        <v>4448</v>
      </c>
      <c r="B1188" s="12" t="s">
        <v>1309</v>
      </c>
      <c r="C1188" t="s">
        <v>5897</v>
      </c>
      <c r="D1188" s="83" t="s">
        <v>5464</v>
      </c>
      <c r="E1188" t="s">
        <v>5187</v>
      </c>
      <c r="F1188" t="s">
        <v>1309</v>
      </c>
    </row>
    <row r="1189" spans="1:13" ht="15">
      <c r="A1189" t="s">
        <v>3742</v>
      </c>
      <c r="B1189" s="74" t="s">
        <v>4294</v>
      </c>
      <c r="C1189" t="s">
        <v>7588</v>
      </c>
      <c r="D1189" s="83" t="s">
        <v>5562</v>
      </c>
      <c r="E1189" t="s">
        <v>5285</v>
      </c>
      <c r="F1189" t="s">
        <v>5750</v>
      </c>
      <c r="H1189" t="s">
        <v>414</v>
      </c>
      <c r="M1189" t="s">
        <v>414</v>
      </c>
    </row>
    <row r="1190" spans="1:13" ht="15">
      <c r="A1190" t="s">
        <v>3783</v>
      </c>
      <c r="B1190" t="s">
        <v>301</v>
      </c>
      <c r="C1190" t="s">
        <v>6053</v>
      </c>
      <c r="D1190" s="83" t="s">
        <v>5684</v>
      </c>
      <c r="E1190" t="s">
        <v>5407</v>
      </c>
      <c r="F1190" t="s">
        <v>5743</v>
      </c>
      <c r="M1190" t="s">
        <v>414</v>
      </c>
    </row>
    <row r="1191" spans="1:13" ht="15">
      <c r="A1191" t="s">
        <v>3819</v>
      </c>
      <c r="B1191" t="s">
        <v>8313</v>
      </c>
      <c r="C1191" t="s">
        <v>7694</v>
      </c>
      <c r="D1191" s="83" t="s">
        <v>5552</v>
      </c>
      <c r="E1191" t="s">
        <v>5275</v>
      </c>
      <c r="F1191" t="s">
        <v>5750</v>
      </c>
      <c r="H1191" t="s">
        <v>414</v>
      </c>
      <c r="M1191" t="s">
        <v>414</v>
      </c>
    </row>
    <row r="1192" spans="1:13" ht="15">
      <c r="A1192" t="s">
        <v>3739</v>
      </c>
      <c r="B1192" s="12" t="s">
        <v>33</v>
      </c>
      <c r="C1192" t="s">
        <v>6181</v>
      </c>
      <c r="D1192" s="83" t="s">
        <v>5684</v>
      </c>
      <c r="E1192" t="s">
        <v>5407</v>
      </c>
      <c r="F1192" t="s">
        <v>5743</v>
      </c>
      <c r="M1192" t="s">
        <v>414</v>
      </c>
    </row>
    <row r="1193" spans="1:13" ht="15">
      <c r="C1193" t="s">
        <v>7701</v>
      </c>
      <c r="D1193" s="83" t="s">
        <v>5552</v>
      </c>
      <c r="E1193" t="s">
        <v>5275</v>
      </c>
      <c r="F1193" t="s">
        <v>5750</v>
      </c>
      <c r="H1193" t="s">
        <v>414</v>
      </c>
      <c r="M1193" t="s">
        <v>414</v>
      </c>
    </row>
    <row r="1194" spans="1:13" ht="15">
      <c r="C1194" t="s">
        <v>7673</v>
      </c>
      <c r="D1194" s="83" t="s">
        <v>5552</v>
      </c>
      <c r="E1194" t="s">
        <v>5275</v>
      </c>
      <c r="F1194" t="s">
        <v>5750</v>
      </c>
      <c r="H1194" t="s">
        <v>414</v>
      </c>
      <c r="M1194" t="s">
        <v>414</v>
      </c>
    </row>
    <row r="1195" spans="1:13" ht="15">
      <c r="C1195" t="s">
        <v>6434</v>
      </c>
      <c r="D1195" s="83" t="s">
        <v>5517</v>
      </c>
      <c r="E1195" t="s">
        <v>5240</v>
      </c>
      <c r="F1195" t="s">
        <v>5748</v>
      </c>
      <c r="M1195" t="s">
        <v>414</v>
      </c>
    </row>
    <row r="1196" spans="1:13" ht="15">
      <c r="A1196" t="s">
        <v>3817</v>
      </c>
      <c r="B1196" t="s">
        <v>8286</v>
      </c>
      <c r="C1196" t="s">
        <v>6632</v>
      </c>
      <c r="D1196" s="83" t="s">
        <v>5453</v>
      </c>
      <c r="E1196" t="s">
        <v>5176</v>
      </c>
      <c r="F1196" t="s">
        <v>5729</v>
      </c>
      <c r="H1196" t="s">
        <v>414</v>
      </c>
      <c r="K1196" t="s">
        <v>414</v>
      </c>
      <c r="L1196" t="s">
        <v>414</v>
      </c>
    </row>
    <row r="1197" spans="1:13" ht="15">
      <c r="A1197" t="s">
        <v>4453</v>
      </c>
      <c r="B1197" s="81" t="s">
        <v>3175</v>
      </c>
      <c r="C1197" t="s">
        <v>7225</v>
      </c>
      <c r="D1197" s="83" t="s">
        <v>5596</v>
      </c>
      <c r="E1197" t="s">
        <v>5319</v>
      </c>
      <c r="F1197" t="s">
        <v>5801</v>
      </c>
    </row>
    <row r="1198" spans="1:13" ht="15">
      <c r="C1198" t="s">
        <v>6300</v>
      </c>
      <c r="D1198" s="83" t="s">
        <v>5480</v>
      </c>
      <c r="E1198" t="s">
        <v>5203</v>
      </c>
      <c r="F1198" t="s">
        <v>5748</v>
      </c>
      <c r="M1198" t="s">
        <v>414</v>
      </c>
    </row>
    <row r="1199" spans="1:13" ht="15">
      <c r="C1199" t="s">
        <v>6300</v>
      </c>
      <c r="D1199" s="83" t="s">
        <v>5514</v>
      </c>
      <c r="E1199" t="s">
        <v>5237</v>
      </c>
      <c r="F1199" t="s">
        <v>5748</v>
      </c>
      <c r="H1199" t="s">
        <v>414</v>
      </c>
      <c r="M1199" t="s">
        <v>414</v>
      </c>
    </row>
    <row r="1200" spans="1:13" ht="15">
      <c r="C1200" t="s">
        <v>6300</v>
      </c>
      <c r="D1200" s="83" t="s">
        <v>5507</v>
      </c>
      <c r="E1200" t="s">
        <v>5230</v>
      </c>
      <c r="F1200" t="s">
        <v>5748</v>
      </c>
      <c r="H1200" t="s">
        <v>414</v>
      </c>
      <c r="M1200" t="s">
        <v>414</v>
      </c>
    </row>
    <row r="1201" spans="1:13" ht="15">
      <c r="A1201" t="s">
        <v>3755</v>
      </c>
      <c r="B1201" t="s">
        <v>4533</v>
      </c>
      <c r="C1201" t="s">
        <v>6707</v>
      </c>
      <c r="D1201" s="83" t="s">
        <v>5596</v>
      </c>
      <c r="E1201" t="s">
        <v>5319</v>
      </c>
      <c r="F1201" t="s">
        <v>5801</v>
      </c>
    </row>
    <row r="1202" spans="1:13" ht="15">
      <c r="C1202" t="s">
        <v>6300</v>
      </c>
      <c r="D1202" s="83" t="s">
        <v>5525</v>
      </c>
      <c r="E1202" t="s">
        <v>5248</v>
      </c>
      <c r="F1202" t="s">
        <v>5759</v>
      </c>
      <c r="M1202" t="s">
        <v>414</v>
      </c>
    </row>
    <row r="1203" spans="1:13" ht="15">
      <c r="A1203" t="s">
        <v>4508</v>
      </c>
      <c r="B1203" t="s">
        <v>4507</v>
      </c>
      <c r="C1203" t="s">
        <v>7434</v>
      </c>
      <c r="D1203" s="83" t="s">
        <v>5596</v>
      </c>
      <c r="E1203" t="s">
        <v>5319</v>
      </c>
      <c r="F1203" t="s">
        <v>5801</v>
      </c>
    </row>
    <row r="1204" spans="1:13" ht="15">
      <c r="C1204" t="s">
        <v>6300</v>
      </c>
      <c r="D1204" s="83" t="s">
        <v>5521</v>
      </c>
      <c r="E1204" t="s">
        <v>5244</v>
      </c>
      <c r="F1204" t="s">
        <v>5748</v>
      </c>
      <c r="H1204" t="s">
        <v>414</v>
      </c>
      <c r="I1204" t="s">
        <v>414</v>
      </c>
      <c r="L1204" t="s">
        <v>414</v>
      </c>
      <c r="M1204" t="s">
        <v>414</v>
      </c>
    </row>
    <row r="1205" spans="1:13" ht="15">
      <c r="A1205" t="s">
        <v>4565</v>
      </c>
      <c r="B1205" s="12" t="s">
        <v>395</v>
      </c>
      <c r="C1205" t="s">
        <v>7475</v>
      </c>
      <c r="D1205" s="83" t="s">
        <v>5596</v>
      </c>
      <c r="E1205" t="s">
        <v>5319</v>
      </c>
      <c r="F1205" t="s">
        <v>5801</v>
      </c>
    </row>
    <row r="1206" spans="1:13" ht="15">
      <c r="C1206" t="s">
        <v>6300</v>
      </c>
      <c r="D1206" s="83" t="s">
        <v>4169</v>
      </c>
      <c r="E1206" t="s">
        <v>5063</v>
      </c>
      <c r="F1206" t="s">
        <v>5748</v>
      </c>
    </row>
    <row r="1207" spans="1:13" ht="15">
      <c r="C1207" t="s">
        <v>6853</v>
      </c>
      <c r="D1207" s="83" t="s">
        <v>5493</v>
      </c>
      <c r="E1207" t="s">
        <v>5216</v>
      </c>
      <c r="F1207" t="s">
        <v>5755</v>
      </c>
      <c r="H1207" t="s">
        <v>414</v>
      </c>
      <c r="M1207" t="s">
        <v>414</v>
      </c>
    </row>
    <row r="1208" spans="1:13" ht="15">
      <c r="C1208" t="s">
        <v>6892</v>
      </c>
      <c r="D1208" s="83" t="s">
        <v>5517</v>
      </c>
      <c r="E1208" t="s">
        <v>5240</v>
      </c>
      <c r="F1208" t="s">
        <v>5748</v>
      </c>
      <c r="M1208" t="s">
        <v>414</v>
      </c>
    </row>
    <row r="1209" spans="1:13" ht="15">
      <c r="A1209" t="s">
        <v>3817</v>
      </c>
      <c r="B1209" t="s">
        <v>8286</v>
      </c>
      <c r="C1209" t="s">
        <v>6569</v>
      </c>
      <c r="D1209" s="83" t="s">
        <v>5546</v>
      </c>
      <c r="E1209" t="s">
        <v>5269</v>
      </c>
      <c r="F1209" t="s">
        <v>5784</v>
      </c>
      <c r="L1209" t="s">
        <v>414</v>
      </c>
    </row>
    <row r="1210" spans="1:13" ht="15">
      <c r="A1210" t="s">
        <v>3817</v>
      </c>
      <c r="B1210" t="s">
        <v>8286</v>
      </c>
      <c r="C1210" t="s">
        <v>7751</v>
      </c>
      <c r="D1210" s="83" t="s">
        <v>5549</v>
      </c>
      <c r="E1210" t="s">
        <v>5272</v>
      </c>
      <c r="F1210" t="s">
        <v>5750</v>
      </c>
      <c r="H1210" t="s">
        <v>414</v>
      </c>
      <c r="L1210" t="s">
        <v>414</v>
      </c>
      <c r="M1210" t="s">
        <v>414</v>
      </c>
    </row>
    <row r="1211" spans="1:13" ht="15">
      <c r="A1211" t="s">
        <v>3817</v>
      </c>
      <c r="B1211" t="s">
        <v>8286</v>
      </c>
      <c r="C1211" t="s">
        <v>6785</v>
      </c>
      <c r="D1211" s="83" t="s">
        <v>5567</v>
      </c>
      <c r="E1211" t="s">
        <v>5290</v>
      </c>
      <c r="F1211" t="s">
        <v>5792</v>
      </c>
      <c r="H1211" t="s">
        <v>414</v>
      </c>
      <c r="L1211" t="s">
        <v>414</v>
      </c>
      <c r="M1211" t="s">
        <v>414</v>
      </c>
    </row>
    <row r="1212" spans="1:13" ht="15">
      <c r="C1212" t="s">
        <v>7606</v>
      </c>
      <c r="D1212" s="83" t="s">
        <v>5549</v>
      </c>
      <c r="E1212" t="s">
        <v>5272</v>
      </c>
      <c r="F1212" t="s">
        <v>5750</v>
      </c>
      <c r="H1212" t="s">
        <v>414</v>
      </c>
      <c r="L1212" t="s">
        <v>414</v>
      </c>
      <c r="M1212" t="s">
        <v>414</v>
      </c>
    </row>
    <row r="1213" spans="1:13" ht="15">
      <c r="C1213" t="s">
        <v>6547</v>
      </c>
      <c r="D1213" s="83" t="s">
        <v>5589</v>
      </c>
      <c r="E1213" t="s">
        <v>5312</v>
      </c>
      <c r="F1213" t="s">
        <v>5748</v>
      </c>
      <c r="H1213" t="s">
        <v>414</v>
      </c>
      <c r="M1213" t="s">
        <v>414</v>
      </c>
    </row>
    <row r="1214" spans="1:13" ht="15">
      <c r="C1214" t="s">
        <v>7708</v>
      </c>
      <c r="D1214" s="83" t="s">
        <v>5552</v>
      </c>
      <c r="E1214" t="s">
        <v>5275</v>
      </c>
      <c r="F1214" t="s">
        <v>5750</v>
      </c>
      <c r="H1214" t="s">
        <v>414</v>
      </c>
      <c r="M1214" t="s">
        <v>414</v>
      </c>
    </row>
    <row r="1215" spans="1:13" ht="15">
      <c r="C1215" t="s">
        <v>6935</v>
      </c>
      <c r="D1215" s="83" t="s">
        <v>5521</v>
      </c>
      <c r="E1215" t="s">
        <v>5244</v>
      </c>
      <c r="F1215" t="s">
        <v>5748</v>
      </c>
      <c r="H1215" t="s">
        <v>414</v>
      </c>
      <c r="I1215" t="s">
        <v>414</v>
      </c>
      <c r="L1215" t="s">
        <v>414</v>
      </c>
      <c r="M1215" t="s">
        <v>414</v>
      </c>
    </row>
    <row r="1216" spans="1:13" ht="15">
      <c r="C1216" t="s">
        <v>6870</v>
      </c>
      <c r="D1216" s="83" t="s">
        <v>5486</v>
      </c>
      <c r="E1216" t="s">
        <v>5209</v>
      </c>
      <c r="F1216" t="s">
        <v>5750</v>
      </c>
      <c r="H1216" t="s">
        <v>414</v>
      </c>
      <c r="M1216" t="s">
        <v>414</v>
      </c>
    </row>
    <row r="1217" spans="1:13" ht="15">
      <c r="C1217" t="s">
        <v>6870</v>
      </c>
      <c r="D1217" s="83" t="s">
        <v>5517</v>
      </c>
      <c r="E1217" t="s">
        <v>5240</v>
      </c>
      <c r="F1217" t="s">
        <v>5748</v>
      </c>
      <c r="M1217" t="s">
        <v>414</v>
      </c>
    </row>
    <row r="1218" spans="1:13" ht="15">
      <c r="A1218" t="s">
        <v>3773</v>
      </c>
      <c r="B1218" t="s">
        <v>1289</v>
      </c>
      <c r="C1218" t="s">
        <v>7495</v>
      </c>
      <c r="D1218" s="83" t="s">
        <v>5562</v>
      </c>
      <c r="E1218" t="s">
        <v>5285</v>
      </c>
      <c r="F1218" t="s">
        <v>5750</v>
      </c>
      <c r="H1218" t="s">
        <v>414</v>
      </c>
      <c r="M1218" t="s">
        <v>414</v>
      </c>
    </row>
    <row r="1219" spans="1:13" ht="15">
      <c r="C1219" t="s">
        <v>6950</v>
      </c>
      <c r="D1219" s="83" t="s">
        <v>5589</v>
      </c>
      <c r="E1219" t="s">
        <v>5312</v>
      </c>
      <c r="F1219" t="s">
        <v>5748</v>
      </c>
      <c r="H1219" t="s">
        <v>414</v>
      </c>
      <c r="M1219" t="s">
        <v>414</v>
      </c>
    </row>
    <row r="1220" spans="1:13" ht="15">
      <c r="A1220" t="s">
        <v>3812</v>
      </c>
      <c r="B1220" t="s">
        <v>8082</v>
      </c>
      <c r="C1220" t="s">
        <v>6436</v>
      </c>
      <c r="D1220" s="83" t="s">
        <v>5552</v>
      </c>
      <c r="E1220" t="s">
        <v>5275</v>
      </c>
      <c r="F1220" t="s">
        <v>5750</v>
      </c>
      <c r="H1220" t="s">
        <v>414</v>
      </c>
      <c r="M1220" t="s">
        <v>414</v>
      </c>
    </row>
    <row r="1221" spans="1:13" ht="15">
      <c r="A1221" t="s">
        <v>3812</v>
      </c>
      <c r="B1221" t="s">
        <v>8082</v>
      </c>
      <c r="C1221" t="s">
        <v>6436</v>
      </c>
      <c r="D1221" s="83" t="s">
        <v>5654</v>
      </c>
      <c r="E1221" t="s">
        <v>5377</v>
      </c>
      <c r="F1221" t="s">
        <v>5748</v>
      </c>
      <c r="H1221" t="s">
        <v>414</v>
      </c>
      <c r="K1221" t="s">
        <v>414</v>
      </c>
      <c r="L1221" t="s">
        <v>414</v>
      </c>
    </row>
    <row r="1222" spans="1:13" ht="15">
      <c r="A1222" t="s">
        <v>3812</v>
      </c>
      <c r="B1222" t="s">
        <v>8082</v>
      </c>
      <c r="C1222" t="s">
        <v>6255</v>
      </c>
      <c r="D1222" s="83" t="s">
        <v>5480</v>
      </c>
      <c r="E1222" t="s">
        <v>5203</v>
      </c>
      <c r="F1222" t="s">
        <v>5748</v>
      </c>
      <c r="M1222" t="s">
        <v>414</v>
      </c>
    </row>
    <row r="1223" spans="1:13" ht="15">
      <c r="A1223" t="s">
        <v>3812</v>
      </c>
      <c r="B1223" t="s">
        <v>8082</v>
      </c>
      <c r="C1223" t="s">
        <v>6255</v>
      </c>
      <c r="D1223" s="83" t="s">
        <v>5525</v>
      </c>
      <c r="E1223" t="s">
        <v>5248</v>
      </c>
      <c r="F1223" t="s">
        <v>5759</v>
      </c>
      <c r="M1223" t="s">
        <v>414</v>
      </c>
    </row>
    <row r="1224" spans="1:13" ht="15">
      <c r="A1224" t="s">
        <v>3812</v>
      </c>
      <c r="B1224" t="s">
        <v>8082</v>
      </c>
      <c r="C1224" t="s">
        <v>6255</v>
      </c>
      <c r="D1224" s="83" t="s">
        <v>5529</v>
      </c>
      <c r="E1224" t="s">
        <v>5252</v>
      </c>
      <c r="F1224" t="s">
        <v>5748</v>
      </c>
      <c r="M1224" t="s">
        <v>414</v>
      </c>
    </row>
    <row r="1225" spans="1:13" ht="15">
      <c r="A1225" t="s">
        <v>3812</v>
      </c>
      <c r="B1225" t="s">
        <v>8082</v>
      </c>
      <c r="C1225" t="s">
        <v>6258</v>
      </c>
      <c r="D1225" s="83" t="s">
        <v>5517</v>
      </c>
      <c r="E1225" t="s">
        <v>5240</v>
      </c>
      <c r="F1225" t="s">
        <v>5748</v>
      </c>
      <c r="M1225" t="s">
        <v>414</v>
      </c>
    </row>
    <row r="1226" spans="1:13" ht="15">
      <c r="A1226" t="s">
        <v>3821</v>
      </c>
      <c r="B1226" t="s">
        <v>8419</v>
      </c>
      <c r="C1226" t="s">
        <v>6554</v>
      </c>
      <c r="D1226" s="83" t="s">
        <v>5480</v>
      </c>
      <c r="E1226" t="s">
        <v>5203</v>
      </c>
      <c r="F1226" t="s">
        <v>5748</v>
      </c>
      <c r="M1226" t="s">
        <v>414</v>
      </c>
    </row>
    <row r="1227" spans="1:13" ht="15">
      <c r="A1227" t="s">
        <v>4448</v>
      </c>
      <c r="B1227" s="12" t="s">
        <v>1309</v>
      </c>
      <c r="C1227" t="s">
        <v>7609</v>
      </c>
      <c r="D1227" s="83" t="s">
        <v>5562</v>
      </c>
      <c r="E1227" t="s">
        <v>5285</v>
      </c>
      <c r="F1227" t="s">
        <v>5750</v>
      </c>
      <c r="H1227" t="s">
        <v>414</v>
      </c>
      <c r="M1227" t="s">
        <v>414</v>
      </c>
    </row>
    <row r="1228" spans="1:13" ht="15">
      <c r="A1228" t="s">
        <v>3821</v>
      </c>
      <c r="B1228" t="s">
        <v>8419</v>
      </c>
      <c r="C1228" t="s">
        <v>6554</v>
      </c>
      <c r="D1228" s="83" t="s">
        <v>5507</v>
      </c>
      <c r="E1228" t="s">
        <v>5230</v>
      </c>
      <c r="F1228" t="s">
        <v>5748</v>
      </c>
      <c r="H1228" t="s">
        <v>414</v>
      </c>
      <c r="M1228" t="s">
        <v>414</v>
      </c>
    </row>
    <row r="1229" spans="1:13" ht="15">
      <c r="A1229" t="s">
        <v>3821</v>
      </c>
      <c r="B1229" t="s">
        <v>8419</v>
      </c>
      <c r="C1229" t="s">
        <v>6554</v>
      </c>
      <c r="D1229" s="83" t="s">
        <v>5525</v>
      </c>
      <c r="E1229" t="s">
        <v>5248</v>
      </c>
      <c r="F1229" t="s">
        <v>5759</v>
      </c>
      <c r="M1229" t="s">
        <v>414</v>
      </c>
    </row>
    <row r="1230" spans="1:13" ht="15">
      <c r="A1230" t="s">
        <v>3821</v>
      </c>
      <c r="B1230" t="s">
        <v>8419</v>
      </c>
      <c r="C1230" t="s">
        <v>6554</v>
      </c>
      <c r="D1230" s="83" t="s">
        <v>5529</v>
      </c>
      <c r="E1230" t="s">
        <v>5252</v>
      </c>
      <c r="F1230" t="s">
        <v>5748</v>
      </c>
      <c r="M1230" t="s">
        <v>414</v>
      </c>
    </row>
    <row r="1231" spans="1:13" ht="15">
      <c r="C1231" t="s">
        <v>7110</v>
      </c>
      <c r="D1231" s="83" t="s">
        <v>4196</v>
      </c>
      <c r="E1231" t="s">
        <v>5090</v>
      </c>
      <c r="F1231" t="s">
        <v>5828</v>
      </c>
      <c r="H1231" t="s">
        <v>414</v>
      </c>
    </row>
    <row r="1232" spans="1:13" ht="15">
      <c r="A1232" t="s">
        <v>3738</v>
      </c>
      <c r="B1232" s="74" t="s">
        <v>4300</v>
      </c>
      <c r="C1232" t="s">
        <v>7646</v>
      </c>
      <c r="D1232" s="83" t="s">
        <v>5562</v>
      </c>
      <c r="E1232" t="s">
        <v>5285</v>
      </c>
      <c r="F1232" t="s">
        <v>5750</v>
      </c>
      <c r="H1232" t="s">
        <v>414</v>
      </c>
      <c r="M1232" t="s">
        <v>414</v>
      </c>
    </row>
    <row r="1233" spans="1:13" ht="15">
      <c r="A1233" t="s">
        <v>4443</v>
      </c>
      <c r="B1233" t="s">
        <v>4287</v>
      </c>
      <c r="C1233" t="s">
        <v>7653</v>
      </c>
      <c r="D1233" s="83" t="s">
        <v>5562</v>
      </c>
      <c r="E1233" t="s">
        <v>5285</v>
      </c>
      <c r="F1233" t="s">
        <v>5750</v>
      </c>
      <c r="H1233" t="s">
        <v>414</v>
      </c>
      <c r="M1233" t="s">
        <v>414</v>
      </c>
    </row>
    <row r="1234" spans="1:13" ht="15">
      <c r="C1234" t="s">
        <v>6414</v>
      </c>
      <c r="D1234" s="83" t="s">
        <v>5589</v>
      </c>
      <c r="E1234" t="s">
        <v>5312</v>
      </c>
      <c r="F1234" t="s">
        <v>5748</v>
      </c>
      <c r="H1234" t="s">
        <v>414</v>
      </c>
      <c r="M1234" t="s">
        <v>414</v>
      </c>
    </row>
    <row r="1235" spans="1:13" ht="15">
      <c r="A1235" t="s">
        <v>4446</v>
      </c>
      <c r="B1235" t="s">
        <v>4445</v>
      </c>
      <c r="C1235" t="s">
        <v>7667</v>
      </c>
      <c r="D1235" s="83" t="s">
        <v>5562</v>
      </c>
      <c r="E1235" t="s">
        <v>5285</v>
      </c>
      <c r="F1235" t="s">
        <v>5750</v>
      </c>
      <c r="H1235" t="s">
        <v>414</v>
      </c>
      <c r="M1235" t="s">
        <v>414</v>
      </c>
    </row>
    <row r="1236" spans="1:13" ht="15">
      <c r="C1236" t="s">
        <v>6414</v>
      </c>
      <c r="D1236" s="83" t="s">
        <v>5521</v>
      </c>
      <c r="E1236" t="s">
        <v>5244</v>
      </c>
      <c r="F1236" t="s">
        <v>5748</v>
      </c>
      <c r="H1236" t="s">
        <v>414</v>
      </c>
      <c r="I1236" t="s">
        <v>414</v>
      </c>
      <c r="L1236" t="s">
        <v>414</v>
      </c>
      <c r="M1236" t="s">
        <v>414</v>
      </c>
    </row>
    <row r="1237" spans="1:13" ht="15">
      <c r="C1237" t="s">
        <v>6868</v>
      </c>
      <c r="D1237" s="83" t="s">
        <v>5493</v>
      </c>
      <c r="E1237" t="s">
        <v>5216</v>
      </c>
      <c r="F1237" t="s">
        <v>5755</v>
      </c>
      <c r="H1237" t="s">
        <v>414</v>
      </c>
      <c r="M1237" t="s">
        <v>414</v>
      </c>
    </row>
    <row r="1238" spans="1:13" ht="15">
      <c r="A1238" t="s">
        <v>3750</v>
      </c>
      <c r="B1238" t="s">
        <v>504</v>
      </c>
      <c r="C1238" t="s">
        <v>6848</v>
      </c>
      <c r="D1238" s="83" t="s">
        <v>5857</v>
      </c>
      <c r="E1238" t="s">
        <v>7776</v>
      </c>
      <c r="F1238" t="s">
        <v>5755</v>
      </c>
      <c r="L1238" t="s">
        <v>414</v>
      </c>
    </row>
    <row r="1239" spans="1:13" ht="15">
      <c r="A1239" t="s">
        <v>3744</v>
      </c>
      <c r="B1239" t="s">
        <v>1243</v>
      </c>
      <c r="C1239" t="s">
        <v>7695</v>
      </c>
      <c r="D1239" s="83" t="s">
        <v>5562</v>
      </c>
      <c r="E1239" t="s">
        <v>5285</v>
      </c>
      <c r="F1239" t="s">
        <v>5750</v>
      </c>
      <c r="H1239" t="s">
        <v>414</v>
      </c>
      <c r="M1239" t="s">
        <v>414</v>
      </c>
    </row>
    <row r="1240" spans="1:13" ht="15">
      <c r="A1240" t="s">
        <v>3750</v>
      </c>
      <c r="B1240" t="s">
        <v>504</v>
      </c>
      <c r="C1240" t="s">
        <v>7590</v>
      </c>
      <c r="D1240" s="83" t="s">
        <v>5609</v>
      </c>
      <c r="E1240" t="s">
        <v>5332</v>
      </c>
      <c r="F1240" t="s">
        <v>5726</v>
      </c>
      <c r="H1240" t="s">
        <v>414</v>
      </c>
      <c r="I1240" t="s">
        <v>414</v>
      </c>
    </row>
    <row r="1241" spans="1:13" ht="15">
      <c r="A1241" t="s">
        <v>3750</v>
      </c>
      <c r="B1241" t="s">
        <v>504</v>
      </c>
      <c r="C1241" t="s">
        <v>6487</v>
      </c>
      <c r="D1241" s="83" t="s">
        <v>5506</v>
      </c>
      <c r="E1241" t="s">
        <v>5229</v>
      </c>
      <c r="F1241" t="s">
        <v>5766</v>
      </c>
      <c r="H1241" t="s">
        <v>414</v>
      </c>
      <c r="M1241" t="s">
        <v>414</v>
      </c>
    </row>
    <row r="1242" spans="1:13" ht="15">
      <c r="A1242" t="s">
        <v>3792</v>
      </c>
      <c r="B1242" s="12" t="s">
        <v>1288</v>
      </c>
      <c r="C1242" t="s">
        <v>6606</v>
      </c>
      <c r="D1242" s="83" t="s">
        <v>5722</v>
      </c>
      <c r="E1242" t="s">
        <v>5446</v>
      </c>
      <c r="F1242" t="s">
        <v>5835</v>
      </c>
      <c r="H1242" t="s">
        <v>414</v>
      </c>
      <c r="K1242" t="s">
        <v>414</v>
      </c>
      <c r="L1242" t="s">
        <v>414</v>
      </c>
    </row>
    <row r="1243" spans="1:13" ht="15">
      <c r="C1243" t="s">
        <v>7187</v>
      </c>
      <c r="D1243" s="83" t="s">
        <v>4188</v>
      </c>
      <c r="E1243" t="s">
        <v>5082</v>
      </c>
      <c r="F1243" t="s">
        <v>60</v>
      </c>
    </row>
    <row r="1244" spans="1:13" ht="15">
      <c r="A1244" t="s">
        <v>3792</v>
      </c>
      <c r="B1244" s="12" t="s">
        <v>1288</v>
      </c>
      <c r="C1244" t="s">
        <v>6095</v>
      </c>
      <c r="D1244" s="83" t="s">
        <v>5491</v>
      </c>
      <c r="E1244" t="s">
        <v>5214</v>
      </c>
      <c r="F1244" t="s">
        <v>5753</v>
      </c>
    </row>
    <row r="1245" spans="1:13" ht="15">
      <c r="A1245" t="s">
        <v>3792</v>
      </c>
      <c r="B1245" s="12" t="s">
        <v>1288</v>
      </c>
      <c r="C1245" t="s">
        <v>6095</v>
      </c>
      <c r="D1245" s="83" t="s">
        <v>5640</v>
      </c>
      <c r="E1245" t="s">
        <v>5363</v>
      </c>
      <c r="F1245" t="s">
        <v>5753</v>
      </c>
      <c r="K1245" t="s">
        <v>414</v>
      </c>
      <c r="M1245" t="s">
        <v>414</v>
      </c>
    </row>
    <row r="1246" spans="1:13" ht="15">
      <c r="C1246" t="s">
        <v>5916</v>
      </c>
      <c r="D1246" s="83" t="s">
        <v>5499</v>
      </c>
      <c r="E1246" t="s">
        <v>5222</v>
      </c>
      <c r="F1246" t="s">
        <v>5730</v>
      </c>
      <c r="L1246" t="s">
        <v>414</v>
      </c>
    </row>
    <row r="1247" spans="1:13" ht="15">
      <c r="C1247" t="s">
        <v>6811</v>
      </c>
      <c r="D1247" s="83" t="s">
        <v>5666</v>
      </c>
      <c r="E1247" t="s">
        <v>5389</v>
      </c>
      <c r="F1247" t="s">
        <v>60</v>
      </c>
      <c r="H1247" t="s">
        <v>414</v>
      </c>
      <c r="I1247" t="s">
        <v>414</v>
      </c>
    </row>
    <row r="1248" spans="1:13" ht="15">
      <c r="A1248" t="s">
        <v>3773</v>
      </c>
      <c r="B1248" t="s">
        <v>1289</v>
      </c>
      <c r="C1248" t="s">
        <v>7430</v>
      </c>
      <c r="D1248" s="83" t="s">
        <v>5552</v>
      </c>
      <c r="E1248" t="s">
        <v>5275</v>
      </c>
      <c r="F1248" t="s">
        <v>5750</v>
      </c>
      <c r="H1248" t="s">
        <v>414</v>
      </c>
      <c r="M1248" t="s">
        <v>414</v>
      </c>
    </row>
    <row r="1249" spans="1:13" ht="15">
      <c r="C1249" t="s">
        <v>6108</v>
      </c>
      <c r="D1249" s="83" t="s">
        <v>4190</v>
      </c>
      <c r="E1249" t="s">
        <v>5084</v>
      </c>
      <c r="F1249" t="s">
        <v>5754</v>
      </c>
      <c r="K1249" t="s">
        <v>414</v>
      </c>
      <c r="L1249" t="s">
        <v>414</v>
      </c>
    </row>
    <row r="1250" spans="1:13" ht="15">
      <c r="C1250" t="s">
        <v>6243</v>
      </c>
      <c r="D1250" s="83" t="s">
        <v>5510</v>
      </c>
      <c r="E1250" t="s">
        <v>5233</v>
      </c>
      <c r="F1250" t="s">
        <v>5768</v>
      </c>
      <c r="H1250" t="s">
        <v>414</v>
      </c>
      <c r="M1250" t="s">
        <v>414</v>
      </c>
    </row>
    <row r="1251" spans="1:13" ht="15">
      <c r="A1251" t="s">
        <v>3750</v>
      </c>
      <c r="B1251" t="s">
        <v>504</v>
      </c>
      <c r="C1251" t="s">
        <v>6189</v>
      </c>
      <c r="D1251" s="83" t="s">
        <v>5673</v>
      </c>
      <c r="E1251" t="s">
        <v>5396</v>
      </c>
      <c r="F1251" t="s">
        <v>5832</v>
      </c>
    </row>
    <row r="1252" spans="1:13" ht="15">
      <c r="A1252" t="s">
        <v>3792</v>
      </c>
      <c r="B1252" s="12" t="s">
        <v>1288</v>
      </c>
      <c r="C1252" t="s">
        <v>6217</v>
      </c>
      <c r="D1252" s="83" t="s">
        <v>5610</v>
      </c>
      <c r="E1252" t="s">
        <v>5333</v>
      </c>
      <c r="F1252" t="s">
        <v>5809</v>
      </c>
      <c r="H1252" t="s">
        <v>414</v>
      </c>
      <c r="K1252" t="s">
        <v>414</v>
      </c>
    </row>
    <row r="1253" spans="1:13" ht="15">
      <c r="A1253" t="s">
        <v>3792</v>
      </c>
      <c r="B1253" s="12" t="s">
        <v>1288</v>
      </c>
      <c r="C1253" t="s">
        <v>6415</v>
      </c>
      <c r="D1253" s="83" t="s">
        <v>4143</v>
      </c>
      <c r="E1253" t="s">
        <v>5036</v>
      </c>
      <c r="F1253" t="s">
        <v>5785</v>
      </c>
      <c r="H1253" t="s">
        <v>414</v>
      </c>
      <c r="K1253" t="s">
        <v>414</v>
      </c>
      <c r="M1253" t="s">
        <v>414</v>
      </c>
    </row>
    <row r="1254" spans="1:13" ht="15">
      <c r="C1254" t="s">
        <v>6101</v>
      </c>
      <c r="D1254" s="83" t="s">
        <v>5610</v>
      </c>
      <c r="E1254" t="s">
        <v>5333</v>
      </c>
      <c r="F1254" t="s">
        <v>5809</v>
      </c>
      <c r="H1254" t="s">
        <v>414</v>
      </c>
      <c r="K1254" t="s">
        <v>414</v>
      </c>
    </row>
    <row r="1255" spans="1:13" ht="15">
      <c r="C1255" t="s">
        <v>6293</v>
      </c>
      <c r="D1255" s="83" t="s">
        <v>5672</v>
      </c>
      <c r="E1255" t="s">
        <v>5395</v>
      </c>
      <c r="F1255" t="s">
        <v>5831</v>
      </c>
      <c r="H1255" t="s">
        <v>414</v>
      </c>
    </row>
    <row r="1256" spans="1:13" ht="15">
      <c r="A1256" t="s">
        <v>3792</v>
      </c>
      <c r="B1256" s="12" t="s">
        <v>1288</v>
      </c>
      <c r="C1256" t="s">
        <v>7184</v>
      </c>
      <c r="D1256" s="83" t="s">
        <v>5665</v>
      </c>
      <c r="E1256" t="s">
        <v>5388</v>
      </c>
      <c r="F1256" t="s">
        <v>5780</v>
      </c>
    </row>
    <row r="1257" spans="1:13" ht="15">
      <c r="C1257" t="s">
        <v>7246</v>
      </c>
      <c r="D1257" s="83" t="s">
        <v>5707</v>
      </c>
      <c r="E1257" t="s">
        <v>5431</v>
      </c>
      <c r="F1257" t="s">
        <v>5841</v>
      </c>
      <c r="H1257" t="s">
        <v>414</v>
      </c>
      <c r="M1257" t="s">
        <v>414</v>
      </c>
    </row>
    <row r="1258" spans="1:13" ht="15">
      <c r="C1258" t="s">
        <v>7199</v>
      </c>
      <c r="D1258" s="83" t="s">
        <v>5707</v>
      </c>
      <c r="E1258" t="s">
        <v>5431</v>
      </c>
      <c r="F1258" t="s">
        <v>5841</v>
      </c>
      <c r="H1258" t="s">
        <v>414</v>
      </c>
      <c r="M1258" t="s">
        <v>414</v>
      </c>
    </row>
    <row r="1259" spans="1:13" ht="15">
      <c r="C1259" t="s">
        <v>7333</v>
      </c>
      <c r="D1259" s="83" t="s">
        <v>5707</v>
      </c>
      <c r="E1259" t="s">
        <v>5431</v>
      </c>
      <c r="F1259" t="s">
        <v>5841</v>
      </c>
      <c r="H1259" t="s">
        <v>414</v>
      </c>
      <c r="M1259" t="s">
        <v>414</v>
      </c>
    </row>
    <row r="1260" spans="1:13" ht="15">
      <c r="C1260" t="s">
        <v>7394</v>
      </c>
      <c r="D1260" s="83" t="s">
        <v>5707</v>
      </c>
      <c r="E1260" t="s">
        <v>5431</v>
      </c>
      <c r="F1260" t="s">
        <v>5841</v>
      </c>
      <c r="H1260" t="s">
        <v>414</v>
      </c>
      <c r="M1260" t="s">
        <v>414</v>
      </c>
    </row>
    <row r="1261" spans="1:13" ht="15">
      <c r="A1261" t="s">
        <v>3738</v>
      </c>
      <c r="B1261" s="74" t="s">
        <v>4300</v>
      </c>
      <c r="C1261" t="s">
        <v>7613</v>
      </c>
      <c r="D1261" s="83" t="s">
        <v>5552</v>
      </c>
      <c r="E1261" t="s">
        <v>5275</v>
      </c>
      <c r="F1261" t="s">
        <v>5750</v>
      </c>
      <c r="H1261" t="s">
        <v>414</v>
      </c>
      <c r="M1261" t="s">
        <v>414</v>
      </c>
    </row>
    <row r="1262" spans="1:13" ht="15">
      <c r="A1262" t="s">
        <v>4443</v>
      </c>
      <c r="B1262" t="s">
        <v>4287</v>
      </c>
      <c r="C1262" t="s">
        <v>6583</v>
      </c>
      <c r="D1262" s="83" t="s">
        <v>5552</v>
      </c>
      <c r="E1262" t="s">
        <v>5275</v>
      </c>
      <c r="F1262" t="s">
        <v>5750</v>
      </c>
      <c r="H1262" t="s">
        <v>414</v>
      </c>
      <c r="M1262" t="s">
        <v>414</v>
      </c>
    </row>
    <row r="1263" spans="1:13" ht="15">
      <c r="C1263" t="s">
        <v>7366</v>
      </c>
      <c r="D1263" s="83" t="s">
        <v>5707</v>
      </c>
      <c r="E1263" t="s">
        <v>5431</v>
      </c>
      <c r="F1263" t="s">
        <v>5841</v>
      </c>
      <c r="H1263" t="s">
        <v>414</v>
      </c>
      <c r="M1263" t="s">
        <v>414</v>
      </c>
    </row>
    <row r="1264" spans="1:13" ht="15">
      <c r="C1264" t="s">
        <v>7294</v>
      </c>
      <c r="D1264" s="83" t="s">
        <v>5707</v>
      </c>
      <c r="E1264" t="s">
        <v>5431</v>
      </c>
      <c r="F1264" t="s">
        <v>5841</v>
      </c>
      <c r="H1264" t="s">
        <v>414</v>
      </c>
      <c r="M1264" t="s">
        <v>414</v>
      </c>
    </row>
    <row r="1265" spans="1:13" ht="15">
      <c r="C1265" t="s">
        <v>7127</v>
      </c>
      <c r="D1265" s="83" t="s">
        <v>5707</v>
      </c>
      <c r="E1265" t="s">
        <v>5431</v>
      </c>
      <c r="F1265" t="s">
        <v>5841</v>
      </c>
      <c r="H1265" t="s">
        <v>414</v>
      </c>
      <c r="M1265" t="s">
        <v>414</v>
      </c>
    </row>
    <row r="1266" spans="1:13" ht="15">
      <c r="C1266" t="s">
        <v>7422</v>
      </c>
      <c r="D1266" s="83" t="s">
        <v>5707</v>
      </c>
      <c r="E1266" t="s">
        <v>5431</v>
      </c>
      <c r="F1266" t="s">
        <v>5841</v>
      </c>
      <c r="H1266" t="s">
        <v>414</v>
      </c>
      <c r="M1266" t="s">
        <v>414</v>
      </c>
    </row>
    <row r="1267" spans="1:13" ht="15">
      <c r="C1267" t="s">
        <v>6798</v>
      </c>
      <c r="D1267" s="83" t="s">
        <v>5857</v>
      </c>
      <c r="E1267" t="s">
        <v>7776</v>
      </c>
      <c r="F1267" t="s">
        <v>5755</v>
      </c>
      <c r="L1267" t="s">
        <v>414</v>
      </c>
    </row>
    <row r="1268" spans="1:13" ht="15">
      <c r="C1268" t="s">
        <v>7044</v>
      </c>
      <c r="D1268" s="83" t="s">
        <v>5523</v>
      </c>
      <c r="E1268" t="s">
        <v>5246</v>
      </c>
      <c r="F1268" t="s">
        <v>5743</v>
      </c>
      <c r="H1268" t="s">
        <v>414</v>
      </c>
      <c r="I1268" t="s">
        <v>414</v>
      </c>
      <c r="M1268" t="s">
        <v>414</v>
      </c>
    </row>
    <row r="1269" spans="1:13" ht="15">
      <c r="C1269" t="s">
        <v>7150</v>
      </c>
      <c r="D1269" s="83" t="s">
        <v>5523</v>
      </c>
      <c r="E1269" t="s">
        <v>5246</v>
      </c>
      <c r="F1269" t="s">
        <v>5743</v>
      </c>
      <c r="H1269" t="s">
        <v>414</v>
      </c>
      <c r="I1269" t="s">
        <v>414</v>
      </c>
      <c r="M1269" t="s">
        <v>414</v>
      </c>
    </row>
    <row r="1270" spans="1:13" ht="15">
      <c r="C1270" t="s">
        <v>5906</v>
      </c>
      <c r="D1270" s="83" t="s">
        <v>5620</v>
      </c>
      <c r="E1270" t="s">
        <v>5343</v>
      </c>
      <c r="F1270" t="s">
        <v>5743</v>
      </c>
      <c r="H1270" t="s">
        <v>414</v>
      </c>
      <c r="K1270" t="s">
        <v>414</v>
      </c>
      <c r="L1270" t="s">
        <v>414</v>
      </c>
    </row>
    <row r="1271" spans="1:13" ht="15">
      <c r="C1271" t="s">
        <v>7209</v>
      </c>
      <c r="D1271" s="83" t="s">
        <v>5523</v>
      </c>
      <c r="E1271" t="s">
        <v>5246</v>
      </c>
      <c r="F1271" t="s">
        <v>5743</v>
      </c>
      <c r="H1271" t="s">
        <v>414</v>
      </c>
      <c r="I1271" t="s">
        <v>414</v>
      </c>
      <c r="M1271" t="s">
        <v>414</v>
      </c>
    </row>
    <row r="1272" spans="1:13" ht="15">
      <c r="C1272" t="s">
        <v>7257</v>
      </c>
      <c r="D1272" s="83" t="s">
        <v>5523</v>
      </c>
      <c r="E1272" t="s">
        <v>5246</v>
      </c>
      <c r="F1272" t="s">
        <v>5743</v>
      </c>
      <c r="H1272" t="s">
        <v>414</v>
      </c>
      <c r="I1272" t="s">
        <v>414</v>
      </c>
      <c r="M1272" t="s">
        <v>414</v>
      </c>
    </row>
    <row r="1273" spans="1:13" ht="15">
      <c r="C1273" t="s">
        <v>6091</v>
      </c>
      <c r="D1273" s="83" t="s">
        <v>5620</v>
      </c>
      <c r="E1273" t="s">
        <v>5343</v>
      </c>
      <c r="F1273" t="s">
        <v>5743</v>
      </c>
      <c r="H1273" t="s">
        <v>414</v>
      </c>
      <c r="K1273" t="s">
        <v>414</v>
      </c>
      <c r="L1273" t="s">
        <v>414</v>
      </c>
    </row>
    <row r="1274" spans="1:13" ht="15">
      <c r="C1274" t="s">
        <v>7302</v>
      </c>
      <c r="D1274" s="83" t="s">
        <v>5523</v>
      </c>
      <c r="E1274" t="s">
        <v>5246</v>
      </c>
      <c r="F1274" t="s">
        <v>5743</v>
      </c>
      <c r="H1274" t="s">
        <v>414</v>
      </c>
      <c r="I1274" t="s">
        <v>414</v>
      </c>
      <c r="M1274" t="s">
        <v>414</v>
      </c>
    </row>
    <row r="1275" spans="1:13" ht="15">
      <c r="A1275" t="s">
        <v>3739</v>
      </c>
      <c r="B1275" s="12" t="s">
        <v>33</v>
      </c>
      <c r="C1275" t="s">
        <v>6181</v>
      </c>
      <c r="D1275" s="83" t="s">
        <v>5552</v>
      </c>
      <c r="E1275" t="s">
        <v>5275</v>
      </c>
      <c r="F1275" t="s">
        <v>5750</v>
      </c>
      <c r="H1275" t="s">
        <v>414</v>
      </c>
      <c r="M1275" t="s">
        <v>414</v>
      </c>
    </row>
    <row r="1276" spans="1:13" ht="15">
      <c r="A1276" t="s">
        <v>3740</v>
      </c>
      <c r="B1276" t="s">
        <v>3444</v>
      </c>
      <c r="C1276" t="s">
        <v>6400</v>
      </c>
      <c r="D1276" s="83" t="s">
        <v>5552</v>
      </c>
      <c r="E1276" t="s">
        <v>5275</v>
      </c>
      <c r="F1276" t="s">
        <v>5750</v>
      </c>
      <c r="H1276" t="s">
        <v>414</v>
      </c>
      <c r="M1276" t="s">
        <v>414</v>
      </c>
    </row>
    <row r="1277" spans="1:13" ht="15">
      <c r="C1277" t="s">
        <v>6206</v>
      </c>
      <c r="D1277" s="83" t="s">
        <v>5620</v>
      </c>
      <c r="E1277" t="s">
        <v>5343</v>
      </c>
      <c r="F1277" t="s">
        <v>5743</v>
      </c>
      <c r="H1277" t="s">
        <v>414</v>
      </c>
      <c r="K1277" t="s">
        <v>414</v>
      </c>
      <c r="L1277" t="s">
        <v>414</v>
      </c>
    </row>
    <row r="1278" spans="1:13" ht="15">
      <c r="C1278" t="s">
        <v>5972</v>
      </c>
      <c r="D1278" s="83" t="s">
        <v>5472</v>
      </c>
      <c r="E1278" t="s">
        <v>5195</v>
      </c>
      <c r="F1278" t="s">
        <v>5743</v>
      </c>
      <c r="M1278" t="s">
        <v>414</v>
      </c>
    </row>
    <row r="1279" spans="1:13" ht="15">
      <c r="C1279" t="s">
        <v>6125</v>
      </c>
      <c r="D1279" s="83" t="s">
        <v>5472</v>
      </c>
      <c r="E1279" t="s">
        <v>5195</v>
      </c>
      <c r="F1279" t="s">
        <v>5743</v>
      </c>
      <c r="M1279" t="s">
        <v>414</v>
      </c>
    </row>
    <row r="1280" spans="1:13" ht="15">
      <c r="C1280" t="s">
        <v>6239</v>
      </c>
      <c r="D1280" s="83" t="s">
        <v>5472</v>
      </c>
      <c r="E1280" t="s">
        <v>5195</v>
      </c>
      <c r="F1280" t="s">
        <v>5743</v>
      </c>
      <c r="M1280" t="s">
        <v>414</v>
      </c>
    </row>
    <row r="1281" spans="3:13" ht="15">
      <c r="C1281" t="s">
        <v>6337</v>
      </c>
      <c r="D1281" s="83" t="s">
        <v>5472</v>
      </c>
      <c r="E1281" t="s">
        <v>5195</v>
      </c>
      <c r="F1281" t="s">
        <v>5743</v>
      </c>
      <c r="M1281" t="s">
        <v>414</v>
      </c>
    </row>
    <row r="1282" spans="3:13" ht="15">
      <c r="C1282" t="s">
        <v>6420</v>
      </c>
      <c r="D1282" s="83" t="s">
        <v>5472</v>
      </c>
      <c r="E1282" t="s">
        <v>5195</v>
      </c>
      <c r="F1282" t="s">
        <v>5743</v>
      </c>
      <c r="M1282" t="s">
        <v>414</v>
      </c>
    </row>
    <row r="1283" spans="3:13" ht="15">
      <c r="C1283" t="s">
        <v>6485</v>
      </c>
      <c r="D1283" s="83" t="s">
        <v>5472</v>
      </c>
      <c r="E1283" t="s">
        <v>5195</v>
      </c>
      <c r="F1283" t="s">
        <v>5743</v>
      </c>
      <c r="M1283" t="s">
        <v>414</v>
      </c>
    </row>
    <row r="1284" spans="3:13" ht="15">
      <c r="C1284" t="s">
        <v>7051</v>
      </c>
      <c r="D1284" s="83" t="s">
        <v>5533</v>
      </c>
      <c r="E1284" t="s">
        <v>5256</v>
      </c>
      <c r="F1284" t="s">
        <v>5777</v>
      </c>
      <c r="M1284" t="s">
        <v>414</v>
      </c>
    </row>
    <row r="1285" spans="3:13" ht="15">
      <c r="C1285" t="s">
        <v>7059</v>
      </c>
      <c r="D1285" s="83" t="s">
        <v>4187</v>
      </c>
      <c r="E1285" t="s">
        <v>5081</v>
      </c>
      <c r="F1285" t="s">
        <v>1309</v>
      </c>
      <c r="K1285" t="s">
        <v>414</v>
      </c>
      <c r="M1285" t="s">
        <v>414</v>
      </c>
    </row>
    <row r="1286" spans="3:13" ht="15">
      <c r="C1286" t="s">
        <v>7059</v>
      </c>
      <c r="D1286" s="83" t="s">
        <v>5704</v>
      </c>
      <c r="E1286" t="s">
        <v>5428</v>
      </c>
      <c r="F1286" t="s">
        <v>1309</v>
      </c>
      <c r="M1286" t="s">
        <v>414</v>
      </c>
    </row>
    <row r="1287" spans="3:13" ht="15">
      <c r="C1287" t="s">
        <v>6839</v>
      </c>
      <c r="D1287" s="83" t="s">
        <v>5865</v>
      </c>
      <c r="E1287" t="s">
        <v>7786</v>
      </c>
      <c r="F1287" t="s">
        <v>5748</v>
      </c>
      <c r="G1287" t="s">
        <v>414</v>
      </c>
      <c r="H1287" t="s">
        <v>414</v>
      </c>
      <c r="K1287" t="s">
        <v>414</v>
      </c>
      <c r="L1287" t="s">
        <v>414</v>
      </c>
    </row>
    <row r="1288" spans="3:13" ht="15">
      <c r="C1288" t="s">
        <v>6472</v>
      </c>
      <c r="D1288" s="83" t="s">
        <v>5865</v>
      </c>
      <c r="E1288" t="s">
        <v>7786</v>
      </c>
      <c r="F1288" t="s">
        <v>5748</v>
      </c>
      <c r="G1288" t="s">
        <v>414</v>
      </c>
      <c r="H1288" t="s">
        <v>414</v>
      </c>
      <c r="K1288" t="s">
        <v>414</v>
      </c>
      <c r="L1288" t="s">
        <v>414</v>
      </c>
    </row>
    <row r="1289" spans="3:13" ht="15">
      <c r="C1289" t="s">
        <v>6472</v>
      </c>
      <c r="D1289" s="83" t="s">
        <v>5654</v>
      </c>
      <c r="E1289" t="s">
        <v>5377</v>
      </c>
      <c r="F1289" t="s">
        <v>5748</v>
      </c>
      <c r="H1289" t="s">
        <v>414</v>
      </c>
      <c r="K1289" t="s">
        <v>414</v>
      </c>
      <c r="L1289" t="s">
        <v>414</v>
      </c>
    </row>
    <row r="1290" spans="3:13" ht="15">
      <c r="C1290" t="s">
        <v>1282</v>
      </c>
      <c r="D1290" t="str">
        <f>_xlfn.XLOOKUP(E1290,HCP_evidence!H:H,HCP_evidence!I:I)</f>
        <v>https://www.gercor.com/premices-g-109-prodige-84-2/</v>
      </c>
      <c r="E1290" t="s">
        <v>1278</v>
      </c>
      <c r="G1290" t="str" cm="1">
        <f t="array" ref="G1290">_xlfn.XLOOKUP(E1290,HCP_evidence!H:H,IF(HCP_evidence!M:M="Yes","Yes",""))</f>
        <v/>
      </c>
      <c r="H1290" t="str" cm="1">
        <f t="array" ref="H1290">_xlfn.XLOOKUP(E1290,HCP_evidence!H:H,IF(HCP_evidence!K:K="Yes","Yes",""))</f>
        <v>Yes</v>
      </c>
      <c r="I1290" t="str" cm="1">
        <f t="array" ref="I1290">_xlfn.XLOOKUP(E1290,HCP_evidence!H:H,IF(HCP_evidence!J:J="Yes","Yes",""))</f>
        <v/>
      </c>
      <c r="J1290" t="e">
        <f>IF(OR(K1290="Yes",L1290="Yes"),"Yes","")</f>
        <v>#REF!</v>
      </c>
      <c r="K1290" t="e" cm="1">
        <f t="array" ref="K1290">_xlfn.XLOOKUP(E1290,HCP_evidence!H:H,IF(HCP_evidence!#REF!="Yes","Yes",""))</f>
        <v>#REF!</v>
      </c>
      <c r="L1290" t="e" cm="1">
        <f t="array" ref="L1290">_xlfn.XLOOKUP(E1290,HCP_evidence!H:H,IF(HCP_evidence!#REF!="Yes","Yes",""))</f>
        <v>#REF!</v>
      </c>
      <c r="M1290" t="str" cm="1">
        <f t="array" ref="M1290">_xlfn.XLOOKUP(E1290,HCP_evidence!H:H,IF(HCP_evidence!N:N="Yes","Yes",""))</f>
        <v/>
      </c>
    </row>
    <row r="1291" spans="3:13" ht="15">
      <c r="C1291" t="s">
        <v>6536</v>
      </c>
      <c r="D1291" s="83" t="s">
        <v>5868</v>
      </c>
      <c r="E1291" t="s">
        <v>7789</v>
      </c>
      <c r="F1291" t="s">
        <v>5748</v>
      </c>
      <c r="L1291" t="s">
        <v>414</v>
      </c>
    </row>
    <row r="1292" spans="3:13" ht="15">
      <c r="C1292" t="s">
        <v>7664</v>
      </c>
      <c r="D1292" s="83" t="s">
        <v>5526</v>
      </c>
      <c r="E1292" t="s">
        <v>5249</v>
      </c>
      <c r="F1292" t="s">
        <v>5773</v>
      </c>
      <c r="H1292" t="s">
        <v>414</v>
      </c>
      <c r="M1292" t="s">
        <v>414</v>
      </c>
    </row>
    <row r="1293" spans="3:13" ht="15">
      <c r="C1293" t="s">
        <v>7630</v>
      </c>
      <c r="D1293" s="83" t="s">
        <v>5557</v>
      </c>
      <c r="E1293" t="s">
        <v>5280</v>
      </c>
      <c r="F1293" t="s">
        <v>5755</v>
      </c>
      <c r="M1293" t="s">
        <v>414</v>
      </c>
    </row>
    <row r="1294" spans="3:13" ht="15">
      <c r="C1294" t="s">
        <v>7592</v>
      </c>
      <c r="D1294" s="83" t="s">
        <v>4150</v>
      </c>
      <c r="E1294" t="s">
        <v>5043</v>
      </c>
      <c r="F1294" t="s">
        <v>31</v>
      </c>
    </row>
    <row r="1295" spans="3:13" ht="15">
      <c r="C1295" t="s">
        <v>6301</v>
      </c>
      <c r="D1295" s="83" t="s">
        <v>5605</v>
      </c>
      <c r="E1295" t="s">
        <v>5328</v>
      </c>
      <c r="F1295" t="s">
        <v>5806</v>
      </c>
      <c r="L1295" t="s">
        <v>414</v>
      </c>
    </row>
    <row r="1296" spans="3:13" ht="15">
      <c r="C1296" t="s">
        <v>6401</v>
      </c>
      <c r="D1296" s="83" t="s">
        <v>5634</v>
      </c>
      <c r="E1296" t="s">
        <v>5357</v>
      </c>
      <c r="F1296" t="s">
        <v>5811</v>
      </c>
      <c r="H1296" t="s">
        <v>414</v>
      </c>
      <c r="L1296" t="s">
        <v>414</v>
      </c>
      <c r="M1296" t="s">
        <v>414</v>
      </c>
    </row>
    <row r="1297" spans="1:13" ht="15">
      <c r="C1297" t="s">
        <v>7666</v>
      </c>
      <c r="D1297" s="83" t="s">
        <v>5557</v>
      </c>
      <c r="E1297" t="s">
        <v>5280</v>
      </c>
      <c r="F1297" t="s">
        <v>5755</v>
      </c>
      <c r="M1297" t="s">
        <v>414</v>
      </c>
    </row>
    <row r="1298" spans="1:13" ht="15">
      <c r="C1298" t="s">
        <v>6874</v>
      </c>
      <c r="D1298" s="83" t="s">
        <v>5857</v>
      </c>
      <c r="E1298" t="s">
        <v>7776</v>
      </c>
      <c r="F1298" t="s">
        <v>5755</v>
      </c>
      <c r="L1298" t="s">
        <v>414</v>
      </c>
    </row>
    <row r="1299" spans="1:13" ht="15">
      <c r="C1299" t="s">
        <v>5892</v>
      </c>
      <c r="D1299" s="83" t="s">
        <v>5455</v>
      </c>
      <c r="E1299" t="s">
        <v>5178</v>
      </c>
      <c r="F1299" t="s">
        <v>5731</v>
      </c>
    </row>
    <row r="1300" spans="1:13" ht="15">
      <c r="C1300" t="s">
        <v>5892</v>
      </c>
      <c r="D1300" s="83" t="s">
        <v>5478</v>
      </c>
      <c r="E1300" t="s">
        <v>5201</v>
      </c>
      <c r="F1300" t="s">
        <v>5731</v>
      </c>
      <c r="H1300" t="s">
        <v>414</v>
      </c>
      <c r="L1300" t="s">
        <v>414</v>
      </c>
    </row>
    <row r="1301" spans="1:13" ht="15">
      <c r="C1301" t="s">
        <v>7200</v>
      </c>
      <c r="D1301" s="83" t="s">
        <v>4137</v>
      </c>
      <c r="E1301" t="s">
        <v>5031</v>
      </c>
      <c r="F1301" t="s">
        <v>60</v>
      </c>
    </row>
    <row r="1302" spans="1:13" ht="15">
      <c r="A1302" t="s">
        <v>4450</v>
      </c>
      <c r="B1302" t="s">
        <v>3356</v>
      </c>
      <c r="C1302" t="s">
        <v>7628</v>
      </c>
      <c r="D1302" s="83" t="s">
        <v>5549</v>
      </c>
      <c r="E1302" t="s">
        <v>5272</v>
      </c>
      <c r="F1302" t="s">
        <v>5750</v>
      </c>
      <c r="H1302" t="s">
        <v>414</v>
      </c>
      <c r="L1302" t="s">
        <v>414</v>
      </c>
      <c r="M1302" t="s">
        <v>414</v>
      </c>
    </row>
    <row r="1303" spans="1:13" ht="15">
      <c r="C1303" t="s">
        <v>7424</v>
      </c>
      <c r="D1303" s="83" t="s">
        <v>4150</v>
      </c>
      <c r="E1303" t="s">
        <v>5043</v>
      </c>
      <c r="F1303" t="s">
        <v>31</v>
      </c>
    </row>
    <row r="1304" spans="1:13" ht="15">
      <c r="A1304" t="s">
        <v>4453</v>
      </c>
      <c r="B1304" s="81" t="s">
        <v>3175</v>
      </c>
      <c r="C1304" t="s">
        <v>7644</v>
      </c>
      <c r="D1304" s="83" t="s">
        <v>5549</v>
      </c>
      <c r="E1304" t="s">
        <v>5272</v>
      </c>
      <c r="F1304" t="s">
        <v>5750</v>
      </c>
      <c r="H1304" t="s">
        <v>414</v>
      </c>
      <c r="L1304" t="s">
        <v>414</v>
      </c>
      <c r="M1304" t="s">
        <v>414</v>
      </c>
    </row>
    <row r="1305" spans="1:13" ht="15">
      <c r="C1305" t="s">
        <v>6630</v>
      </c>
      <c r="D1305" s="83" t="s">
        <v>5628</v>
      </c>
      <c r="E1305" t="s">
        <v>5351</v>
      </c>
      <c r="F1305" t="s">
        <v>5748</v>
      </c>
      <c r="K1305" t="s">
        <v>414</v>
      </c>
      <c r="L1305" t="s">
        <v>414</v>
      </c>
    </row>
    <row r="1306" spans="1:13" ht="15">
      <c r="A1306" t="s">
        <v>3753</v>
      </c>
      <c r="B1306" t="s">
        <v>4296</v>
      </c>
      <c r="C1306" t="s">
        <v>6471</v>
      </c>
      <c r="D1306" s="83" t="s">
        <v>5864</v>
      </c>
      <c r="E1306" t="s">
        <v>7784</v>
      </c>
      <c r="F1306" t="s">
        <v>7785</v>
      </c>
      <c r="H1306" t="s">
        <v>414</v>
      </c>
      <c r="L1306" t="s">
        <v>414</v>
      </c>
    </row>
    <row r="1307" spans="1:13" ht="15">
      <c r="C1307" t="s">
        <v>7724</v>
      </c>
      <c r="D1307" s="83" t="s">
        <v>5549</v>
      </c>
      <c r="E1307" t="s">
        <v>5272</v>
      </c>
      <c r="F1307" t="s">
        <v>5750</v>
      </c>
      <c r="H1307" t="s">
        <v>414</v>
      </c>
      <c r="L1307" t="s">
        <v>414</v>
      </c>
      <c r="M1307" t="s">
        <v>414</v>
      </c>
    </row>
    <row r="1308" spans="1:13" ht="15">
      <c r="A1308" t="s">
        <v>3755</v>
      </c>
      <c r="B1308" t="s">
        <v>4533</v>
      </c>
      <c r="C1308" t="s">
        <v>7672</v>
      </c>
      <c r="D1308" s="83" t="s">
        <v>5549</v>
      </c>
      <c r="E1308" t="s">
        <v>5272</v>
      </c>
      <c r="F1308" t="s">
        <v>5750</v>
      </c>
      <c r="H1308" t="s">
        <v>414</v>
      </c>
      <c r="L1308" t="s">
        <v>414</v>
      </c>
      <c r="M1308" t="s">
        <v>414</v>
      </c>
    </row>
    <row r="1309" spans="1:13" ht="15">
      <c r="C1309" t="s">
        <v>7105</v>
      </c>
      <c r="D1309" s="83" t="s">
        <v>5647</v>
      </c>
      <c r="E1309" t="s">
        <v>5370</v>
      </c>
      <c r="F1309" t="s">
        <v>5822</v>
      </c>
      <c r="M1309" t="s">
        <v>414</v>
      </c>
    </row>
    <row r="1310" spans="1:13" ht="15">
      <c r="C1310" t="s">
        <v>7183</v>
      </c>
      <c r="D1310" s="83" t="s">
        <v>5647</v>
      </c>
      <c r="E1310" t="s">
        <v>5370</v>
      </c>
      <c r="F1310" t="s">
        <v>5822</v>
      </c>
      <c r="M1310" t="s">
        <v>414</v>
      </c>
    </row>
    <row r="1311" spans="1:13" ht="15">
      <c r="C1311" t="s">
        <v>7234</v>
      </c>
      <c r="D1311" s="83" t="s">
        <v>5647</v>
      </c>
      <c r="E1311" t="s">
        <v>5370</v>
      </c>
      <c r="F1311" t="s">
        <v>5822</v>
      </c>
      <c r="M1311" t="s">
        <v>414</v>
      </c>
    </row>
    <row r="1312" spans="1:13" ht="15">
      <c r="C1312" t="s">
        <v>7284</v>
      </c>
      <c r="D1312" s="83" t="s">
        <v>5647</v>
      </c>
      <c r="E1312" t="s">
        <v>5370</v>
      </c>
      <c r="F1312" t="s">
        <v>5822</v>
      </c>
      <c r="M1312" t="s">
        <v>414</v>
      </c>
    </row>
    <row r="1313" spans="1:13" ht="15">
      <c r="C1313" t="s">
        <v>7325</v>
      </c>
      <c r="D1313" s="83" t="s">
        <v>5647</v>
      </c>
      <c r="E1313" t="s">
        <v>5370</v>
      </c>
      <c r="F1313" t="s">
        <v>5822</v>
      </c>
      <c r="M1313" t="s">
        <v>414</v>
      </c>
    </row>
    <row r="1314" spans="1:13" ht="15">
      <c r="C1314" t="s">
        <v>6050</v>
      </c>
      <c r="D1314" s="83" t="s">
        <v>4202</v>
      </c>
      <c r="E1314" t="s">
        <v>5096</v>
      </c>
      <c r="F1314" t="s">
        <v>5822</v>
      </c>
      <c r="H1314" t="s">
        <v>414</v>
      </c>
      <c r="I1314" t="s">
        <v>414</v>
      </c>
    </row>
    <row r="1315" spans="1:13" ht="15">
      <c r="A1315" t="s">
        <v>4446</v>
      </c>
      <c r="B1315" t="s">
        <v>4445</v>
      </c>
      <c r="C1315" t="s">
        <v>7719</v>
      </c>
      <c r="D1315" s="83" t="s">
        <v>5549</v>
      </c>
      <c r="E1315" t="s">
        <v>5272</v>
      </c>
      <c r="F1315" t="s">
        <v>5750</v>
      </c>
      <c r="H1315" t="s">
        <v>414</v>
      </c>
      <c r="L1315" t="s">
        <v>414</v>
      </c>
      <c r="M1315" t="s">
        <v>414</v>
      </c>
    </row>
    <row r="1316" spans="1:13" ht="15">
      <c r="C1316" t="s">
        <v>6050</v>
      </c>
      <c r="D1316" s="83" t="s">
        <v>5647</v>
      </c>
      <c r="E1316" t="s">
        <v>5370</v>
      </c>
      <c r="F1316" t="s">
        <v>5822</v>
      </c>
      <c r="M1316" t="s">
        <v>414</v>
      </c>
    </row>
    <row r="1317" spans="1:13" ht="15">
      <c r="A1317" t="s">
        <v>3738</v>
      </c>
      <c r="B1317" s="74" t="s">
        <v>4300</v>
      </c>
      <c r="C1317" t="s">
        <v>7728</v>
      </c>
      <c r="D1317" s="83" t="s">
        <v>5549</v>
      </c>
      <c r="E1317" t="s">
        <v>5272</v>
      </c>
      <c r="F1317" t="s">
        <v>5750</v>
      </c>
      <c r="H1317" t="s">
        <v>414</v>
      </c>
      <c r="L1317" t="s">
        <v>414</v>
      </c>
      <c r="M1317" t="s">
        <v>414</v>
      </c>
    </row>
    <row r="1318" spans="1:13" ht="15">
      <c r="C1318" t="s">
        <v>6175</v>
      </c>
      <c r="D1318" s="83" t="s">
        <v>4202</v>
      </c>
      <c r="E1318" t="s">
        <v>5096</v>
      </c>
      <c r="F1318" t="s">
        <v>5822</v>
      </c>
      <c r="H1318" t="s">
        <v>414</v>
      </c>
      <c r="I1318" t="s">
        <v>414</v>
      </c>
    </row>
    <row r="1319" spans="1:13" ht="15">
      <c r="C1319" t="s">
        <v>7388</v>
      </c>
      <c r="D1319" s="83" t="s">
        <v>5647</v>
      </c>
      <c r="E1319" t="s">
        <v>5370</v>
      </c>
      <c r="F1319" t="s">
        <v>5822</v>
      </c>
      <c r="M1319" t="s">
        <v>414</v>
      </c>
    </row>
    <row r="1320" spans="1:13" ht="15">
      <c r="A1320" t="s">
        <v>3741</v>
      </c>
      <c r="B1320" t="s">
        <v>4295</v>
      </c>
      <c r="C1320" t="s">
        <v>6879</v>
      </c>
      <c r="D1320" s="83" t="s">
        <v>5549</v>
      </c>
      <c r="E1320" t="s">
        <v>5272</v>
      </c>
      <c r="F1320" t="s">
        <v>5750</v>
      </c>
      <c r="H1320" t="s">
        <v>414</v>
      </c>
      <c r="L1320" t="s">
        <v>414</v>
      </c>
      <c r="M1320" t="s">
        <v>414</v>
      </c>
    </row>
    <row r="1321" spans="1:13" ht="15">
      <c r="C1321" t="s">
        <v>7416</v>
      </c>
      <c r="D1321" s="83" t="s">
        <v>5647</v>
      </c>
      <c r="E1321" t="s">
        <v>5370</v>
      </c>
      <c r="F1321" t="s">
        <v>5822</v>
      </c>
      <c r="M1321" t="s">
        <v>414</v>
      </c>
    </row>
    <row r="1322" spans="1:13" ht="15">
      <c r="A1322" t="s">
        <v>3744</v>
      </c>
      <c r="B1322" t="s">
        <v>1243</v>
      </c>
      <c r="C1322" t="s">
        <v>7743</v>
      </c>
      <c r="D1322" s="83" t="s">
        <v>5549</v>
      </c>
      <c r="E1322" t="s">
        <v>5272</v>
      </c>
      <c r="F1322" t="s">
        <v>5750</v>
      </c>
      <c r="H1322" t="s">
        <v>414</v>
      </c>
      <c r="L1322" t="s">
        <v>414</v>
      </c>
      <c r="M1322" t="s">
        <v>414</v>
      </c>
    </row>
    <row r="1323" spans="1:13" ht="15">
      <c r="C1323" t="s">
        <v>7439</v>
      </c>
      <c r="D1323" s="83" t="s">
        <v>5647</v>
      </c>
      <c r="E1323" t="s">
        <v>5370</v>
      </c>
      <c r="F1323" t="s">
        <v>5822</v>
      </c>
      <c r="M1323" t="s">
        <v>414</v>
      </c>
    </row>
    <row r="1324" spans="1:13" ht="15">
      <c r="C1324" t="s">
        <v>7106</v>
      </c>
      <c r="D1324" s="83" t="s">
        <v>5649</v>
      </c>
      <c r="E1324" t="s">
        <v>5372</v>
      </c>
      <c r="F1324" t="s">
        <v>5822</v>
      </c>
      <c r="G1324" t="s">
        <v>414</v>
      </c>
      <c r="H1324" t="s">
        <v>414</v>
      </c>
      <c r="M1324" t="s">
        <v>414</v>
      </c>
    </row>
    <row r="1325" spans="1:13" ht="15">
      <c r="C1325" t="s">
        <v>7458</v>
      </c>
      <c r="D1325" s="83" t="s">
        <v>5647</v>
      </c>
      <c r="E1325" t="s">
        <v>5370</v>
      </c>
      <c r="F1325" t="s">
        <v>5822</v>
      </c>
      <c r="M1325" t="s">
        <v>414</v>
      </c>
    </row>
    <row r="1326" spans="1:13" ht="15">
      <c r="C1326" t="s">
        <v>7479</v>
      </c>
      <c r="D1326" s="83" t="s">
        <v>5647</v>
      </c>
      <c r="E1326" t="s">
        <v>5370</v>
      </c>
      <c r="F1326" t="s">
        <v>5822</v>
      </c>
      <c r="M1326" t="s">
        <v>414</v>
      </c>
    </row>
    <row r="1327" spans="1:13" ht="15">
      <c r="C1327" t="s">
        <v>7499</v>
      </c>
      <c r="D1327" s="83" t="s">
        <v>5647</v>
      </c>
      <c r="E1327" t="s">
        <v>5370</v>
      </c>
      <c r="F1327" t="s">
        <v>5822</v>
      </c>
      <c r="M1327" t="s">
        <v>414</v>
      </c>
    </row>
    <row r="1328" spans="1:13" ht="15">
      <c r="C1328" t="s">
        <v>6285</v>
      </c>
      <c r="D1328" s="83" t="s">
        <v>4202</v>
      </c>
      <c r="E1328" t="s">
        <v>5096</v>
      </c>
      <c r="F1328" t="s">
        <v>5822</v>
      </c>
      <c r="H1328" t="s">
        <v>414</v>
      </c>
      <c r="I1328" t="s">
        <v>414</v>
      </c>
    </row>
    <row r="1329" spans="1:13" ht="15">
      <c r="C1329" t="s">
        <v>32</v>
      </c>
      <c r="D1329" t="str">
        <f>_xlfn.XLOOKUP(E1329,HCP_evidence!H:H,HCP_evidence!I:I)</f>
        <v>https://www.sante.fr/essais-cliniques/2022-501854-12-01/a-phase-1b-study-to-evaluate-the-safety-tolerability-and-preliminary-efficacy-of-a-heterologous-prime-boost-vaccination-atp150-atp152-atp162-vsv-gp154-and-ezabenlimab-bi-754091-in-patients-with-pancreatic-ductal-adenocarcinoma</v>
      </c>
      <c r="E1329" t="s">
        <v>1178</v>
      </c>
      <c r="G1329" t="str" cm="1">
        <f t="array" ref="G1329">_xlfn.XLOOKUP(E1329,HCP_evidence!H:H,IF(HCP_evidence!M:M="Yes","Yes",""))</f>
        <v>Yes</v>
      </c>
      <c r="H1329" t="str" cm="1">
        <f t="array" ref="H1329">_xlfn.XLOOKUP(E1329,HCP_evidence!H:H,IF(HCP_evidence!K:K="Yes","Yes",""))</f>
        <v>Yes</v>
      </c>
      <c r="I1329" t="str" cm="1">
        <f t="array" ref="I1329">_xlfn.XLOOKUP(E1329,HCP_evidence!H:H,IF(HCP_evidence!J:J="Yes","Yes",""))</f>
        <v>Yes</v>
      </c>
      <c r="J1329" t="e">
        <f>IF(OR(K1329="Yes",L1329="Yes"),"Yes","")</f>
        <v>#REF!</v>
      </c>
      <c r="K1329" t="e" cm="1">
        <f t="array" ref="K1329">_xlfn.XLOOKUP(E1329,HCP_evidence!H:H,IF(HCP_evidence!#REF!="Yes","Yes",""))</f>
        <v>#REF!</v>
      </c>
      <c r="L1329" t="e" cm="1">
        <f t="array" ref="L1329">_xlfn.XLOOKUP(E1329,HCP_evidence!H:H,IF(HCP_evidence!#REF!="Yes","Yes",""))</f>
        <v>#REF!</v>
      </c>
      <c r="M1329" t="str" cm="1">
        <f t="array" ref="M1329">_xlfn.XLOOKUP(E1329,HCP_evidence!H:H,IF(HCP_evidence!N:N="Yes","Yes",""))</f>
        <v/>
      </c>
    </row>
    <row r="1330" spans="1:13" ht="15">
      <c r="C1330" t="s">
        <v>7598</v>
      </c>
      <c r="D1330" s="83" t="s">
        <v>5552</v>
      </c>
      <c r="E1330" t="s">
        <v>5275</v>
      </c>
      <c r="F1330" t="s">
        <v>5750</v>
      </c>
      <c r="H1330" t="s">
        <v>414</v>
      </c>
      <c r="M1330" t="s">
        <v>414</v>
      </c>
    </row>
    <row r="1331" spans="1:13" ht="15">
      <c r="A1331" t="s">
        <v>3739</v>
      </c>
      <c r="B1331" s="12" t="s">
        <v>33</v>
      </c>
      <c r="C1331" t="s">
        <v>6875</v>
      </c>
      <c r="D1331" s="83" t="s">
        <v>5549</v>
      </c>
      <c r="E1331" t="s">
        <v>5272</v>
      </c>
      <c r="F1331" t="s">
        <v>5750</v>
      </c>
      <c r="H1331" t="s">
        <v>414</v>
      </c>
      <c r="L1331" t="s">
        <v>414</v>
      </c>
      <c r="M1331" t="s">
        <v>414</v>
      </c>
    </row>
    <row r="1332" spans="1:13" ht="15">
      <c r="A1332" t="s">
        <v>3754</v>
      </c>
      <c r="B1332" t="s">
        <v>296</v>
      </c>
      <c r="C1332" t="s">
        <v>6107</v>
      </c>
      <c r="D1332" s="83" t="s">
        <v>4160</v>
      </c>
      <c r="E1332" t="s">
        <v>5053</v>
      </c>
      <c r="F1332" t="s">
        <v>5778</v>
      </c>
      <c r="L1332" t="s">
        <v>414</v>
      </c>
    </row>
    <row r="1333" spans="1:13" ht="15">
      <c r="A1333" t="s">
        <v>3754</v>
      </c>
      <c r="B1333" t="s">
        <v>296</v>
      </c>
      <c r="C1333" t="s">
        <v>7095</v>
      </c>
      <c r="D1333" s="83" t="s">
        <v>5617</v>
      </c>
      <c r="E1333" t="s">
        <v>5340</v>
      </c>
      <c r="F1333" t="s">
        <v>5812</v>
      </c>
    </row>
    <row r="1334" spans="1:13" ht="15">
      <c r="A1334" t="s">
        <v>3754</v>
      </c>
      <c r="B1334" t="s">
        <v>296</v>
      </c>
      <c r="C1334" t="s">
        <v>7435</v>
      </c>
      <c r="D1334" s="83" t="s">
        <v>5598</v>
      </c>
      <c r="E1334" t="s">
        <v>5321</v>
      </c>
      <c r="F1334" t="s">
        <v>5803</v>
      </c>
      <c r="I1334" t="s">
        <v>414</v>
      </c>
      <c r="M1334" t="s">
        <v>414</v>
      </c>
    </row>
    <row r="1335" spans="1:13" ht="15">
      <c r="C1335" t="s">
        <v>7607</v>
      </c>
      <c r="D1335" s="83" t="s">
        <v>5552</v>
      </c>
      <c r="E1335" t="s">
        <v>5275</v>
      </c>
      <c r="F1335" t="s">
        <v>5750</v>
      </c>
      <c r="H1335" t="s">
        <v>414</v>
      </c>
      <c r="M1335" t="s">
        <v>414</v>
      </c>
    </row>
    <row r="1336" spans="1:13" ht="15">
      <c r="C1336" t="s">
        <v>7727</v>
      </c>
      <c r="D1336" s="83" t="s">
        <v>4150</v>
      </c>
      <c r="E1336" t="s">
        <v>5043</v>
      </c>
      <c r="F1336" t="s">
        <v>31</v>
      </c>
    </row>
    <row r="1337" spans="1:13" ht="15">
      <c r="C1337" t="s">
        <v>6674</v>
      </c>
      <c r="D1337" s="83" t="s">
        <v>5578</v>
      </c>
      <c r="E1337" t="s">
        <v>5301</v>
      </c>
      <c r="F1337" t="s">
        <v>5796</v>
      </c>
      <c r="K1337" t="s">
        <v>414</v>
      </c>
    </row>
    <row r="1338" spans="1:13" ht="15">
      <c r="C1338" t="s">
        <v>6247</v>
      </c>
      <c r="D1338" s="83" t="s">
        <v>5583</v>
      </c>
      <c r="E1338" t="s">
        <v>5306</v>
      </c>
      <c r="F1338" t="s">
        <v>5797</v>
      </c>
      <c r="H1338" t="s">
        <v>414</v>
      </c>
      <c r="I1338" t="s">
        <v>414</v>
      </c>
      <c r="M1338" t="s">
        <v>414</v>
      </c>
    </row>
    <row r="1339" spans="1:13" ht="15">
      <c r="A1339" t="s">
        <v>4554</v>
      </c>
      <c r="B1339" t="s">
        <v>4280</v>
      </c>
      <c r="C1339" t="s">
        <v>6019</v>
      </c>
      <c r="D1339" s="83" t="s">
        <v>5491</v>
      </c>
      <c r="E1339" t="s">
        <v>5214</v>
      </c>
      <c r="F1339" t="s">
        <v>5753</v>
      </c>
    </row>
    <row r="1340" spans="1:13" ht="15">
      <c r="A1340" t="s">
        <v>3139</v>
      </c>
      <c r="B1340" t="s">
        <v>4285</v>
      </c>
      <c r="C1340" t="s">
        <v>6213</v>
      </c>
      <c r="D1340" s="83" t="s">
        <v>5517</v>
      </c>
      <c r="E1340" t="s">
        <v>5240</v>
      </c>
      <c r="F1340" t="s">
        <v>5748</v>
      </c>
      <c r="M1340" t="s">
        <v>414</v>
      </c>
    </row>
    <row r="1341" spans="1:13" ht="15">
      <c r="C1341" t="s">
        <v>7072</v>
      </c>
      <c r="D1341" s="83" t="s">
        <v>5564</v>
      </c>
      <c r="E1341" t="s">
        <v>5287</v>
      </c>
      <c r="F1341" t="s">
        <v>5734</v>
      </c>
    </row>
    <row r="1342" spans="1:13" ht="15">
      <c r="C1342" t="s">
        <v>6357</v>
      </c>
      <c r="D1342" s="83" t="s">
        <v>5624</v>
      </c>
      <c r="E1342" t="s">
        <v>5347</v>
      </c>
      <c r="F1342" t="s">
        <v>5815</v>
      </c>
      <c r="H1342" t="s">
        <v>414</v>
      </c>
      <c r="K1342" t="s">
        <v>414</v>
      </c>
      <c r="L1342" t="s">
        <v>414</v>
      </c>
      <c r="M1342" t="s">
        <v>414</v>
      </c>
    </row>
    <row r="1343" spans="1:13" ht="15">
      <c r="C1343" t="s">
        <v>6197</v>
      </c>
      <c r="D1343" s="83" t="s">
        <v>5585</v>
      </c>
      <c r="E1343" t="s">
        <v>5308</v>
      </c>
      <c r="F1343" t="s">
        <v>1309</v>
      </c>
    </row>
    <row r="1344" spans="1:13" ht="15">
      <c r="C1344" t="s">
        <v>6635</v>
      </c>
      <c r="D1344" s="83" t="s">
        <v>5493</v>
      </c>
      <c r="E1344" t="s">
        <v>5216</v>
      </c>
      <c r="F1344" t="s">
        <v>5755</v>
      </c>
      <c r="H1344" t="s">
        <v>414</v>
      </c>
      <c r="M1344" t="s">
        <v>414</v>
      </c>
    </row>
    <row r="1345" spans="1:13" ht="15">
      <c r="C1345" t="s">
        <v>6635</v>
      </c>
      <c r="D1345" s="83" t="s">
        <v>5529</v>
      </c>
      <c r="E1345" t="s">
        <v>5252</v>
      </c>
      <c r="F1345" t="s">
        <v>5748</v>
      </c>
      <c r="M1345" t="s">
        <v>414</v>
      </c>
    </row>
    <row r="1346" spans="1:13" ht="15">
      <c r="C1346" t="s">
        <v>6918</v>
      </c>
      <c r="D1346" s="83" t="s">
        <v>5493</v>
      </c>
      <c r="E1346" t="s">
        <v>5216</v>
      </c>
      <c r="F1346" t="s">
        <v>5755</v>
      </c>
      <c r="H1346" t="s">
        <v>414</v>
      </c>
      <c r="M1346" t="s">
        <v>414</v>
      </c>
    </row>
    <row r="1347" spans="1:13" ht="15">
      <c r="C1347" t="s">
        <v>6780</v>
      </c>
      <c r="D1347" s="83" t="s">
        <v>4136</v>
      </c>
      <c r="E1347" t="s">
        <v>5030</v>
      </c>
      <c r="F1347" t="s">
        <v>5725</v>
      </c>
      <c r="K1347" t="s">
        <v>414</v>
      </c>
      <c r="L1347" t="s">
        <v>414</v>
      </c>
      <c r="M1347" t="s">
        <v>414</v>
      </c>
    </row>
    <row r="1348" spans="1:13" ht="15">
      <c r="C1348" t="s">
        <v>7547</v>
      </c>
      <c r="D1348" s="83" t="s">
        <v>5526</v>
      </c>
      <c r="E1348" t="s">
        <v>5249</v>
      </c>
      <c r="F1348" t="s">
        <v>5773</v>
      </c>
      <c r="H1348" t="s">
        <v>414</v>
      </c>
      <c r="M1348" t="s">
        <v>414</v>
      </c>
    </row>
    <row r="1349" spans="1:13" ht="15">
      <c r="C1349" t="s">
        <v>6763</v>
      </c>
      <c r="D1349" s="83" t="s">
        <v>5589</v>
      </c>
      <c r="E1349" t="s">
        <v>5312</v>
      </c>
      <c r="F1349" t="s">
        <v>5748</v>
      </c>
      <c r="H1349" t="s">
        <v>414</v>
      </c>
      <c r="M1349" t="s">
        <v>414</v>
      </c>
    </row>
    <row r="1350" spans="1:13" ht="15">
      <c r="C1350" t="s">
        <v>6763</v>
      </c>
      <c r="D1350" s="83" t="s">
        <v>5521</v>
      </c>
      <c r="E1350" t="s">
        <v>5244</v>
      </c>
      <c r="F1350" t="s">
        <v>5748</v>
      </c>
      <c r="H1350" t="s">
        <v>414</v>
      </c>
      <c r="I1350" t="s">
        <v>414</v>
      </c>
      <c r="L1350" t="s">
        <v>414</v>
      </c>
      <c r="M1350" t="s">
        <v>414</v>
      </c>
    </row>
    <row r="1351" spans="1:13" ht="15">
      <c r="C1351" t="s">
        <v>7350</v>
      </c>
      <c r="D1351" s="83" t="s">
        <v>5557</v>
      </c>
      <c r="E1351" t="s">
        <v>5280</v>
      </c>
      <c r="F1351" t="s">
        <v>5755</v>
      </c>
      <c r="M1351" t="s">
        <v>414</v>
      </c>
    </row>
    <row r="1352" spans="1:13" ht="15">
      <c r="A1352" t="s">
        <v>3738</v>
      </c>
      <c r="B1352" s="74" t="s">
        <v>4300</v>
      </c>
      <c r="C1352" t="s">
        <v>6443</v>
      </c>
      <c r="D1352" s="83" t="s">
        <v>5517</v>
      </c>
      <c r="E1352" t="s">
        <v>5240</v>
      </c>
      <c r="F1352" t="s">
        <v>5748</v>
      </c>
      <c r="M1352" t="s">
        <v>414</v>
      </c>
    </row>
    <row r="1353" spans="1:13" ht="15">
      <c r="C1353" t="s">
        <v>6428</v>
      </c>
      <c r="D1353" s="83" t="s">
        <v>5493</v>
      </c>
      <c r="E1353" t="s">
        <v>5216</v>
      </c>
      <c r="F1353" t="s">
        <v>5755</v>
      </c>
      <c r="H1353" t="s">
        <v>414</v>
      </c>
      <c r="M1353" t="s">
        <v>414</v>
      </c>
    </row>
    <row r="1354" spans="1:13" ht="15">
      <c r="C1354" t="s">
        <v>6203</v>
      </c>
      <c r="D1354" s="83" t="s">
        <v>5558</v>
      </c>
      <c r="E1354" t="s">
        <v>5281</v>
      </c>
      <c r="F1354" t="s">
        <v>5748</v>
      </c>
      <c r="H1354" t="s">
        <v>414</v>
      </c>
      <c r="M1354" t="s">
        <v>414</v>
      </c>
    </row>
    <row r="1355" spans="1:13" ht="15">
      <c r="C1355" t="s">
        <v>6203</v>
      </c>
      <c r="D1355" s="83" t="s">
        <v>5549</v>
      </c>
      <c r="E1355" t="s">
        <v>5272</v>
      </c>
      <c r="F1355" t="s">
        <v>5750</v>
      </c>
      <c r="H1355" t="s">
        <v>414</v>
      </c>
      <c r="L1355" t="s">
        <v>414</v>
      </c>
      <c r="M1355" t="s">
        <v>414</v>
      </c>
    </row>
    <row r="1356" spans="1:13" ht="15">
      <c r="C1356" t="s">
        <v>6203</v>
      </c>
      <c r="D1356" s="83" t="s">
        <v>5857</v>
      </c>
      <c r="E1356" t="s">
        <v>7776</v>
      </c>
      <c r="F1356" t="s">
        <v>5755</v>
      </c>
      <c r="L1356" t="s">
        <v>414</v>
      </c>
    </row>
    <row r="1357" spans="1:13" ht="15">
      <c r="C1357" t="s">
        <v>6725</v>
      </c>
      <c r="D1357" s="83" t="s">
        <v>5498</v>
      </c>
      <c r="E1357" t="s">
        <v>5221</v>
      </c>
      <c r="F1357" t="s">
        <v>5759</v>
      </c>
      <c r="H1357" t="s">
        <v>414</v>
      </c>
      <c r="M1357" t="s">
        <v>414</v>
      </c>
    </row>
    <row r="1358" spans="1:13" ht="15">
      <c r="C1358" t="s">
        <v>6148</v>
      </c>
      <c r="D1358" s="83" t="s">
        <v>4182</v>
      </c>
      <c r="E1358" t="s">
        <v>5076</v>
      </c>
      <c r="F1358" t="s">
        <v>5725</v>
      </c>
      <c r="L1358" t="s">
        <v>414</v>
      </c>
      <c r="M1358" t="s">
        <v>414</v>
      </c>
    </row>
    <row r="1359" spans="1:13" ht="15">
      <c r="C1359" t="s">
        <v>6377</v>
      </c>
      <c r="D1359" s="83" t="s">
        <v>4205</v>
      </c>
      <c r="E1359" t="s">
        <v>5099</v>
      </c>
      <c r="F1359" t="s">
        <v>5842</v>
      </c>
      <c r="M1359" t="s">
        <v>414</v>
      </c>
    </row>
    <row r="1360" spans="1:13" ht="15">
      <c r="C1360" t="s">
        <v>6268</v>
      </c>
      <c r="D1360" s="83" t="s">
        <v>5566</v>
      </c>
      <c r="E1360" t="s">
        <v>5289</v>
      </c>
      <c r="F1360" t="s">
        <v>5748</v>
      </c>
      <c r="H1360" t="s">
        <v>414</v>
      </c>
      <c r="M1360" t="s">
        <v>414</v>
      </c>
    </row>
    <row r="1361" spans="1:13" ht="15">
      <c r="C1361" t="s">
        <v>6268</v>
      </c>
      <c r="D1361" s="83" t="s">
        <v>5493</v>
      </c>
      <c r="E1361" t="s">
        <v>5216</v>
      </c>
      <c r="F1361" t="s">
        <v>5755</v>
      </c>
      <c r="H1361" t="s">
        <v>414</v>
      </c>
      <c r="M1361" t="s">
        <v>414</v>
      </c>
    </row>
    <row r="1362" spans="1:13" ht="15">
      <c r="C1362" t="s">
        <v>6268</v>
      </c>
      <c r="D1362" s="83" t="s">
        <v>5486</v>
      </c>
      <c r="E1362" t="s">
        <v>5209</v>
      </c>
      <c r="F1362" t="s">
        <v>5750</v>
      </c>
      <c r="H1362" t="s">
        <v>414</v>
      </c>
      <c r="M1362" t="s">
        <v>414</v>
      </c>
    </row>
    <row r="1363" spans="1:13" ht="15">
      <c r="A1363" t="s">
        <v>3770</v>
      </c>
      <c r="B1363" t="s">
        <v>42</v>
      </c>
      <c r="C1363" t="s">
        <v>6064</v>
      </c>
      <c r="D1363" s="83" t="s">
        <v>5498</v>
      </c>
      <c r="E1363" t="s">
        <v>5221</v>
      </c>
      <c r="F1363" t="s">
        <v>5759</v>
      </c>
      <c r="H1363" t="s">
        <v>414</v>
      </c>
      <c r="M1363" t="s">
        <v>414</v>
      </c>
    </row>
    <row r="1364" spans="1:13" ht="15">
      <c r="A1364" t="s">
        <v>3773</v>
      </c>
      <c r="B1364" t="s">
        <v>1289</v>
      </c>
      <c r="C1364" t="s">
        <v>6253</v>
      </c>
      <c r="D1364" s="83" t="s">
        <v>5498</v>
      </c>
      <c r="E1364" t="s">
        <v>5221</v>
      </c>
      <c r="F1364" t="s">
        <v>5759</v>
      </c>
      <c r="H1364" t="s">
        <v>414</v>
      </c>
      <c r="M1364" t="s">
        <v>414</v>
      </c>
    </row>
    <row r="1365" spans="1:13" ht="15">
      <c r="C1365" t="s">
        <v>6268</v>
      </c>
      <c r="D1365" s="83" t="s">
        <v>5525</v>
      </c>
      <c r="E1365" t="s">
        <v>5248</v>
      </c>
      <c r="F1365" t="s">
        <v>5759</v>
      </c>
      <c r="M1365" t="s">
        <v>414</v>
      </c>
    </row>
    <row r="1366" spans="1:13" ht="15">
      <c r="C1366" t="s">
        <v>6268</v>
      </c>
      <c r="D1366" s="83" t="s">
        <v>5529</v>
      </c>
      <c r="E1366" t="s">
        <v>5252</v>
      </c>
      <c r="F1366" t="s">
        <v>5748</v>
      </c>
      <c r="M1366" t="s">
        <v>414</v>
      </c>
    </row>
    <row r="1367" spans="1:13" ht="15">
      <c r="C1367" t="s">
        <v>6268</v>
      </c>
      <c r="D1367" s="83" t="s">
        <v>5521</v>
      </c>
      <c r="E1367" t="s">
        <v>5244</v>
      </c>
      <c r="F1367" t="s">
        <v>5748</v>
      </c>
      <c r="H1367" t="s">
        <v>414</v>
      </c>
      <c r="I1367" t="s">
        <v>414</v>
      </c>
      <c r="L1367" t="s">
        <v>414</v>
      </c>
      <c r="M1367" t="s">
        <v>414</v>
      </c>
    </row>
    <row r="1368" spans="1:13" ht="15">
      <c r="C1368" t="s">
        <v>7346</v>
      </c>
      <c r="D1368" s="83" t="s">
        <v>5540</v>
      </c>
      <c r="E1368" t="s">
        <v>5263</v>
      </c>
      <c r="F1368" t="s">
        <v>5730</v>
      </c>
      <c r="H1368" t="s">
        <v>414</v>
      </c>
    </row>
    <row r="1369" spans="1:13" ht="15">
      <c r="C1369" t="s">
        <v>6930</v>
      </c>
      <c r="D1369" s="83" t="s">
        <v>5589</v>
      </c>
      <c r="E1369" t="s">
        <v>5312</v>
      </c>
      <c r="F1369" t="s">
        <v>5748</v>
      </c>
      <c r="H1369" t="s">
        <v>414</v>
      </c>
      <c r="M1369" t="s">
        <v>414</v>
      </c>
    </row>
    <row r="1370" spans="1:13" ht="15">
      <c r="A1370" t="s">
        <v>3747</v>
      </c>
      <c r="B1370" t="s">
        <v>4298</v>
      </c>
      <c r="C1370" t="s">
        <v>6638</v>
      </c>
      <c r="D1370" s="83" t="s">
        <v>5498</v>
      </c>
      <c r="E1370" t="s">
        <v>5221</v>
      </c>
      <c r="F1370" t="s">
        <v>5759</v>
      </c>
      <c r="H1370" t="s">
        <v>414</v>
      </c>
      <c r="M1370" t="s">
        <v>414</v>
      </c>
    </row>
    <row r="1371" spans="1:13" ht="15">
      <c r="A1371" t="s">
        <v>4443</v>
      </c>
      <c r="B1371" t="s">
        <v>4287</v>
      </c>
      <c r="C1371" t="s">
        <v>6675</v>
      </c>
      <c r="D1371" s="83" t="s">
        <v>5498</v>
      </c>
      <c r="E1371" t="s">
        <v>5221</v>
      </c>
      <c r="F1371" t="s">
        <v>5759</v>
      </c>
      <c r="H1371" t="s">
        <v>414</v>
      </c>
      <c r="M1371" t="s">
        <v>414</v>
      </c>
    </row>
    <row r="1372" spans="1:13" ht="15">
      <c r="C1372" t="s">
        <v>6883</v>
      </c>
      <c r="D1372" s="83" t="s">
        <v>5858</v>
      </c>
      <c r="E1372" t="s">
        <v>7777</v>
      </c>
      <c r="F1372" t="s">
        <v>5755</v>
      </c>
      <c r="H1372" t="s">
        <v>414</v>
      </c>
      <c r="K1372" t="s">
        <v>414</v>
      </c>
      <c r="L1372" t="s">
        <v>414</v>
      </c>
    </row>
    <row r="1373" spans="1:13" ht="15">
      <c r="C1373" t="s">
        <v>7545</v>
      </c>
      <c r="D1373" s="83" t="s">
        <v>4150</v>
      </c>
      <c r="E1373" t="s">
        <v>5043</v>
      </c>
      <c r="F1373" t="s">
        <v>31</v>
      </c>
    </row>
    <row r="1374" spans="1:13" ht="15">
      <c r="A1374" t="s">
        <v>4431</v>
      </c>
      <c r="B1374" s="74" t="s">
        <v>4430</v>
      </c>
      <c r="C1374" t="s">
        <v>6671</v>
      </c>
      <c r="D1374" s="83" t="s">
        <v>5453</v>
      </c>
      <c r="E1374" t="s">
        <v>5176</v>
      </c>
      <c r="F1374" t="s">
        <v>5729</v>
      </c>
      <c r="H1374" t="s">
        <v>414</v>
      </c>
      <c r="K1374" t="s">
        <v>414</v>
      </c>
      <c r="L1374" t="s">
        <v>414</v>
      </c>
    </row>
    <row r="1375" spans="1:13" ht="15">
      <c r="A1375" t="s">
        <v>3740</v>
      </c>
      <c r="B1375" t="s">
        <v>3444</v>
      </c>
      <c r="C1375" t="s">
        <v>6223</v>
      </c>
      <c r="D1375" s="83" t="s">
        <v>5498</v>
      </c>
      <c r="E1375" t="s">
        <v>5221</v>
      </c>
      <c r="F1375" t="s">
        <v>5759</v>
      </c>
      <c r="H1375" t="s">
        <v>414</v>
      </c>
      <c r="M1375" t="s">
        <v>414</v>
      </c>
    </row>
    <row r="1376" spans="1:13" ht="15">
      <c r="A1376" t="s">
        <v>3738</v>
      </c>
      <c r="B1376" s="74" t="s">
        <v>4300</v>
      </c>
      <c r="C1376" t="s">
        <v>5893</v>
      </c>
      <c r="D1376" s="83" t="s">
        <v>4191</v>
      </c>
      <c r="E1376" t="s">
        <v>5085</v>
      </c>
      <c r="F1376" t="s">
        <v>5725</v>
      </c>
      <c r="H1376" t="s">
        <v>414</v>
      </c>
      <c r="L1376" t="s">
        <v>414</v>
      </c>
      <c r="M1376" t="s">
        <v>414</v>
      </c>
    </row>
    <row r="1377" spans="1:13" ht="15">
      <c r="C1377" t="s">
        <v>6878</v>
      </c>
      <c r="D1377" s="83" t="s">
        <v>5589</v>
      </c>
      <c r="E1377" t="s">
        <v>5312</v>
      </c>
      <c r="F1377" t="s">
        <v>5748</v>
      </c>
      <c r="H1377" t="s">
        <v>414</v>
      </c>
      <c r="M1377" t="s">
        <v>414</v>
      </c>
    </row>
    <row r="1378" spans="1:13" ht="15">
      <c r="C1378" t="s">
        <v>6878</v>
      </c>
      <c r="D1378" s="83" t="s">
        <v>5517</v>
      </c>
      <c r="E1378" t="s">
        <v>5240</v>
      </c>
      <c r="F1378" t="s">
        <v>5748</v>
      </c>
      <c r="M1378" t="s">
        <v>414</v>
      </c>
    </row>
    <row r="1379" spans="1:13" ht="15">
      <c r="A1379" t="s">
        <v>4450</v>
      </c>
      <c r="B1379" s="81" t="s">
        <v>3356</v>
      </c>
      <c r="C1379" t="s">
        <v>6236</v>
      </c>
      <c r="D1379" s="83" t="s">
        <v>4153</v>
      </c>
      <c r="E1379" t="s">
        <v>5046</v>
      </c>
      <c r="F1379" t="s">
        <v>31</v>
      </c>
      <c r="K1379" t="s">
        <v>414</v>
      </c>
      <c r="L1379" t="s">
        <v>414</v>
      </c>
    </row>
    <row r="1380" spans="1:13" ht="15">
      <c r="C1380" t="s">
        <v>6852</v>
      </c>
      <c r="D1380" s="83" t="s">
        <v>5589</v>
      </c>
      <c r="E1380" t="s">
        <v>5312</v>
      </c>
      <c r="F1380" t="s">
        <v>5748</v>
      </c>
      <c r="H1380" t="s">
        <v>414</v>
      </c>
      <c r="M1380" t="s">
        <v>414</v>
      </c>
    </row>
    <row r="1381" spans="1:13" ht="15">
      <c r="C1381" t="s">
        <v>6358</v>
      </c>
      <c r="D1381" s="83" t="s">
        <v>4182</v>
      </c>
      <c r="E1381" t="s">
        <v>5076</v>
      </c>
      <c r="F1381" t="s">
        <v>5725</v>
      </c>
      <c r="L1381" t="s">
        <v>414</v>
      </c>
      <c r="M1381" t="s">
        <v>414</v>
      </c>
    </row>
    <row r="1382" spans="1:13" ht="15">
      <c r="C1382" t="s">
        <v>7548</v>
      </c>
      <c r="D1382" s="83" t="s">
        <v>5536</v>
      </c>
      <c r="E1382" t="s">
        <v>5259</v>
      </c>
      <c r="F1382" t="s">
        <v>5780</v>
      </c>
      <c r="M1382" t="s">
        <v>414</v>
      </c>
    </row>
    <row r="1383" spans="1:13" ht="15">
      <c r="C1383" t="s">
        <v>6697</v>
      </c>
      <c r="D1383" s="83" t="s">
        <v>5529</v>
      </c>
      <c r="E1383" t="s">
        <v>5252</v>
      </c>
      <c r="F1383" t="s">
        <v>5748</v>
      </c>
      <c r="M1383" t="s">
        <v>414</v>
      </c>
    </row>
    <row r="1384" spans="1:13" ht="15">
      <c r="C1384" t="s">
        <v>6932</v>
      </c>
      <c r="D1384" s="83" t="s">
        <v>5857</v>
      </c>
      <c r="E1384" t="s">
        <v>7776</v>
      </c>
      <c r="F1384" t="s">
        <v>5755</v>
      </c>
      <c r="L1384" t="s">
        <v>414</v>
      </c>
    </row>
    <row r="1385" spans="1:13" ht="15">
      <c r="C1385" t="s">
        <v>7647</v>
      </c>
      <c r="D1385" s="83" t="s">
        <v>5609</v>
      </c>
      <c r="E1385" t="s">
        <v>5332</v>
      </c>
      <c r="F1385" t="s">
        <v>5726</v>
      </c>
      <c r="H1385" t="s">
        <v>414</v>
      </c>
      <c r="I1385" t="s">
        <v>414</v>
      </c>
    </row>
    <row r="1386" spans="1:13" ht="15">
      <c r="C1386" t="s">
        <v>6820</v>
      </c>
      <c r="D1386" s="83" t="s">
        <v>5589</v>
      </c>
      <c r="E1386" t="s">
        <v>5312</v>
      </c>
      <c r="F1386" t="s">
        <v>5748</v>
      </c>
      <c r="H1386" t="s">
        <v>414</v>
      </c>
      <c r="M1386" t="s">
        <v>414</v>
      </c>
    </row>
    <row r="1387" spans="1:13" ht="15">
      <c r="C1387" t="s">
        <v>6820</v>
      </c>
      <c r="D1387" s="83" t="s">
        <v>5493</v>
      </c>
      <c r="E1387" t="s">
        <v>5216</v>
      </c>
      <c r="F1387" t="s">
        <v>5755</v>
      </c>
      <c r="H1387" t="s">
        <v>414</v>
      </c>
      <c r="M1387" t="s">
        <v>414</v>
      </c>
    </row>
    <row r="1388" spans="1:13" ht="15">
      <c r="A1388" t="s">
        <v>4448</v>
      </c>
      <c r="B1388" s="12" t="s">
        <v>1309</v>
      </c>
      <c r="C1388" t="s">
        <v>6640</v>
      </c>
      <c r="D1388" s="83" t="s">
        <v>5480</v>
      </c>
      <c r="E1388" t="s">
        <v>5203</v>
      </c>
      <c r="F1388" t="s">
        <v>5748</v>
      </c>
      <c r="M1388" t="s">
        <v>414</v>
      </c>
    </row>
    <row r="1389" spans="1:13" ht="15">
      <c r="C1389" t="s">
        <v>6820</v>
      </c>
      <c r="D1389" s="83" t="s">
        <v>5529</v>
      </c>
      <c r="E1389" t="s">
        <v>5252</v>
      </c>
      <c r="F1389" t="s">
        <v>5748</v>
      </c>
      <c r="M1389" t="s">
        <v>414</v>
      </c>
    </row>
    <row r="1390" spans="1:13" ht="15">
      <c r="C1390" t="s">
        <v>6820</v>
      </c>
      <c r="D1390" s="83" t="s">
        <v>5521</v>
      </c>
      <c r="E1390" t="s">
        <v>5244</v>
      </c>
      <c r="F1390" t="s">
        <v>5748</v>
      </c>
      <c r="H1390" t="s">
        <v>414</v>
      </c>
      <c r="I1390" t="s">
        <v>414</v>
      </c>
      <c r="L1390" t="s">
        <v>414</v>
      </c>
      <c r="M1390" t="s">
        <v>414</v>
      </c>
    </row>
    <row r="1391" spans="1:13" ht="15">
      <c r="C1391" t="s">
        <v>7658</v>
      </c>
      <c r="D1391" s="83" t="s">
        <v>5549</v>
      </c>
      <c r="E1391" t="s">
        <v>5272</v>
      </c>
      <c r="F1391" t="s">
        <v>5750</v>
      </c>
      <c r="H1391" t="s">
        <v>414</v>
      </c>
      <c r="L1391" t="s">
        <v>414</v>
      </c>
      <c r="M1391" t="s">
        <v>414</v>
      </c>
    </row>
    <row r="1392" spans="1:13" ht="15">
      <c r="C1392" t="s">
        <v>6898</v>
      </c>
      <c r="D1392" s="83" t="s">
        <v>5521</v>
      </c>
      <c r="E1392" t="s">
        <v>5244</v>
      </c>
      <c r="F1392" t="s">
        <v>5748</v>
      </c>
      <c r="H1392" t="s">
        <v>414</v>
      </c>
      <c r="I1392" t="s">
        <v>414</v>
      </c>
      <c r="L1392" t="s">
        <v>414</v>
      </c>
      <c r="M1392" t="s">
        <v>414</v>
      </c>
    </row>
    <row r="1393" spans="1:13" ht="15">
      <c r="A1393" t="s">
        <v>3139</v>
      </c>
      <c r="B1393" t="s">
        <v>4285</v>
      </c>
      <c r="C1393" t="s">
        <v>6213</v>
      </c>
      <c r="D1393" s="83" t="s">
        <v>5514</v>
      </c>
      <c r="E1393" t="s">
        <v>5237</v>
      </c>
      <c r="F1393" t="s">
        <v>5748</v>
      </c>
      <c r="H1393" t="s">
        <v>414</v>
      </c>
      <c r="M1393" t="s">
        <v>414</v>
      </c>
    </row>
    <row r="1394" spans="1:13" ht="15">
      <c r="C1394" t="s">
        <v>6940</v>
      </c>
      <c r="D1394" s="83" t="s">
        <v>5589</v>
      </c>
      <c r="E1394" t="s">
        <v>5312</v>
      </c>
      <c r="F1394" t="s">
        <v>5748</v>
      </c>
      <c r="H1394" t="s">
        <v>414</v>
      </c>
      <c r="M1394" t="s">
        <v>414</v>
      </c>
    </row>
    <row r="1395" spans="1:13" ht="15">
      <c r="C1395" t="s">
        <v>6570</v>
      </c>
      <c r="D1395" s="83" t="s">
        <v>5585</v>
      </c>
      <c r="E1395" t="s">
        <v>5308</v>
      </c>
      <c r="F1395" t="s">
        <v>1309</v>
      </c>
    </row>
    <row r="1396" spans="1:13" ht="15">
      <c r="C1396" t="s">
        <v>6690</v>
      </c>
      <c r="D1396" s="83" t="s">
        <v>4136</v>
      </c>
      <c r="E1396" t="s">
        <v>5030</v>
      </c>
      <c r="F1396" t="s">
        <v>5725</v>
      </c>
      <c r="K1396" t="s">
        <v>414</v>
      </c>
      <c r="L1396" t="s">
        <v>414</v>
      </c>
      <c r="M1396" t="s">
        <v>414</v>
      </c>
    </row>
    <row r="1397" spans="1:13" ht="15">
      <c r="C1397" t="s">
        <v>6690</v>
      </c>
      <c r="D1397" s="83" t="s">
        <v>5857</v>
      </c>
      <c r="E1397" t="s">
        <v>7776</v>
      </c>
      <c r="F1397" t="s">
        <v>5755</v>
      </c>
      <c r="L1397" t="s">
        <v>414</v>
      </c>
    </row>
    <row r="1398" spans="1:13" ht="15">
      <c r="C1398" t="s">
        <v>6488</v>
      </c>
      <c r="D1398" s="83" t="s">
        <v>5583</v>
      </c>
      <c r="E1398" t="s">
        <v>5306</v>
      </c>
      <c r="F1398" t="s">
        <v>5797</v>
      </c>
      <c r="H1398" t="s">
        <v>414</v>
      </c>
      <c r="I1398" t="s">
        <v>414</v>
      </c>
      <c r="M1398" t="s">
        <v>414</v>
      </c>
    </row>
    <row r="1399" spans="1:13" ht="15">
      <c r="C1399" t="s">
        <v>7714</v>
      </c>
      <c r="D1399" s="83" t="s">
        <v>5549</v>
      </c>
      <c r="E1399" t="s">
        <v>5272</v>
      </c>
      <c r="F1399" t="s">
        <v>5750</v>
      </c>
      <c r="H1399" t="s">
        <v>414</v>
      </c>
      <c r="L1399" t="s">
        <v>414</v>
      </c>
      <c r="M1399" t="s">
        <v>414</v>
      </c>
    </row>
    <row r="1400" spans="1:13" ht="15">
      <c r="C1400" t="s">
        <v>7707</v>
      </c>
      <c r="D1400" s="83" t="s">
        <v>5549</v>
      </c>
      <c r="E1400" t="s">
        <v>5272</v>
      </c>
      <c r="F1400" t="s">
        <v>5750</v>
      </c>
      <c r="H1400" t="s">
        <v>414</v>
      </c>
      <c r="L1400" t="s">
        <v>414</v>
      </c>
      <c r="M1400" t="s">
        <v>414</v>
      </c>
    </row>
    <row r="1401" spans="1:13" ht="15">
      <c r="C1401" t="s">
        <v>7601</v>
      </c>
      <c r="D1401" s="83" t="s">
        <v>5609</v>
      </c>
      <c r="E1401" t="s">
        <v>5332</v>
      </c>
      <c r="F1401" t="s">
        <v>5726</v>
      </c>
      <c r="H1401" t="s">
        <v>414</v>
      </c>
      <c r="I1401" t="s">
        <v>414</v>
      </c>
    </row>
    <row r="1402" spans="1:13" ht="15">
      <c r="C1402" t="s">
        <v>7657</v>
      </c>
      <c r="D1402" s="83" t="s">
        <v>5526</v>
      </c>
      <c r="E1402" t="s">
        <v>5249</v>
      </c>
      <c r="F1402" t="s">
        <v>5773</v>
      </c>
      <c r="H1402" t="s">
        <v>414</v>
      </c>
      <c r="M1402" t="s">
        <v>414</v>
      </c>
    </row>
    <row r="1403" spans="1:13" ht="15">
      <c r="C1403" t="s">
        <v>7698</v>
      </c>
      <c r="D1403" s="83" t="s">
        <v>4150</v>
      </c>
      <c r="E1403" t="s">
        <v>5043</v>
      </c>
      <c r="F1403" t="s">
        <v>31</v>
      </c>
    </row>
    <row r="1404" spans="1:13" ht="15">
      <c r="C1404" t="s">
        <v>7448</v>
      </c>
      <c r="D1404" s="83" t="s">
        <v>5537</v>
      </c>
      <c r="E1404" t="s">
        <v>5260</v>
      </c>
      <c r="F1404" t="s">
        <v>5750</v>
      </c>
      <c r="H1404" t="s">
        <v>414</v>
      </c>
      <c r="I1404" t="s">
        <v>414</v>
      </c>
    </row>
    <row r="1405" spans="1:13" ht="15">
      <c r="C1405" t="s">
        <v>6522</v>
      </c>
      <c r="D1405" s="83" t="s">
        <v>5585</v>
      </c>
      <c r="E1405" t="s">
        <v>5308</v>
      </c>
      <c r="F1405" t="s">
        <v>1309</v>
      </c>
    </row>
    <row r="1406" spans="1:13" ht="15">
      <c r="C1406" t="s">
        <v>6607</v>
      </c>
      <c r="D1406" s="83" t="s">
        <v>5605</v>
      </c>
      <c r="E1406" t="s">
        <v>5328</v>
      </c>
      <c r="F1406" t="s">
        <v>5806</v>
      </c>
      <c r="L1406" t="s">
        <v>414</v>
      </c>
    </row>
    <row r="1407" spans="1:13" ht="15">
      <c r="C1407" t="s">
        <v>6949</v>
      </c>
      <c r="D1407" s="83" t="s">
        <v>5854</v>
      </c>
      <c r="E1407" t="s">
        <v>7772</v>
      </c>
      <c r="F1407" t="s">
        <v>7773</v>
      </c>
      <c r="L1407" t="s">
        <v>414</v>
      </c>
    </row>
    <row r="1408" spans="1:13" ht="15">
      <c r="A1408" t="s">
        <v>3768</v>
      </c>
      <c r="B1408" t="s">
        <v>4282</v>
      </c>
      <c r="C1408" t="s">
        <v>7387</v>
      </c>
      <c r="D1408" s="83" t="s">
        <v>5609</v>
      </c>
      <c r="E1408" t="s">
        <v>5332</v>
      </c>
      <c r="F1408" t="s">
        <v>5726</v>
      </c>
      <c r="H1408" t="s">
        <v>414</v>
      </c>
      <c r="I1408" t="s">
        <v>414</v>
      </c>
    </row>
    <row r="1409" spans="1:13" ht="15">
      <c r="C1409" t="s">
        <v>6694</v>
      </c>
      <c r="D1409" s="83" t="s">
        <v>4149</v>
      </c>
      <c r="E1409" t="s">
        <v>5042</v>
      </c>
      <c r="F1409" t="s">
        <v>5748</v>
      </c>
      <c r="K1409" t="s">
        <v>414</v>
      </c>
      <c r="L1409" t="s">
        <v>414</v>
      </c>
      <c r="M1409" t="s">
        <v>414</v>
      </c>
    </row>
    <row r="1410" spans="1:13" ht="15">
      <c r="C1410" t="s">
        <v>6248</v>
      </c>
      <c r="D1410" s="83" t="s">
        <v>5589</v>
      </c>
      <c r="E1410" t="s">
        <v>5312</v>
      </c>
      <c r="F1410" t="s">
        <v>5748</v>
      </c>
      <c r="H1410" t="s">
        <v>414</v>
      </c>
      <c r="M1410" t="s">
        <v>414</v>
      </c>
    </row>
    <row r="1411" spans="1:13" ht="15">
      <c r="C1411" t="s">
        <v>6248</v>
      </c>
      <c r="D1411" s="83" t="s">
        <v>5517</v>
      </c>
      <c r="E1411" t="s">
        <v>5240</v>
      </c>
      <c r="F1411" t="s">
        <v>5748</v>
      </c>
      <c r="M1411" t="s">
        <v>414</v>
      </c>
    </row>
    <row r="1412" spans="1:13" ht="15">
      <c r="C1412" t="s">
        <v>6248</v>
      </c>
      <c r="D1412" s="83" t="s">
        <v>5480</v>
      </c>
      <c r="E1412" t="s">
        <v>5203</v>
      </c>
      <c r="F1412" t="s">
        <v>5748</v>
      </c>
      <c r="M1412" t="s">
        <v>414</v>
      </c>
    </row>
    <row r="1413" spans="1:13" ht="15">
      <c r="C1413" t="s">
        <v>6248</v>
      </c>
      <c r="D1413" s="83" t="s">
        <v>5514</v>
      </c>
      <c r="E1413" t="s">
        <v>5237</v>
      </c>
      <c r="F1413" t="s">
        <v>5748</v>
      </c>
      <c r="H1413" t="s">
        <v>414</v>
      </c>
      <c r="M1413" t="s">
        <v>414</v>
      </c>
    </row>
    <row r="1414" spans="1:13" ht="15">
      <c r="C1414" t="s">
        <v>6248</v>
      </c>
      <c r="D1414" s="83" t="s">
        <v>5507</v>
      </c>
      <c r="E1414" t="s">
        <v>5230</v>
      </c>
      <c r="F1414" t="s">
        <v>5748</v>
      </c>
      <c r="H1414" t="s">
        <v>414</v>
      </c>
      <c r="M1414" t="s">
        <v>414</v>
      </c>
    </row>
    <row r="1415" spans="1:13" ht="15">
      <c r="C1415" t="s">
        <v>6248</v>
      </c>
      <c r="D1415" s="83" t="s">
        <v>5521</v>
      </c>
      <c r="E1415" t="s">
        <v>5244</v>
      </c>
      <c r="F1415" t="s">
        <v>5748</v>
      </c>
      <c r="H1415" t="s">
        <v>414</v>
      </c>
      <c r="I1415" t="s">
        <v>414</v>
      </c>
      <c r="L1415" t="s">
        <v>414</v>
      </c>
      <c r="M1415" t="s">
        <v>414</v>
      </c>
    </row>
    <row r="1416" spans="1:13" ht="15">
      <c r="C1416" t="s">
        <v>6745</v>
      </c>
      <c r="D1416" s="83" t="s">
        <v>5493</v>
      </c>
      <c r="E1416" t="s">
        <v>5216</v>
      </c>
      <c r="F1416" t="s">
        <v>5755</v>
      </c>
      <c r="H1416" t="s">
        <v>414</v>
      </c>
      <c r="M1416" t="s">
        <v>414</v>
      </c>
    </row>
    <row r="1417" spans="1:13" ht="15">
      <c r="C1417" t="s">
        <v>6745</v>
      </c>
      <c r="D1417" s="83" t="s">
        <v>5486</v>
      </c>
      <c r="E1417" t="s">
        <v>5209</v>
      </c>
      <c r="F1417" t="s">
        <v>5750</v>
      </c>
      <c r="H1417" t="s">
        <v>414</v>
      </c>
      <c r="M1417" t="s">
        <v>414</v>
      </c>
    </row>
    <row r="1418" spans="1:13" ht="15">
      <c r="C1418" t="s">
        <v>6745</v>
      </c>
      <c r="D1418" s="83" t="s">
        <v>5525</v>
      </c>
      <c r="E1418" t="s">
        <v>5248</v>
      </c>
      <c r="F1418" t="s">
        <v>5759</v>
      </c>
      <c r="M1418" t="s">
        <v>414</v>
      </c>
    </row>
    <row r="1419" spans="1:13" ht="15">
      <c r="C1419" t="s">
        <v>6745</v>
      </c>
      <c r="D1419" s="83" t="s">
        <v>5529</v>
      </c>
      <c r="E1419" t="s">
        <v>5252</v>
      </c>
      <c r="F1419" t="s">
        <v>5748</v>
      </c>
      <c r="M1419" t="s">
        <v>414</v>
      </c>
    </row>
    <row r="1420" spans="1:13" ht="15">
      <c r="A1420" t="s">
        <v>3773</v>
      </c>
      <c r="B1420" t="s">
        <v>1289</v>
      </c>
      <c r="C1420" t="s">
        <v>6270</v>
      </c>
      <c r="D1420" s="83" t="s">
        <v>5858</v>
      </c>
      <c r="E1420" t="s">
        <v>7777</v>
      </c>
      <c r="F1420" t="s">
        <v>5755</v>
      </c>
      <c r="H1420" t="s">
        <v>414</v>
      </c>
      <c r="K1420" t="s">
        <v>414</v>
      </c>
      <c r="L1420" t="s">
        <v>414</v>
      </c>
    </row>
    <row r="1421" spans="1:13" ht="15">
      <c r="A1421" t="s">
        <v>4525</v>
      </c>
      <c r="B1421" s="81" t="s">
        <v>4524</v>
      </c>
      <c r="C1421" t="s">
        <v>6046</v>
      </c>
      <c r="D1421" s="83" t="s">
        <v>5858</v>
      </c>
      <c r="E1421" t="s">
        <v>7777</v>
      </c>
      <c r="F1421" t="s">
        <v>5755</v>
      </c>
      <c r="H1421" t="s">
        <v>414</v>
      </c>
      <c r="K1421" t="s">
        <v>414</v>
      </c>
      <c r="L1421" t="s">
        <v>414</v>
      </c>
    </row>
    <row r="1422" spans="1:13" ht="15">
      <c r="C1422" t="s">
        <v>7415</v>
      </c>
      <c r="D1422" s="83" t="s">
        <v>5609</v>
      </c>
      <c r="E1422" t="s">
        <v>5332</v>
      </c>
      <c r="F1422" t="s">
        <v>5726</v>
      </c>
      <c r="H1422" t="s">
        <v>414</v>
      </c>
      <c r="I1422" t="s">
        <v>414</v>
      </c>
    </row>
    <row r="1423" spans="1:13" ht="15">
      <c r="A1423" t="s">
        <v>3755</v>
      </c>
      <c r="B1423" t="s">
        <v>4533</v>
      </c>
      <c r="C1423" t="s">
        <v>6614</v>
      </c>
      <c r="D1423" s="83" t="s">
        <v>5858</v>
      </c>
      <c r="E1423" t="s">
        <v>7777</v>
      </c>
      <c r="F1423" t="s">
        <v>5755</v>
      </c>
      <c r="H1423" t="s">
        <v>414</v>
      </c>
      <c r="K1423" t="s">
        <v>414</v>
      </c>
      <c r="L1423" t="s">
        <v>414</v>
      </c>
    </row>
    <row r="1424" spans="1:13" ht="15">
      <c r="A1424" t="s">
        <v>3754</v>
      </c>
      <c r="B1424" t="s">
        <v>296</v>
      </c>
      <c r="C1424" t="s">
        <v>7265</v>
      </c>
      <c r="D1424" s="83" t="s">
        <v>5540</v>
      </c>
      <c r="E1424" t="s">
        <v>5263</v>
      </c>
      <c r="F1424" t="s">
        <v>5730</v>
      </c>
      <c r="H1424" t="s">
        <v>414</v>
      </c>
    </row>
    <row r="1425" spans="1:13" ht="15">
      <c r="C1425" t="s">
        <v>6346</v>
      </c>
      <c r="D1425" s="83" t="s">
        <v>5479</v>
      </c>
      <c r="E1425" t="s">
        <v>5202</v>
      </c>
      <c r="F1425" t="s">
        <v>5746</v>
      </c>
      <c r="H1425" t="s">
        <v>414</v>
      </c>
      <c r="M1425" t="s">
        <v>414</v>
      </c>
    </row>
    <row r="1426" spans="1:13" ht="15">
      <c r="A1426" t="s">
        <v>4448</v>
      </c>
      <c r="B1426" s="12" t="s">
        <v>1309</v>
      </c>
      <c r="C1426" t="s">
        <v>5923</v>
      </c>
      <c r="D1426" s="83" t="s">
        <v>5858</v>
      </c>
      <c r="E1426" t="s">
        <v>7777</v>
      </c>
      <c r="F1426" t="s">
        <v>5755</v>
      </c>
      <c r="H1426" t="s">
        <v>414</v>
      </c>
      <c r="K1426" t="s">
        <v>414</v>
      </c>
      <c r="L1426" t="s">
        <v>414</v>
      </c>
    </row>
    <row r="1427" spans="1:13" ht="15">
      <c r="C1427" t="s">
        <v>7636</v>
      </c>
      <c r="D1427" s="83" t="s">
        <v>5549</v>
      </c>
      <c r="E1427" t="s">
        <v>5272</v>
      </c>
      <c r="F1427" t="s">
        <v>5750</v>
      </c>
      <c r="H1427" t="s">
        <v>414</v>
      </c>
      <c r="L1427" t="s">
        <v>414</v>
      </c>
      <c r="M1427" t="s">
        <v>414</v>
      </c>
    </row>
    <row r="1428" spans="1:13" ht="15">
      <c r="A1428" t="s">
        <v>4565</v>
      </c>
      <c r="B1428" s="12" t="s">
        <v>395</v>
      </c>
      <c r="C1428" t="s">
        <v>6174</v>
      </c>
      <c r="D1428" s="83" t="s">
        <v>5858</v>
      </c>
      <c r="E1428" t="s">
        <v>7777</v>
      </c>
      <c r="F1428" t="s">
        <v>5755</v>
      </c>
      <c r="H1428" t="s">
        <v>414</v>
      </c>
      <c r="K1428" t="s">
        <v>414</v>
      </c>
      <c r="L1428" t="s">
        <v>414</v>
      </c>
    </row>
    <row r="1429" spans="1:13" ht="15">
      <c r="A1429" t="s">
        <v>3747</v>
      </c>
      <c r="B1429" t="s">
        <v>4298</v>
      </c>
      <c r="C1429" t="s">
        <v>6778</v>
      </c>
      <c r="D1429" s="83" t="s">
        <v>5858</v>
      </c>
      <c r="E1429" t="s">
        <v>7777</v>
      </c>
      <c r="F1429" t="s">
        <v>5755</v>
      </c>
      <c r="H1429" t="s">
        <v>414</v>
      </c>
      <c r="K1429" t="s">
        <v>414</v>
      </c>
      <c r="L1429" t="s">
        <v>414</v>
      </c>
    </row>
    <row r="1430" spans="1:13" ht="15">
      <c r="C1430" t="s">
        <v>6310</v>
      </c>
      <c r="D1430" s="83" t="s">
        <v>5552</v>
      </c>
      <c r="E1430" t="s">
        <v>5275</v>
      </c>
      <c r="F1430" t="s">
        <v>5750</v>
      </c>
      <c r="H1430" t="s">
        <v>414</v>
      </c>
      <c r="M1430" t="s">
        <v>414</v>
      </c>
    </row>
    <row r="1431" spans="1:13" ht="15">
      <c r="A1431" t="s">
        <v>3738</v>
      </c>
      <c r="B1431" s="74" t="s">
        <v>4300</v>
      </c>
      <c r="C1431" t="s">
        <v>6814</v>
      </c>
      <c r="D1431" s="83" t="s">
        <v>5858</v>
      </c>
      <c r="E1431" t="s">
        <v>7777</v>
      </c>
      <c r="F1431" t="s">
        <v>5755</v>
      </c>
      <c r="H1431" t="s">
        <v>414</v>
      </c>
      <c r="K1431" t="s">
        <v>414</v>
      </c>
      <c r="L1431" t="s">
        <v>414</v>
      </c>
    </row>
    <row r="1432" spans="1:13" ht="15">
      <c r="C1432" t="s">
        <v>6310</v>
      </c>
      <c r="D1432" s="83" t="s">
        <v>5858</v>
      </c>
      <c r="E1432" t="s">
        <v>7777</v>
      </c>
      <c r="F1432" t="s">
        <v>5755</v>
      </c>
      <c r="H1432" t="s">
        <v>414</v>
      </c>
      <c r="K1432" t="s">
        <v>414</v>
      </c>
      <c r="L1432" t="s">
        <v>414</v>
      </c>
    </row>
    <row r="1433" spans="1:13" ht="15">
      <c r="C1433" t="s">
        <v>5986</v>
      </c>
      <c r="D1433" s="83" t="s">
        <v>5493</v>
      </c>
      <c r="E1433" t="s">
        <v>5216</v>
      </c>
      <c r="F1433" t="s">
        <v>5755</v>
      </c>
      <c r="H1433" t="s">
        <v>414</v>
      </c>
      <c r="M1433" t="s">
        <v>414</v>
      </c>
    </row>
    <row r="1434" spans="1:13" ht="15">
      <c r="C1434" t="s">
        <v>5986</v>
      </c>
      <c r="D1434" s="83" t="s">
        <v>5486</v>
      </c>
      <c r="E1434" t="s">
        <v>5209</v>
      </c>
      <c r="F1434" t="s">
        <v>5750</v>
      </c>
      <c r="H1434" t="s">
        <v>414</v>
      </c>
      <c r="M1434" t="s">
        <v>414</v>
      </c>
    </row>
    <row r="1435" spans="1:13" ht="15">
      <c r="A1435" t="s">
        <v>3765</v>
      </c>
      <c r="B1435" t="s">
        <v>4302</v>
      </c>
      <c r="C1435" t="s">
        <v>6733</v>
      </c>
      <c r="D1435" s="83" t="s">
        <v>5858</v>
      </c>
      <c r="E1435" t="s">
        <v>7777</v>
      </c>
      <c r="F1435" t="s">
        <v>5755</v>
      </c>
      <c r="H1435" t="s">
        <v>414</v>
      </c>
      <c r="K1435" t="s">
        <v>414</v>
      </c>
      <c r="L1435" t="s">
        <v>414</v>
      </c>
    </row>
    <row r="1436" spans="1:13" ht="15">
      <c r="C1436" t="s">
        <v>5986</v>
      </c>
      <c r="D1436" s="83" t="s">
        <v>5507</v>
      </c>
      <c r="E1436" t="s">
        <v>5230</v>
      </c>
      <c r="F1436" t="s">
        <v>5748</v>
      </c>
      <c r="H1436" t="s">
        <v>414</v>
      </c>
      <c r="M1436" t="s">
        <v>414</v>
      </c>
    </row>
    <row r="1437" spans="1:13" ht="15">
      <c r="C1437" t="s">
        <v>5986</v>
      </c>
      <c r="D1437" s="83" t="s">
        <v>5525</v>
      </c>
      <c r="E1437" t="s">
        <v>5248</v>
      </c>
      <c r="F1437" t="s">
        <v>5759</v>
      </c>
      <c r="M1437" t="s">
        <v>414</v>
      </c>
    </row>
    <row r="1438" spans="1:13" ht="15">
      <c r="C1438" t="s">
        <v>5986</v>
      </c>
      <c r="D1438" s="83" t="s">
        <v>5529</v>
      </c>
      <c r="E1438" t="s">
        <v>5252</v>
      </c>
      <c r="F1438" t="s">
        <v>5748</v>
      </c>
      <c r="M1438" t="s">
        <v>414</v>
      </c>
    </row>
    <row r="1439" spans="1:13" ht="15">
      <c r="C1439" t="s">
        <v>7539</v>
      </c>
      <c r="D1439" s="83" t="s">
        <v>5562</v>
      </c>
      <c r="E1439" t="s">
        <v>5285</v>
      </c>
      <c r="F1439" t="s">
        <v>5750</v>
      </c>
      <c r="H1439" t="s">
        <v>414</v>
      </c>
      <c r="M1439" t="s">
        <v>414</v>
      </c>
    </row>
    <row r="1440" spans="1:13" ht="15">
      <c r="A1440" t="s">
        <v>3739</v>
      </c>
      <c r="B1440" s="12" t="s">
        <v>33</v>
      </c>
      <c r="C1440" t="s">
        <v>6875</v>
      </c>
      <c r="D1440" s="83" t="s">
        <v>5858</v>
      </c>
      <c r="E1440" t="s">
        <v>7777</v>
      </c>
      <c r="F1440" t="s">
        <v>5755</v>
      </c>
      <c r="H1440" t="s">
        <v>414</v>
      </c>
      <c r="K1440" t="s">
        <v>414</v>
      </c>
      <c r="L1440" t="s">
        <v>414</v>
      </c>
    </row>
    <row r="1441" spans="1:13" ht="15">
      <c r="A1441" t="s">
        <v>3768</v>
      </c>
      <c r="B1441" t="s">
        <v>4282</v>
      </c>
      <c r="C1441" t="s">
        <v>6403</v>
      </c>
      <c r="D1441" s="83" t="s">
        <v>4136</v>
      </c>
      <c r="E1441" t="s">
        <v>5030</v>
      </c>
      <c r="F1441" t="s">
        <v>5725</v>
      </c>
      <c r="K1441" t="s">
        <v>414</v>
      </c>
      <c r="L1441" t="s">
        <v>414</v>
      </c>
      <c r="M1441" t="s">
        <v>414</v>
      </c>
    </row>
    <row r="1442" spans="1:13" ht="15">
      <c r="A1442" t="s">
        <v>8203</v>
      </c>
      <c r="B1442" t="s">
        <v>2523</v>
      </c>
      <c r="C1442" t="s">
        <v>6660</v>
      </c>
      <c r="D1442" s="83" t="s">
        <v>5549</v>
      </c>
      <c r="E1442" t="s">
        <v>5272</v>
      </c>
      <c r="F1442" t="s">
        <v>5750</v>
      </c>
      <c r="H1442" t="s">
        <v>414</v>
      </c>
      <c r="L1442" t="s">
        <v>414</v>
      </c>
      <c r="M1442" t="s">
        <v>414</v>
      </c>
    </row>
    <row r="1443" spans="1:13" ht="15">
      <c r="A1443" t="s">
        <v>8203</v>
      </c>
      <c r="B1443" t="s">
        <v>2523</v>
      </c>
      <c r="C1443" t="s">
        <v>6660</v>
      </c>
      <c r="D1443" s="83" t="s">
        <v>5858</v>
      </c>
      <c r="E1443" t="s">
        <v>7777</v>
      </c>
      <c r="F1443" t="s">
        <v>5755</v>
      </c>
      <c r="H1443" t="s">
        <v>414</v>
      </c>
      <c r="K1443" t="s">
        <v>414</v>
      </c>
      <c r="L1443" t="s">
        <v>414</v>
      </c>
    </row>
    <row r="1444" spans="1:13" ht="15">
      <c r="A1444" t="s">
        <v>8203</v>
      </c>
      <c r="B1444" t="s">
        <v>2523</v>
      </c>
      <c r="C1444" t="s">
        <v>7586</v>
      </c>
      <c r="D1444" s="83" t="s">
        <v>5552</v>
      </c>
      <c r="E1444" t="s">
        <v>5275</v>
      </c>
      <c r="F1444" t="s">
        <v>5750</v>
      </c>
      <c r="H1444" t="s">
        <v>414</v>
      </c>
      <c r="M1444" t="s">
        <v>414</v>
      </c>
    </row>
    <row r="1445" spans="1:13" ht="15">
      <c r="A1445" t="s">
        <v>8203</v>
      </c>
      <c r="B1445" t="s">
        <v>2523</v>
      </c>
      <c r="C1445" t="s">
        <v>7117</v>
      </c>
      <c r="D1445" s="83" t="s">
        <v>5682</v>
      </c>
      <c r="E1445" t="s">
        <v>5405</v>
      </c>
      <c r="F1445" t="s">
        <v>5833</v>
      </c>
    </row>
    <row r="1446" spans="1:13" ht="15">
      <c r="A1446" t="s">
        <v>8203</v>
      </c>
      <c r="B1446" t="s">
        <v>2523</v>
      </c>
      <c r="C1446" t="s">
        <v>7117</v>
      </c>
      <c r="D1446" s="83" t="s">
        <v>5459</v>
      </c>
      <c r="E1446" t="s">
        <v>5182</v>
      </c>
      <c r="F1446" t="s">
        <v>486</v>
      </c>
      <c r="M1446" t="s">
        <v>414</v>
      </c>
    </row>
    <row r="1447" spans="1:13" ht="15">
      <c r="A1447" t="s">
        <v>8203</v>
      </c>
      <c r="B1447" t="s">
        <v>2523</v>
      </c>
      <c r="C1447" t="s">
        <v>7599</v>
      </c>
      <c r="D1447" s="83" t="s">
        <v>5562</v>
      </c>
      <c r="E1447" t="s">
        <v>5285</v>
      </c>
      <c r="F1447" t="s">
        <v>5750</v>
      </c>
      <c r="H1447" t="s">
        <v>414</v>
      </c>
      <c r="M1447" t="s">
        <v>414</v>
      </c>
    </row>
    <row r="1448" spans="1:13" ht="15">
      <c r="A1448" t="s">
        <v>8203</v>
      </c>
      <c r="B1448" t="s">
        <v>2523</v>
      </c>
      <c r="C1448" t="s">
        <v>7318</v>
      </c>
      <c r="D1448" s="83" t="s">
        <v>5596</v>
      </c>
      <c r="E1448" t="s">
        <v>5319</v>
      </c>
      <c r="F1448" t="s">
        <v>5801</v>
      </c>
    </row>
    <row r="1449" spans="1:13" ht="15">
      <c r="A1449" t="s">
        <v>8203</v>
      </c>
      <c r="B1449" t="s">
        <v>2523</v>
      </c>
      <c r="C1449" t="s">
        <v>6800</v>
      </c>
      <c r="D1449" s="83" t="s">
        <v>5616</v>
      </c>
      <c r="E1449" t="s">
        <v>5339</v>
      </c>
      <c r="F1449" t="s">
        <v>5748</v>
      </c>
      <c r="H1449" t="s">
        <v>414</v>
      </c>
      <c r="I1449" t="s">
        <v>414</v>
      </c>
      <c r="M1449" t="s">
        <v>414</v>
      </c>
    </row>
    <row r="1450" spans="1:13" ht="15">
      <c r="A1450" t="s">
        <v>8203</v>
      </c>
      <c r="B1450" t="s">
        <v>2523</v>
      </c>
      <c r="C1450" t="s">
        <v>6800</v>
      </c>
      <c r="D1450" s="83" t="s">
        <v>5865</v>
      </c>
      <c r="E1450" t="s">
        <v>7786</v>
      </c>
      <c r="F1450" t="s">
        <v>5748</v>
      </c>
      <c r="G1450" t="s">
        <v>414</v>
      </c>
      <c r="H1450" t="s">
        <v>414</v>
      </c>
      <c r="K1450" t="s">
        <v>414</v>
      </c>
      <c r="L1450" t="s">
        <v>414</v>
      </c>
    </row>
    <row r="1451" spans="1:13" ht="15">
      <c r="A1451" t="s">
        <v>8203</v>
      </c>
      <c r="B1451" t="s">
        <v>2523</v>
      </c>
      <c r="C1451" t="s">
        <v>6800</v>
      </c>
      <c r="D1451" s="83" t="s">
        <v>5654</v>
      </c>
      <c r="E1451" t="s">
        <v>5377</v>
      </c>
      <c r="F1451" t="s">
        <v>5748</v>
      </c>
      <c r="H1451" t="s">
        <v>414</v>
      </c>
      <c r="K1451" t="s">
        <v>414</v>
      </c>
      <c r="L1451" t="s">
        <v>414</v>
      </c>
    </row>
    <row r="1452" spans="1:13" ht="15">
      <c r="C1452" t="s">
        <v>7603</v>
      </c>
      <c r="D1452" s="83" t="s">
        <v>4150</v>
      </c>
      <c r="E1452" t="s">
        <v>5043</v>
      </c>
      <c r="F1452" t="s">
        <v>31</v>
      </c>
    </row>
    <row r="1453" spans="1:13" ht="15">
      <c r="C1453" t="s">
        <v>6599</v>
      </c>
      <c r="D1453" s="83" t="s">
        <v>5624</v>
      </c>
      <c r="E1453" t="s">
        <v>5347</v>
      </c>
      <c r="F1453" t="s">
        <v>5815</v>
      </c>
      <c r="H1453" t="s">
        <v>414</v>
      </c>
      <c r="K1453" t="s">
        <v>414</v>
      </c>
      <c r="L1453" t="s">
        <v>414</v>
      </c>
      <c r="M1453" t="s">
        <v>414</v>
      </c>
    </row>
    <row r="1454" spans="1:13" ht="15">
      <c r="A1454" t="s">
        <v>3139</v>
      </c>
      <c r="B1454" t="s">
        <v>4285</v>
      </c>
      <c r="C1454" t="s">
        <v>6213</v>
      </c>
      <c r="D1454" s="83" t="s">
        <v>5525</v>
      </c>
      <c r="E1454" t="s">
        <v>5248</v>
      </c>
      <c r="F1454" t="s">
        <v>5759</v>
      </c>
      <c r="M1454" t="s">
        <v>414</v>
      </c>
    </row>
    <row r="1455" spans="1:13" ht="15">
      <c r="C1455" t="s">
        <v>6154</v>
      </c>
      <c r="D1455" s="83" t="s">
        <v>4173</v>
      </c>
      <c r="E1455" t="s">
        <v>5067</v>
      </c>
      <c r="F1455" t="s">
        <v>1216</v>
      </c>
    </row>
    <row r="1456" spans="1:13" ht="15">
      <c r="C1456" t="s">
        <v>7484</v>
      </c>
      <c r="D1456" s="83" t="s">
        <v>5877</v>
      </c>
      <c r="E1456" t="s">
        <v>7801</v>
      </c>
      <c r="F1456" t="s">
        <v>27</v>
      </c>
      <c r="M1456" t="s">
        <v>414</v>
      </c>
    </row>
    <row r="1457" spans="1:13" ht="15">
      <c r="C1457" t="s">
        <v>7696</v>
      </c>
      <c r="D1457" s="83" t="s">
        <v>5609</v>
      </c>
      <c r="E1457" t="s">
        <v>5332</v>
      </c>
      <c r="F1457" t="s">
        <v>5726</v>
      </c>
      <c r="H1457" t="s">
        <v>414</v>
      </c>
      <c r="I1457" t="s">
        <v>414</v>
      </c>
    </row>
    <row r="1458" spans="1:13" ht="15">
      <c r="C1458" t="s">
        <v>7292</v>
      </c>
      <c r="D1458" s="83" t="s">
        <v>5696</v>
      </c>
      <c r="E1458" t="s">
        <v>5419</v>
      </c>
      <c r="F1458" t="s">
        <v>5739</v>
      </c>
    </row>
    <row r="1459" spans="1:13" ht="15">
      <c r="C1459" t="s">
        <v>6421</v>
      </c>
      <c r="D1459" s="83" t="s">
        <v>4154</v>
      </c>
      <c r="E1459" t="s">
        <v>5047</v>
      </c>
      <c r="F1459" t="s">
        <v>5737</v>
      </c>
      <c r="H1459" t="s">
        <v>414</v>
      </c>
      <c r="L1459" t="s">
        <v>414</v>
      </c>
      <c r="M1459" t="s">
        <v>414</v>
      </c>
    </row>
    <row r="1460" spans="1:13" ht="15">
      <c r="C1460" t="s">
        <v>6421</v>
      </c>
      <c r="D1460" s="83" t="s">
        <v>5877</v>
      </c>
      <c r="E1460" t="s">
        <v>7801</v>
      </c>
      <c r="F1460" t="s">
        <v>27</v>
      </c>
      <c r="M1460" t="s">
        <v>414</v>
      </c>
    </row>
    <row r="1461" spans="1:13" ht="15">
      <c r="C1461" t="s">
        <v>6506</v>
      </c>
      <c r="D1461" s="83" t="s">
        <v>5566</v>
      </c>
      <c r="E1461" t="s">
        <v>5289</v>
      </c>
      <c r="F1461" t="s">
        <v>5748</v>
      </c>
      <c r="H1461" t="s">
        <v>414</v>
      </c>
      <c r="M1461" t="s">
        <v>414</v>
      </c>
    </row>
    <row r="1462" spans="1:13" ht="15">
      <c r="C1462" t="s">
        <v>7557</v>
      </c>
      <c r="D1462" s="83" t="s">
        <v>5616</v>
      </c>
      <c r="E1462" t="s">
        <v>5339</v>
      </c>
      <c r="F1462" t="s">
        <v>5748</v>
      </c>
      <c r="H1462" t="s">
        <v>414</v>
      </c>
      <c r="I1462" t="s">
        <v>414</v>
      </c>
      <c r="M1462" t="s">
        <v>414</v>
      </c>
    </row>
    <row r="1463" spans="1:13" ht="15">
      <c r="C1463" t="s">
        <v>6555</v>
      </c>
      <c r="D1463" s="83" t="s">
        <v>5589</v>
      </c>
      <c r="E1463" t="s">
        <v>5312</v>
      </c>
      <c r="F1463" t="s">
        <v>5748</v>
      </c>
      <c r="H1463" t="s">
        <v>414</v>
      </c>
      <c r="M1463" t="s">
        <v>414</v>
      </c>
    </row>
    <row r="1464" spans="1:13" ht="15">
      <c r="C1464" t="s">
        <v>6555</v>
      </c>
      <c r="D1464" s="83" t="s">
        <v>5517</v>
      </c>
      <c r="E1464" t="s">
        <v>5240</v>
      </c>
      <c r="F1464" t="s">
        <v>5748</v>
      </c>
      <c r="M1464" t="s">
        <v>414</v>
      </c>
    </row>
    <row r="1465" spans="1:13" ht="15">
      <c r="C1465" t="s">
        <v>6170</v>
      </c>
      <c r="D1465" s="83" t="s">
        <v>4168</v>
      </c>
      <c r="E1465" t="s">
        <v>5062</v>
      </c>
      <c r="F1465" t="s">
        <v>5846</v>
      </c>
      <c r="L1465" t="s">
        <v>414</v>
      </c>
    </row>
    <row r="1466" spans="1:13" ht="15">
      <c r="A1466" t="s">
        <v>4525</v>
      </c>
      <c r="B1466" s="81" t="s">
        <v>4524</v>
      </c>
      <c r="C1466" t="s">
        <v>6001</v>
      </c>
      <c r="D1466" s="83" t="s">
        <v>5525</v>
      </c>
      <c r="E1466" t="s">
        <v>5248</v>
      </c>
      <c r="F1466" t="s">
        <v>5759</v>
      </c>
      <c r="M1466" t="s">
        <v>414</v>
      </c>
    </row>
    <row r="1467" spans="1:13" ht="15">
      <c r="A1467" t="s">
        <v>3755</v>
      </c>
      <c r="B1467" t="s">
        <v>4533</v>
      </c>
      <c r="C1467" t="s">
        <v>5928</v>
      </c>
      <c r="D1467" s="83" t="s">
        <v>5525</v>
      </c>
      <c r="E1467" t="s">
        <v>5248</v>
      </c>
      <c r="F1467" t="s">
        <v>5759</v>
      </c>
      <c r="M1467" t="s">
        <v>414</v>
      </c>
    </row>
    <row r="1468" spans="1:13" ht="15">
      <c r="C1468" t="s">
        <v>6663</v>
      </c>
      <c r="D1468" s="83" t="s">
        <v>5865</v>
      </c>
      <c r="E1468" t="s">
        <v>7786</v>
      </c>
      <c r="F1468" t="s">
        <v>5748</v>
      </c>
      <c r="G1468" t="s">
        <v>414</v>
      </c>
      <c r="H1468" t="s">
        <v>414</v>
      </c>
      <c r="K1468" t="s">
        <v>414</v>
      </c>
      <c r="L1468" t="s">
        <v>414</v>
      </c>
    </row>
    <row r="1469" spans="1:13" ht="15">
      <c r="C1469" t="s">
        <v>6473</v>
      </c>
      <c r="D1469" s="83" t="s">
        <v>4136</v>
      </c>
      <c r="E1469" t="s">
        <v>5030</v>
      </c>
      <c r="F1469" t="s">
        <v>5725</v>
      </c>
      <c r="K1469" t="s">
        <v>414</v>
      </c>
      <c r="L1469" t="s">
        <v>414</v>
      </c>
      <c r="M1469" t="s">
        <v>414</v>
      </c>
    </row>
    <row r="1470" spans="1:13" ht="15">
      <c r="A1470" t="s">
        <v>3754</v>
      </c>
      <c r="B1470" t="s">
        <v>296</v>
      </c>
      <c r="C1470" t="s">
        <v>7490</v>
      </c>
      <c r="D1470" s="83" t="s">
        <v>5537</v>
      </c>
      <c r="E1470" t="s">
        <v>5260</v>
      </c>
      <c r="F1470" t="s">
        <v>5750</v>
      </c>
      <c r="H1470" t="s">
        <v>414</v>
      </c>
      <c r="I1470" t="s">
        <v>414</v>
      </c>
    </row>
    <row r="1471" spans="1:13" ht="15">
      <c r="A1471" t="s">
        <v>3754</v>
      </c>
      <c r="B1471" t="s">
        <v>296</v>
      </c>
      <c r="C1471" t="s">
        <v>6233</v>
      </c>
      <c r="D1471" s="83" t="s">
        <v>5567</v>
      </c>
      <c r="E1471" t="s">
        <v>5290</v>
      </c>
      <c r="F1471" t="s">
        <v>5792</v>
      </c>
      <c r="H1471" t="s">
        <v>414</v>
      </c>
      <c r="L1471" t="s">
        <v>414</v>
      </c>
      <c r="M1471" t="s">
        <v>414</v>
      </c>
    </row>
    <row r="1472" spans="1:13" ht="15">
      <c r="A1472" t="s">
        <v>4446</v>
      </c>
      <c r="B1472" t="s">
        <v>4445</v>
      </c>
      <c r="C1472" t="s">
        <v>6484</v>
      </c>
      <c r="D1472" s="83" t="s">
        <v>5525</v>
      </c>
      <c r="E1472" t="s">
        <v>5248</v>
      </c>
      <c r="F1472" t="s">
        <v>5759</v>
      </c>
      <c r="M1472" t="s">
        <v>414</v>
      </c>
    </row>
    <row r="1473" spans="1:13" ht="15">
      <c r="A1473" t="s">
        <v>3754</v>
      </c>
      <c r="B1473" t="s">
        <v>296</v>
      </c>
      <c r="C1473" t="s">
        <v>6318</v>
      </c>
      <c r="D1473" s="83" t="s">
        <v>4136</v>
      </c>
      <c r="E1473" t="s">
        <v>5030</v>
      </c>
      <c r="F1473" t="s">
        <v>5725</v>
      </c>
      <c r="K1473" t="s">
        <v>414</v>
      </c>
      <c r="L1473" t="s">
        <v>414</v>
      </c>
      <c r="M1473" t="s">
        <v>414</v>
      </c>
    </row>
    <row r="1474" spans="1:13" ht="15">
      <c r="A1474" t="s">
        <v>3754</v>
      </c>
      <c r="B1474" t="s">
        <v>296</v>
      </c>
      <c r="C1474" t="s">
        <v>7640</v>
      </c>
      <c r="D1474" s="83" t="s">
        <v>5609</v>
      </c>
      <c r="E1474" t="s">
        <v>5332</v>
      </c>
      <c r="F1474" t="s">
        <v>5726</v>
      </c>
      <c r="H1474" t="s">
        <v>414</v>
      </c>
      <c r="I1474" t="s">
        <v>414</v>
      </c>
    </row>
    <row r="1475" spans="1:13" ht="15">
      <c r="A1475" t="s">
        <v>3738</v>
      </c>
      <c r="B1475" s="74" t="s">
        <v>4300</v>
      </c>
      <c r="C1475" t="s">
        <v>6443</v>
      </c>
      <c r="D1475" s="83" t="s">
        <v>5525</v>
      </c>
      <c r="E1475" t="s">
        <v>5248</v>
      </c>
      <c r="F1475" t="s">
        <v>5759</v>
      </c>
      <c r="M1475" t="s">
        <v>414</v>
      </c>
    </row>
    <row r="1476" spans="1:13" ht="15">
      <c r="A1476" t="s">
        <v>4443</v>
      </c>
      <c r="B1476" t="s">
        <v>4287</v>
      </c>
      <c r="C1476" t="s">
        <v>6675</v>
      </c>
      <c r="D1476" s="83" t="s">
        <v>5525</v>
      </c>
      <c r="E1476" t="s">
        <v>5248</v>
      </c>
      <c r="F1476" t="s">
        <v>5759</v>
      </c>
      <c r="M1476" t="s">
        <v>414</v>
      </c>
    </row>
    <row r="1477" spans="1:13" ht="15">
      <c r="C1477" t="s">
        <v>6929</v>
      </c>
      <c r="D1477" s="83" t="s">
        <v>5589</v>
      </c>
      <c r="E1477" t="s">
        <v>5312</v>
      </c>
      <c r="F1477" t="s">
        <v>5748</v>
      </c>
      <c r="H1477" t="s">
        <v>414</v>
      </c>
      <c r="M1477" t="s">
        <v>414</v>
      </c>
    </row>
    <row r="1478" spans="1:13" ht="15">
      <c r="C1478" t="s">
        <v>6929</v>
      </c>
      <c r="D1478" s="83" t="s">
        <v>5486</v>
      </c>
      <c r="E1478" t="s">
        <v>5209</v>
      </c>
      <c r="F1478" t="s">
        <v>5750</v>
      </c>
      <c r="H1478" t="s">
        <v>414</v>
      </c>
      <c r="M1478" t="s">
        <v>414</v>
      </c>
    </row>
    <row r="1479" spans="1:13" ht="15">
      <c r="C1479" t="s">
        <v>6929</v>
      </c>
      <c r="D1479" s="83" t="s">
        <v>5529</v>
      </c>
      <c r="E1479" t="s">
        <v>5252</v>
      </c>
      <c r="F1479" t="s">
        <v>5748</v>
      </c>
      <c r="M1479" t="s">
        <v>414</v>
      </c>
    </row>
    <row r="1480" spans="1:13" ht="15">
      <c r="C1480" t="s">
        <v>6929</v>
      </c>
      <c r="D1480" s="83" t="s">
        <v>5521</v>
      </c>
      <c r="E1480" t="s">
        <v>5244</v>
      </c>
      <c r="F1480" t="s">
        <v>5748</v>
      </c>
      <c r="H1480" t="s">
        <v>414</v>
      </c>
      <c r="I1480" t="s">
        <v>414</v>
      </c>
      <c r="L1480" t="s">
        <v>414</v>
      </c>
      <c r="M1480" t="s">
        <v>414</v>
      </c>
    </row>
    <row r="1481" spans="1:13" ht="15">
      <c r="A1481" t="s">
        <v>3744</v>
      </c>
      <c r="B1481" t="s">
        <v>1243</v>
      </c>
      <c r="C1481" t="s">
        <v>6947</v>
      </c>
      <c r="D1481" s="83" t="s">
        <v>5525</v>
      </c>
      <c r="E1481" t="s">
        <v>5248</v>
      </c>
      <c r="F1481" t="s">
        <v>5759</v>
      </c>
      <c r="M1481" t="s">
        <v>414</v>
      </c>
    </row>
    <row r="1482" spans="1:13" ht="15">
      <c r="C1482" t="s">
        <v>6929</v>
      </c>
      <c r="D1482" s="83" t="s">
        <v>5467</v>
      </c>
      <c r="E1482" t="s">
        <v>5190</v>
      </c>
      <c r="F1482" t="s">
        <v>5740</v>
      </c>
      <c r="M1482" t="s">
        <v>414</v>
      </c>
    </row>
    <row r="1483" spans="1:13" ht="15">
      <c r="A1483" t="s">
        <v>3735</v>
      </c>
      <c r="B1483" s="74" t="s">
        <v>4288</v>
      </c>
      <c r="C1483" t="s">
        <v>6965</v>
      </c>
      <c r="D1483" s="83" t="s">
        <v>5525</v>
      </c>
      <c r="E1483" t="s">
        <v>5248</v>
      </c>
      <c r="F1483" t="s">
        <v>5759</v>
      </c>
      <c r="M1483" t="s">
        <v>414</v>
      </c>
    </row>
    <row r="1484" spans="1:13" ht="15">
      <c r="A1484" t="s">
        <v>3754</v>
      </c>
      <c r="B1484" t="s">
        <v>296</v>
      </c>
      <c r="C1484" t="s">
        <v>7637</v>
      </c>
      <c r="D1484" s="83" t="s">
        <v>5552</v>
      </c>
      <c r="E1484" t="s">
        <v>5275</v>
      </c>
      <c r="F1484" t="s">
        <v>5750</v>
      </c>
      <c r="H1484" t="s">
        <v>414</v>
      </c>
      <c r="M1484" t="s">
        <v>414</v>
      </c>
    </row>
    <row r="1485" spans="1:13" ht="15">
      <c r="A1485" t="s">
        <v>3754</v>
      </c>
      <c r="B1485" t="s">
        <v>296</v>
      </c>
      <c r="C1485" t="s">
        <v>5882</v>
      </c>
      <c r="D1485" s="83" t="s">
        <v>5546</v>
      </c>
      <c r="E1485" t="s">
        <v>5269</v>
      </c>
      <c r="F1485" t="s">
        <v>5784</v>
      </c>
      <c r="L1485" t="s">
        <v>414</v>
      </c>
    </row>
    <row r="1486" spans="1:13" ht="15">
      <c r="A1486" t="s">
        <v>3755</v>
      </c>
      <c r="B1486" t="s">
        <v>4533</v>
      </c>
      <c r="C1486" t="s">
        <v>5928</v>
      </c>
      <c r="D1486" s="83" t="s">
        <v>5513</v>
      </c>
      <c r="E1486" t="s">
        <v>5236</v>
      </c>
      <c r="F1486" t="s">
        <v>5750</v>
      </c>
      <c r="M1486" t="s">
        <v>414</v>
      </c>
    </row>
    <row r="1487" spans="1:13" ht="15">
      <c r="A1487" t="s">
        <v>3754</v>
      </c>
      <c r="B1487" t="s">
        <v>296</v>
      </c>
      <c r="C1487" t="s">
        <v>6636</v>
      </c>
      <c r="D1487" s="83" t="s">
        <v>5578</v>
      </c>
      <c r="E1487" t="s">
        <v>5301</v>
      </c>
      <c r="F1487" t="s">
        <v>5796</v>
      </c>
      <c r="K1487" t="s">
        <v>414</v>
      </c>
    </row>
    <row r="1488" spans="1:13" ht="15">
      <c r="A1488" t="s">
        <v>3754</v>
      </c>
      <c r="B1488" t="s">
        <v>296</v>
      </c>
      <c r="C1488" t="s">
        <v>7692</v>
      </c>
      <c r="D1488" s="83" t="s">
        <v>5526</v>
      </c>
      <c r="E1488" t="s">
        <v>5249</v>
      </c>
      <c r="F1488" t="s">
        <v>5773</v>
      </c>
      <c r="H1488" t="s">
        <v>414</v>
      </c>
      <c r="M1488" t="s">
        <v>414</v>
      </c>
    </row>
    <row r="1489" spans="1:13" ht="15">
      <c r="A1489" t="s">
        <v>3754</v>
      </c>
      <c r="B1489" t="s">
        <v>296</v>
      </c>
      <c r="C1489" t="s">
        <v>6896</v>
      </c>
      <c r="D1489" s="83" t="s">
        <v>4170</v>
      </c>
      <c r="E1489" t="s">
        <v>5064</v>
      </c>
      <c r="F1489" t="s">
        <v>5747</v>
      </c>
      <c r="K1489" t="s">
        <v>414</v>
      </c>
      <c r="L1489" t="s">
        <v>414</v>
      </c>
      <c r="M1489" t="s">
        <v>414</v>
      </c>
    </row>
    <row r="1490" spans="1:13" ht="15">
      <c r="A1490" t="s">
        <v>3754</v>
      </c>
      <c r="B1490" t="s">
        <v>296</v>
      </c>
      <c r="C1490" t="s">
        <v>6896</v>
      </c>
      <c r="D1490" s="83" t="s">
        <v>5459</v>
      </c>
      <c r="E1490" t="s">
        <v>5182</v>
      </c>
      <c r="F1490" t="s">
        <v>486</v>
      </c>
      <c r="M1490" t="s">
        <v>414</v>
      </c>
    </row>
    <row r="1491" spans="1:13" ht="15">
      <c r="A1491" t="s">
        <v>3754</v>
      </c>
      <c r="B1491" t="s">
        <v>296</v>
      </c>
      <c r="C1491" t="s">
        <v>6896</v>
      </c>
      <c r="D1491" s="83" t="s">
        <v>5857</v>
      </c>
      <c r="E1491" t="s">
        <v>7776</v>
      </c>
      <c r="F1491" t="s">
        <v>5755</v>
      </c>
      <c r="L1491" t="s">
        <v>414</v>
      </c>
    </row>
    <row r="1492" spans="1:13" ht="15">
      <c r="A1492" t="s">
        <v>3754</v>
      </c>
      <c r="B1492" t="s">
        <v>296</v>
      </c>
      <c r="C1492" t="s">
        <v>7262</v>
      </c>
      <c r="D1492" s="83" t="s">
        <v>5536</v>
      </c>
      <c r="E1492" t="s">
        <v>5259</v>
      </c>
      <c r="F1492" t="s">
        <v>5780</v>
      </c>
      <c r="M1492" t="s">
        <v>414</v>
      </c>
    </row>
    <row r="1493" spans="1:13" ht="15">
      <c r="A1493" t="s">
        <v>3754</v>
      </c>
      <c r="B1493" t="s">
        <v>296</v>
      </c>
      <c r="C1493" t="s">
        <v>7489</v>
      </c>
      <c r="D1493" s="83" t="s">
        <v>5536</v>
      </c>
      <c r="E1493" t="s">
        <v>5259</v>
      </c>
      <c r="F1493" t="s">
        <v>5780</v>
      </c>
      <c r="M1493" t="s">
        <v>414</v>
      </c>
    </row>
    <row r="1494" spans="1:13" ht="15">
      <c r="C1494" t="s">
        <v>7298</v>
      </c>
      <c r="D1494" s="83" t="s">
        <v>5459</v>
      </c>
      <c r="E1494" t="s">
        <v>5182</v>
      </c>
      <c r="F1494" t="s">
        <v>486</v>
      </c>
      <c r="M1494" t="s">
        <v>414</v>
      </c>
    </row>
    <row r="1495" spans="1:13" ht="15">
      <c r="C1495" t="s">
        <v>6267</v>
      </c>
      <c r="D1495" s="83" t="s">
        <v>5588</v>
      </c>
      <c r="E1495" t="s">
        <v>5311</v>
      </c>
      <c r="F1495" t="s">
        <v>5740</v>
      </c>
      <c r="M1495" t="s">
        <v>414</v>
      </c>
    </row>
    <row r="1496" spans="1:13" ht="15">
      <c r="C1496" t="s">
        <v>6122</v>
      </c>
      <c r="D1496" s="83" t="s">
        <v>4153</v>
      </c>
      <c r="E1496" t="s">
        <v>5046</v>
      </c>
      <c r="F1496" t="s">
        <v>31</v>
      </c>
      <c r="K1496" t="s">
        <v>414</v>
      </c>
      <c r="L1496" t="s">
        <v>414</v>
      </c>
    </row>
    <row r="1497" spans="1:13" ht="15">
      <c r="C1497" t="s">
        <v>6188</v>
      </c>
      <c r="D1497" s="83" t="s">
        <v>5639</v>
      </c>
      <c r="E1497" t="s">
        <v>5362</v>
      </c>
      <c r="F1497" t="s">
        <v>5742</v>
      </c>
    </row>
    <row r="1498" spans="1:13" ht="15">
      <c r="C1498" t="s">
        <v>6461</v>
      </c>
      <c r="D1498" s="83" t="s">
        <v>5585</v>
      </c>
      <c r="E1498" t="s">
        <v>5308</v>
      </c>
      <c r="F1498" t="s">
        <v>1309</v>
      </c>
    </row>
    <row r="1499" spans="1:13" ht="15">
      <c r="A1499" t="s">
        <v>3783</v>
      </c>
      <c r="B1499" t="s">
        <v>301</v>
      </c>
      <c r="C1499" t="s">
        <v>5932</v>
      </c>
      <c r="D1499" s="83" t="s">
        <v>5529</v>
      </c>
      <c r="E1499" t="s">
        <v>5252</v>
      </c>
      <c r="F1499" t="s">
        <v>5748</v>
      </c>
      <c r="M1499" t="s">
        <v>414</v>
      </c>
    </row>
    <row r="1500" spans="1:13" ht="15">
      <c r="C1500" t="s">
        <v>6224</v>
      </c>
      <c r="D1500" s="83" t="s">
        <v>4163</v>
      </c>
      <c r="E1500" t="s">
        <v>5057</v>
      </c>
      <c r="F1500" t="s">
        <v>5748</v>
      </c>
    </row>
    <row r="1501" spans="1:13" ht="15">
      <c r="C1501" t="s">
        <v>6224</v>
      </c>
      <c r="D1501" s="83" t="s">
        <v>4170</v>
      </c>
      <c r="E1501" t="s">
        <v>5064</v>
      </c>
      <c r="F1501" t="s">
        <v>5747</v>
      </c>
      <c r="K1501" t="s">
        <v>414</v>
      </c>
      <c r="L1501" t="s">
        <v>414</v>
      </c>
      <c r="M1501" t="s">
        <v>414</v>
      </c>
    </row>
    <row r="1502" spans="1:13" ht="15">
      <c r="C1502" t="s">
        <v>6224</v>
      </c>
      <c r="D1502" s="83" t="s">
        <v>5558</v>
      </c>
      <c r="E1502" t="s">
        <v>5281</v>
      </c>
      <c r="F1502" t="s">
        <v>5748</v>
      </c>
      <c r="H1502" t="s">
        <v>414</v>
      </c>
      <c r="M1502" t="s">
        <v>414</v>
      </c>
    </row>
    <row r="1503" spans="1:13" ht="15">
      <c r="C1503" t="s">
        <v>6224</v>
      </c>
      <c r="D1503" s="83" t="s">
        <v>5616</v>
      </c>
      <c r="E1503" t="s">
        <v>5339</v>
      </c>
      <c r="F1503" t="s">
        <v>5748</v>
      </c>
      <c r="H1503" t="s">
        <v>414</v>
      </c>
      <c r="I1503" t="s">
        <v>414</v>
      </c>
      <c r="M1503" t="s">
        <v>414</v>
      </c>
    </row>
    <row r="1504" spans="1:13" ht="15">
      <c r="C1504" t="s">
        <v>6224</v>
      </c>
      <c r="D1504" s="83" t="s">
        <v>5868</v>
      </c>
      <c r="E1504" t="s">
        <v>7789</v>
      </c>
      <c r="F1504" t="s">
        <v>5748</v>
      </c>
      <c r="L1504" t="s">
        <v>414</v>
      </c>
    </row>
    <row r="1505" spans="1:13" ht="15">
      <c r="C1505" t="s">
        <v>6224</v>
      </c>
      <c r="D1505" s="83" t="s">
        <v>5654</v>
      </c>
      <c r="E1505" t="s">
        <v>5377</v>
      </c>
      <c r="F1505" t="s">
        <v>5748</v>
      </c>
      <c r="H1505" t="s">
        <v>414</v>
      </c>
      <c r="K1505" t="s">
        <v>414</v>
      </c>
      <c r="L1505" t="s">
        <v>414</v>
      </c>
    </row>
    <row r="1506" spans="1:13" ht="15">
      <c r="A1506" t="s">
        <v>3139</v>
      </c>
      <c r="B1506" t="s">
        <v>4285</v>
      </c>
      <c r="C1506" t="s">
        <v>6851</v>
      </c>
      <c r="D1506" s="83" t="s">
        <v>5529</v>
      </c>
      <c r="E1506" t="s">
        <v>5252</v>
      </c>
      <c r="F1506" t="s">
        <v>5748</v>
      </c>
      <c r="M1506" t="s">
        <v>414</v>
      </c>
    </row>
    <row r="1507" spans="1:13" ht="15">
      <c r="C1507" t="s">
        <v>6007</v>
      </c>
      <c r="D1507" s="83" t="s">
        <v>5490</v>
      </c>
      <c r="E1507" t="s">
        <v>5213</v>
      </c>
      <c r="F1507" t="s">
        <v>5752</v>
      </c>
      <c r="H1507" t="s">
        <v>414</v>
      </c>
    </row>
    <row r="1508" spans="1:13" ht="15">
      <c r="C1508" t="s">
        <v>7678</v>
      </c>
      <c r="D1508" s="83" t="s">
        <v>5526</v>
      </c>
      <c r="E1508" t="s">
        <v>5249</v>
      </c>
      <c r="F1508" t="s">
        <v>5773</v>
      </c>
      <c r="H1508" t="s">
        <v>414</v>
      </c>
      <c r="M1508" t="s">
        <v>414</v>
      </c>
    </row>
    <row r="1509" spans="1:13" ht="15">
      <c r="A1509" t="s">
        <v>3742</v>
      </c>
      <c r="B1509" s="74" t="s">
        <v>4294</v>
      </c>
      <c r="C1509" t="s">
        <v>7018</v>
      </c>
      <c r="D1509" s="83" t="s">
        <v>5460</v>
      </c>
      <c r="E1509" t="s">
        <v>5183</v>
      </c>
      <c r="F1509" t="s">
        <v>5735</v>
      </c>
    </row>
    <row r="1510" spans="1:13" ht="15">
      <c r="A1510" t="s">
        <v>3742</v>
      </c>
      <c r="B1510" s="74" t="s">
        <v>4294</v>
      </c>
      <c r="C1510" t="s">
        <v>5933</v>
      </c>
      <c r="D1510" s="83" t="s">
        <v>5532</v>
      </c>
      <c r="E1510" t="s">
        <v>5255</v>
      </c>
      <c r="F1510" t="s">
        <v>5776</v>
      </c>
      <c r="M1510" t="s">
        <v>414</v>
      </c>
    </row>
    <row r="1511" spans="1:13" ht="15">
      <c r="A1511" t="s">
        <v>3742</v>
      </c>
      <c r="B1511" s="74" t="s">
        <v>4294</v>
      </c>
      <c r="C1511" t="s">
        <v>5933</v>
      </c>
      <c r="D1511" s="83" t="s">
        <v>4210</v>
      </c>
      <c r="E1511" t="s">
        <v>5104</v>
      </c>
      <c r="F1511" t="s">
        <v>5724</v>
      </c>
      <c r="L1511" t="s">
        <v>414</v>
      </c>
    </row>
    <row r="1512" spans="1:13" ht="15">
      <c r="A1512" t="s">
        <v>4554</v>
      </c>
      <c r="B1512" t="s">
        <v>4280</v>
      </c>
      <c r="C1512" t="s">
        <v>6068</v>
      </c>
      <c r="D1512" s="83" t="s">
        <v>5639</v>
      </c>
      <c r="E1512" t="s">
        <v>5362</v>
      </c>
      <c r="F1512" t="s">
        <v>5742</v>
      </c>
    </row>
    <row r="1513" spans="1:13" ht="15">
      <c r="A1513" t="s">
        <v>3773</v>
      </c>
      <c r="B1513" t="s">
        <v>1289</v>
      </c>
      <c r="C1513" t="s">
        <v>6767</v>
      </c>
      <c r="D1513" s="83" t="s">
        <v>5529</v>
      </c>
      <c r="E1513" t="s">
        <v>5252</v>
      </c>
      <c r="F1513" t="s">
        <v>5748</v>
      </c>
      <c r="M1513" t="s">
        <v>414</v>
      </c>
    </row>
    <row r="1514" spans="1:13" ht="15">
      <c r="A1514" t="s">
        <v>4554</v>
      </c>
      <c r="B1514" t="s">
        <v>4280</v>
      </c>
      <c r="C1514" t="s">
        <v>6232</v>
      </c>
      <c r="D1514" s="83" t="s">
        <v>4143</v>
      </c>
      <c r="E1514" t="s">
        <v>5036</v>
      </c>
      <c r="F1514" t="s">
        <v>5785</v>
      </c>
      <c r="H1514" t="s">
        <v>414</v>
      </c>
      <c r="K1514" t="s">
        <v>414</v>
      </c>
      <c r="M1514" t="s">
        <v>414</v>
      </c>
    </row>
    <row r="1515" spans="1:13" ht="15">
      <c r="A1515" t="s">
        <v>4554</v>
      </c>
      <c r="B1515" t="s">
        <v>4280</v>
      </c>
      <c r="C1515" t="s">
        <v>7259</v>
      </c>
      <c r="D1515" s="83" t="s">
        <v>5526</v>
      </c>
      <c r="E1515" t="s">
        <v>5249</v>
      </c>
      <c r="F1515" t="s">
        <v>5773</v>
      </c>
      <c r="H1515" t="s">
        <v>414</v>
      </c>
      <c r="M1515" t="s">
        <v>414</v>
      </c>
    </row>
    <row r="1516" spans="1:13" ht="15">
      <c r="C1516" t="s">
        <v>6769</v>
      </c>
      <c r="D1516" s="83" t="s">
        <v>5654</v>
      </c>
      <c r="E1516" t="s">
        <v>5377</v>
      </c>
      <c r="F1516" t="s">
        <v>5748</v>
      </c>
      <c r="H1516" t="s">
        <v>414</v>
      </c>
      <c r="K1516" t="s">
        <v>414</v>
      </c>
      <c r="L1516" t="s">
        <v>414</v>
      </c>
    </row>
    <row r="1517" spans="1:13" ht="15">
      <c r="C1517" t="s">
        <v>6833</v>
      </c>
      <c r="D1517" s="83" t="s">
        <v>5589</v>
      </c>
      <c r="E1517" t="s">
        <v>5312</v>
      </c>
      <c r="F1517" t="s">
        <v>5748</v>
      </c>
      <c r="H1517" t="s">
        <v>414</v>
      </c>
      <c r="M1517" t="s">
        <v>414</v>
      </c>
    </row>
    <row r="1518" spans="1:13" ht="15">
      <c r="C1518" t="s">
        <v>6833</v>
      </c>
      <c r="D1518" s="83" t="s">
        <v>5517</v>
      </c>
      <c r="E1518" t="s">
        <v>5240</v>
      </c>
      <c r="F1518" t="s">
        <v>5748</v>
      </c>
      <c r="M1518" t="s">
        <v>414</v>
      </c>
    </row>
    <row r="1519" spans="1:13" ht="15">
      <c r="C1519" t="s">
        <v>6628</v>
      </c>
      <c r="D1519" s="83" t="s">
        <v>5521</v>
      </c>
      <c r="E1519" t="s">
        <v>5244</v>
      </c>
      <c r="F1519" t="s">
        <v>5748</v>
      </c>
      <c r="H1519" t="s">
        <v>414</v>
      </c>
      <c r="I1519" t="s">
        <v>414</v>
      </c>
      <c r="L1519" t="s">
        <v>414</v>
      </c>
      <c r="M1519" t="s">
        <v>414</v>
      </c>
    </row>
    <row r="1520" spans="1:13" ht="15">
      <c r="C1520" t="s">
        <v>6642</v>
      </c>
      <c r="D1520" s="83" t="s">
        <v>5517</v>
      </c>
      <c r="E1520" t="s">
        <v>5240</v>
      </c>
      <c r="F1520" t="s">
        <v>5748</v>
      </c>
      <c r="M1520" t="s">
        <v>414</v>
      </c>
    </row>
    <row r="1521" spans="1:13" ht="15">
      <c r="C1521" t="s">
        <v>6550</v>
      </c>
      <c r="D1521" s="83" t="s">
        <v>5507</v>
      </c>
      <c r="E1521" t="s">
        <v>5230</v>
      </c>
      <c r="F1521" t="s">
        <v>5748</v>
      </c>
      <c r="H1521" t="s">
        <v>414</v>
      </c>
      <c r="M1521" t="s">
        <v>414</v>
      </c>
    </row>
    <row r="1522" spans="1:13" ht="15">
      <c r="C1522" t="s">
        <v>6550</v>
      </c>
      <c r="D1522" s="83" t="s">
        <v>5529</v>
      </c>
      <c r="E1522" t="s">
        <v>5252</v>
      </c>
      <c r="F1522" t="s">
        <v>5748</v>
      </c>
      <c r="M1522" t="s">
        <v>414</v>
      </c>
    </row>
    <row r="1523" spans="1:13" ht="15">
      <c r="C1523" t="s">
        <v>6480</v>
      </c>
      <c r="D1523" s="83" t="s">
        <v>5521</v>
      </c>
      <c r="E1523" t="s">
        <v>5244</v>
      </c>
      <c r="F1523" t="s">
        <v>5748</v>
      </c>
      <c r="H1523" t="s">
        <v>414</v>
      </c>
      <c r="I1523" t="s">
        <v>414</v>
      </c>
      <c r="L1523" t="s">
        <v>414</v>
      </c>
      <c r="M1523" t="s">
        <v>414</v>
      </c>
    </row>
    <row r="1524" spans="1:13" ht="15">
      <c r="C1524" t="s">
        <v>6726</v>
      </c>
      <c r="D1524" s="83" t="s">
        <v>5486</v>
      </c>
      <c r="E1524" t="s">
        <v>5209</v>
      </c>
      <c r="F1524" t="s">
        <v>5750</v>
      </c>
      <c r="H1524" t="s">
        <v>414</v>
      </c>
      <c r="M1524" t="s">
        <v>414</v>
      </c>
    </row>
    <row r="1525" spans="1:13" ht="15">
      <c r="C1525" t="s">
        <v>6726</v>
      </c>
      <c r="D1525" s="83" t="s">
        <v>5529</v>
      </c>
      <c r="E1525" t="s">
        <v>5252</v>
      </c>
      <c r="F1525" t="s">
        <v>5748</v>
      </c>
      <c r="M1525" t="s">
        <v>414</v>
      </c>
    </row>
    <row r="1526" spans="1:13" ht="15">
      <c r="C1526" t="s">
        <v>6528</v>
      </c>
      <c r="D1526" s="83" t="s">
        <v>5857</v>
      </c>
      <c r="E1526" t="s">
        <v>7776</v>
      </c>
      <c r="F1526" t="s">
        <v>5755</v>
      </c>
      <c r="L1526" t="s">
        <v>414</v>
      </c>
    </row>
    <row r="1527" spans="1:13" ht="15">
      <c r="A1527" t="s">
        <v>4525</v>
      </c>
      <c r="B1527" s="81" t="s">
        <v>4524</v>
      </c>
      <c r="C1527" t="s">
        <v>6001</v>
      </c>
      <c r="D1527" s="83" t="s">
        <v>5529</v>
      </c>
      <c r="E1527" t="s">
        <v>5252</v>
      </c>
      <c r="F1527" t="s">
        <v>5748</v>
      </c>
      <c r="M1527" t="s">
        <v>414</v>
      </c>
    </row>
    <row r="1528" spans="1:13" ht="15">
      <c r="A1528" t="s">
        <v>4453</v>
      </c>
      <c r="B1528" s="81" t="s">
        <v>3175</v>
      </c>
      <c r="C1528" t="s">
        <v>6911</v>
      </c>
      <c r="D1528" s="83" t="s">
        <v>5529</v>
      </c>
      <c r="E1528" t="s">
        <v>5252</v>
      </c>
      <c r="F1528" t="s">
        <v>5748</v>
      </c>
      <c r="M1528" t="s">
        <v>414</v>
      </c>
    </row>
    <row r="1529" spans="1:13" ht="15">
      <c r="A1529" t="s">
        <v>4448</v>
      </c>
      <c r="B1529" s="12" t="s">
        <v>1309</v>
      </c>
      <c r="C1529" t="s">
        <v>5998</v>
      </c>
      <c r="D1529" s="83" t="s">
        <v>5529</v>
      </c>
      <c r="E1529" t="s">
        <v>5252</v>
      </c>
      <c r="F1529" t="s">
        <v>5748</v>
      </c>
      <c r="M1529" t="s">
        <v>414</v>
      </c>
    </row>
    <row r="1530" spans="1:13" ht="15">
      <c r="A1530" t="s">
        <v>3755</v>
      </c>
      <c r="B1530" t="s">
        <v>4533</v>
      </c>
      <c r="C1530" t="s">
        <v>5928</v>
      </c>
      <c r="D1530" s="83" t="s">
        <v>5529</v>
      </c>
      <c r="E1530" t="s">
        <v>5252</v>
      </c>
      <c r="F1530" t="s">
        <v>5748</v>
      </c>
      <c r="M1530" t="s">
        <v>414</v>
      </c>
    </row>
    <row r="1531" spans="1:13" ht="15">
      <c r="A1531" t="s">
        <v>4498</v>
      </c>
      <c r="B1531" s="81" t="s">
        <v>4497</v>
      </c>
      <c r="C1531" t="s">
        <v>6792</v>
      </c>
      <c r="D1531" s="83" t="s">
        <v>5654</v>
      </c>
      <c r="E1531" t="s">
        <v>5377</v>
      </c>
      <c r="F1531" t="s">
        <v>5748</v>
      </c>
      <c r="H1531" t="s">
        <v>414</v>
      </c>
      <c r="K1531" t="s">
        <v>414</v>
      </c>
      <c r="L1531" t="s">
        <v>414</v>
      </c>
    </row>
    <row r="1532" spans="1:13" ht="15">
      <c r="A1532" t="s">
        <v>3742</v>
      </c>
      <c r="B1532" s="74" t="s">
        <v>4294</v>
      </c>
      <c r="C1532" t="s">
        <v>7276</v>
      </c>
      <c r="D1532" s="83" t="s">
        <v>5596</v>
      </c>
      <c r="E1532" t="s">
        <v>5319</v>
      </c>
      <c r="F1532" t="s">
        <v>5801</v>
      </c>
    </row>
    <row r="1533" spans="1:13" ht="15">
      <c r="C1533" t="s">
        <v>7249</v>
      </c>
      <c r="D1533" s="83" t="s">
        <v>5719</v>
      </c>
      <c r="E1533" t="s">
        <v>5443</v>
      </c>
      <c r="F1533" t="s">
        <v>5848</v>
      </c>
    </row>
    <row r="1534" spans="1:13" ht="15">
      <c r="A1534" t="s">
        <v>4503</v>
      </c>
      <c r="B1534" s="81" t="s">
        <v>3207</v>
      </c>
      <c r="C1534" t="s">
        <v>6457</v>
      </c>
      <c r="D1534" s="83" t="s">
        <v>5711</v>
      </c>
      <c r="E1534" t="s">
        <v>5435</v>
      </c>
      <c r="F1534" t="s">
        <v>5779</v>
      </c>
      <c r="M1534" t="s">
        <v>414</v>
      </c>
    </row>
    <row r="1535" spans="1:13" ht="15">
      <c r="C1535" t="s">
        <v>6579</v>
      </c>
      <c r="D1535" s="83" t="s">
        <v>5864</v>
      </c>
      <c r="E1535" t="s">
        <v>7784</v>
      </c>
      <c r="F1535" t="s">
        <v>7785</v>
      </c>
      <c r="H1535" t="s">
        <v>414</v>
      </c>
      <c r="L1535" t="s">
        <v>414</v>
      </c>
    </row>
    <row r="1536" spans="1:13" ht="15">
      <c r="C1536" t="s">
        <v>6734</v>
      </c>
      <c r="D1536" s="83" t="s">
        <v>5858</v>
      </c>
      <c r="E1536" t="s">
        <v>7777</v>
      </c>
      <c r="F1536" t="s">
        <v>5755</v>
      </c>
      <c r="H1536" t="s">
        <v>414</v>
      </c>
      <c r="K1536" t="s">
        <v>414</v>
      </c>
      <c r="L1536" t="s">
        <v>414</v>
      </c>
    </row>
    <row r="1537" spans="1:13" ht="15">
      <c r="C1537" t="s">
        <v>6734</v>
      </c>
      <c r="D1537" s="83" t="s">
        <v>5865</v>
      </c>
      <c r="E1537" t="s">
        <v>7786</v>
      </c>
      <c r="F1537" t="s">
        <v>5748</v>
      </c>
      <c r="G1537" t="s">
        <v>414</v>
      </c>
      <c r="H1537" t="s">
        <v>414</v>
      </c>
      <c r="K1537" t="s">
        <v>414</v>
      </c>
      <c r="L1537" t="s">
        <v>414</v>
      </c>
    </row>
    <row r="1538" spans="1:13" ht="15">
      <c r="C1538" t="s">
        <v>6093</v>
      </c>
      <c r="D1538" s="83" t="s">
        <v>5860</v>
      </c>
      <c r="E1538" t="s">
        <v>7780</v>
      </c>
      <c r="F1538" t="s">
        <v>5747</v>
      </c>
      <c r="H1538" t="s">
        <v>414</v>
      </c>
      <c r="K1538" t="s">
        <v>414</v>
      </c>
      <c r="L1538" t="s">
        <v>414</v>
      </c>
    </row>
    <row r="1539" spans="1:13" ht="15">
      <c r="A1539" t="s">
        <v>3738</v>
      </c>
      <c r="B1539" s="74" t="s">
        <v>4300</v>
      </c>
      <c r="C1539" t="s">
        <v>6987</v>
      </c>
      <c r="D1539" s="83" t="s">
        <v>5529</v>
      </c>
      <c r="E1539" t="s">
        <v>5252</v>
      </c>
      <c r="F1539" t="s">
        <v>5748</v>
      </c>
      <c r="M1539" t="s">
        <v>414</v>
      </c>
    </row>
    <row r="1540" spans="1:13" ht="15">
      <c r="A1540" t="s">
        <v>4446</v>
      </c>
      <c r="B1540" t="s">
        <v>4445</v>
      </c>
      <c r="C1540" t="s">
        <v>6484</v>
      </c>
      <c r="D1540" s="83" t="s">
        <v>5529</v>
      </c>
      <c r="E1540" t="s">
        <v>5252</v>
      </c>
      <c r="F1540" t="s">
        <v>5748</v>
      </c>
      <c r="M1540" t="s">
        <v>414</v>
      </c>
    </row>
    <row r="1541" spans="1:13" ht="15">
      <c r="C1541" t="s">
        <v>7260</v>
      </c>
      <c r="D1541" s="83" t="s">
        <v>5528</v>
      </c>
      <c r="E1541" t="s">
        <v>5251</v>
      </c>
      <c r="F1541" t="s">
        <v>5743</v>
      </c>
      <c r="H1541" t="s">
        <v>414</v>
      </c>
      <c r="M1541" t="s">
        <v>414</v>
      </c>
    </row>
    <row r="1542" spans="1:13" ht="15">
      <c r="A1542" t="s">
        <v>3747</v>
      </c>
      <c r="B1542" t="s">
        <v>4298</v>
      </c>
      <c r="C1542" t="s">
        <v>6638</v>
      </c>
      <c r="D1542" s="83" t="s">
        <v>5529</v>
      </c>
      <c r="E1542" t="s">
        <v>5252</v>
      </c>
      <c r="F1542" t="s">
        <v>5748</v>
      </c>
      <c r="M1542" t="s">
        <v>414</v>
      </c>
    </row>
    <row r="1543" spans="1:13" ht="15">
      <c r="A1543" t="s">
        <v>4503</v>
      </c>
      <c r="B1543" s="81" t="s">
        <v>3207</v>
      </c>
      <c r="C1543" t="s">
        <v>7470</v>
      </c>
      <c r="D1543" s="83" t="s">
        <v>5540</v>
      </c>
      <c r="E1543" t="s">
        <v>5263</v>
      </c>
      <c r="F1543" t="s">
        <v>5730</v>
      </c>
      <c r="H1543" t="s">
        <v>414</v>
      </c>
    </row>
    <row r="1544" spans="1:13" ht="15">
      <c r="C1544" t="s">
        <v>6494</v>
      </c>
      <c r="D1544" s="83" t="s">
        <v>5589</v>
      </c>
      <c r="E1544" t="s">
        <v>5312</v>
      </c>
      <c r="F1544" t="s">
        <v>5748</v>
      </c>
      <c r="H1544" t="s">
        <v>414</v>
      </c>
      <c r="M1544" t="s">
        <v>414</v>
      </c>
    </row>
    <row r="1545" spans="1:13" ht="15">
      <c r="C1545" t="s">
        <v>6494</v>
      </c>
      <c r="D1545" s="83" t="s">
        <v>5498</v>
      </c>
      <c r="E1545" t="s">
        <v>5221</v>
      </c>
      <c r="F1545" t="s">
        <v>5759</v>
      </c>
      <c r="H1545" t="s">
        <v>414</v>
      </c>
      <c r="M1545" t="s">
        <v>414</v>
      </c>
    </row>
    <row r="1546" spans="1:13" ht="15">
      <c r="C1546" t="s">
        <v>6858</v>
      </c>
      <c r="D1546" s="83" t="s">
        <v>5493</v>
      </c>
      <c r="E1546" t="s">
        <v>5216</v>
      </c>
      <c r="F1546" t="s">
        <v>5755</v>
      </c>
      <c r="H1546" t="s">
        <v>414</v>
      </c>
      <c r="M1546" t="s">
        <v>414</v>
      </c>
    </row>
    <row r="1547" spans="1:13" ht="15">
      <c r="C1547" t="s">
        <v>6858</v>
      </c>
      <c r="D1547" s="83" t="s">
        <v>5521</v>
      </c>
      <c r="E1547" t="s">
        <v>5244</v>
      </c>
      <c r="F1547" t="s">
        <v>5748</v>
      </c>
      <c r="H1547" t="s">
        <v>414</v>
      </c>
      <c r="I1547" t="s">
        <v>414</v>
      </c>
      <c r="L1547" t="s">
        <v>414</v>
      </c>
      <c r="M1547" t="s">
        <v>414</v>
      </c>
    </row>
    <row r="1548" spans="1:13" ht="15">
      <c r="C1548" t="s">
        <v>6348</v>
      </c>
      <c r="D1548" s="83" t="s">
        <v>5498</v>
      </c>
      <c r="E1548" t="s">
        <v>5221</v>
      </c>
      <c r="F1548" t="s">
        <v>5759</v>
      </c>
      <c r="H1548" t="s">
        <v>414</v>
      </c>
      <c r="M1548" t="s">
        <v>414</v>
      </c>
    </row>
    <row r="1549" spans="1:13" ht="15">
      <c r="A1549" t="s">
        <v>4556</v>
      </c>
      <c r="B1549" s="74" t="s">
        <v>1248</v>
      </c>
      <c r="C1549" t="s">
        <v>6683</v>
      </c>
      <c r="D1549" s="83" t="s">
        <v>5639</v>
      </c>
      <c r="E1549" t="s">
        <v>5362</v>
      </c>
      <c r="F1549" t="s">
        <v>5742</v>
      </c>
    </row>
    <row r="1550" spans="1:13" ht="15">
      <c r="A1550" t="s">
        <v>4556</v>
      </c>
      <c r="B1550" s="74" t="s">
        <v>1248</v>
      </c>
      <c r="C1550" t="s">
        <v>6825</v>
      </c>
      <c r="D1550" s="83" t="s">
        <v>5585</v>
      </c>
      <c r="E1550" t="s">
        <v>5308</v>
      </c>
      <c r="F1550" t="s">
        <v>1309</v>
      </c>
    </row>
    <row r="1551" spans="1:13" ht="15">
      <c r="C1551" t="s">
        <v>7151</v>
      </c>
      <c r="D1551" s="83" t="s">
        <v>5526</v>
      </c>
      <c r="E1551" t="s">
        <v>5249</v>
      </c>
      <c r="F1551" t="s">
        <v>5773</v>
      </c>
      <c r="H1551" t="s">
        <v>414</v>
      </c>
      <c r="M1551" t="s">
        <v>414</v>
      </c>
    </row>
    <row r="1552" spans="1:13" ht="15">
      <c r="A1552" t="s">
        <v>3744</v>
      </c>
      <c r="B1552" t="s">
        <v>1243</v>
      </c>
      <c r="C1552" t="s">
        <v>6947</v>
      </c>
      <c r="D1552" s="83" t="s">
        <v>5529</v>
      </c>
      <c r="E1552" t="s">
        <v>5252</v>
      </c>
      <c r="F1552" t="s">
        <v>5748</v>
      </c>
      <c r="M1552" t="s">
        <v>414</v>
      </c>
    </row>
    <row r="1553" spans="1:13" ht="15">
      <c r="C1553" t="s">
        <v>7760</v>
      </c>
      <c r="D1553" s="83" t="s">
        <v>5549</v>
      </c>
      <c r="E1553" t="s">
        <v>5272</v>
      </c>
      <c r="F1553" t="s">
        <v>5750</v>
      </c>
      <c r="H1553" t="s">
        <v>414</v>
      </c>
      <c r="L1553" t="s">
        <v>414</v>
      </c>
      <c r="M1553" t="s">
        <v>414</v>
      </c>
    </row>
    <row r="1554" spans="1:13" ht="15">
      <c r="C1554" t="s">
        <v>6387</v>
      </c>
      <c r="D1554" s="83" t="s">
        <v>5546</v>
      </c>
      <c r="E1554" t="s">
        <v>5269</v>
      </c>
      <c r="F1554" t="s">
        <v>5784</v>
      </c>
      <c r="L1554" t="s">
        <v>414</v>
      </c>
    </row>
    <row r="1555" spans="1:13" ht="15">
      <c r="C1555" t="s">
        <v>7709</v>
      </c>
      <c r="D1555" s="83" t="s">
        <v>5557</v>
      </c>
      <c r="E1555" t="s">
        <v>5280</v>
      </c>
      <c r="F1555" t="s">
        <v>5755</v>
      </c>
      <c r="M1555" t="s">
        <v>414</v>
      </c>
    </row>
    <row r="1556" spans="1:13" ht="15">
      <c r="C1556" t="s">
        <v>6054</v>
      </c>
      <c r="D1556" s="83" t="s">
        <v>5873</v>
      </c>
      <c r="E1556" t="s">
        <v>7795</v>
      </c>
      <c r="F1556" t="s">
        <v>7796</v>
      </c>
    </row>
    <row r="1557" spans="1:13" ht="15">
      <c r="C1557" t="s">
        <v>7393</v>
      </c>
      <c r="D1557" s="83" t="s">
        <v>5877</v>
      </c>
      <c r="E1557" t="s">
        <v>7801</v>
      </c>
      <c r="F1557" t="s">
        <v>27</v>
      </c>
      <c r="M1557" t="s">
        <v>414</v>
      </c>
    </row>
    <row r="1558" spans="1:13" ht="15">
      <c r="C1558" t="s">
        <v>7491</v>
      </c>
      <c r="D1558" s="83" t="s">
        <v>5540</v>
      </c>
      <c r="E1558" t="s">
        <v>5263</v>
      </c>
      <c r="F1558" t="s">
        <v>5730</v>
      </c>
      <c r="H1558" t="s">
        <v>414</v>
      </c>
    </row>
    <row r="1559" spans="1:13" ht="15">
      <c r="A1559" t="s">
        <v>3742</v>
      </c>
      <c r="B1559" s="74" t="s">
        <v>4294</v>
      </c>
      <c r="C1559" t="s">
        <v>7594</v>
      </c>
      <c r="D1559" s="83" t="s">
        <v>5526</v>
      </c>
      <c r="E1559" t="s">
        <v>5249</v>
      </c>
      <c r="F1559" t="s">
        <v>5773</v>
      </c>
      <c r="H1559" t="s">
        <v>414</v>
      </c>
      <c r="M1559" t="s">
        <v>414</v>
      </c>
    </row>
    <row r="1560" spans="1:13" ht="15">
      <c r="A1560" t="s">
        <v>3742</v>
      </c>
      <c r="B1560" s="74" t="s">
        <v>4294</v>
      </c>
      <c r="C1560" t="s">
        <v>6392</v>
      </c>
      <c r="D1560" s="83" t="s">
        <v>5615</v>
      </c>
      <c r="E1560" t="s">
        <v>5338</v>
      </c>
      <c r="F1560" t="s">
        <v>5734</v>
      </c>
      <c r="H1560" t="s">
        <v>414</v>
      </c>
      <c r="M1560" t="s">
        <v>414</v>
      </c>
    </row>
    <row r="1561" spans="1:13" ht="15">
      <c r="A1561" t="s">
        <v>3742</v>
      </c>
      <c r="B1561" s="74" t="s">
        <v>4294</v>
      </c>
      <c r="C1561" t="s">
        <v>6392</v>
      </c>
      <c r="D1561" s="83" t="s">
        <v>5529</v>
      </c>
      <c r="E1561" t="s">
        <v>5252</v>
      </c>
      <c r="F1561" t="s">
        <v>5748</v>
      </c>
      <c r="M1561" t="s">
        <v>414</v>
      </c>
    </row>
    <row r="1562" spans="1:13" ht="15">
      <c r="A1562" t="s">
        <v>3742</v>
      </c>
      <c r="B1562" s="74" t="s">
        <v>4294</v>
      </c>
      <c r="C1562" t="s">
        <v>6505</v>
      </c>
      <c r="D1562" s="83" t="s">
        <v>5588</v>
      </c>
      <c r="E1562" t="s">
        <v>5311</v>
      </c>
      <c r="F1562" t="s">
        <v>5740</v>
      </c>
      <c r="M1562" t="s">
        <v>414</v>
      </c>
    </row>
    <row r="1563" spans="1:13" ht="15">
      <c r="A1563" t="s">
        <v>3742</v>
      </c>
      <c r="B1563" s="74" t="s">
        <v>4294</v>
      </c>
      <c r="C1563" t="s">
        <v>6084</v>
      </c>
      <c r="D1563" s="83" t="s">
        <v>5590</v>
      </c>
      <c r="E1563" t="s">
        <v>5313</v>
      </c>
      <c r="F1563" t="s">
        <v>5778</v>
      </c>
      <c r="H1563" t="s">
        <v>414</v>
      </c>
      <c r="K1563" t="s">
        <v>414</v>
      </c>
      <c r="L1563" t="s">
        <v>414</v>
      </c>
      <c r="M1563" t="s">
        <v>414</v>
      </c>
    </row>
    <row r="1564" spans="1:13" ht="15">
      <c r="A1564" t="s">
        <v>3742</v>
      </c>
      <c r="B1564" s="74" t="s">
        <v>4294</v>
      </c>
      <c r="C1564" t="s">
        <v>6084</v>
      </c>
      <c r="D1564" s="83" t="s">
        <v>5605</v>
      </c>
      <c r="E1564" t="s">
        <v>5328</v>
      </c>
      <c r="F1564" t="s">
        <v>5806</v>
      </c>
      <c r="L1564" t="s">
        <v>414</v>
      </c>
    </row>
    <row r="1565" spans="1:13" ht="15">
      <c r="A1565" t="s">
        <v>3769</v>
      </c>
      <c r="B1565" t="s">
        <v>7803</v>
      </c>
      <c r="C1565" t="s">
        <v>6542</v>
      </c>
      <c r="D1565" s="83" t="s">
        <v>5521</v>
      </c>
      <c r="E1565" t="s">
        <v>5244</v>
      </c>
      <c r="F1565" t="s">
        <v>5748</v>
      </c>
      <c r="H1565" t="s">
        <v>414</v>
      </c>
      <c r="I1565" t="s">
        <v>414</v>
      </c>
      <c r="L1565" t="s">
        <v>414</v>
      </c>
      <c r="M1565" t="s">
        <v>414</v>
      </c>
    </row>
    <row r="1566" spans="1:13" ht="15">
      <c r="A1566" t="s">
        <v>3139</v>
      </c>
      <c r="B1566" t="s">
        <v>4285</v>
      </c>
      <c r="C1566" t="s">
        <v>6213</v>
      </c>
      <c r="D1566" s="83" t="s">
        <v>5521</v>
      </c>
      <c r="E1566" t="s">
        <v>5244</v>
      </c>
      <c r="F1566" t="s">
        <v>5748</v>
      </c>
      <c r="H1566" t="s">
        <v>414</v>
      </c>
      <c r="I1566" t="s">
        <v>414</v>
      </c>
      <c r="L1566" t="s">
        <v>414</v>
      </c>
      <c r="M1566" t="s">
        <v>414</v>
      </c>
    </row>
    <row r="1567" spans="1:13" ht="15">
      <c r="A1567" t="s">
        <v>3742</v>
      </c>
      <c r="B1567" s="74" t="s">
        <v>4294</v>
      </c>
      <c r="C1567" t="s">
        <v>5957</v>
      </c>
      <c r="D1567" s="83" t="s">
        <v>5859</v>
      </c>
      <c r="E1567" t="s">
        <v>7778</v>
      </c>
      <c r="F1567" t="s">
        <v>7779</v>
      </c>
      <c r="K1567" t="s">
        <v>414</v>
      </c>
    </row>
    <row r="1568" spans="1:13" ht="15">
      <c r="A1568" t="s">
        <v>3742</v>
      </c>
      <c r="B1568" s="74" t="s">
        <v>4294</v>
      </c>
      <c r="C1568" t="s">
        <v>5957</v>
      </c>
      <c r="D1568" s="83" t="s">
        <v>4211</v>
      </c>
      <c r="E1568" t="s">
        <v>5105</v>
      </c>
      <c r="F1568" t="s">
        <v>5724</v>
      </c>
      <c r="L1568" t="s">
        <v>414</v>
      </c>
    </row>
    <row r="1569" spans="1:13" ht="15">
      <c r="A1569" t="s">
        <v>3742</v>
      </c>
      <c r="B1569" s="74" t="s">
        <v>4294</v>
      </c>
      <c r="C1569" t="s">
        <v>6724</v>
      </c>
      <c r="D1569" s="83" t="s">
        <v>5578</v>
      </c>
      <c r="E1569" t="s">
        <v>5301</v>
      </c>
      <c r="F1569" t="s">
        <v>5796</v>
      </c>
      <c r="K1569" t="s">
        <v>414</v>
      </c>
    </row>
    <row r="1570" spans="1:13" ht="15">
      <c r="A1570" t="s">
        <v>3742</v>
      </c>
      <c r="B1570" s="74" t="s">
        <v>4294</v>
      </c>
      <c r="C1570" t="s">
        <v>6724</v>
      </c>
      <c r="D1570" s="83" t="s">
        <v>5540</v>
      </c>
      <c r="E1570" t="s">
        <v>5263</v>
      </c>
      <c r="F1570" t="s">
        <v>5730</v>
      </c>
      <c r="H1570" t="s">
        <v>414</v>
      </c>
    </row>
    <row r="1571" spans="1:13" ht="15">
      <c r="A1571" t="s">
        <v>3742</v>
      </c>
      <c r="B1571" s="74" t="s">
        <v>4294</v>
      </c>
      <c r="C1571" t="s">
        <v>7338</v>
      </c>
      <c r="D1571" s="83" t="s">
        <v>4170</v>
      </c>
      <c r="E1571" t="s">
        <v>5064</v>
      </c>
      <c r="F1571" t="s">
        <v>5747</v>
      </c>
      <c r="K1571" t="s">
        <v>414</v>
      </c>
      <c r="L1571" t="s">
        <v>414</v>
      </c>
      <c r="M1571" t="s">
        <v>414</v>
      </c>
    </row>
    <row r="1572" spans="1:13" ht="15">
      <c r="A1572" t="s">
        <v>3742</v>
      </c>
      <c r="B1572" s="74" t="s">
        <v>4294</v>
      </c>
      <c r="C1572" t="s">
        <v>6587</v>
      </c>
      <c r="D1572" s="83" t="s">
        <v>5558</v>
      </c>
      <c r="E1572" t="s">
        <v>5281</v>
      </c>
      <c r="F1572" t="s">
        <v>5748</v>
      </c>
      <c r="H1572" t="s">
        <v>414</v>
      </c>
      <c r="M1572" t="s">
        <v>414</v>
      </c>
    </row>
    <row r="1573" spans="1:13" ht="15">
      <c r="A1573" t="s">
        <v>3742</v>
      </c>
      <c r="B1573" s="74" t="s">
        <v>4294</v>
      </c>
      <c r="C1573" t="s">
        <v>6587</v>
      </c>
      <c r="D1573" s="83" t="s">
        <v>5567</v>
      </c>
      <c r="E1573" t="s">
        <v>5290</v>
      </c>
      <c r="F1573" t="s">
        <v>5792</v>
      </c>
      <c r="H1573" t="s">
        <v>414</v>
      </c>
      <c r="L1573" t="s">
        <v>414</v>
      </c>
      <c r="M1573" t="s">
        <v>414</v>
      </c>
    </row>
    <row r="1574" spans="1:13" ht="15">
      <c r="A1574" t="s">
        <v>3742</v>
      </c>
      <c r="B1574" s="74" t="s">
        <v>4294</v>
      </c>
      <c r="C1574" t="s">
        <v>6587</v>
      </c>
      <c r="D1574" s="83" t="s">
        <v>5549</v>
      </c>
      <c r="E1574" t="s">
        <v>5272</v>
      </c>
      <c r="F1574" t="s">
        <v>5750</v>
      </c>
      <c r="H1574" t="s">
        <v>414</v>
      </c>
      <c r="L1574" t="s">
        <v>414</v>
      </c>
      <c r="M1574" t="s">
        <v>414</v>
      </c>
    </row>
    <row r="1575" spans="1:13" ht="15">
      <c r="A1575" t="s">
        <v>3742</v>
      </c>
      <c r="B1575" s="74" t="s">
        <v>4294</v>
      </c>
      <c r="C1575" t="s">
        <v>6587</v>
      </c>
      <c r="D1575" s="83" t="s">
        <v>5865</v>
      </c>
      <c r="E1575" t="s">
        <v>7786</v>
      </c>
      <c r="F1575" t="s">
        <v>5748</v>
      </c>
      <c r="G1575" t="s">
        <v>414</v>
      </c>
      <c r="H1575" t="s">
        <v>414</v>
      </c>
      <c r="K1575" t="s">
        <v>414</v>
      </c>
      <c r="L1575" t="s">
        <v>414</v>
      </c>
    </row>
    <row r="1576" spans="1:13" ht="15">
      <c r="A1576" t="s">
        <v>4450</v>
      </c>
      <c r="B1576" t="s">
        <v>3356</v>
      </c>
      <c r="C1576" t="s">
        <v>6194</v>
      </c>
      <c r="D1576" s="83" t="s">
        <v>5521</v>
      </c>
      <c r="E1576" t="s">
        <v>5244</v>
      </c>
      <c r="F1576" t="s">
        <v>5748</v>
      </c>
      <c r="H1576" t="s">
        <v>414</v>
      </c>
      <c r="I1576" t="s">
        <v>414</v>
      </c>
      <c r="L1576" t="s">
        <v>414</v>
      </c>
      <c r="M1576" t="s">
        <v>414</v>
      </c>
    </row>
    <row r="1577" spans="1:13" ht="15">
      <c r="A1577" t="s">
        <v>3742</v>
      </c>
      <c r="B1577" s="74" t="s">
        <v>4294</v>
      </c>
      <c r="C1577" t="s">
        <v>6587</v>
      </c>
      <c r="D1577" s="83" t="s">
        <v>5654</v>
      </c>
      <c r="E1577" t="s">
        <v>5377</v>
      </c>
      <c r="F1577" t="s">
        <v>5748</v>
      </c>
      <c r="H1577" t="s">
        <v>414</v>
      </c>
      <c r="K1577" t="s">
        <v>414</v>
      </c>
      <c r="L1577" t="s">
        <v>414</v>
      </c>
    </row>
    <row r="1578" spans="1:13" ht="15">
      <c r="A1578" t="s">
        <v>3742</v>
      </c>
      <c r="B1578" s="74" t="s">
        <v>4294</v>
      </c>
      <c r="C1578" t="s">
        <v>6587</v>
      </c>
      <c r="D1578" s="83" t="s">
        <v>5857</v>
      </c>
      <c r="E1578" t="s">
        <v>7776</v>
      </c>
      <c r="F1578" t="s">
        <v>5755</v>
      </c>
      <c r="L1578" t="s">
        <v>414</v>
      </c>
    </row>
    <row r="1579" spans="1:13" ht="15">
      <c r="A1579" t="s">
        <v>3742</v>
      </c>
      <c r="B1579" s="74" t="s">
        <v>4294</v>
      </c>
      <c r="C1579" t="s">
        <v>7398</v>
      </c>
      <c r="D1579" s="83" t="s">
        <v>4156</v>
      </c>
      <c r="E1579" t="s">
        <v>5049</v>
      </c>
      <c r="F1579" t="s">
        <v>5760</v>
      </c>
      <c r="M1579" t="s">
        <v>414</v>
      </c>
    </row>
    <row r="1580" spans="1:13" ht="15">
      <c r="C1580" t="s">
        <v>7729</v>
      </c>
      <c r="D1580" s="83" t="s">
        <v>5557</v>
      </c>
      <c r="E1580" t="s">
        <v>5280</v>
      </c>
      <c r="F1580" t="s">
        <v>5755</v>
      </c>
      <c r="M1580" t="s">
        <v>414</v>
      </c>
    </row>
    <row r="1581" spans="1:13" ht="15">
      <c r="C1581" t="s">
        <v>7410</v>
      </c>
      <c r="D1581" s="83" t="s">
        <v>5562</v>
      </c>
      <c r="E1581" t="s">
        <v>5285</v>
      </c>
      <c r="F1581" t="s">
        <v>5750</v>
      </c>
      <c r="H1581" t="s">
        <v>414</v>
      </c>
      <c r="M1581" t="s">
        <v>414</v>
      </c>
    </row>
    <row r="1582" spans="1:13" ht="15">
      <c r="A1582" t="s">
        <v>4446</v>
      </c>
      <c r="B1582" t="s">
        <v>4445</v>
      </c>
      <c r="C1582" t="s">
        <v>6484</v>
      </c>
      <c r="D1582" s="83" t="s">
        <v>5521</v>
      </c>
      <c r="E1582" t="s">
        <v>5244</v>
      </c>
      <c r="F1582" t="s">
        <v>5748</v>
      </c>
      <c r="H1582" t="s">
        <v>414</v>
      </c>
      <c r="I1582" t="s">
        <v>414</v>
      </c>
      <c r="L1582" t="s">
        <v>414</v>
      </c>
      <c r="M1582" t="s">
        <v>414</v>
      </c>
    </row>
    <row r="1583" spans="1:13" ht="15">
      <c r="C1583" t="s">
        <v>7221</v>
      </c>
      <c r="D1583" s="83" t="s">
        <v>5562</v>
      </c>
      <c r="E1583" t="s">
        <v>5285</v>
      </c>
      <c r="F1583" t="s">
        <v>5750</v>
      </c>
      <c r="H1583" t="s">
        <v>414</v>
      </c>
      <c r="M1583" t="s">
        <v>414</v>
      </c>
    </row>
    <row r="1584" spans="1:13" ht="15">
      <c r="C1584" t="s">
        <v>7686</v>
      </c>
      <c r="D1584" s="83" t="s">
        <v>5549</v>
      </c>
      <c r="E1584" t="s">
        <v>5272</v>
      </c>
      <c r="F1584" t="s">
        <v>5750</v>
      </c>
      <c r="H1584" t="s">
        <v>414</v>
      </c>
      <c r="L1584" t="s">
        <v>414</v>
      </c>
      <c r="M1584" t="s">
        <v>414</v>
      </c>
    </row>
    <row r="1585" spans="1:13" ht="15">
      <c r="A1585" t="s">
        <v>3747</v>
      </c>
      <c r="B1585" t="s">
        <v>4298</v>
      </c>
      <c r="C1585" t="s">
        <v>6638</v>
      </c>
      <c r="D1585" s="83" t="s">
        <v>5521</v>
      </c>
      <c r="E1585" t="s">
        <v>5244</v>
      </c>
      <c r="F1585" t="s">
        <v>5748</v>
      </c>
      <c r="H1585" t="s">
        <v>414</v>
      </c>
      <c r="I1585" t="s">
        <v>414</v>
      </c>
      <c r="L1585" t="s">
        <v>414</v>
      </c>
      <c r="M1585" t="s">
        <v>414</v>
      </c>
    </row>
    <row r="1586" spans="1:13" ht="15">
      <c r="C1586" t="s">
        <v>7001</v>
      </c>
      <c r="D1586" s="83" t="s">
        <v>5529</v>
      </c>
      <c r="E1586" t="s">
        <v>5252</v>
      </c>
      <c r="F1586" t="s">
        <v>5748</v>
      </c>
      <c r="M1586" t="s">
        <v>414</v>
      </c>
    </row>
    <row r="1587" spans="1:13" ht="15">
      <c r="A1587" t="s">
        <v>3738</v>
      </c>
      <c r="B1587" s="74" t="s">
        <v>4300</v>
      </c>
      <c r="C1587" t="s">
        <v>6443</v>
      </c>
      <c r="D1587" s="83" t="s">
        <v>5521</v>
      </c>
      <c r="E1587" t="s">
        <v>5244</v>
      </c>
      <c r="F1587" t="s">
        <v>5748</v>
      </c>
      <c r="H1587" t="s">
        <v>414</v>
      </c>
      <c r="I1587" t="s">
        <v>414</v>
      </c>
      <c r="L1587" t="s">
        <v>414</v>
      </c>
      <c r="M1587" t="s">
        <v>414</v>
      </c>
    </row>
    <row r="1588" spans="1:13" ht="15">
      <c r="C1588" t="s">
        <v>6819</v>
      </c>
      <c r="D1588" s="83" t="s">
        <v>5486</v>
      </c>
      <c r="E1588" t="s">
        <v>5209</v>
      </c>
      <c r="F1588" t="s">
        <v>5750</v>
      </c>
      <c r="H1588" t="s">
        <v>414</v>
      </c>
      <c r="M1588" t="s">
        <v>414</v>
      </c>
    </row>
    <row r="1589" spans="1:13" ht="15">
      <c r="C1589" t="s">
        <v>6819</v>
      </c>
      <c r="D1589" s="83" t="s">
        <v>5525</v>
      </c>
      <c r="E1589" t="s">
        <v>5248</v>
      </c>
      <c r="F1589" t="s">
        <v>5759</v>
      </c>
      <c r="M1589" t="s">
        <v>414</v>
      </c>
    </row>
    <row r="1590" spans="1:13" ht="15">
      <c r="C1590" t="s">
        <v>6819</v>
      </c>
      <c r="D1590" s="83" t="s">
        <v>5529</v>
      </c>
      <c r="E1590" t="s">
        <v>5252</v>
      </c>
      <c r="F1590" t="s">
        <v>5748</v>
      </c>
      <c r="M1590" t="s">
        <v>414</v>
      </c>
    </row>
    <row r="1591" spans="1:13" ht="15">
      <c r="C1591" t="s">
        <v>6819</v>
      </c>
      <c r="D1591" s="83" t="s">
        <v>5521</v>
      </c>
      <c r="E1591" t="s">
        <v>5244</v>
      </c>
      <c r="F1591" t="s">
        <v>5748</v>
      </c>
      <c r="H1591" t="s">
        <v>414</v>
      </c>
      <c r="I1591" t="s">
        <v>414</v>
      </c>
      <c r="L1591" t="s">
        <v>414</v>
      </c>
      <c r="M1591" t="s">
        <v>414</v>
      </c>
    </row>
    <row r="1592" spans="1:13" ht="15">
      <c r="C1592" t="s">
        <v>7562</v>
      </c>
      <c r="D1592" s="83" t="s">
        <v>5526</v>
      </c>
      <c r="E1592" t="s">
        <v>5249</v>
      </c>
      <c r="F1592" t="s">
        <v>5773</v>
      </c>
      <c r="H1592" t="s">
        <v>414</v>
      </c>
      <c r="M1592" t="s">
        <v>414</v>
      </c>
    </row>
    <row r="1593" spans="1:13" ht="15">
      <c r="A1593" t="s">
        <v>3741</v>
      </c>
      <c r="B1593" s="86" t="s">
        <v>4295</v>
      </c>
      <c r="C1593" t="s">
        <v>7661</v>
      </c>
      <c r="D1593" s="83" t="s">
        <v>5609</v>
      </c>
      <c r="E1593" t="s">
        <v>5332</v>
      </c>
      <c r="F1593" t="s">
        <v>5726</v>
      </c>
      <c r="H1593" t="s">
        <v>414</v>
      </c>
      <c r="I1593" t="s">
        <v>414</v>
      </c>
    </row>
    <row r="1594" spans="1:13" ht="15">
      <c r="C1594" t="s">
        <v>6917</v>
      </c>
      <c r="D1594" s="83" t="s">
        <v>5589</v>
      </c>
      <c r="E1594" t="s">
        <v>5312</v>
      </c>
      <c r="F1594" t="s">
        <v>5748</v>
      </c>
      <c r="H1594" t="s">
        <v>414</v>
      </c>
      <c r="M1594" t="s">
        <v>414</v>
      </c>
    </row>
    <row r="1595" spans="1:13" ht="15">
      <c r="C1595" t="s">
        <v>6489</v>
      </c>
      <c r="D1595" s="83" t="s">
        <v>5517</v>
      </c>
      <c r="E1595" t="s">
        <v>5240</v>
      </c>
      <c r="F1595" t="s">
        <v>5748</v>
      </c>
      <c r="M1595" t="s">
        <v>414</v>
      </c>
    </row>
    <row r="1596" spans="1:13" ht="15">
      <c r="A1596" t="s">
        <v>3739</v>
      </c>
      <c r="B1596" s="12" t="s">
        <v>33</v>
      </c>
      <c r="C1596" t="s">
        <v>6257</v>
      </c>
      <c r="D1596" s="83" t="s">
        <v>5521</v>
      </c>
      <c r="E1596" t="s">
        <v>5244</v>
      </c>
      <c r="F1596" t="s">
        <v>5748</v>
      </c>
      <c r="H1596" t="s">
        <v>414</v>
      </c>
      <c r="I1596" t="s">
        <v>414</v>
      </c>
      <c r="L1596" t="s">
        <v>414</v>
      </c>
      <c r="M1596" t="s">
        <v>414</v>
      </c>
    </row>
    <row r="1597" spans="1:13" ht="15">
      <c r="A1597" t="s">
        <v>4448</v>
      </c>
      <c r="B1597" s="12" t="s">
        <v>1309</v>
      </c>
      <c r="C1597" t="s">
        <v>5998</v>
      </c>
      <c r="D1597" s="83" t="s">
        <v>4184</v>
      </c>
      <c r="E1597" t="s">
        <v>5078</v>
      </c>
      <c r="F1597" t="s">
        <v>1309</v>
      </c>
      <c r="H1597" t="s">
        <v>414</v>
      </c>
      <c r="M1597" t="s">
        <v>414</v>
      </c>
    </row>
    <row r="1598" spans="1:13" ht="15">
      <c r="A1598" t="s">
        <v>4565</v>
      </c>
      <c r="B1598" s="12" t="s">
        <v>395</v>
      </c>
      <c r="C1598" t="s">
        <v>5996</v>
      </c>
      <c r="D1598" s="83" t="s">
        <v>5484</v>
      </c>
      <c r="E1598" t="s">
        <v>5207</v>
      </c>
      <c r="F1598" t="s">
        <v>395</v>
      </c>
      <c r="M1598" t="s">
        <v>414</v>
      </c>
    </row>
    <row r="1599" spans="1:13" ht="15">
      <c r="C1599" t="s">
        <v>6489</v>
      </c>
      <c r="D1599" s="83" t="s">
        <v>5480</v>
      </c>
      <c r="E1599" t="s">
        <v>5203</v>
      </c>
      <c r="F1599" t="s">
        <v>5748</v>
      </c>
      <c r="M1599" t="s">
        <v>414</v>
      </c>
    </row>
    <row r="1600" spans="1:13" ht="15">
      <c r="C1600" t="s">
        <v>6489</v>
      </c>
      <c r="D1600" s="83" t="s">
        <v>5507</v>
      </c>
      <c r="E1600" t="s">
        <v>5230</v>
      </c>
      <c r="F1600" t="s">
        <v>5748</v>
      </c>
      <c r="H1600" t="s">
        <v>414</v>
      </c>
      <c r="M1600" t="s">
        <v>414</v>
      </c>
    </row>
    <row r="1601" spans="1:13" ht="15">
      <c r="C1601" t="s">
        <v>6489</v>
      </c>
      <c r="D1601" s="83" t="s">
        <v>5521</v>
      </c>
      <c r="E1601" t="s">
        <v>5244</v>
      </c>
      <c r="F1601" t="s">
        <v>5748</v>
      </c>
      <c r="H1601" t="s">
        <v>414</v>
      </c>
      <c r="I1601" t="s">
        <v>414</v>
      </c>
      <c r="L1601" t="s">
        <v>414</v>
      </c>
      <c r="M1601" t="s">
        <v>414</v>
      </c>
    </row>
    <row r="1602" spans="1:13" ht="15">
      <c r="A1602" t="s">
        <v>3753</v>
      </c>
      <c r="B1602" t="s">
        <v>4296</v>
      </c>
      <c r="C1602" t="s">
        <v>6052</v>
      </c>
      <c r="D1602" s="83" t="s">
        <v>28</v>
      </c>
      <c r="E1602" t="s">
        <v>5423</v>
      </c>
      <c r="F1602" t="s">
        <v>27</v>
      </c>
      <c r="H1602" t="s">
        <v>414</v>
      </c>
      <c r="I1602" t="s">
        <v>414</v>
      </c>
      <c r="L1602" t="s">
        <v>414</v>
      </c>
    </row>
    <row r="1603" spans="1:13" ht="15">
      <c r="A1603" t="s">
        <v>3753</v>
      </c>
      <c r="B1603" s="75" t="s">
        <v>4296</v>
      </c>
      <c r="C1603" t="s">
        <v>6136</v>
      </c>
      <c r="D1603" s="83" t="s">
        <v>5722</v>
      </c>
      <c r="E1603" t="s">
        <v>5446</v>
      </c>
      <c r="F1603" t="s">
        <v>5835</v>
      </c>
      <c r="H1603" t="s">
        <v>414</v>
      </c>
      <c r="K1603" t="s">
        <v>414</v>
      </c>
      <c r="L1603" t="s">
        <v>414</v>
      </c>
    </row>
    <row r="1604" spans="1:13" ht="15">
      <c r="A1604" t="s">
        <v>3753</v>
      </c>
      <c r="B1604" s="75" t="s">
        <v>4296</v>
      </c>
      <c r="C1604" t="s">
        <v>6136</v>
      </c>
      <c r="D1604" s="83" t="s">
        <v>5493</v>
      </c>
      <c r="E1604" t="s">
        <v>5216</v>
      </c>
      <c r="F1604" t="s">
        <v>5755</v>
      </c>
      <c r="H1604" t="s">
        <v>414</v>
      </c>
      <c r="M1604" t="s">
        <v>414</v>
      </c>
    </row>
    <row r="1605" spans="1:13" ht="15">
      <c r="A1605" t="s">
        <v>3753</v>
      </c>
      <c r="B1605" s="75" t="s">
        <v>4296</v>
      </c>
      <c r="C1605" t="s">
        <v>6136</v>
      </c>
      <c r="D1605" s="83" t="s">
        <v>5480</v>
      </c>
      <c r="E1605" t="s">
        <v>5203</v>
      </c>
      <c r="F1605" t="s">
        <v>5748</v>
      </c>
      <c r="M1605" t="s">
        <v>414</v>
      </c>
    </row>
    <row r="1606" spans="1:13" ht="15">
      <c r="A1606" t="s">
        <v>4565</v>
      </c>
      <c r="B1606" s="12" t="s">
        <v>395</v>
      </c>
      <c r="C1606" t="s">
        <v>6174</v>
      </c>
      <c r="D1606" s="83" t="s">
        <v>5700</v>
      </c>
      <c r="E1606" t="s">
        <v>5424</v>
      </c>
      <c r="F1606" t="s">
        <v>5840</v>
      </c>
      <c r="K1606" t="s">
        <v>414</v>
      </c>
      <c r="L1606" t="s">
        <v>414</v>
      </c>
    </row>
    <row r="1607" spans="1:13" ht="15">
      <c r="A1607" t="s">
        <v>3739</v>
      </c>
      <c r="B1607" s="12" t="s">
        <v>33</v>
      </c>
      <c r="C1607" t="s">
        <v>6284</v>
      </c>
      <c r="D1607" s="83" t="s">
        <v>5700</v>
      </c>
      <c r="E1607" t="s">
        <v>5424</v>
      </c>
      <c r="F1607" t="s">
        <v>5840</v>
      </c>
      <c r="K1607" t="s">
        <v>414</v>
      </c>
      <c r="L1607" t="s">
        <v>414</v>
      </c>
    </row>
    <row r="1608" spans="1:13" ht="15">
      <c r="A1608" t="s">
        <v>3745</v>
      </c>
      <c r="B1608" t="s">
        <v>4292</v>
      </c>
      <c r="C1608" t="s">
        <v>5891</v>
      </c>
      <c r="D1608" s="83" t="s">
        <v>5592</v>
      </c>
      <c r="E1608" t="s">
        <v>5315</v>
      </c>
      <c r="F1608" t="s">
        <v>5778</v>
      </c>
      <c r="H1608" t="s">
        <v>414</v>
      </c>
      <c r="I1608" t="s">
        <v>414</v>
      </c>
      <c r="K1608" t="s">
        <v>414</v>
      </c>
      <c r="L1608" t="s">
        <v>414</v>
      </c>
    </row>
    <row r="1609" spans="1:13" ht="15">
      <c r="A1609" t="s">
        <v>4525</v>
      </c>
      <c r="B1609" s="81" t="s">
        <v>4524</v>
      </c>
      <c r="C1609" t="s">
        <v>6001</v>
      </c>
      <c r="D1609" s="83" t="s">
        <v>5515</v>
      </c>
      <c r="E1609" t="s">
        <v>5238</v>
      </c>
      <c r="F1609" t="s">
        <v>5759</v>
      </c>
      <c r="H1609" t="s">
        <v>414</v>
      </c>
      <c r="M1609" t="s">
        <v>414</v>
      </c>
    </row>
    <row r="1610" spans="1:13" ht="15">
      <c r="A1610" t="s">
        <v>3755</v>
      </c>
      <c r="B1610" t="s">
        <v>4533</v>
      </c>
      <c r="C1610" t="s">
        <v>5928</v>
      </c>
      <c r="D1610" s="83" t="s">
        <v>5515</v>
      </c>
      <c r="E1610" t="s">
        <v>5238</v>
      </c>
      <c r="F1610" t="s">
        <v>5759</v>
      </c>
      <c r="H1610" t="s">
        <v>414</v>
      </c>
      <c r="M1610" t="s">
        <v>414</v>
      </c>
    </row>
    <row r="1611" spans="1:13" ht="15">
      <c r="A1611" t="s">
        <v>3753</v>
      </c>
      <c r="B1611" s="75" t="s">
        <v>4296</v>
      </c>
      <c r="C1611" t="s">
        <v>6136</v>
      </c>
      <c r="D1611" s="83" t="s">
        <v>5529</v>
      </c>
      <c r="E1611" t="s">
        <v>5252</v>
      </c>
      <c r="F1611" t="s">
        <v>5748</v>
      </c>
      <c r="M1611" t="s">
        <v>414</v>
      </c>
    </row>
    <row r="1612" spans="1:13" ht="15">
      <c r="A1612" t="s">
        <v>3753</v>
      </c>
      <c r="B1612" s="75" t="s">
        <v>4296</v>
      </c>
      <c r="C1612" t="s">
        <v>6136</v>
      </c>
      <c r="D1612" s="83" t="s">
        <v>5521</v>
      </c>
      <c r="E1612" t="s">
        <v>5244</v>
      </c>
      <c r="F1612" t="s">
        <v>5748</v>
      </c>
      <c r="H1612" t="s">
        <v>414</v>
      </c>
      <c r="I1612" t="s">
        <v>414</v>
      </c>
      <c r="L1612" t="s">
        <v>414</v>
      </c>
      <c r="M1612" t="s">
        <v>414</v>
      </c>
    </row>
    <row r="1613" spans="1:13" ht="15">
      <c r="A1613" t="s">
        <v>3753</v>
      </c>
      <c r="B1613" t="s">
        <v>4296</v>
      </c>
      <c r="C1613" t="s">
        <v>6092</v>
      </c>
      <c r="D1613" s="83" t="s">
        <v>5593</v>
      </c>
      <c r="E1613" t="s">
        <v>5316</v>
      </c>
      <c r="F1613" t="s">
        <v>5800</v>
      </c>
      <c r="H1613" t="s">
        <v>414</v>
      </c>
      <c r="L1613" t="s">
        <v>414</v>
      </c>
      <c r="M1613" t="s">
        <v>414</v>
      </c>
    </row>
    <row r="1614" spans="1:13" ht="15">
      <c r="C1614" t="s">
        <v>7297</v>
      </c>
      <c r="D1614" s="83" t="s">
        <v>5719</v>
      </c>
      <c r="E1614" t="s">
        <v>5443</v>
      </c>
      <c r="F1614" t="s">
        <v>5848</v>
      </c>
    </row>
    <row r="1615" spans="1:13" ht="15">
      <c r="C1615" t="s">
        <v>7299</v>
      </c>
      <c r="D1615" s="83" t="s">
        <v>5467</v>
      </c>
      <c r="E1615" t="s">
        <v>5190</v>
      </c>
      <c r="F1615" t="s">
        <v>5740</v>
      </c>
      <c r="M1615" t="s">
        <v>414</v>
      </c>
    </row>
    <row r="1616" spans="1:13" ht="15">
      <c r="C1616" t="s">
        <v>6361</v>
      </c>
      <c r="D1616" s="83" t="s">
        <v>5589</v>
      </c>
      <c r="E1616" t="s">
        <v>5312</v>
      </c>
      <c r="F1616" t="s">
        <v>5748</v>
      </c>
      <c r="H1616" t="s">
        <v>414</v>
      </c>
      <c r="M1616" t="s">
        <v>414</v>
      </c>
    </row>
    <row r="1617" spans="1:13" ht="15">
      <c r="C1617" t="s">
        <v>6361</v>
      </c>
      <c r="D1617" s="83" t="s">
        <v>5566</v>
      </c>
      <c r="E1617" t="s">
        <v>5289</v>
      </c>
      <c r="F1617" t="s">
        <v>5748</v>
      </c>
      <c r="H1617" t="s">
        <v>414</v>
      </c>
      <c r="M1617" t="s">
        <v>414</v>
      </c>
    </row>
    <row r="1618" spans="1:13" ht="15">
      <c r="C1618" t="s">
        <v>6361</v>
      </c>
      <c r="D1618" s="83" t="s">
        <v>5517</v>
      </c>
      <c r="E1618" t="s">
        <v>5240</v>
      </c>
      <c r="F1618" t="s">
        <v>5748</v>
      </c>
      <c r="M1618" t="s">
        <v>414</v>
      </c>
    </row>
    <row r="1619" spans="1:13" ht="15">
      <c r="C1619" t="s">
        <v>6361</v>
      </c>
      <c r="D1619" s="83" t="s">
        <v>5480</v>
      </c>
      <c r="E1619" t="s">
        <v>5203</v>
      </c>
      <c r="F1619" t="s">
        <v>5748</v>
      </c>
      <c r="M1619" t="s">
        <v>414</v>
      </c>
    </row>
    <row r="1620" spans="1:13" ht="15">
      <c r="A1620" t="s">
        <v>4446</v>
      </c>
      <c r="B1620" t="s">
        <v>4445</v>
      </c>
      <c r="C1620" t="s">
        <v>6590</v>
      </c>
      <c r="D1620" s="83" t="s">
        <v>5583</v>
      </c>
      <c r="E1620" t="s">
        <v>5306</v>
      </c>
      <c r="F1620" t="s">
        <v>5797</v>
      </c>
      <c r="H1620" t="s">
        <v>414</v>
      </c>
      <c r="I1620" t="s">
        <v>414</v>
      </c>
      <c r="M1620" t="s">
        <v>414</v>
      </c>
    </row>
    <row r="1621" spans="1:13" ht="15">
      <c r="C1621" t="s">
        <v>6361</v>
      </c>
      <c r="D1621" s="83" t="s">
        <v>5514</v>
      </c>
      <c r="E1621" t="s">
        <v>5237</v>
      </c>
      <c r="F1621" t="s">
        <v>5748</v>
      </c>
      <c r="H1621" t="s">
        <v>414</v>
      </c>
      <c r="M1621" t="s">
        <v>414</v>
      </c>
    </row>
    <row r="1622" spans="1:13" ht="15">
      <c r="C1622" t="s">
        <v>6361</v>
      </c>
      <c r="D1622" s="83" t="s">
        <v>5507</v>
      </c>
      <c r="E1622" t="s">
        <v>5230</v>
      </c>
      <c r="F1622" t="s">
        <v>5748</v>
      </c>
      <c r="H1622" t="s">
        <v>414</v>
      </c>
      <c r="M1622" t="s">
        <v>414</v>
      </c>
    </row>
    <row r="1623" spans="1:13" ht="15">
      <c r="C1623" t="s">
        <v>6361</v>
      </c>
      <c r="D1623" s="83" t="s">
        <v>5525</v>
      </c>
      <c r="E1623" t="s">
        <v>5248</v>
      </c>
      <c r="F1623" t="s">
        <v>5759</v>
      </c>
      <c r="M1623" t="s">
        <v>414</v>
      </c>
    </row>
    <row r="1624" spans="1:13" ht="15">
      <c r="C1624" t="s">
        <v>6361</v>
      </c>
      <c r="D1624" s="83" t="s">
        <v>5529</v>
      </c>
      <c r="E1624" t="s">
        <v>5252</v>
      </c>
      <c r="F1624" t="s">
        <v>5748</v>
      </c>
      <c r="M1624" t="s">
        <v>414</v>
      </c>
    </row>
    <row r="1625" spans="1:13" ht="15">
      <c r="C1625" t="s">
        <v>6361</v>
      </c>
      <c r="D1625" s="83" t="s">
        <v>5521</v>
      </c>
      <c r="E1625" t="s">
        <v>5244</v>
      </c>
      <c r="F1625" t="s">
        <v>5748</v>
      </c>
      <c r="H1625" t="s">
        <v>414</v>
      </c>
      <c r="I1625" t="s">
        <v>414</v>
      </c>
      <c r="L1625" t="s">
        <v>414</v>
      </c>
      <c r="M1625" t="s">
        <v>414</v>
      </c>
    </row>
    <row r="1626" spans="1:13" ht="15">
      <c r="C1626" t="s">
        <v>6361</v>
      </c>
      <c r="D1626" s="83" t="s">
        <v>5588</v>
      </c>
      <c r="E1626" t="s">
        <v>5311</v>
      </c>
      <c r="F1626" t="s">
        <v>5740</v>
      </c>
      <c r="M1626" t="s">
        <v>414</v>
      </c>
    </row>
    <row r="1627" spans="1:13" ht="15">
      <c r="C1627" t="s">
        <v>6361</v>
      </c>
      <c r="D1627" s="83" t="s">
        <v>4169</v>
      </c>
      <c r="E1627" t="s">
        <v>5063</v>
      </c>
      <c r="F1627" t="s">
        <v>5748</v>
      </c>
    </row>
    <row r="1628" spans="1:13" ht="15">
      <c r="C1628" t="s">
        <v>6123</v>
      </c>
      <c r="D1628" s="83" t="s">
        <v>5557</v>
      </c>
      <c r="E1628" t="s">
        <v>5280</v>
      </c>
      <c r="F1628" t="s">
        <v>5755</v>
      </c>
      <c r="M1628" t="s">
        <v>414</v>
      </c>
    </row>
    <row r="1629" spans="1:13" ht="15">
      <c r="A1629" t="s">
        <v>4453</v>
      </c>
      <c r="B1629" s="81" t="s">
        <v>3175</v>
      </c>
      <c r="C1629" t="s">
        <v>7395</v>
      </c>
      <c r="D1629" s="83" t="s">
        <v>4137</v>
      </c>
      <c r="E1629" t="s">
        <v>5031</v>
      </c>
      <c r="F1629" t="s">
        <v>60</v>
      </c>
    </row>
    <row r="1630" spans="1:13" ht="15">
      <c r="C1630" t="s">
        <v>6123</v>
      </c>
      <c r="D1630" s="83" t="s">
        <v>5541</v>
      </c>
      <c r="E1630" t="s">
        <v>5264</v>
      </c>
      <c r="F1630" t="s">
        <v>5740</v>
      </c>
      <c r="M1630" t="s">
        <v>414</v>
      </c>
    </row>
    <row r="1631" spans="1:13" ht="15">
      <c r="C1631" t="s">
        <v>6123</v>
      </c>
      <c r="D1631" s="83" t="s">
        <v>5565</v>
      </c>
      <c r="E1631" t="s">
        <v>5288</v>
      </c>
      <c r="F1631" t="s">
        <v>5740</v>
      </c>
      <c r="H1631" t="s">
        <v>414</v>
      </c>
      <c r="M1631" t="s">
        <v>414</v>
      </c>
    </row>
    <row r="1632" spans="1:13" ht="15">
      <c r="C1632" t="s">
        <v>6338</v>
      </c>
      <c r="D1632" s="83" t="s">
        <v>4163</v>
      </c>
      <c r="E1632" t="s">
        <v>5057</v>
      </c>
      <c r="F1632" t="s">
        <v>5748</v>
      </c>
    </row>
    <row r="1633" spans="1:13" ht="15">
      <c r="C1633" t="s">
        <v>6338</v>
      </c>
      <c r="D1633" s="83" t="s">
        <v>4154</v>
      </c>
      <c r="E1633" t="s">
        <v>5047</v>
      </c>
      <c r="F1633" t="s">
        <v>5737</v>
      </c>
      <c r="H1633" t="s">
        <v>414</v>
      </c>
      <c r="L1633" t="s">
        <v>414</v>
      </c>
      <c r="M1633" t="s">
        <v>414</v>
      </c>
    </row>
    <row r="1634" spans="1:13" ht="15">
      <c r="C1634" t="s">
        <v>6338</v>
      </c>
      <c r="D1634" s="83" t="s">
        <v>5558</v>
      </c>
      <c r="E1634" t="s">
        <v>5281</v>
      </c>
      <c r="F1634" t="s">
        <v>5748</v>
      </c>
      <c r="H1634" t="s">
        <v>414</v>
      </c>
      <c r="M1634" t="s">
        <v>414</v>
      </c>
    </row>
    <row r="1635" spans="1:13" ht="15">
      <c r="C1635" t="s">
        <v>6338</v>
      </c>
      <c r="D1635" s="83" t="s">
        <v>5616</v>
      </c>
      <c r="E1635" t="s">
        <v>5339</v>
      </c>
      <c r="F1635" t="s">
        <v>5748</v>
      </c>
      <c r="H1635" t="s">
        <v>414</v>
      </c>
      <c r="I1635" t="s">
        <v>414</v>
      </c>
      <c r="M1635" t="s">
        <v>414</v>
      </c>
    </row>
    <row r="1636" spans="1:13" ht="15">
      <c r="C1636" t="s">
        <v>6338</v>
      </c>
      <c r="D1636" s="83" t="s">
        <v>5865</v>
      </c>
      <c r="E1636" t="s">
        <v>7786</v>
      </c>
      <c r="F1636" t="s">
        <v>5748</v>
      </c>
      <c r="G1636" t="s">
        <v>414</v>
      </c>
      <c r="H1636" t="s">
        <v>414</v>
      </c>
      <c r="K1636" t="s">
        <v>414</v>
      </c>
      <c r="L1636" t="s">
        <v>414</v>
      </c>
    </row>
    <row r="1637" spans="1:13" ht="15">
      <c r="C1637" t="s">
        <v>6338</v>
      </c>
      <c r="D1637" s="83" t="s">
        <v>5654</v>
      </c>
      <c r="E1637" t="s">
        <v>5377</v>
      </c>
      <c r="F1637" t="s">
        <v>5748</v>
      </c>
      <c r="H1637" t="s">
        <v>414</v>
      </c>
      <c r="K1637" t="s">
        <v>414</v>
      </c>
      <c r="L1637" t="s">
        <v>414</v>
      </c>
    </row>
    <row r="1638" spans="1:13" ht="15">
      <c r="C1638" t="s">
        <v>6338</v>
      </c>
      <c r="D1638" s="83" t="s">
        <v>5856</v>
      </c>
      <c r="E1638" t="s">
        <v>7775</v>
      </c>
      <c r="F1638" t="s">
        <v>5748</v>
      </c>
      <c r="L1638" t="s">
        <v>414</v>
      </c>
    </row>
    <row r="1639" spans="1:13" ht="15">
      <c r="C1639" t="s">
        <v>7632</v>
      </c>
      <c r="D1639" s="83" t="s">
        <v>5609</v>
      </c>
      <c r="E1639" t="s">
        <v>5332</v>
      </c>
      <c r="F1639" t="s">
        <v>5726</v>
      </c>
      <c r="H1639" t="s">
        <v>414</v>
      </c>
      <c r="I1639" t="s">
        <v>414</v>
      </c>
    </row>
    <row r="1640" spans="1:13" ht="15">
      <c r="C1640" t="s">
        <v>6759</v>
      </c>
      <c r="D1640" s="83" t="s">
        <v>5557</v>
      </c>
      <c r="E1640" t="s">
        <v>5280</v>
      </c>
      <c r="F1640" t="s">
        <v>5755</v>
      </c>
      <c r="M1640" t="s">
        <v>414</v>
      </c>
    </row>
    <row r="1641" spans="1:13" ht="15">
      <c r="C1641" t="s">
        <v>6759</v>
      </c>
      <c r="D1641" s="83" t="s">
        <v>5865</v>
      </c>
      <c r="E1641" t="s">
        <v>7786</v>
      </c>
      <c r="F1641" t="s">
        <v>5748</v>
      </c>
      <c r="G1641" t="s">
        <v>414</v>
      </c>
      <c r="H1641" t="s">
        <v>414</v>
      </c>
      <c r="K1641" t="s">
        <v>414</v>
      </c>
      <c r="L1641" t="s">
        <v>414</v>
      </c>
    </row>
    <row r="1642" spans="1:13" ht="15">
      <c r="A1642" t="s">
        <v>3814</v>
      </c>
      <c r="B1642" t="s">
        <v>1632</v>
      </c>
      <c r="C1642" t="s">
        <v>7627</v>
      </c>
      <c r="D1642" s="83" t="s">
        <v>5526</v>
      </c>
      <c r="E1642" t="s">
        <v>5249</v>
      </c>
      <c r="F1642" t="s">
        <v>5773</v>
      </c>
      <c r="H1642" t="s">
        <v>414</v>
      </c>
      <c r="M1642" t="s">
        <v>414</v>
      </c>
    </row>
    <row r="1643" spans="1:13" ht="15">
      <c r="A1643" t="s">
        <v>4448</v>
      </c>
      <c r="B1643" s="12" t="s">
        <v>1309</v>
      </c>
      <c r="C1643" t="s">
        <v>7026</v>
      </c>
      <c r="D1643" s="83" t="s">
        <v>5475</v>
      </c>
      <c r="E1643" t="s">
        <v>5198</v>
      </c>
      <c r="F1643" t="s">
        <v>5744</v>
      </c>
      <c r="M1643" t="s">
        <v>414</v>
      </c>
    </row>
    <row r="1644" spans="1:13" ht="15">
      <c r="A1644" t="s">
        <v>3814</v>
      </c>
      <c r="B1644" t="s">
        <v>1632</v>
      </c>
      <c r="C1644" t="s">
        <v>5927</v>
      </c>
      <c r="D1644" s="83" t="s">
        <v>5486</v>
      </c>
      <c r="E1644" t="s">
        <v>5209</v>
      </c>
      <c r="F1644" t="s">
        <v>5750</v>
      </c>
      <c r="H1644" t="s">
        <v>414</v>
      </c>
      <c r="M1644" t="s">
        <v>414</v>
      </c>
    </row>
    <row r="1645" spans="1:13" ht="15">
      <c r="A1645" t="s">
        <v>3814</v>
      </c>
      <c r="B1645" t="s">
        <v>1632</v>
      </c>
      <c r="C1645" t="s">
        <v>5927</v>
      </c>
      <c r="D1645" s="83" t="s">
        <v>5555</v>
      </c>
      <c r="E1645" t="s">
        <v>5278</v>
      </c>
      <c r="F1645" t="s">
        <v>5788</v>
      </c>
    </row>
    <row r="1646" spans="1:13" ht="15">
      <c r="A1646" t="s">
        <v>4450</v>
      </c>
      <c r="B1646" t="s">
        <v>3356</v>
      </c>
      <c r="C1646" t="s">
        <v>6265</v>
      </c>
      <c r="D1646" s="83" t="s">
        <v>4182</v>
      </c>
      <c r="E1646" t="s">
        <v>5076</v>
      </c>
      <c r="F1646" t="s">
        <v>5725</v>
      </c>
      <c r="L1646" t="s">
        <v>414</v>
      </c>
      <c r="M1646" t="s">
        <v>414</v>
      </c>
    </row>
    <row r="1647" spans="1:13" ht="15">
      <c r="A1647" t="s">
        <v>3814</v>
      </c>
      <c r="B1647" t="s">
        <v>1632</v>
      </c>
      <c r="C1647" t="s">
        <v>5927</v>
      </c>
      <c r="D1647" s="83" t="s">
        <v>5596</v>
      </c>
      <c r="E1647" t="s">
        <v>5319</v>
      </c>
      <c r="F1647" t="s">
        <v>5801</v>
      </c>
    </row>
    <row r="1648" spans="1:13" ht="15">
      <c r="A1648" t="s">
        <v>4453</v>
      </c>
      <c r="B1648" s="81" t="s">
        <v>3175</v>
      </c>
      <c r="C1648" t="s">
        <v>6441</v>
      </c>
      <c r="D1648" s="83" t="s">
        <v>4182</v>
      </c>
      <c r="E1648" t="s">
        <v>5076</v>
      </c>
      <c r="F1648" t="s">
        <v>5725</v>
      </c>
      <c r="L1648" t="s">
        <v>414</v>
      </c>
      <c r="M1648" t="s">
        <v>414</v>
      </c>
    </row>
    <row r="1649" spans="1:13" ht="15">
      <c r="A1649" t="s">
        <v>3755</v>
      </c>
      <c r="B1649" t="s">
        <v>4533</v>
      </c>
      <c r="C1649" t="s">
        <v>6503</v>
      </c>
      <c r="D1649" s="83" t="s">
        <v>4182</v>
      </c>
      <c r="E1649" t="s">
        <v>5076</v>
      </c>
      <c r="F1649" t="s">
        <v>5725</v>
      </c>
      <c r="L1649" t="s">
        <v>414</v>
      </c>
      <c r="M1649" t="s">
        <v>414</v>
      </c>
    </row>
    <row r="1650" spans="1:13" ht="15">
      <c r="A1650" t="s">
        <v>4443</v>
      </c>
      <c r="B1650" t="s">
        <v>4287</v>
      </c>
      <c r="C1650" t="s">
        <v>5960</v>
      </c>
      <c r="D1650" s="83" t="s">
        <v>4182</v>
      </c>
      <c r="E1650" t="s">
        <v>5076</v>
      </c>
      <c r="F1650" t="s">
        <v>5725</v>
      </c>
      <c r="L1650" t="s">
        <v>414</v>
      </c>
      <c r="M1650" t="s">
        <v>414</v>
      </c>
    </row>
    <row r="1651" spans="1:13" ht="15">
      <c r="A1651" t="s">
        <v>3814</v>
      </c>
      <c r="B1651" t="s">
        <v>1632</v>
      </c>
      <c r="C1651" t="s">
        <v>7505</v>
      </c>
      <c r="D1651" s="83" t="s">
        <v>5540</v>
      </c>
      <c r="E1651" t="s">
        <v>5263</v>
      </c>
      <c r="F1651" t="s">
        <v>5730</v>
      </c>
      <c r="H1651" t="s">
        <v>414</v>
      </c>
    </row>
    <row r="1652" spans="1:13" ht="15">
      <c r="A1652" t="s">
        <v>3744</v>
      </c>
      <c r="B1652" t="s">
        <v>1243</v>
      </c>
      <c r="C1652" t="s">
        <v>6646</v>
      </c>
      <c r="D1652" s="83" t="s">
        <v>4182</v>
      </c>
      <c r="E1652" t="s">
        <v>5076</v>
      </c>
      <c r="F1652" t="s">
        <v>5725</v>
      </c>
      <c r="L1652" t="s">
        <v>414</v>
      </c>
      <c r="M1652" t="s">
        <v>414</v>
      </c>
    </row>
    <row r="1653" spans="1:13" ht="15">
      <c r="A1653" t="s">
        <v>3745</v>
      </c>
      <c r="B1653" t="s">
        <v>4292</v>
      </c>
      <c r="C1653" t="s">
        <v>6680</v>
      </c>
      <c r="D1653" s="83" t="s">
        <v>4182</v>
      </c>
      <c r="E1653" t="s">
        <v>5076</v>
      </c>
      <c r="F1653" t="s">
        <v>5725</v>
      </c>
      <c r="L1653" t="s">
        <v>414</v>
      </c>
      <c r="M1653" t="s">
        <v>414</v>
      </c>
    </row>
    <row r="1654" spans="1:13" ht="15">
      <c r="A1654" t="s">
        <v>3740</v>
      </c>
      <c r="B1654" t="s">
        <v>3444</v>
      </c>
      <c r="C1654" t="s">
        <v>6704</v>
      </c>
      <c r="D1654" s="83" t="s">
        <v>4182</v>
      </c>
      <c r="E1654" t="s">
        <v>5076</v>
      </c>
      <c r="F1654" t="s">
        <v>5725</v>
      </c>
      <c r="L1654" t="s">
        <v>414</v>
      </c>
      <c r="M1654" t="s">
        <v>414</v>
      </c>
    </row>
    <row r="1655" spans="1:13" ht="15">
      <c r="A1655" t="s">
        <v>3739</v>
      </c>
      <c r="B1655" s="12" t="s">
        <v>33</v>
      </c>
      <c r="C1655" t="s">
        <v>6094</v>
      </c>
      <c r="D1655" s="83" t="s">
        <v>4182</v>
      </c>
      <c r="E1655" t="s">
        <v>5076</v>
      </c>
      <c r="F1655" t="s">
        <v>5725</v>
      </c>
      <c r="L1655" t="s">
        <v>414</v>
      </c>
      <c r="M1655" t="s">
        <v>414</v>
      </c>
    </row>
    <row r="1656" spans="1:13" ht="15">
      <c r="C1656" t="s">
        <v>6921</v>
      </c>
      <c r="D1656" s="83" t="s">
        <v>5589</v>
      </c>
      <c r="E1656" t="s">
        <v>5312</v>
      </c>
      <c r="F1656" t="s">
        <v>5748</v>
      </c>
      <c r="H1656" t="s">
        <v>414</v>
      </c>
      <c r="M1656" t="s">
        <v>414</v>
      </c>
    </row>
    <row r="1657" spans="1:13" ht="15">
      <c r="C1657" t="s">
        <v>6921</v>
      </c>
      <c r="D1657" s="83" t="s">
        <v>5596</v>
      </c>
      <c r="E1657" t="s">
        <v>5319</v>
      </c>
      <c r="F1657" t="s">
        <v>5801</v>
      </c>
    </row>
    <row r="1658" spans="1:13" ht="15">
      <c r="A1658" t="s">
        <v>3739</v>
      </c>
      <c r="B1658" s="12" t="s">
        <v>33</v>
      </c>
      <c r="C1658" t="s">
        <v>6153</v>
      </c>
      <c r="D1658" s="83" t="s">
        <v>5665</v>
      </c>
      <c r="E1658" t="s">
        <v>5388</v>
      </c>
      <c r="F1658" t="s">
        <v>5780</v>
      </c>
    </row>
    <row r="1659" spans="1:13" ht="15">
      <c r="A1659" t="s">
        <v>3773</v>
      </c>
      <c r="B1659" t="s">
        <v>1289</v>
      </c>
      <c r="C1659" t="s">
        <v>7133</v>
      </c>
      <c r="D1659" s="83" t="s">
        <v>4189</v>
      </c>
      <c r="E1659" t="s">
        <v>5083</v>
      </c>
      <c r="F1659" t="s">
        <v>5765</v>
      </c>
    </row>
    <row r="1660" spans="1:13" ht="15">
      <c r="C1660" t="s">
        <v>6993</v>
      </c>
      <c r="D1660" s="83" t="s">
        <v>5529</v>
      </c>
      <c r="E1660" t="s">
        <v>5252</v>
      </c>
      <c r="F1660" t="s">
        <v>5748</v>
      </c>
      <c r="M1660" t="s">
        <v>414</v>
      </c>
    </row>
    <row r="1661" spans="1:13" ht="15">
      <c r="C1661" t="s">
        <v>6527</v>
      </c>
      <c r="D1661" s="83" t="s">
        <v>5615</v>
      </c>
      <c r="E1661" t="s">
        <v>5338</v>
      </c>
      <c r="F1661" t="s">
        <v>5734</v>
      </c>
      <c r="H1661" t="s">
        <v>414</v>
      </c>
      <c r="M1661" t="s">
        <v>414</v>
      </c>
    </row>
    <row r="1662" spans="1:13" ht="15">
      <c r="A1662" t="s">
        <v>3783</v>
      </c>
      <c r="B1662" t="s">
        <v>301</v>
      </c>
      <c r="C1662" t="s">
        <v>6031</v>
      </c>
      <c r="D1662" s="83" t="s">
        <v>5713</v>
      </c>
      <c r="E1662" t="s">
        <v>5437</v>
      </c>
      <c r="F1662" t="s">
        <v>5768</v>
      </c>
      <c r="K1662" t="s">
        <v>414</v>
      </c>
      <c r="L1662" t="s">
        <v>414</v>
      </c>
    </row>
    <row r="1663" spans="1:13" ht="15">
      <c r="A1663" t="s">
        <v>3746</v>
      </c>
      <c r="B1663" s="12" t="s">
        <v>4482</v>
      </c>
      <c r="C1663" t="s">
        <v>6183</v>
      </c>
      <c r="D1663" s="83" t="s">
        <v>5713</v>
      </c>
      <c r="E1663" t="s">
        <v>5437</v>
      </c>
      <c r="F1663" t="s">
        <v>5768</v>
      </c>
      <c r="K1663" t="s">
        <v>414</v>
      </c>
      <c r="L1663" t="s">
        <v>414</v>
      </c>
    </row>
    <row r="1664" spans="1:13" ht="15">
      <c r="A1664" t="s">
        <v>3739</v>
      </c>
      <c r="B1664" s="12" t="s">
        <v>33</v>
      </c>
      <c r="C1664" t="s">
        <v>6094</v>
      </c>
      <c r="D1664" s="83" t="s">
        <v>5713</v>
      </c>
      <c r="E1664" t="s">
        <v>5437</v>
      </c>
      <c r="F1664" t="s">
        <v>5768</v>
      </c>
      <c r="K1664" t="s">
        <v>414</v>
      </c>
      <c r="L1664" t="s">
        <v>414</v>
      </c>
    </row>
    <row r="1665" spans="1:13" ht="15">
      <c r="A1665" t="s">
        <v>4448</v>
      </c>
      <c r="B1665" s="12" t="s">
        <v>1309</v>
      </c>
      <c r="C1665" t="s">
        <v>7017</v>
      </c>
      <c r="D1665" s="83" t="s">
        <v>4177</v>
      </c>
      <c r="E1665" t="s">
        <v>5071</v>
      </c>
      <c r="F1665" t="s">
        <v>1309</v>
      </c>
    </row>
    <row r="1666" spans="1:13" ht="15">
      <c r="A1666" t="s">
        <v>4446</v>
      </c>
      <c r="B1666" t="s">
        <v>4445</v>
      </c>
      <c r="C1666" t="s">
        <v>7096</v>
      </c>
      <c r="D1666" s="83" t="s">
        <v>5623</v>
      </c>
      <c r="E1666" t="s">
        <v>5346</v>
      </c>
      <c r="F1666" t="s">
        <v>5725</v>
      </c>
      <c r="M1666" t="s">
        <v>414</v>
      </c>
    </row>
    <row r="1667" spans="1:13" ht="15">
      <c r="C1667" t="s">
        <v>6946</v>
      </c>
      <c r="D1667" s="83" t="s">
        <v>5493</v>
      </c>
      <c r="E1667" t="s">
        <v>5216</v>
      </c>
      <c r="F1667" t="s">
        <v>5755</v>
      </c>
      <c r="H1667" t="s">
        <v>414</v>
      </c>
      <c r="M1667" t="s">
        <v>414</v>
      </c>
    </row>
    <row r="1668" spans="1:13" ht="15">
      <c r="A1668" t="s">
        <v>8078</v>
      </c>
      <c r="B1668" t="s">
        <v>8077</v>
      </c>
      <c r="C1668" t="s">
        <v>7386</v>
      </c>
      <c r="D1668" s="83" t="s">
        <v>5602</v>
      </c>
      <c r="E1668" t="s">
        <v>5325</v>
      </c>
      <c r="F1668" t="s">
        <v>1291</v>
      </c>
      <c r="H1668" t="s">
        <v>414</v>
      </c>
      <c r="M1668" t="s">
        <v>414</v>
      </c>
    </row>
    <row r="1669" spans="1:13" ht="15">
      <c r="A1669" t="s">
        <v>8078</v>
      </c>
      <c r="B1669" t="s">
        <v>8077</v>
      </c>
      <c r="C1669" t="s">
        <v>6886</v>
      </c>
      <c r="D1669" s="83" t="s">
        <v>5493</v>
      </c>
      <c r="E1669" t="s">
        <v>5216</v>
      </c>
      <c r="F1669" t="s">
        <v>5755</v>
      </c>
      <c r="H1669" t="s">
        <v>414</v>
      </c>
      <c r="M1669" t="s">
        <v>414</v>
      </c>
    </row>
    <row r="1670" spans="1:13" ht="15">
      <c r="A1670" t="s">
        <v>3753</v>
      </c>
      <c r="B1670" s="75" t="s">
        <v>4296</v>
      </c>
      <c r="C1670" t="s">
        <v>7230</v>
      </c>
      <c r="D1670" s="83" t="s">
        <v>5609</v>
      </c>
      <c r="E1670" t="s">
        <v>5332</v>
      </c>
      <c r="F1670" t="s">
        <v>5726</v>
      </c>
      <c r="H1670" t="s">
        <v>414</v>
      </c>
      <c r="I1670" t="s">
        <v>414</v>
      </c>
    </row>
    <row r="1671" spans="1:13" ht="15">
      <c r="A1671" t="s">
        <v>4450</v>
      </c>
      <c r="B1671" t="s">
        <v>3356</v>
      </c>
      <c r="C1671" t="s">
        <v>5900</v>
      </c>
      <c r="D1671" s="83" t="s">
        <v>5488</v>
      </c>
      <c r="E1671" t="s">
        <v>5211</v>
      </c>
      <c r="F1671" t="s">
        <v>5749</v>
      </c>
      <c r="L1671" t="s">
        <v>414</v>
      </c>
      <c r="M1671" t="s">
        <v>414</v>
      </c>
    </row>
    <row r="1672" spans="1:13" ht="15">
      <c r="A1672" t="s">
        <v>4448</v>
      </c>
      <c r="B1672" s="12" t="s">
        <v>1309</v>
      </c>
      <c r="C1672" t="s">
        <v>7040</v>
      </c>
      <c r="D1672" s="83" t="s">
        <v>5508</v>
      </c>
      <c r="E1672" t="s">
        <v>5231</v>
      </c>
      <c r="F1672" t="s">
        <v>1309</v>
      </c>
    </row>
    <row r="1673" spans="1:13" ht="15">
      <c r="A1673" t="s">
        <v>3753</v>
      </c>
      <c r="B1673" s="75" t="s">
        <v>4296</v>
      </c>
      <c r="C1673" t="s">
        <v>6454</v>
      </c>
      <c r="D1673" s="83" t="s">
        <v>5702</v>
      </c>
      <c r="E1673" t="s">
        <v>5426</v>
      </c>
      <c r="F1673" t="s">
        <v>5726</v>
      </c>
      <c r="H1673" t="s">
        <v>414</v>
      </c>
    </row>
    <row r="1674" spans="1:13" ht="15">
      <c r="A1674" t="s">
        <v>3753</v>
      </c>
      <c r="B1674" t="s">
        <v>4296</v>
      </c>
      <c r="C1674" t="s">
        <v>7304</v>
      </c>
      <c r="D1674" s="83" t="s">
        <v>5526</v>
      </c>
      <c r="E1674" t="s">
        <v>5249</v>
      </c>
      <c r="F1674" t="s">
        <v>5773</v>
      </c>
      <c r="H1674" t="s">
        <v>414</v>
      </c>
      <c r="M1674" t="s">
        <v>414</v>
      </c>
    </row>
    <row r="1675" spans="1:13" ht="15">
      <c r="C1675" t="s">
        <v>6502</v>
      </c>
      <c r="D1675" s="83" t="s">
        <v>5624</v>
      </c>
      <c r="E1675" t="s">
        <v>5347</v>
      </c>
      <c r="F1675" t="s">
        <v>5815</v>
      </c>
      <c r="H1675" t="s">
        <v>414</v>
      </c>
      <c r="K1675" t="s">
        <v>414</v>
      </c>
      <c r="L1675" t="s">
        <v>414</v>
      </c>
      <c r="M1675" t="s">
        <v>414</v>
      </c>
    </row>
    <row r="1676" spans="1:13" ht="15">
      <c r="A1676" t="s">
        <v>4525</v>
      </c>
      <c r="B1676" s="81" t="s">
        <v>4524</v>
      </c>
      <c r="C1676" t="s">
        <v>6055</v>
      </c>
      <c r="D1676" s="83" t="s">
        <v>4145</v>
      </c>
      <c r="E1676" t="s">
        <v>5038</v>
      </c>
      <c r="F1676" t="s">
        <v>5843</v>
      </c>
      <c r="G1676" t="s">
        <v>414</v>
      </c>
      <c r="K1676" t="s">
        <v>414</v>
      </c>
      <c r="L1676" t="s">
        <v>414</v>
      </c>
    </row>
    <row r="1677" spans="1:13" ht="15">
      <c r="A1677" t="s">
        <v>3738</v>
      </c>
      <c r="B1677" s="74" t="s">
        <v>4300</v>
      </c>
      <c r="C1677" t="s">
        <v>6179</v>
      </c>
      <c r="D1677" s="83" t="s">
        <v>4145</v>
      </c>
      <c r="E1677" t="s">
        <v>5038</v>
      </c>
      <c r="F1677" t="s">
        <v>5843</v>
      </c>
      <c r="G1677" t="s">
        <v>414</v>
      </c>
      <c r="K1677" t="s">
        <v>414</v>
      </c>
      <c r="L1677" t="s">
        <v>414</v>
      </c>
    </row>
    <row r="1678" spans="1:13" ht="15">
      <c r="A1678" t="s">
        <v>4446</v>
      </c>
      <c r="B1678" t="s">
        <v>4445</v>
      </c>
      <c r="C1678" t="s">
        <v>6288</v>
      </c>
      <c r="D1678" s="83" t="s">
        <v>4145</v>
      </c>
      <c r="E1678" t="s">
        <v>5038</v>
      </c>
      <c r="F1678" t="s">
        <v>5843</v>
      </c>
      <c r="G1678" t="s">
        <v>414</v>
      </c>
      <c r="K1678" t="s">
        <v>414</v>
      </c>
      <c r="L1678" t="s">
        <v>414</v>
      </c>
    </row>
    <row r="1679" spans="1:13" ht="15">
      <c r="C1679" t="s">
        <v>6751</v>
      </c>
      <c r="D1679" s="83" t="s">
        <v>5702</v>
      </c>
      <c r="E1679" t="s">
        <v>5426</v>
      </c>
      <c r="F1679" t="s">
        <v>5726</v>
      </c>
      <c r="H1679" t="s">
        <v>414</v>
      </c>
    </row>
    <row r="1680" spans="1:13" ht="15">
      <c r="C1680" t="s">
        <v>7563</v>
      </c>
      <c r="D1680" s="83" t="s">
        <v>4150</v>
      </c>
      <c r="E1680" t="s">
        <v>5043</v>
      </c>
      <c r="F1680" t="s">
        <v>31</v>
      </c>
    </row>
    <row r="1681" spans="1:13" ht="15">
      <c r="C1681" t="s">
        <v>7563</v>
      </c>
      <c r="D1681" s="83" t="s">
        <v>5536</v>
      </c>
      <c r="E1681" t="s">
        <v>5259</v>
      </c>
      <c r="F1681" t="s">
        <v>5780</v>
      </c>
      <c r="M1681" t="s">
        <v>414</v>
      </c>
    </row>
    <row r="1682" spans="1:13" ht="15">
      <c r="C1682" t="s">
        <v>6871</v>
      </c>
      <c r="D1682" s="83" t="s">
        <v>4144</v>
      </c>
      <c r="E1682" t="s">
        <v>5037</v>
      </c>
      <c r="F1682" t="s">
        <v>5755</v>
      </c>
      <c r="H1682" t="s">
        <v>414</v>
      </c>
      <c r="I1682" t="s">
        <v>414</v>
      </c>
      <c r="L1682" t="s">
        <v>414</v>
      </c>
    </row>
    <row r="1683" spans="1:13" ht="15">
      <c r="C1683" t="s">
        <v>6617</v>
      </c>
      <c r="D1683" s="83" t="s">
        <v>5864</v>
      </c>
      <c r="E1683" t="s">
        <v>7784</v>
      </c>
      <c r="F1683" t="s">
        <v>7785</v>
      </c>
      <c r="H1683" t="s">
        <v>414</v>
      </c>
      <c r="L1683" t="s">
        <v>414</v>
      </c>
    </row>
    <row r="1684" spans="1:13" ht="15">
      <c r="A1684" t="s">
        <v>4453</v>
      </c>
      <c r="B1684" s="81" t="s">
        <v>3175</v>
      </c>
      <c r="C1684" t="s">
        <v>7231</v>
      </c>
      <c r="D1684" s="83" t="s">
        <v>5617</v>
      </c>
      <c r="E1684" t="s">
        <v>5340</v>
      </c>
      <c r="F1684" t="s">
        <v>5812</v>
      </c>
    </row>
    <row r="1685" spans="1:13" ht="15">
      <c r="C1685" t="s">
        <v>6889</v>
      </c>
      <c r="D1685" s="83" t="s">
        <v>5857</v>
      </c>
      <c r="E1685" t="s">
        <v>7776</v>
      </c>
      <c r="F1685" t="s">
        <v>5755</v>
      </c>
      <c r="L1685" t="s">
        <v>414</v>
      </c>
    </row>
    <row r="1686" spans="1:13" ht="15">
      <c r="A1686" t="s">
        <v>3814</v>
      </c>
      <c r="B1686" t="s">
        <v>1632</v>
      </c>
      <c r="C1686" t="s">
        <v>6687</v>
      </c>
      <c r="D1686" s="83" t="s">
        <v>5858</v>
      </c>
      <c r="E1686" t="s">
        <v>7777</v>
      </c>
      <c r="F1686" t="s">
        <v>5755</v>
      </c>
      <c r="H1686" t="s">
        <v>414</v>
      </c>
      <c r="K1686" t="s">
        <v>414</v>
      </c>
      <c r="L1686" t="s">
        <v>414</v>
      </c>
    </row>
    <row r="1687" spans="1:13" ht="15">
      <c r="C1687" t="s">
        <v>7685</v>
      </c>
      <c r="D1687" s="83" t="s">
        <v>5526</v>
      </c>
      <c r="E1687" t="s">
        <v>5249</v>
      </c>
      <c r="F1687" t="s">
        <v>5773</v>
      </c>
      <c r="H1687" t="s">
        <v>414</v>
      </c>
      <c r="M1687" t="s">
        <v>414</v>
      </c>
    </row>
    <row r="1688" spans="1:13" ht="15">
      <c r="C1688" t="s">
        <v>7052</v>
      </c>
      <c r="D1688" s="83" t="s">
        <v>5532</v>
      </c>
      <c r="E1688" t="s">
        <v>5255</v>
      </c>
      <c r="F1688" t="s">
        <v>5776</v>
      </c>
      <c r="M1688" t="s">
        <v>414</v>
      </c>
    </row>
    <row r="1689" spans="1:13" ht="15">
      <c r="C1689" t="s">
        <v>7473</v>
      </c>
      <c r="D1689" s="83" t="s">
        <v>5556</v>
      </c>
      <c r="E1689" t="s">
        <v>5279</v>
      </c>
      <c r="F1689" t="s">
        <v>1216</v>
      </c>
    </row>
    <row r="1690" spans="1:13" ht="15">
      <c r="A1690" t="s">
        <v>3139</v>
      </c>
      <c r="B1690" t="s">
        <v>4285</v>
      </c>
      <c r="C1690" t="s">
        <v>6085</v>
      </c>
      <c r="D1690" s="83" t="s">
        <v>5865</v>
      </c>
      <c r="E1690" t="s">
        <v>7786</v>
      </c>
      <c r="F1690" t="s">
        <v>5748</v>
      </c>
      <c r="G1690" t="s">
        <v>414</v>
      </c>
      <c r="H1690" t="s">
        <v>414</v>
      </c>
      <c r="K1690" t="s">
        <v>414</v>
      </c>
      <c r="L1690" t="s">
        <v>414</v>
      </c>
    </row>
    <row r="1691" spans="1:13" ht="15">
      <c r="C1691" t="s">
        <v>5968</v>
      </c>
      <c r="D1691" s="83" t="s">
        <v>5453</v>
      </c>
      <c r="E1691" t="s">
        <v>5176</v>
      </c>
      <c r="F1691" t="s">
        <v>5729</v>
      </c>
      <c r="H1691" t="s">
        <v>414</v>
      </c>
      <c r="K1691" t="s">
        <v>414</v>
      </c>
      <c r="L1691" t="s">
        <v>414</v>
      </c>
    </row>
    <row r="1692" spans="1:13" ht="15">
      <c r="A1692" t="s">
        <v>3773</v>
      </c>
      <c r="B1692" t="s">
        <v>1289</v>
      </c>
      <c r="C1692" t="s">
        <v>6270</v>
      </c>
      <c r="D1692" s="83" t="s">
        <v>5865</v>
      </c>
      <c r="E1692" t="s">
        <v>7786</v>
      </c>
      <c r="F1692" t="s">
        <v>5748</v>
      </c>
      <c r="G1692" t="s">
        <v>414</v>
      </c>
      <c r="H1692" t="s">
        <v>414</v>
      </c>
      <c r="K1692" t="s">
        <v>414</v>
      </c>
      <c r="L1692" t="s">
        <v>414</v>
      </c>
    </row>
    <row r="1693" spans="1:13" ht="15">
      <c r="C1693" t="s">
        <v>6141</v>
      </c>
      <c r="D1693" s="83" t="s">
        <v>5654</v>
      </c>
      <c r="E1693" t="s">
        <v>5377</v>
      </c>
      <c r="F1693" t="s">
        <v>5748</v>
      </c>
      <c r="H1693" t="s">
        <v>414</v>
      </c>
      <c r="K1693" t="s">
        <v>414</v>
      </c>
      <c r="L1693" t="s">
        <v>414</v>
      </c>
    </row>
    <row r="1694" spans="1:13" ht="15">
      <c r="C1694" t="s">
        <v>7058</v>
      </c>
      <c r="D1694" s="83" t="s">
        <v>5540</v>
      </c>
      <c r="E1694" t="s">
        <v>5263</v>
      </c>
      <c r="F1694" t="s">
        <v>5730</v>
      </c>
      <c r="H1694" t="s">
        <v>414</v>
      </c>
    </row>
    <row r="1695" spans="1:13" ht="15">
      <c r="A1695" t="s">
        <v>4562</v>
      </c>
      <c r="B1695" s="81" t="s">
        <v>240</v>
      </c>
      <c r="C1695" t="s">
        <v>6717</v>
      </c>
      <c r="D1695" s="83" t="s">
        <v>4140</v>
      </c>
      <c r="E1695" t="s">
        <v>5033</v>
      </c>
      <c r="F1695" t="s">
        <v>5741</v>
      </c>
      <c r="L1695" t="s">
        <v>414</v>
      </c>
      <c r="M1695" t="s">
        <v>414</v>
      </c>
    </row>
    <row r="1696" spans="1:13" ht="15">
      <c r="A1696" t="s">
        <v>4562</v>
      </c>
      <c r="B1696" s="81" t="s">
        <v>240</v>
      </c>
      <c r="C1696" t="s">
        <v>7671</v>
      </c>
      <c r="D1696" s="83" t="s">
        <v>4150</v>
      </c>
      <c r="E1696" t="s">
        <v>5043</v>
      </c>
      <c r="F1696" t="s">
        <v>31</v>
      </c>
    </row>
    <row r="1697" spans="1:13" ht="15">
      <c r="A1697" t="s">
        <v>4525</v>
      </c>
      <c r="B1697" s="81" t="s">
        <v>4524</v>
      </c>
      <c r="C1697" t="s">
        <v>6714</v>
      </c>
      <c r="D1697" s="83" t="s">
        <v>5865</v>
      </c>
      <c r="E1697" t="s">
        <v>7786</v>
      </c>
      <c r="F1697" t="s">
        <v>5748</v>
      </c>
      <c r="G1697" t="s">
        <v>414</v>
      </c>
      <c r="H1697" t="s">
        <v>414</v>
      </c>
      <c r="K1697" t="s">
        <v>414</v>
      </c>
      <c r="L1697" t="s">
        <v>414</v>
      </c>
    </row>
    <row r="1698" spans="1:13" ht="15">
      <c r="A1698" t="s">
        <v>4562</v>
      </c>
      <c r="B1698" s="81" t="s">
        <v>240</v>
      </c>
      <c r="C1698" t="s">
        <v>7671</v>
      </c>
      <c r="D1698" s="83" t="s">
        <v>5526</v>
      </c>
      <c r="E1698" t="s">
        <v>5249</v>
      </c>
      <c r="F1698" t="s">
        <v>5773</v>
      </c>
      <c r="H1698" t="s">
        <v>414</v>
      </c>
      <c r="M1698" t="s">
        <v>414</v>
      </c>
    </row>
    <row r="1699" spans="1:13" ht="15">
      <c r="A1699" t="s">
        <v>4562</v>
      </c>
      <c r="B1699" s="81" t="s">
        <v>240</v>
      </c>
      <c r="C1699" t="s">
        <v>5993</v>
      </c>
      <c r="D1699" s="83" t="s">
        <v>5589</v>
      </c>
      <c r="E1699" t="s">
        <v>5312</v>
      </c>
      <c r="F1699" t="s">
        <v>5748</v>
      </c>
      <c r="H1699" t="s">
        <v>414</v>
      </c>
      <c r="M1699" t="s">
        <v>414</v>
      </c>
    </row>
    <row r="1700" spans="1:13" ht="15">
      <c r="A1700" t="s">
        <v>3755</v>
      </c>
      <c r="B1700" t="s">
        <v>4533</v>
      </c>
      <c r="C1700" t="s">
        <v>6614</v>
      </c>
      <c r="D1700" s="83" t="s">
        <v>5865</v>
      </c>
      <c r="E1700" t="s">
        <v>7786</v>
      </c>
      <c r="F1700" t="s">
        <v>5748</v>
      </c>
      <c r="G1700" t="s">
        <v>414</v>
      </c>
      <c r="H1700" t="s">
        <v>414</v>
      </c>
      <c r="K1700" t="s">
        <v>414</v>
      </c>
      <c r="L1700" t="s">
        <v>414</v>
      </c>
    </row>
    <row r="1701" spans="1:13" ht="15">
      <c r="A1701" t="s">
        <v>4562</v>
      </c>
      <c r="B1701" s="81" t="s">
        <v>240</v>
      </c>
      <c r="C1701" t="s">
        <v>5993</v>
      </c>
      <c r="D1701" s="83" t="s">
        <v>5517</v>
      </c>
      <c r="E1701" t="s">
        <v>5240</v>
      </c>
      <c r="F1701" t="s">
        <v>5748</v>
      </c>
      <c r="M1701" t="s">
        <v>414</v>
      </c>
    </row>
    <row r="1702" spans="1:13" ht="15">
      <c r="A1702" t="s">
        <v>4562</v>
      </c>
      <c r="B1702" s="81" t="s">
        <v>240</v>
      </c>
      <c r="C1702" t="s">
        <v>5993</v>
      </c>
      <c r="D1702" s="83" t="s">
        <v>5480</v>
      </c>
      <c r="E1702" t="s">
        <v>5203</v>
      </c>
      <c r="F1702" t="s">
        <v>5748</v>
      </c>
      <c r="M1702" t="s">
        <v>414</v>
      </c>
    </row>
    <row r="1703" spans="1:13" ht="15">
      <c r="A1703" t="s">
        <v>4562</v>
      </c>
      <c r="B1703" s="81" t="s">
        <v>240</v>
      </c>
      <c r="C1703" t="s">
        <v>5993</v>
      </c>
      <c r="D1703" s="83" t="s">
        <v>5514</v>
      </c>
      <c r="E1703" t="s">
        <v>5237</v>
      </c>
      <c r="F1703" t="s">
        <v>5748</v>
      </c>
      <c r="H1703" t="s">
        <v>414</v>
      </c>
      <c r="M1703" t="s">
        <v>414</v>
      </c>
    </row>
    <row r="1704" spans="1:13" ht="15">
      <c r="A1704" t="s">
        <v>4562</v>
      </c>
      <c r="B1704" s="81" t="s">
        <v>240</v>
      </c>
      <c r="C1704" t="s">
        <v>5993</v>
      </c>
      <c r="D1704" s="83" t="s">
        <v>5507</v>
      </c>
      <c r="E1704" t="s">
        <v>5230</v>
      </c>
      <c r="F1704" t="s">
        <v>5748</v>
      </c>
      <c r="H1704" t="s">
        <v>414</v>
      </c>
      <c r="M1704" t="s">
        <v>414</v>
      </c>
    </row>
    <row r="1705" spans="1:13" ht="15">
      <c r="A1705" t="s">
        <v>4446</v>
      </c>
      <c r="B1705" t="s">
        <v>4445</v>
      </c>
      <c r="C1705" t="s">
        <v>6240</v>
      </c>
      <c r="D1705" s="83" t="s">
        <v>5865</v>
      </c>
      <c r="E1705" t="s">
        <v>7786</v>
      </c>
      <c r="F1705" t="s">
        <v>5748</v>
      </c>
      <c r="G1705" t="s">
        <v>414</v>
      </c>
      <c r="H1705" t="s">
        <v>414</v>
      </c>
      <c r="K1705" t="s">
        <v>414</v>
      </c>
      <c r="L1705" t="s">
        <v>414</v>
      </c>
    </row>
    <row r="1706" spans="1:13" ht="15">
      <c r="A1706" t="s">
        <v>3738</v>
      </c>
      <c r="B1706" s="74" t="s">
        <v>4300</v>
      </c>
      <c r="C1706" t="s">
        <v>6623</v>
      </c>
      <c r="D1706" s="83" t="s">
        <v>5865</v>
      </c>
      <c r="E1706" t="s">
        <v>7786</v>
      </c>
      <c r="F1706" t="s">
        <v>5748</v>
      </c>
      <c r="G1706" t="s">
        <v>414</v>
      </c>
      <c r="H1706" t="s">
        <v>414</v>
      </c>
      <c r="K1706" t="s">
        <v>414</v>
      </c>
      <c r="L1706" t="s">
        <v>414</v>
      </c>
    </row>
    <row r="1707" spans="1:13" ht="15">
      <c r="A1707" t="s">
        <v>4562</v>
      </c>
      <c r="B1707" s="81" t="s">
        <v>240</v>
      </c>
      <c r="C1707" t="s">
        <v>5993</v>
      </c>
      <c r="D1707" s="83" t="s">
        <v>5525</v>
      </c>
      <c r="E1707" t="s">
        <v>5248</v>
      </c>
      <c r="F1707" t="s">
        <v>5759</v>
      </c>
      <c r="M1707" t="s">
        <v>414</v>
      </c>
    </row>
    <row r="1708" spans="1:13" ht="15">
      <c r="A1708" t="s">
        <v>4562</v>
      </c>
      <c r="B1708" s="81" t="s">
        <v>240</v>
      </c>
      <c r="C1708" t="s">
        <v>5993</v>
      </c>
      <c r="D1708" s="83" t="s">
        <v>5529</v>
      </c>
      <c r="E1708" t="s">
        <v>5252</v>
      </c>
      <c r="F1708" t="s">
        <v>5748</v>
      </c>
      <c r="M1708" t="s">
        <v>414</v>
      </c>
    </row>
    <row r="1709" spans="1:13" ht="15">
      <c r="A1709" t="s">
        <v>4562</v>
      </c>
      <c r="B1709" s="81" t="s">
        <v>240</v>
      </c>
      <c r="C1709" t="s">
        <v>5993</v>
      </c>
      <c r="D1709" s="83" t="s">
        <v>5521</v>
      </c>
      <c r="E1709" t="s">
        <v>5244</v>
      </c>
      <c r="F1709" t="s">
        <v>5748</v>
      </c>
      <c r="H1709" t="s">
        <v>414</v>
      </c>
      <c r="I1709" t="s">
        <v>414</v>
      </c>
      <c r="L1709" t="s">
        <v>414</v>
      </c>
      <c r="M1709" t="s">
        <v>414</v>
      </c>
    </row>
    <row r="1710" spans="1:13" ht="15">
      <c r="A1710" t="s">
        <v>3741</v>
      </c>
      <c r="B1710" t="s">
        <v>4295</v>
      </c>
      <c r="C1710" t="s">
        <v>6879</v>
      </c>
      <c r="D1710" s="83" t="s">
        <v>5865</v>
      </c>
      <c r="E1710" t="s">
        <v>7786</v>
      </c>
      <c r="F1710" t="s">
        <v>5748</v>
      </c>
      <c r="G1710" t="s">
        <v>414</v>
      </c>
      <c r="H1710" t="s">
        <v>414</v>
      </c>
      <c r="K1710" t="s">
        <v>414</v>
      </c>
      <c r="L1710" t="s">
        <v>414</v>
      </c>
    </row>
    <row r="1711" spans="1:13" ht="15">
      <c r="A1711" t="s">
        <v>4562</v>
      </c>
      <c r="B1711" s="81" t="s">
        <v>240</v>
      </c>
      <c r="C1711" t="s">
        <v>5993</v>
      </c>
      <c r="D1711" s="83" t="s">
        <v>4169</v>
      </c>
      <c r="E1711" t="s">
        <v>5063</v>
      </c>
      <c r="F1711" t="s">
        <v>5748</v>
      </c>
    </row>
    <row r="1712" spans="1:13" ht="15">
      <c r="A1712" t="s">
        <v>4562</v>
      </c>
      <c r="B1712" s="81" t="s">
        <v>240</v>
      </c>
      <c r="C1712" t="s">
        <v>5993</v>
      </c>
      <c r="D1712" s="83" t="s">
        <v>5509</v>
      </c>
      <c r="E1712" t="s">
        <v>5232</v>
      </c>
      <c r="F1712" t="s">
        <v>5767</v>
      </c>
      <c r="M1712" t="s">
        <v>414</v>
      </c>
    </row>
    <row r="1713" spans="1:13" ht="15">
      <c r="A1713" t="s">
        <v>3745</v>
      </c>
      <c r="B1713" t="s">
        <v>4292</v>
      </c>
      <c r="C1713" t="s">
        <v>6909</v>
      </c>
      <c r="D1713" s="83" t="s">
        <v>5865</v>
      </c>
      <c r="E1713" t="s">
        <v>7786</v>
      </c>
      <c r="F1713" t="s">
        <v>5748</v>
      </c>
      <c r="G1713" t="s">
        <v>414</v>
      </c>
      <c r="H1713" t="s">
        <v>414</v>
      </c>
      <c r="K1713" t="s">
        <v>414</v>
      </c>
      <c r="L1713" t="s">
        <v>414</v>
      </c>
    </row>
    <row r="1714" spans="1:13" ht="15">
      <c r="A1714" t="s">
        <v>4562</v>
      </c>
      <c r="B1714" s="81" t="s">
        <v>240</v>
      </c>
      <c r="C1714" t="s">
        <v>7660</v>
      </c>
      <c r="D1714" s="83" t="s">
        <v>5562</v>
      </c>
      <c r="E1714" t="s">
        <v>5285</v>
      </c>
      <c r="F1714" t="s">
        <v>5750</v>
      </c>
      <c r="H1714" t="s">
        <v>414</v>
      </c>
      <c r="M1714" t="s">
        <v>414</v>
      </c>
    </row>
    <row r="1715" spans="1:13" ht="15">
      <c r="A1715" t="s">
        <v>3738</v>
      </c>
      <c r="B1715" s="74" t="s">
        <v>4300</v>
      </c>
      <c r="C1715" t="s">
        <v>7099</v>
      </c>
      <c r="D1715" s="83" t="s">
        <v>4166</v>
      </c>
      <c r="E1715" t="s">
        <v>5060</v>
      </c>
      <c r="F1715" t="s">
        <v>5816</v>
      </c>
      <c r="M1715" t="s">
        <v>414</v>
      </c>
    </row>
    <row r="1716" spans="1:13" ht="15">
      <c r="A1716" t="s">
        <v>4562</v>
      </c>
      <c r="B1716" s="81" t="s">
        <v>240</v>
      </c>
      <c r="C1716" t="s">
        <v>6796</v>
      </c>
      <c r="D1716" s="83" t="s">
        <v>5585</v>
      </c>
      <c r="E1716" t="s">
        <v>5308</v>
      </c>
      <c r="F1716" t="s">
        <v>1309</v>
      </c>
    </row>
    <row r="1717" spans="1:13" ht="15">
      <c r="A1717" t="s">
        <v>3139</v>
      </c>
      <c r="B1717" t="s">
        <v>4285</v>
      </c>
      <c r="C1717" t="s">
        <v>6085</v>
      </c>
      <c r="D1717" s="83" t="s">
        <v>5868</v>
      </c>
      <c r="E1717" t="s">
        <v>7789</v>
      </c>
      <c r="F1717" t="s">
        <v>5748</v>
      </c>
      <c r="L1717" t="s">
        <v>414</v>
      </c>
    </row>
    <row r="1718" spans="1:13" ht="15">
      <c r="C1718" t="s">
        <v>7538</v>
      </c>
      <c r="D1718" s="83" t="s">
        <v>5558</v>
      </c>
      <c r="E1718" t="s">
        <v>5281</v>
      </c>
      <c r="F1718" t="s">
        <v>5748</v>
      </c>
      <c r="H1718" t="s">
        <v>414</v>
      </c>
      <c r="M1718" t="s">
        <v>414</v>
      </c>
    </row>
    <row r="1719" spans="1:13" ht="15">
      <c r="C1719" t="s">
        <v>7402</v>
      </c>
      <c r="D1719" s="83" t="s">
        <v>5536</v>
      </c>
      <c r="E1719" t="s">
        <v>5259</v>
      </c>
      <c r="F1719" t="s">
        <v>5780</v>
      </c>
      <c r="M1719" t="s">
        <v>414</v>
      </c>
    </row>
    <row r="1720" spans="1:13" ht="15">
      <c r="A1720" t="s">
        <v>4525</v>
      </c>
      <c r="B1720" s="81" t="s">
        <v>4524</v>
      </c>
      <c r="C1720" t="s">
        <v>6046</v>
      </c>
      <c r="D1720" s="83" t="s">
        <v>5868</v>
      </c>
      <c r="E1720" t="s">
        <v>7789</v>
      </c>
      <c r="F1720" t="s">
        <v>5748</v>
      </c>
      <c r="L1720" t="s">
        <v>414</v>
      </c>
    </row>
    <row r="1721" spans="1:13" ht="15">
      <c r="C1721" t="s">
        <v>7494</v>
      </c>
      <c r="D1721" s="83" t="s">
        <v>5557</v>
      </c>
      <c r="E1721" t="s">
        <v>5280</v>
      </c>
      <c r="F1721" t="s">
        <v>5755</v>
      </c>
      <c r="M1721" t="s">
        <v>414</v>
      </c>
    </row>
    <row r="1722" spans="1:13" ht="15">
      <c r="C1722" t="s">
        <v>6124</v>
      </c>
      <c r="D1722" s="83" t="s">
        <v>5453</v>
      </c>
      <c r="E1722" t="s">
        <v>5176</v>
      </c>
      <c r="F1722" t="s">
        <v>5729</v>
      </c>
      <c r="H1722" t="s">
        <v>414</v>
      </c>
      <c r="K1722" t="s">
        <v>414</v>
      </c>
      <c r="L1722" t="s">
        <v>414</v>
      </c>
    </row>
    <row r="1723" spans="1:13" ht="15">
      <c r="A1723" t="s">
        <v>4443</v>
      </c>
      <c r="B1723" t="s">
        <v>4287</v>
      </c>
      <c r="C1723" t="s">
        <v>6583</v>
      </c>
      <c r="D1723" s="83" t="s">
        <v>5868</v>
      </c>
      <c r="E1723" t="s">
        <v>7789</v>
      </c>
      <c r="F1723" t="s">
        <v>5748</v>
      </c>
      <c r="L1723" t="s">
        <v>414</v>
      </c>
    </row>
    <row r="1724" spans="1:13" ht="15">
      <c r="A1724" t="s">
        <v>3738</v>
      </c>
      <c r="B1724" s="74" t="s">
        <v>4300</v>
      </c>
      <c r="C1724" t="s">
        <v>6623</v>
      </c>
      <c r="D1724" s="83" t="s">
        <v>5868</v>
      </c>
      <c r="E1724" t="s">
        <v>7789</v>
      </c>
      <c r="F1724" t="s">
        <v>5748</v>
      </c>
      <c r="L1724" t="s">
        <v>414</v>
      </c>
    </row>
    <row r="1725" spans="1:13" ht="15">
      <c r="C1725" t="s">
        <v>6890</v>
      </c>
      <c r="D1725" s="83" t="s">
        <v>5858</v>
      </c>
      <c r="E1725" t="s">
        <v>7777</v>
      </c>
      <c r="F1725" t="s">
        <v>5755</v>
      </c>
      <c r="H1725" t="s">
        <v>414</v>
      </c>
      <c r="K1725" t="s">
        <v>414</v>
      </c>
      <c r="L1725" t="s">
        <v>414</v>
      </c>
    </row>
    <row r="1726" spans="1:13" ht="15">
      <c r="C1726" t="s">
        <v>6890</v>
      </c>
      <c r="D1726" s="83" t="s">
        <v>5865</v>
      </c>
      <c r="E1726" t="s">
        <v>7786</v>
      </c>
      <c r="F1726" t="s">
        <v>5748</v>
      </c>
      <c r="G1726" t="s">
        <v>414</v>
      </c>
      <c r="H1726" t="s">
        <v>414</v>
      </c>
      <c r="K1726" t="s">
        <v>414</v>
      </c>
      <c r="L1726" t="s">
        <v>414</v>
      </c>
    </row>
    <row r="1727" spans="1:13" ht="15">
      <c r="C1727" t="s">
        <v>6907</v>
      </c>
      <c r="D1727" s="83" t="s">
        <v>5654</v>
      </c>
      <c r="E1727" t="s">
        <v>5377</v>
      </c>
      <c r="F1727" t="s">
        <v>5748</v>
      </c>
      <c r="H1727" t="s">
        <v>414</v>
      </c>
      <c r="K1727" t="s">
        <v>414</v>
      </c>
      <c r="L1727" t="s">
        <v>414</v>
      </c>
    </row>
    <row r="1728" spans="1:13" ht="15">
      <c r="C1728" t="s">
        <v>6890</v>
      </c>
      <c r="D1728" s="83" t="s">
        <v>5857</v>
      </c>
      <c r="E1728" t="s">
        <v>7776</v>
      </c>
      <c r="F1728" t="s">
        <v>5755</v>
      </c>
      <c r="L1728" t="s">
        <v>414</v>
      </c>
    </row>
    <row r="1729" spans="1:13" ht="15">
      <c r="C1729" t="s">
        <v>7488</v>
      </c>
      <c r="D1729" s="83" t="s">
        <v>5526</v>
      </c>
      <c r="E1729" t="s">
        <v>5249</v>
      </c>
      <c r="F1729" t="s">
        <v>5773</v>
      </c>
      <c r="H1729" t="s">
        <v>414</v>
      </c>
      <c r="M1729" t="s">
        <v>414</v>
      </c>
    </row>
    <row r="1730" spans="1:13" ht="15">
      <c r="C1730" t="s">
        <v>6788</v>
      </c>
      <c r="D1730" s="83" t="s">
        <v>5493</v>
      </c>
      <c r="E1730" t="s">
        <v>5216</v>
      </c>
      <c r="F1730" t="s">
        <v>5755</v>
      </c>
      <c r="H1730" t="s">
        <v>414</v>
      </c>
      <c r="M1730" t="s">
        <v>414</v>
      </c>
    </row>
    <row r="1731" spans="1:13" ht="15">
      <c r="C1731" t="s">
        <v>7454</v>
      </c>
      <c r="D1731" s="83" t="s">
        <v>5562</v>
      </c>
      <c r="E1731" t="s">
        <v>5285</v>
      </c>
      <c r="F1731" t="s">
        <v>5750</v>
      </c>
      <c r="H1731" t="s">
        <v>414</v>
      </c>
      <c r="M1731" t="s">
        <v>414</v>
      </c>
    </row>
    <row r="1732" spans="1:13" ht="15">
      <c r="C1732" t="s">
        <v>7507</v>
      </c>
      <c r="D1732" s="83" t="s">
        <v>5557</v>
      </c>
      <c r="E1732" t="s">
        <v>5280</v>
      </c>
      <c r="F1732" t="s">
        <v>5755</v>
      </c>
      <c r="M1732" t="s">
        <v>414</v>
      </c>
    </row>
    <row r="1733" spans="1:13" ht="15">
      <c r="C1733" t="s">
        <v>7521</v>
      </c>
      <c r="D1733" s="83" t="s">
        <v>5549</v>
      </c>
      <c r="E1733" t="s">
        <v>5272</v>
      </c>
      <c r="F1733" t="s">
        <v>5750</v>
      </c>
      <c r="H1733" t="s">
        <v>414</v>
      </c>
      <c r="L1733" t="s">
        <v>414</v>
      </c>
      <c r="M1733" t="s">
        <v>414</v>
      </c>
    </row>
    <row r="1734" spans="1:13" ht="15">
      <c r="C1734" t="s">
        <v>6736</v>
      </c>
      <c r="D1734" s="83" t="s">
        <v>4136</v>
      </c>
      <c r="E1734" t="s">
        <v>5030</v>
      </c>
      <c r="F1734" t="s">
        <v>5725</v>
      </c>
      <c r="K1734" t="s">
        <v>414</v>
      </c>
      <c r="L1734" t="s">
        <v>414</v>
      </c>
      <c r="M1734" t="s">
        <v>414</v>
      </c>
    </row>
    <row r="1735" spans="1:13" ht="15">
      <c r="C1735" t="s">
        <v>7651</v>
      </c>
      <c r="D1735" s="83" t="s">
        <v>5552</v>
      </c>
      <c r="E1735" t="s">
        <v>5275</v>
      </c>
      <c r="F1735" t="s">
        <v>5750</v>
      </c>
      <c r="H1735" t="s">
        <v>414</v>
      </c>
      <c r="M1735" t="s">
        <v>414</v>
      </c>
    </row>
    <row r="1736" spans="1:13" ht="15">
      <c r="A1736" t="s">
        <v>3139</v>
      </c>
      <c r="B1736" t="s">
        <v>4285</v>
      </c>
      <c r="C1736" t="s">
        <v>7427</v>
      </c>
      <c r="D1736" s="83" t="s">
        <v>5526</v>
      </c>
      <c r="E1736" t="s">
        <v>5249</v>
      </c>
      <c r="F1736" t="s">
        <v>5773</v>
      </c>
      <c r="H1736" t="s">
        <v>414</v>
      </c>
      <c r="M1736" t="s">
        <v>414</v>
      </c>
    </row>
    <row r="1737" spans="1:13" ht="15">
      <c r="C1737" t="s">
        <v>7679</v>
      </c>
      <c r="D1737" s="83" t="s">
        <v>5552</v>
      </c>
      <c r="E1737" t="s">
        <v>5275</v>
      </c>
      <c r="F1737" t="s">
        <v>5750</v>
      </c>
      <c r="H1737" t="s">
        <v>414</v>
      </c>
      <c r="M1737" t="s">
        <v>414</v>
      </c>
    </row>
    <row r="1738" spans="1:13" ht="15">
      <c r="C1738" t="s">
        <v>6693</v>
      </c>
      <c r="D1738" s="83" t="s">
        <v>5868</v>
      </c>
      <c r="E1738" t="s">
        <v>7789</v>
      </c>
      <c r="F1738" t="s">
        <v>5748</v>
      </c>
      <c r="L1738" t="s">
        <v>414</v>
      </c>
    </row>
    <row r="1739" spans="1:13" ht="15">
      <c r="C1739" t="s">
        <v>7544</v>
      </c>
      <c r="D1739" s="83" t="s">
        <v>4137</v>
      </c>
      <c r="E1739" t="s">
        <v>5031</v>
      </c>
      <c r="F1739" t="s">
        <v>60</v>
      </c>
    </row>
    <row r="1740" spans="1:13" ht="15">
      <c r="C1740" t="s">
        <v>6836</v>
      </c>
      <c r="D1740" s="83" t="s">
        <v>5585</v>
      </c>
      <c r="E1740" t="s">
        <v>5308</v>
      </c>
      <c r="F1740" t="s">
        <v>1309</v>
      </c>
    </row>
    <row r="1741" spans="1:13" ht="15">
      <c r="C1741" t="s">
        <v>7389</v>
      </c>
      <c r="D1741" s="83" t="s">
        <v>4155</v>
      </c>
      <c r="E1741" t="s">
        <v>5048</v>
      </c>
      <c r="F1741" t="s">
        <v>5829</v>
      </c>
      <c r="H1741" t="s">
        <v>414</v>
      </c>
      <c r="M1741" t="s">
        <v>414</v>
      </c>
    </row>
    <row r="1742" spans="1:13" ht="15">
      <c r="C1742" t="s">
        <v>7283</v>
      </c>
      <c r="D1742" s="83" t="s">
        <v>5638</v>
      </c>
      <c r="E1742" t="s">
        <v>5361</v>
      </c>
      <c r="F1742" t="s">
        <v>5823</v>
      </c>
    </row>
    <row r="1743" spans="1:13" ht="15">
      <c r="C1743" t="s">
        <v>6812</v>
      </c>
      <c r="D1743" s="83" t="s">
        <v>5585</v>
      </c>
      <c r="E1743" t="s">
        <v>5308</v>
      </c>
      <c r="F1743" t="s">
        <v>1309</v>
      </c>
    </row>
    <row r="1744" spans="1:13" ht="15">
      <c r="C1744" t="s">
        <v>7755</v>
      </c>
      <c r="D1744" s="83" t="s">
        <v>5549</v>
      </c>
      <c r="E1744" t="s">
        <v>5272</v>
      </c>
      <c r="F1744" t="s">
        <v>5750</v>
      </c>
      <c r="H1744" t="s">
        <v>414</v>
      </c>
      <c r="L1744" t="s">
        <v>414</v>
      </c>
      <c r="M1744" t="s">
        <v>414</v>
      </c>
    </row>
    <row r="1745" spans="1:13" ht="15">
      <c r="A1745" t="s">
        <v>4450</v>
      </c>
      <c r="B1745" t="s">
        <v>3356</v>
      </c>
      <c r="C1745" t="s">
        <v>7575</v>
      </c>
      <c r="D1745" s="83" t="s">
        <v>5526</v>
      </c>
      <c r="E1745" t="s">
        <v>5249</v>
      </c>
      <c r="F1745" t="s">
        <v>5773</v>
      </c>
      <c r="H1745" t="s">
        <v>414</v>
      </c>
      <c r="M1745" t="s">
        <v>414</v>
      </c>
    </row>
    <row r="1746" spans="1:13" ht="15">
      <c r="A1746" t="s">
        <v>8203</v>
      </c>
      <c r="B1746" t="s">
        <v>2523</v>
      </c>
      <c r="C1746" t="s">
        <v>7608</v>
      </c>
      <c r="D1746" s="83" t="s">
        <v>5557</v>
      </c>
      <c r="E1746" t="s">
        <v>5280</v>
      </c>
      <c r="F1746" t="s">
        <v>5755</v>
      </c>
      <c r="M1746" t="s">
        <v>414</v>
      </c>
    </row>
    <row r="1747" spans="1:13" ht="15">
      <c r="C1747" t="s">
        <v>1218</v>
      </c>
      <c r="D1747" t="s">
        <v>1219</v>
      </c>
      <c r="E1747" t="s">
        <v>1220</v>
      </c>
      <c r="G1747" t="e" cm="1">
        <f t="array" ref="G1747">_xlfn.XLOOKUP(E1747,HCP_evidence!H:H,IF(HCP_evidence!M:M="Yes","Yes",""))</f>
        <v>#N/A</v>
      </c>
      <c r="H1747" t="s">
        <v>414</v>
      </c>
      <c r="I1747" t="s">
        <v>414</v>
      </c>
      <c r="J1747" t="e">
        <f>IF(OR(K1747="Yes",L1747="Yes"),"Yes","")</f>
        <v>#REF!</v>
      </c>
      <c r="K1747" t="e" cm="1">
        <f t="array" ref="K1747">_xlfn.XLOOKUP(E1747,HCP_evidence!H:H,IF(HCP_evidence!#REF!="Yes","Yes",""))</f>
        <v>#REF!</v>
      </c>
      <c r="L1747" t="e" cm="1">
        <f t="array" ref="L1747">_xlfn.XLOOKUP(E1747,HCP_evidence!H:H,IF(HCP_evidence!#REF!="Yes","Yes",""))</f>
        <v>#REF!</v>
      </c>
      <c r="M1747" t="s">
        <v>414</v>
      </c>
    </row>
    <row r="1748" spans="1:13" ht="15">
      <c r="A1748" t="s">
        <v>4453</v>
      </c>
      <c r="B1748" s="81" t="s">
        <v>3175</v>
      </c>
      <c r="C1748" t="s">
        <v>6202</v>
      </c>
      <c r="D1748" s="83" t="s">
        <v>5526</v>
      </c>
      <c r="E1748" t="s">
        <v>5249</v>
      </c>
      <c r="F1748" t="s">
        <v>5773</v>
      </c>
      <c r="H1748" t="s">
        <v>414</v>
      </c>
      <c r="M1748" t="s">
        <v>414</v>
      </c>
    </row>
    <row r="1749" spans="1:13" ht="15">
      <c r="A1749" t="s">
        <v>4525</v>
      </c>
      <c r="B1749" s="81" t="s">
        <v>4524</v>
      </c>
      <c r="C1749" t="s">
        <v>6046</v>
      </c>
      <c r="D1749" s="83" t="s">
        <v>5526</v>
      </c>
      <c r="E1749" t="s">
        <v>5249</v>
      </c>
      <c r="F1749" t="s">
        <v>5773</v>
      </c>
      <c r="H1749" t="s">
        <v>414</v>
      </c>
      <c r="M1749" t="s">
        <v>414</v>
      </c>
    </row>
    <row r="1750" spans="1:13" ht="15">
      <c r="C1750" t="s">
        <v>7098</v>
      </c>
      <c r="D1750" s="83" t="s">
        <v>5629</v>
      </c>
      <c r="E1750" t="s">
        <v>5352</v>
      </c>
      <c r="F1750" t="s">
        <v>5812</v>
      </c>
      <c r="I1750" t="s">
        <v>414</v>
      </c>
    </row>
    <row r="1751" spans="1:13" ht="15">
      <c r="C1751" t="s">
        <v>7634</v>
      </c>
      <c r="D1751" s="83" t="s">
        <v>4150</v>
      </c>
      <c r="E1751" t="s">
        <v>5043</v>
      </c>
      <c r="F1751" t="s">
        <v>31</v>
      </c>
    </row>
    <row r="1752" spans="1:13" ht="15">
      <c r="C1752" t="s">
        <v>6286</v>
      </c>
      <c r="D1752" s="83" t="s">
        <v>5858</v>
      </c>
      <c r="E1752" t="s">
        <v>7777</v>
      </c>
      <c r="F1752" t="s">
        <v>5755</v>
      </c>
      <c r="H1752" t="s">
        <v>414</v>
      </c>
      <c r="K1752" t="s">
        <v>414</v>
      </c>
      <c r="L1752" t="s">
        <v>414</v>
      </c>
    </row>
    <row r="1753" spans="1:13" ht="15">
      <c r="C1753" t="s">
        <v>6286</v>
      </c>
      <c r="D1753" s="83" t="s">
        <v>4164</v>
      </c>
      <c r="E1753" t="s">
        <v>5058</v>
      </c>
      <c r="F1753" t="s">
        <v>5834</v>
      </c>
    </row>
    <row r="1754" spans="1:13" ht="15">
      <c r="C1754" t="s">
        <v>6540</v>
      </c>
      <c r="D1754" s="83" t="s">
        <v>5494</v>
      </c>
      <c r="E1754" t="s">
        <v>5217</v>
      </c>
      <c r="F1754" t="s">
        <v>5756</v>
      </c>
      <c r="L1754" t="s">
        <v>414</v>
      </c>
      <c r="M1754" t="s">
        <v>414</v>
      </c>
    </row>
    <row r="1755" spans="1:13" ht="15">
      <c r="C1755" t="s">
        <v>6540</v>
      </c>
      <c r="D1755" s="83" t="s">
        <v>5585</v>
      </c>
      <c r="E1755" t="s">
        <v>5308</v>
      </c>
      <c r="F1755" t="s">
        <v>1309</v>
      </c>
    </row>
    <row r="1756" spans="1:13" ht="15">
      <c r="C1756" t="s">
        <v>7311</v>
      </c>
      <c r="D1756" s="83" t="s">
        <v>5556</v>
      </c>
      <c r="E1756" t="s">
        <v>5279</v>
      </c>
      <c r="F1756" t="s">
        <v>1216</v>
      </c>
    </row>
    <row r="1757" spans="1:13" ht="15">
      <c r="C1757" t="s">
        <v>1186</v>
      </c>
      <c r="D1757" t="str">
        <f>_xlfn.XLOOKUP(E1757,HCP_evidence!H:H,HCP_evidence!I:I)</f>
        <v>https://www.sante.fr/essais-cliniques/2025-522093-36-00/c3651021-etude-de-phase-2b-3-randomisee-en-double-aveugle-visant-a-evaluer-l-efficacite-la-securite-et-la-tolerabilite-du-ponsegromab-pf-06946860-par-rapport-a-un-placebo-les-deux-associes-a-une-chimiotherapie-de-premiere-ligne-chez-des-participants-adultes-atteints-de-cachexie-et-d-adenocarcinome-ductal-pancreatique-metastatique</v>
      </c>
      <c r="E1757" t="s">
        <v>1183</v>
      </c>
      <c r="G1757" t="str" cm="1">
        <f t="array" ref="G1757">_xlfn.XLOOKUP(E1757,HCP_evidence!H:H,IF(HCP_evidence!M:M="Yes","Yes",""))</f>
        <v/>
      </c>
      <c r="H1757" t="str" cm="1">
        <f t="array" ref="H1757">_xlfn.XLOOKUP(E1757,HCP_evidence!H:H,IF(HCP_evidence!K:K="Yes","Yes",""))</f>
        <v>Yes</v>
      </c>
      <c r="I1757" t="str" cm="1">
        <f t="array" ref="I1757">_xlfn.XLOOKUP(E1757,HCP_evidence!H:H,IF(HCP_evidence!J:J="Yes","Yes",""))</f>
        <v/>
      </c>
      <c r="J1757" t="e">
        <f>IF(OR(K1757="Yes",L1757="Yes"),"Yes","")</f>
        <v>#REF!</v>
      </c>
      <c r="K1757" t="e" cm="1">
        <f t="array" ref="K1757">_xlfn.XLOOKUP(E1757,HCP_evidence!H:H,IF(HCP_evidence!#REF!="Yes","Yes",""))</f>
        <v>#REF!</v>
      </c>
      <c r="L1757" t="e" cm="1">
        <f t="array" ref="L1757">_xlfn.XLOOKUP(E1757,HCP_evidence!H:H,IF(HCP_evidence!#REF!="Yes","Yes",""))</f>
        <v>#REF!</v>
      </c>
      <c r="M1757" t="str" cm="1">
        <f t="array" ref="M1757">_xlfn.XLOOKUP(E1757,HCP_evidence!H:H,IF(HCP_evidence!N:N="Yes","Yes",""))</f>
        <v/>
      </c>
    </row>
    <row r="1758" spans="1:13" ht="15">
      <c r="C1758" t="s">
        <v>6316</v>
      </c>
      <c r="D1758" s="83" t="s">
        <v>5634</v>
      </c>
      <c r="E1758" t="s">
        <v>5357</v>
      </c>
      <c r="F1758" t="s">
        <v>5811</v>
      </c>
      <c r="H1758" t="s">
        <v>414</v>
      </c>
      <c r="L1758" t="s">
        <v>414</v>
      </c>
      <c r="M1758" t="s">
        <v>414</v>
      </c>
    </row>
    <row r="1759" spans="1:13" ht="15">
      <c r="C1759" t="s">
        <v>7180</v>
      </c>
      <c r="D1759" s="83" t="s">
        <v>5630</v>
      </c>
      <c r="E1759" t="s">
        <v>5353</v>
      </c>
      <c r="F1759" t="s">
        <v>5817</v>
      </c>
      <c r="M1759" t="s">
        <v>414</v>
      </c>
    </row>
    <row r="1760" spans="1:13" ht="15">
      <c r="C1760" t="s">
        <v>6266</v>
      </c>
      <c r="D1760" s="83" t="s">
        <v>5669</v>
      </c>
      <c r="E1760" t="s">
        <v>5392</v>
      </c>
      <c r="F1760" t="s">
        <v>5793</v>
      </c>
      <c r="G1760" t="s">
        <v>414</v>
      </c>
      <c r="K1760" t="s">
        <v>414</v>
      </c>
    </row>
    <row r="1761" spans="1:13" ht="15">
      <c r="A1761" t="s">
        <v>4503</v>
      </c>
      <c r="B1761" s="81" t="s">
        <v>3207</v>
      </c>
      <c r="C1761" t="s">
        <v>6572</v>
      </c>
      <c r="D1761" s="83" t="s">
        <v>5603</v>
      </c>
      <c r="E1761" t="s">
        <v>5326</v>
      </c>
      <c r="F1761" t="s">
        <v>5778</v>
      </c>
      <c r="L1761" t="s">
        <v>414</v>
      </c>
    </row>
    <row r="1762" spans="1:13" ht="15">
      <c r="A1762" t="s">
        <v>3735</v>
      </c>
      <c r="B1762" s="74" t="s">
        <v>4288</v>
      </c>
      <c r="C1762" t="s">
        <v>7706</v>
      </c>
      <c r="D1762" s="83" t="s">
        <v>5526</v>
      </c>
      <c r="E1762" t="s">
        <v>5249</v>
      </c>
      <c r="F1762" t="s">
        <v>5773</v>
      </c>
      <c r="H1762" t="s">
        <v>414</v>
      </c>
      <c r="M1762" t="s">
        <v>414</v>
      </c>
    </row>
    <row r="1763" spans="1:13" ht="15">
      <c r="C1763" t="s">
        <v>6688</v>
      </c>
      <c r="D1763" s="83" t="s">
        <v>5634</v>
      </c>
      <c r="E1763" t="s">
        <v>5357</v>
      </c>
      <c r="F1763" t="s">
        <v>5811</v>
      </c>
      <c r="H1763" t="s">
        <v>414</v>
      </c>
      <c r="L1763" t="s">
        <v>414</v>
      </c>
      <c r="M1763" t="s">
        <v>414</v>
      </c>
    </row>
    <row r="1764" spans="1:13" ht="15">
      <c r="A1764" t="s">
        <v>3740</v>
      </c>
      <c r="B1764" t="s">
        <v>3444</v>
      </c>
      <c r="C1764" t="s">
        <v>7718</v>
      </c>
      <c r="D1764" s="83" t="s">
        <v>5526</v>
      </c>
      <c r="E1764" t="s">
        <v>5249</v>
      </c>
      <c r="F1764" t="s">
        <v>5773</v>
      </c>
      <c r="H1764" t="s">
        <v>414</v>
      </c>
      <c r="M1764" t="s">
        <v>414</v>
      </c>
    </row>
    <row r="1765" spans="1:13" ht="15">
      <c r="A1765" t="s">
        <v>4554</v>
      </c>
      <c r="B1765" t="s">
        <v>4280</v>
      </c>
      <c r="C1765" t="s">
        <v>6134</v>
      </c>
      <c r="D1765" s="83" t="s">
        <v>5578</v>
      </c>
      <c r="E1765" t="s">
        <v>5301</v>
      </c>
      <c r="F1765" t="s">
        <v>5796</v>
      </c>
      <c r="K1765" t="s">
        <v>414</v>
      </c>
    </row>
    <row r="1766" spans="1:13" ht="15">
      <c r="C1766" t="s">
        <v>7723</v>
      </c>
      <c r="D1766" s="83" t="s">
        <v>5526</v>
      </c>
      <c r="E1766" t="s">
        <v>5249</v>
      </c>
      <c r="F1766" t="s">
        <v>5773</v>
      </c>
      <c r="H1766" t="s">
        <v>414</v>
      </c>
      <c r="M1766" t="s">
        <v>414</v>
      </c>
    </row>
    <row r="1767" spans="1:13" ht="15">
      <c r="C1767" t="s">
        <v>6730</v>
      </c>
      <c r="D1767" s="83" t="s">
        <v>5540</v>
      </c>
      <c r="E1767" t="s">
        <v>5263</v>
      </c>
      <c r="F1767" t="s">
        <v>5730</v>
      </c>
      <c r="H1767" t="s">
        <v>414</v>
      </c>
    </row>
    <row r="1768" spans="1:13" ht="15">
      <c r="A1768" t="s">
        <v>3139</v>
      </c>
      <c r="B1768" t="s">
        <v>4285</v>
      </c>
      <c r="C1768" t="s">
        <v>6005</v>
      </c>
      <c r="D1768" s="83" t="s">
        <v>4217</v>
      </c>
      <c r="E1768" t="s">
        <v>5111</v>
      </c>
      <c r="F1768" t="s">
        <v>5725</v>
      </c>
      <c r="L1768" t="s">
        <v>414</v>
      </c>
    </row>
    <row r="1769" spans="1:13" ht="15">
      <c r="A1769" t="s">
        <v>4525</v>
      </c>
      <c r="B1769" s="81" t="s">
        <v>4524</v>
      </c>
      <c r="C1769" t="s">
        <v>6001</v>
      </c>
      <c r="D1769" s="83" t="s">
        <v>5667</v>
      </c>
      <c r="E1769" t="s">
        <v>5390</v>
      </c>
      <c r="F1769" t="s">
        <v>5743</v>
      </c>
      <c r="G1769" t="s">
        <v>414</v>
      </c>
      <c r="K1769" t="s">
        <v>414</v>
      </c>
    </row>
    <row r="1770" spans="1:13" ht="15">
      <c r="A1770" t="s">
        <v>3755</v>
      </c>
      <c r="B1770" t="s">
        <v>4533</v>
      </c>
      <c r="C1770" t="s">
        <v>6146</v>
      </c>
      <c r="D1770" s="83" t="s">
        <v>5667</v>
      </c>
      <c r="E1770" t="s">
        <v>5390</v>
      </c>
      <c r="F1770" t="s">
        <v>5743</v>
      </c>
      <c r="G1770" t="s">
        <v>414</v>
      </c>
      <c r="K1770" t="s">
        <v>414</v>
      </c>
    </row>
    <row r="1771" spans="1:13" ht="15">
      <c r="A1771" t="s">
        <v>3746</v>
      </c>
      <c r="B1771" s="12" t="s">
        <v>4482</v>
      </c>
      <c r="C1771" t="s">
        <v>6263</v>
      </c>
      <c r="D1771" s="83" t="s">
        <v>5667</v>
      </c>
      <c r="E1771" t="s">
        <v>5390</v>
      </c>
      <c r="F1771" t="s">
        <v>5743</v>
      </c>
      <c r="G1771" t="s">
        <v>414</v>
      </c>
      <c r="K1771" t="s">
        <v>414</v>
      </c>
    </row>
    <row r="1772" spans="1:13" ht="15">
      <c r="A1772" t="s">
        <v>3739</v>
      </c>
      <c r="B1772" s="12" t="s">
        <v>33</v>
      </c>
      <c r="C1772" t="s">
        <v>6034</v>
      </c>
      <c r="D1772" s="83" t="s">
        <v>5667</v>
      </c>
      <c r="E1772" t="s">
        <v>5390</v>
      </c>
      <c r="F1772" t="s">
        <v>5743</v>
      </c>
      <c r="G1772" t="s">
        <v>414</v>
      </c>
      <c r="K1772" t="s">
        <v>414</v>
      </c>
    </row>
    <row r="1773" spans="1:13" ht="15">
      <c r="A1773" t="s">
        <v>4508</v>
      </c>
      <c r="B1773" t="s">
        <v>4507</v>
      </c>
      <c r="C1773" t="s">
        <v>7078</v>
      </c>
      <c r="D1773" s="83" t="s">
        <v>5579</v>
      </c>
      <c r="E1773" t="s">
        <v>5302</v>
      </c>
      <c r="F1773" t="s">
        <v>5751</v>
      </c>
      <c r="G1773" t="s">
        <v>414</v>
      </c>
    </row>
    <row r="1774" spans="1:13" ht="15">
      <c r="C1774" t="s">
        <v>6730</v>
      </c>
      <c r="D1774" s="83" t="s">
        <v>5585</v>
      </c>
      <c r="E1774" t="s">
        <v>5308</v>
      </c>
      <c r="F1774" t="s">
        <v>1309</v>
      </c>
    </row>
    <row r="1775" spans="1:13" ht="15">
      <c r="C1775" t="s">
        <v>6797</v>
      </c>
      <c r="D1775" s="83" t="s">
        <v>5854</v>
      </c>
      <c r="E1775" t="s">
        <v>7772</v>
      </c>
      <c r="F1775" t="s">
        <v>7773</v>
      </c>
      <c r="L1775" t="s">
        <v>414</v>
      </c>
    </row>
    <row r="1776" spans="1:13" ht="15">
      <c r="C1776" t="s">
        <v>6466</v>
      </c>
      <c r="D1776" s="83" t="s">
        <v>5856</v>
      </c>
      <c r="E1776" t="s">
        <v>7775</v>
      </c>
      <c r="F1776" t="s">
        <v>5748</v>
      </c>
      <c r="L1776" t="s">
        <v>414</v>
      </c>
    </row>
    <row r="1777" spans="1:13" ht="15">
      <c r="C1777" t="s">
        <v>6561</v>
      </c>
      <c r="D1777" s="83" t="s">
        <v>5675</v>
      </c>
      <c r="E1777" t="s">
        <v>5398</v>
      </c>
      <c r="F1777" t="s">
        <v>5793</v>
      </c>
      <c r="G1777" t="s">
        <v>414</v>
      </c>
      <c r="K1777" t="s">
        <v>414</v>
      </c>
    </row>
    <row r="1778" spans="1:13" ht="15">
      <c r="C1778" t="s">
        <v>7740</v>
      </c>
      <c r="D1778" s="83" t="s">
        <v>4150</v>
      </c>
      <c r="E1778" t="s">
        <v>5043</v>
      </c>
      <c r="F1778" t="s">
        <v>31</v>
      </c>
    </row>
    <row r="1779" spans="1:13" ht="15">
      <c r="C1779" t="s">
        <v>7419</v>
      </c>
      <c r="D1779" s="83" t="s">
        <v>5691</v>
      </c>
      <c r="E1779" t="s">
        <v>5414</v>
      </c>
      <c r="F1779" t="s">
        <v>5835</v>
      </c>
      <c r="H1779" t="s">
        <v>414</v>
      </c>
      <c r="I1779" t="s">
        <v>414</v>
      </c>
    </row>
    <row r="1780" spans="1:13" ht="15">
      <c r="A1780" t="s">
        <v>3750</v>
      </c>
      <c r="B1780" t="s">
        <v>504</v>
      </c>
      <c r="C1780" t="s">
        <v>7329</v>
      </c>
      <c r="D1780" s="83" t="s">
        <v>5690</v>
      </c>
      <c r="E1780" t="s">
        <v>5413</v>
      </c>
      <c r="F1780" t="s">
        <v>5742</v>
      </c>
    </row>
    <row r="1781" spans="1:13" ht="15">
      <c r="A1781" t="s">
        <v>3750</v>
      </c>
      <c r="B1781" t="s">
        <v>504</v>
      </c>
      <c r="C1781" t="s">
        <v>6352</v>
      </c>
      <c r="D1781" s="83" t="s">
        <v>5604</v>
      </c>
      <c r="E1781" t="s">
        <v>5327</v>
      </c>
      <c r="F1781" t="s">
        <v>5805</v>
      </c>
      <c r="H1781" t="s">
        <v>414</v>
      </c>
      <c r="M1781" t="s">
        <v>414</v>
      </c>
    </row>
    <row r="1782" spans="1:13" ht="15">
      <c r="A1782" t="s">
        <v>3750</v>
      </c>
      <c r="B1782" t="s">
        <v>504</v>
      </c>
      <c r="C1782" t="s">
        <v>7229</v>
      </c>
      <c r="D1782" s="83" t="s">
        <v>5607</v>
      </c>
      <c r="E1782" t="s">
        <v>5330</v>
      </c>
      <c r="F1782" t="s">
        <v>5808</v>
      </c>
    </row>
    <row r="1783" spans="1:13" ht="15">
      <c r="A1783" t="s">
        <v>4453</v>
      </c>
      <c r="B1783" s="81" t="s">
        <v>3175</v>
      </c>
      <c r="C1783" t="s">
        <v>6602</v>
      </c>
      <c r="D1783" s="83" t="s">
        <v>5588</v>
      </c>
      <c r="E1783" t="s">
        <v>5311</v>
      </c>
      <c r="F1783" t="s">
        <v>5740</v>
      </c>
      <c r="M1783" t="s">
        <v>414</v>
      </c>
    </row>
    <row r="1784" spans="1:13" ht="15">
      <c r="A1784" t="s">
        <v>3750</v>
      </c>
      <c r="B1784" t="s">
        <v>504</v>
      </c>
      <c r="C1784" t="s">
        <v>7375</v>
      </c>
      <c r="D1784" s="83" t="s">
        <v>5536</v>
      </c>
      <c r="E1784" t="s">
        <v>5259</v>
      </c>
      <c r="F1784" t="s">
        <v>5780</v>
      </c>
      <c r="M1784" t="s">
        <v>414</v>
      </c>
    </row>
    <row r="1785" spans="1:13" ht="15">
      <c r="A1785" t="s">
        <v>4446</v>
      </c>
      <c r="B1785" t="s">
        <v>4445</v>
      </c>
      <c r="C1785" t="s">
        <v>6484</v>
      </c>
      <c r="D1785" s="83" t="s">
        <v>5588</v>
      </c>
      <c r="E1785" t="s">
        <v>5311</v>
      </c>
      <c r="F1785" t="s">
        <v>5740</v>
      </c>
      <c r="M1785" t="s">
        <v>414</v>
      </c>
    </row>
    <row r="1786" spans="1:13" ht="15">
      <c r="A1786" t="s">
        <v>3786</v>
      </c>
      <c r="B1786" t="s">
        <v>4301</v>
      </c>
      <c r="C1786" t="s">
        <v>7296</v>
      </c>
      <c r="D1786" s="83" t="s">
        <v>4150</v>
      </c>
      <c r="E1786" t="s">
        <v>5043</v>
      </c>
      <c r="F1786" t="s">
        <v>31</v>
      </c>
    </row>
    <row r="1787" spans="1:13" ht="15">
      <c r="C1787" t="s">
        <v>7750</v>
      </c>
      <c r="D1787" s="83" t="s">
        <v>4150</v>
      </c>
      <c r="E1787" t="s">
        <v>5043</v>
      </c>
      <c r="F1787" t="s">
        <v>31</v>
      </c>
    </row>
    <row r="1788" spans="1:13" ht="15">
      <c r="A1788" t="s">
        <v>3738</v>
      </c>
      <c r="B1788" s="74" t="s">
        <v>4300</v>
      </c>
      <c r="C1788" t="s">
        <v>6749</v>
      </c>
      <c r="D1788" s="83" t="s">
        <v>5588</v>
      </c>
      <c r="E1788" t="s">
        <v>5311</v>
      </c>
      <c r="F1788" t="s">
        <v>5740</v>
      </c>
      <c r="M1788" t="s">
        <v>414</v>
      </c>
    </row>
    <row r="1789" spans="1:13" ht="15">
      <c r="C1789" t="s">
        <v>6347</v>
      </c>
      <c r="D1789" s="83" t="s">
        <v>5578</v>
      </c>
      <c r="E1789" t="s">
        <v>5301</v>
      </c>
      <c r="F1789" t="s">
        <v>5796</v>
      </c>
      <c r="K1789" t="s">
        <v>414</v>
      </c>
    </row>
    <row r="1790" spans="1:13" ht="15">
      <c r="C1790" t="s">
        <v>6559</v>
      </c>
      <c r="D1790" s="83" t="s">
        <v>5624</v>
      </c>
      <c r="E1790" t="s">
        <v>5347</v>
      </c>
      <c r="F1790" t="s">
        <v>5815</v>
      </c>
      <c r="H1790" t="s">
        <v>414</v>
      </c>
      <c r="K1790" t="s">
        <v>414</v>
      </c>
      <c r="L1790" t="s">
        <v>414</v>
      </c>
      <c r="M1790" t="s">
        <v>414</v>
      </c>
    </row>
    <row r="1791" spans="1:13" ht="15">
      <c r="C1791" t="s">
        <v>6651</v>
      </c>
      <c r="D1791" s="83" t="s">
        <v>5722</v>
      </c>
      <c r="E1791" t="s">
        <v>5446</v>
      </c>
      <c r="F1791" t="s">
        <v>5835</v>
      </c>
      <c r="H1791" t="s">
        <v>414</v>
      </c>
      <c r="K1791" t="s">
        <v>414</v>
      </c>
      <c r="L1791" t="s">
        <v>414</v>
      </c>
    </row>
    <row r="1792" spans="1:13" ht="15">
      <c r="A1792" t="s">
        <v>3786</v>
      </c>
      <c r="B1792" t="s">
        <v>4301</v>
      </c>
      <c r="C1792" t="s">
        <v>6004</v>
      </c>
      <c r="D1792" s="83" t="s">
        <v>5604</v>
      </c>
      <c r="E1792" t="s">
        <v>5327</v>
      </c>
      <c r="F1792" t="s">
        <v>5805</v>
      </c>
      <c r="H1792" t="s">
        <v>414</v>
      </c>
      <c r="M1792" t="s">
        <v>414</v>
      </c>
    </row>
    <row r="1793" spans="1:13" ht="15">
      <c r="A1793" t="s">
        <v>3786</v>
      </c>
      <c r="B1793" t="s">
        <v>4301</v>
      </c>
      <c r="C1793" t="s">
        <v>6086</v>
      </c>
      <c r="D1793" s="83" t="s">
        <v>5857</v>
      </c>
      <c r="E1793" t="s">
        <v>7776</v>
      </c>
      <c r="F1793" t="s">
        <v>5755</v>
      </c>
      <c r="L1793" t="s">
        <v>414</v>
      </c>
    </row>
    <row r="1794" spans="1:13" ht="15">
      <c r="A1794" t="s">
        <v>3738</v>
      </c>
      <c r="B1794" s="74" t="s">
        <v>4300</v>
      </c>
      <c r="C1794" t="s">
        <v>5886</v>
      </c>
      <c r="D1794" s="83" t="s">
        <v>4200</v>
      </c>
      <c r="E1794" t="s">
        <v>5094</v>
      </c>
      <c r="F1794" t="s">
        <v>5725</v>
      </c>
      <c r="L1794" t="s">
        <v>414</v>
      </c>
    </row>
    <row r="1795" spans="1:13" ht="15">
      <c r="C1795" t="s">
        <v>5981</v>
      </c>
      <c r="D1795" s="83" t="s">
        <v>5506</v>
      </c>
      <c r="E1795" t="s">
        <v>5229</v>
      </c>
      <c r="F1795" t="s">
        <v>5766</v>
      </c>
      <c r="H1795" t="s">
        <v>414</v>
      </c>
      <c r="M1795" t="s">
        <v>414</v>
      </c>
    </row>
    <row r="1796" spans="1:13" ht="15">
      <c r="A1796" t="s">
        <v>4448</v>
      </c>
      <c r="B1796" s="12" t="s">
        <v>1309</v>
      </c>
      <c r="C1796" t="s">
        <v>5919</v>
      </c>
      <c r="D1796" s="83" t="s">
        <v>5474</v>
      </c>
      <c r="E1796" t="s">
        <v>5197</v>
      </c>
      <c r="F1796" t="s">
        <v>1309</v>
      </c>
      <c r="M1796" t="s">
        <v>414</v>
      </c>
    </row>
    <row r="1797" spans="1:13" ht="15">
      <c r="A1797" t="s">
        <v>3783</v>
      </c>
      <c r="B1797" t="s">
        <v>301</v>
      </c>
      <c r="C1797" t="s">
        <v>6151</v>
      </c>
      <c r="D1797" s="83" t="s">
        <v>5459</v>
      </c>
      <c r="E1797" t="s">
        <v>5182</v>
      </c>
      <c r="F1797" t="s">
        <v>486</v>
      </c>
      <c r="M1797" t="s">
        <v>414</v>
      </c>
    </row>
    <row r="1798" spans="1:13" ht="15">
      <c r="C1798" t="s">
        <v>6497</v>
      </c>
      <c r="D1798" s="83" t="s">
        <v>5604</v>
      </c>
      <c r="E1798" t="s">
        <v>5327</v>
      </c>
      <c r="F1798" t="s">
        <v>5805</v>
      </c>
      <c r="H1798" t="s">
        <v>414</v>
      </c>
      <c r="M1798" t="s">
        <v>414</v>
      </c>
    </row>
    <row r="1799" spans="1:13" ht="15">
      <c r="A1799" t="s">
        <v>3139</v>
      </c>
      <c r="B1799" t="s">
        <v>4285</v>
      </c>
      <c r="C1799" t="s">
        <v>6005</v>
      </c>
      <c r="D1799" s="83" t="s">
        <v>5459</v>
      </c>
      <c r="E1799" t="s">
        <v>5182</v>
      </c>
      <c r="F1799" t="s">
        <v>486</v>
      </c>
      <c r="M1799" t="s">
        <v>414</v>
      </c>
    </row>
    <row r="1800" spans="1:13" ht="15">
      <c r="C1800" t="s">
        <v>6897</v>
      </c>
      <c r="D1800" s="83" t="s">
        <v>5865</v>
      </c>
      <c r="E1800" t="s">
        <v>7786</v>
      </c>
      <c r="F1800" t="s">
        <v>5748</v>
      </c>
      <c r="G1800" t="s">
        <v>414</v>
      </c>
      <c r="H1800" t="s">
        <v>414</v>
      </c>
      <c r="K1800" t="s">
        <v>414</v>
      </c>
      <c r="L1800" t="s">
        <v>414</v>
      </c>
    </row>
    <row r="1801" spans="1:13" ht="15">
      <c r="C1801" t="s">
        <v>5962</v>
      </c>
      <c r="D1801" s="83" t="s">
        <v>4195</v>
      </c>
      <c r="E1801" t="s">
        <v>5089</v>
      </c>
      <c r="F1801" t="s">
        <v>5805</v>
      </c>
      <c r="H1801" t="s">
        <v>414</v>
      </c>
      <c r="M1801" t="s">
        <v>414</v>
      </c>
    </row>
    <row r="1802" spans="1:13" ht="15">
      <c r="A1802" t="s">
        <v>3767</v>
      </c>
      <c r="B1802" t="s">
        <v>1291</v>
      </c>
      <c r="C1802" t="s">
        <v>7337</v>
      </c>
      <c r="D1802" s="83" t="s">
        <v>5459</v>
      </c>
      <c r="E1802" t="s">
        <v>5182</v>
      </c>
      <c r="F1802" t="s">
        <v>486</v>
      </c>
      <c r="M1802" t="s">
        <v>414</v>
      </c>
    </row>
    <row r="1803" spans="1:13" ht="15">
      <c r="C1803" t="s">
        <v>6029</v>
      </c>
      <c r="D1803" s="83" t="s">
        <v>5675</v>
      </c>
      <c r="E1803" t="s">
        <v>5398</v>
      </c>
      <c r="F1803" t="s">
        <v>5793</v>
      </c>
      <c r="G1803" t="s">
        <v>414</v>
      </c>
      <c r="K1803" t="s">
        <v>414</v>
      </c>
    </row>
    <row r="1804" spans="1:13" ht="15">
      <c r="C1804" t="s">
        <v>6363</v>
      </c>
      <c r="D1804" s="83" t="s">
        <v>5650</v>
      </c>
      <c r="E1804" t="s">
        <v>5373</v>
      </c>
      <c r="F1804" t="s">
        <v>5734</v>
      </c>
      <c r="K1804" t="s">
        <v>414</v>
      </c>
    </row>
    <row r="1805" spans="1:13" ht="15">
      <c r="C1805" t="s">
        <v>6755</v>
      </c>
      <c r="D1805" s="83" t="s">
        <v>5856</v>
      </c>
      <c r="E1805" t="s">
        <v>7775</v>
      </c>
      <c r="F1805" t="s">
        <v>5748</v>
      </c>
      <c r="L1805" t="s">
        <v>414</v>
      </c>
    </row>
    <row r="1806" spans="1:13" ht="15">
      <c r="A1806" t="s">
        <v>3755</v>
      </c>
      <c r="B1806" t="s">
        <v>4533</v>
      </c>
      <c r="C1806" t="s">
        <v>7409</v>
      </c>
      <c r="D1806" s="83" t="s">
        <v>5459</v>
      </c>
      <c r="E1806" t="s">
        <v>5182</v>
      </c>
      <c r="F1806" t="s">
        <v>486</v>
      </c>
      <c r="M1806" t="s">
        <v>414</v>
      </c>
    </row>
    <row r="1807" spans="1:13" ht="15">
      <c r="A1807" t="s">
        <v>4448</v>
      </c>
      <c r="B1807" s="12" t="s">
        <v>1309</v>
      </c>
      <c r="C1807" t="s">
        <v>7465</v>
      </c>
      <c r="D1807" s="83" t="s">
        <v>5459</v>
      </c>
      <c r="E1807" t="s">
        <v>5182</v>
      </c>
      <c r="F1807" t="s">
        <v>486</v>
      </c>
      <c r="M1807" t="s">
        <v>414</v>
      </c>
    </row>
    <row r="1808" spans="1:13" ht="15">
      <c r="C1808" t="s">
        <v>7397</v>
      </c>
      <c r="D1808" s="83" t="s">
        <v>5459</v>
      </c>
      <c r="E1808" t="s">
        <v>5182</v>
      </c>
      <c r="F1808" t="s">
        <v>486</v>
      </c>
      <c r="M1808" t="s">
        <v>414</v>
      </c>
    </row>
    <row r="1809" spans="1:13" ht="15">
      <c r="C1809" t="s">
        <v>6079</v>
      </c>
      <c r="D1809" s="83" t="s">
        <v>5605</v>
      </c>
      <c r="E1809" t="s">
        <v>5328</v>
      </c>
      <c r="F1809" t="s">
        <v>5806</v>
      </c>
      <c r="L1809" t="s">
        <v>414</v>
      </c>
    </row>
    <row r="1810" spans="1:13" ht="15">
      <c r="A1810" t="s">
        <v>4443</v>
      </c>
      <c r="B1810" t="s">
        <v>4287</v>
      </c>
      <c r="C1810" t="s">
        <v>7517</v>
      </c>
      <c r="D1810" s="83" t="s">
        <v>5459</v>
      </c>
      <c r="E1810" t="s">
        <v>5182</v>
      </c>
      <c r="F1810" t="s">
        <v>486</v>
      </c>
      <c r="M1810" t="s">
        <v>414</v>
      </c>
    </row>
    <row r="1811" spans="1:13" ht="15">
      <c r="C1811" t="s">
        <v>6914</v>
      </c>
      <c r="D1811" s="83" t="s">
        <v>5654</v>
      </c>
      <c r="E1811" t="s">
        <v>5377</v>
      </c>
      <c r="F1811" t="s">
        <v>5748</v>
      </c>
      <c r="H1811" t="s">
        <v>414</v>
      </c>
      <c r="K1811" t="s">
        <v>414</v>
      </c>
      <c r="L1811" t="s">
        <v>414</v>
      </c>
    </row>
    <row r="1812" spans="1:13" ht="15">
      <c r="A1812" t="s">
        <v>3738</v>
      </c>
      <c r="B1812" s="74" t="s">
        <v>4300</v>
      </c>
      <c r="C1812" t="s">
        <v>7546</v>
      </c>
      <c r="D1812" s="83" t="s">
        <v>5459</v>
      </c>
      <c r="E1812" t="s">
        <v>5182</v>
      </c>
      <c r="F1812" t="s">
        <v>486</v>
      </c>
      <c r="M1812" t="s">
        <v>414</v>
      </c>
    </row>
    <row r="1813" spans="1:13" ht="15">
      <c r="C1813" t="s">
        <v>6511</v>
      </c>
      <c r="D1813" s="83" t="s">
        <v>5611</v>
      </c>
      <c r="E1813" t="s">
        <v>5334</v>
      </c>
      <c r="F1813" t="s">
        <v>5810</v>
      </c>
      <c r="L1813" t="s">
        <v>414</v>
      </c>
      <c r="M1813" t="s">
        <v>414</v>
      </c>
    </row>
    <row r="1814" spans="1:13" ht="15">
      <c r="C1814" t="s">
        <v>7223</v>
      </c>
      <c r="D1814" s="83" t="s">
        <v>4163</v>
      </c>
      <c r="E1814" t="s">
        <v>5057</v>
      </c>
      <c r="F1814" t="s">
        <v>5748</v>
      </c>
    </row>
    <row r="1815" spans="1:13" ht="15">
      <c r="C1815" t="s">
        <v>6088</v>
      </c>
      <c r="D1815" s="83" t="s">
        <v>4192</v>
      </c>
      <c r="E1815" t="s">
        <v>5086</v>
      </c>
      <c r="F1815" t="s">
        <v>5818</v>
      </c>
      <c r="M1815" t="s">
        <v>414</v>
      </c>
    </row>
    <row r="1816" spans="1:13" ht="15">
      <c r="C1816" t="s">
        <v>6119</v>
      </c>
      <c r="D1816" s="83" t="s">
        <v>5628</v>
      </c>
      <c r="E1816" t="s">
        <v>5351</v>
      </c>
      <c r="F1816" t="s">
        <v>5748</v>
      </c>
      <c r="K1816" t="s">
        <v>414</v>
      </c>
      <c r="L1816" t="s">
        <v>414</v>
      </c>
    </row>
    <row r="1817" spans="1:13" ht="15">
      <c r="C1817" t="s">
        <v>7597</v>
      </c>
      <c r="D1817" s="83" t="s">
        <v>5549</v>
      </c>
      <c r="E1817" t="s">
        <v>5272</v>
      </c>
      <c r="F1817" t="s">
        <v>5750</v>
      </c>
      <c r="H1817" t="s">
        <v>414</v>
      </c>
      <c r="L1817" t="s">
        <v>414</v>
      </c>
      <c r="M1817" t="s">
        <v>414</v>
      </c>
    </row>
    <row r="1818" spans="1:13" ht="15">
      <c r="C1818" t="s">
        <v>7518</v>
      </c>
      <c r="D1818" s="83" t="s">
        <v>5526</v>
      </c>
      <c r="E1818" t="s">
        <v>5249</v>
      </c>
      <c r="F1818" t="s">
        <v>5773</v>
      </c>
      <c r="H1818" t="s">
        <v>414</v>
      </c>
      <c r="M1818" t="s">
        <v>414</v>
      </c>
    </row>
    <row r="1819" spans="1:13" ht="15">
      <c r="C1819" t="s">
        <v>6279</v>
      </c>
      <c r="D1819" s="83" t="s">
        <v>4175</v>
      </c>
      <c r="E1819" t="s">
        <v>5069</v>
      </c>
      <c r="F1819" t="s">
        <v>5807</v>
      </c>
      <c r="H1819" t="s">
        <v>414</v>
      </c>
    </row>
    <row r="1820" spans="1:13" ht="15">
      <c r="C1820" t="s">
        <v>7525</v>
      </c>
      <c r="D1820" s="83" t="s">
        <v>5562</v>
      </c>
      <c r="E1820" t="s">
        <v>5285</v>
      </c>
      <c r="F1820" t="s">
        <v>5750</v>
      </c>
      <c r="H1820" t="s">
        <v>414</v>
      </c>
      <c r="M1820" t="s">
        <v>414</v>
      </c>
    </row>
    <row r="1821" spans="1:13" ht="15">
      <c r="C1821" t="s">
        <v>7327</v>
      </c>
      <c r="D1821" s="83" t="s">
        <v>5679</v>
      </c>
      <c r="E1821" t="s">
        <v>5402</v>
      </c>
      <c r="F1821" t="s">
        <v>5823</v>
      </c>
      <c r="M1821" t="s">
        <v>414</v>
      </c>
    </row>
    <row r="1822" spans="1:13" ht="15">
      <c r="A1822" t="s">
        <v>3740</v>
      </c>
      <c r="B1822" t="s">
        <v>3444</v>
      </c>
      <c r="C1822" t="s">
        <v>7642</v>
      </c>
      <c r="D1822" s="83" t="s">
        <v>5459</v>
      </c>
      <c r="E1822" t="s">
        <v>5182</v>
      </c>
      <c r="F1822" t="s">
        <v>486</v>
      </c>
      <c r="M1822" t="s">
        <v>414</v>
      </c>
    </row>
    <row r="1823" spans="1:13" ht="15">
      <c r="C1823" t="s">
        <v>6069</v>
      </c>
      <c r="D1823" s="83" t="s">
        <v>5711</v>
      </c>
      <c r="E1823" t="s">
        <v>5435</v>
      </c>
      <c r="F1823" t="s">
        <v>5779</v>
      </c>
      <c r="M1823" t="s">
        <v>414</v>
      </c>
    </row>
    <row r="1824" spans="1:13" ht="15">
      <c r="C1824" t="s">
        <v>7062</v>
      </c>
      <c r="D1824" s="83" t="s">
        <v>5548</v>
      </c>
      <c r="E1824" t="s">
        <v>5271</v>
      </c>
      <c r="F1824" t="s">
        <v>5786</v>
      </c>
      <c r="H1824" t="s">
        <v>414</v>
      </c>
      <c r="M1824" t="s">
        <v>414</v>
      </c>
    </row>
    <row r="1825" spans="1:13" ht="15">
      <c r="A1825" t="s">
        <v>3773</v>
      </c>
      <c r="B1825" t="s">
        <v>1289</v>
      </c>
      <c r="C1825" t="s">
        <v>6186</v>
      </c>
      <c r="D1825" s="83" t="s">
        <v>5550</v>
      </c>
      <c r="E1825" t="s">
        <v>5273</v>
      </c>
      <c r="F1825" t="s">
        <v>5727</v>
      </c>
      <c r="H1825" t="s">
        <v>414</v>
      </c>
      <c r="M1825" t="s">
        <v>414</v>
      </c>
    </row>
    <row r="1826" spans="1:13" ht="15">
      <c r="C1826" t="s">
        <v>6669</v>
      </c>
      <c r="D1826" s="83" t="s">
        <v>4144</v>
      </c>
      <c r="E1826" t="s">
        <v>5037</v>
      </c>
      <c r="F1826" t="s">
        <v>5755</v>
      </c>
      <c r="H1826" t="s">
        <v>414</v>
      </c>
      <c r="I1826" t="s">
        <v>414</v>
      </c>
      <c r="L1826" t="s">
        <v>414</v>
      </c>
    </row>
    <row r="1827" spans="1:13" ht="15">
      <c r="A1827" t="s">
        <v>4525</v>
      </c>
      <c r="B1827" s="81" t="s">
        <v>4524</v>
      </c>
      <c r="C1827" t="s">
        <v>5913</v>
      </c>
      <c r="D1827" s="83" t="s">
        <v>5550</v>
      </c>
      <c r="E1827" t="s">
        <v>5273</v>
      </c>
      <c r="F1827" t="s">
        <v>5727</v>
      </c>
      <c r="H1827" t="s">
        <v>414</v>
      </c>
      <c r="M1827" t="s">
        <v>414</v>
      </c>
    </row>
    <row r="1828" spans="1:13" ht="15">
      <c r="C1828" t="s">
        <v>6669</v>
      </c>
      <c r="D1828" s="83" t="s">
        <v>5567</v>
      </c>
      <c r="E1828" t="s">
        <v>5290</v>
      </c>
      <c r="F1828" t="s">
        <v>5792</v>
      </c>
      <c r="H1828" t="s">
        <v>414</v>
      </c>
      <c r="L1828" t="s">
        <v>414</v>
      </c>
      <c r="M1828" t="s">
        <v>414</v>
      </c>
    </row>
    <row r="1829" spans="1:13" ht="15">
      <c r="C1829" t="s">
        <v>7303</v>
      </c>
      <c r="D1829" s="83" t="s">
        <v>5524</v>
      </c>
      <c r="E1829" t="s">
        <v>5247</v>
      </c>
      <c r="F1829" t="s">
        <v>5747</v>
      </c>
      <c r="M1829" t="s">
        <v>414</v>
      </c>
    </row>
    <row r="1830" spans="1:13" ht="15">
      <c r="C1830" t="s">
        <v>7326</v>
      </c>
      <c r="D1830" s="83" t="s">
        <v>4155</v>
      </c>
      <c r="E1830" t="s">
        <v>5048</v>
      </c>
      <c r="F1830" t="s">
        <v>5829</v>
      </c>
      <c r="H1830" t="s">
        <v>414</v>
      </c>
      <c r="M1830" t="s">
        <v>414</v>
      </c>
    </row>
    <row r="1831" spans="1:13" ht="15">
      <c r="C1831" t="s">
        <v>7496</v>
      </c>
      <c r="D1831" s="83" t="s">
        <v>5602</v>
      </c>
      <c r="E1831" t="s">
        <v>5325</v>
      </c>
      <c r="F1831" t="s">
        <v>1291</v>
      </c>
      <c r="H1831" t="s">
        <v>414</v>
      </c>
      <c r="M1831" t="s">
        <v>414</v>
      </c>
    </row>
    <row r="1832" spans="1:13" ht="15">
      <c r="C1832" t="s">
        <v>6633</v>
      </c>
      <c r="D1832" s="83" t="s">
        <v>5574</v>
      </c>
      <c r="E1832" t="s">
        <v>5297</v>
      </c>
      <c r="F1832" t="s">
        <v>5794</v>
      </c>
      <c r="H1832" t="s">
        <v>414</v>
      </c>
      <c r="M1832" t="s">
        <v>414</v>
      </c>
    </row>
    <row r="1833" spans="1:13" ht="15">
      <c r="A1833" t="s">
        <v>3139</v>
      </c>
      <c r="B1833" t="s">
        <v>4285</v>
      </c>
      <c r="C1833" t="s">
        <v>6388</v>
      </c>
      <c r="D1833" s="83" t="s">
        <v>5540</v>
      </c>
      <c r="E1833" t="s">
        <v>5263</v>
      </c>
      <c r="F1833" t="s">
        <v>5730</v>
      </c>
      <c r="H1833" t="s">
        <v>414</v>
      </c>
    </row>
    <row r="1834" spans="1:13" ht="15">
      <c r="C1834" t="s">
        <v>6313</v>
      </c>
      <c r="D1834" s="83" t="s">
        <v>5697</v>
      </c>
      <c r="E1834" t="s">
        <v>5420</v>
      </c>
      <c r="F1834" t="s">
        <v>27</v>
      </c>
      <c r="L1834" t="s">
        <v>414</v>
      </c>
    </row>
    <row r="1835" spans="1:13" ht="15">
      <c r="C1835" t="s">
        <v>6313</v>
      </c>
      <c r="D1835" s="83" t="s">
        <v>5645</v>
      </c>
      <c r="E1835" t="s">
        <v>5368</v>
      </c>
      <c r="F1835" t="s">
        <v>5825</v>
      </c>
      <c r="K1835" t="s">
        <v>414</v>
      </c>
      <c r="L1835" t="s">
        <v>414</v>
      </c>
    </row>
    <row r="1836" spans="1:13" ht="15">
      <c r="A1836" t="s">
        <v>4453</v>
      </c>
      <c r="B1836" s="81" t="s">
        <v>3175</v>
      </c>
      <c r="C1836" t="s">
        <v>7403</v>
      </c>
      <c r="D1836" s="83" t="s">
        <v>5540</v>
      </c>
      <c r="E1836" t="s">
        <v>5263</v>
      </c>
      <c r="F1836" t="s">
        <v>5730</v>
      </c>
      <c r="H1836" t="s">
        <v>414</v>
      </c>
    </row>
    <row r="1837" spans="1:13" ht="15">
      <c r="C1837" t="s">
        <v>7571</v>
      </c>
      <c r="D1837" s="83" t="s">
        <v>5616</v>
      </c>
      <c r="E1837" t="s">
        <v>5339</v>
      </c>
      <c r="F1837" t="s">
        <v>5748</v>
      </c>
      <c r="H1837" t="s">
        <v>414</v>
      </c>
      <c r="I1837" t="s">
        <v>414</v>
      </c>
      <c r="M1837" t="s">
        <v>414</v>
      </c>
    </row>
    <row r="1838" spans="1:13" ht="15">
      <c r="A1838" t="s">
        <v>3755</v>
      </c>
      <c r="B1838" t="s">
        <v>4533</v>
      </c>
      <c r="C1838" t="s">
        <v>7449</v>
      </c>
      <c r="D1838" s="83" t="s">
        <v>5540</v>
      </c>
      <c r="E1838" t="s">
        <v>5263</v>
      </c>
      <c r="F1838" t="s">
        <v>5730</v>
      </c>
      <c r="H1838" t="s">
        <v>414</v>
      </c>
    </row>
    <row r="1839" spans="1:13" ht="15">
      <c r="C1839" t="s">
        <v>6507</v>
      </c>
      <c r="D1839" s="83" t="s">
        <v>5459</v>
      </c>
      <c r="E1839" t="s">
        <v>5182</v>
      </c>
      <c r="F1839" t="s">
        <v>486</v>
      </c>
      <c r="M1839" t="s">
        <v>414</v>
      </c>
    </row>
    <row r="1840" spans="1:13" ht="15">
      <c r="C1840" t="s">
        <v>6507</v>
      </c>
      <c r="D1840" s="83" t="s">
        <v>4158</v>
      </c>
      <c r="E1840" t="s">
        <v>5051</v>
      </c>
      <c r="F1840" t="s">
        <v>5780</v>
      </c>
      <c r="G1840" t="s">
        <v>414</v>
      </c>
      <c r="H1840" t="s">
        <v>414</v>
      </c>
      <c r="K1840" t="s">
        <v>414</v>
      </c>
      <c r="L1840" t="s">
        <v>414</v>
      </c>
    </row>
    <row r="1841" spans="1:13" ht="15">
      <c r="C1841" t="s">
        <v>7503</v>
      </c>
      <c r="D1841" s="83" t="s">
        <v>5536</v>
      </c>
      <c r="E1841" t="s">
        <v>5259</v>
      </c>
      <c r="F1841" t="s">
        <v>5780</v>
      </c>
      <c r="M1841" t="s">
        <v>414</v>
      </c>
    </row>
    <row r="1842" spans="1:13" ht="15">
      <c r="C1842" t="s">
        <v>6291</v>
      </c>
      <c r="D1842" s="83" t="s">
        <v>4193</v>
      </c>
      <c r="E1842" t="s">
        <v>5087</v>
      </c>
      <c r="F1842" t="s">
        <v>5831</v>
      </c>
      <c r="H1842" t="s">
        <v>414</v>
      </c>
    </row>
    <row r="1843" spans="1:13" ht="15">
      <c r="A1843" t="s">
        <v>3786</v>
      </c>
      <c r="B1843" t="s">
        <v>4301</v>
      </c>
      <c r="C1843" t="s">
        <v>7069</v>
      </c>
      <c r="D1843" s="83" t="s">
        <v>5558</v>
      </c>
      <c r="E1843" t="s">
        <v>5281</v>
      </c>
      <c r="F1843" t="s">
        <v>5748</v>
      </c>
      <c r="H1843" t="s">
        <v>414</v>
      </c>
      <c r="M1843" t="s">
        <v>414</v>
      </c>
    </row>
    <row r="1844" spans="1:13" ht="15">
      <c r="A1844" t="s">
        <v>4508</v>
      </c>
      <c r="B1844" t="s">
        <v>4507</v>
      </c>
      <c r="C1844" t="s">
        <v>7550</v>
      </c>
      <c r="D1844" s="83" t="s">
        <v>5540</v>
      </c>
      <c r="E1844" t="s">
        <v>5263</v>
      </c>
      <c r="F1844" t="s">
        <v>5730</v>
      </c>
      <c r="H1844" t="s">
        <v>414</v>
      </c>
    </row>
    <row r="1845" spans="1:13" ht="15">
      <c r="A1845" t="s">
        <v>3751</v>
      </c>
      <c r="B1845" t="s">
        <v>418</v>
      </c>
      <c r="C1845" t="s">
        <v>7565</v>
      </c>
      <c r="D1845" s="83" t="s">
        <v>5540</v>
      </c>
      <c r="E1845" t="s">
        <v>5263</v>
      </c>
      <c r="F1845" t="s">
        <v>5730</v>
      </c>
      <c r="H1845" t="s">
        <v>414</v>
      </c>
    </row>
    <row r="1846" spans="1:13" ht="15">
      <c r="A1846" t="s">
        <v>4443</v>
      </c>
      <c r="B1846" t="s">
        <v>4287</v>
      </c>
      <c r="C1846" t="s">
        <v>6752</v>
      </c>
      <c r="D1846" s="83" t="s">
        <v>5540</v>
      </c>
      <c r="E1846" t="s">
        <v>5263</v>
      </c>
      <c r="F1846" t="s">
        <v>5730</v>
      </c>
      <c r="H1846" t="s">
        <v>414</v>
      </c>
    </row>
    <row r="1847" spans="1:13" ht="15">
      <c r="A1847" t="s">
        <v>4446</v>
      </c>
      <c r="B1847" t="s">
        <v>4445</v>
      </c>
      <c r="C1847" t="s">
        <v>7584</v>
      </c>
      <c r="D1847" s="83" t="s">
        <v>5540</v>
      </c>
      <c r="E1847" t="s">
        <v>5263</v>
      </c>
      <c r="F1847" t="s">
        <v>5730</v>
      </c>
      <c r="H1847" t="s">
        <v>414</v>
      </c>
    </row>
    <row r="1848" spans="1:13" ht="15">
      <c r="A1848" t="s">
        <v>3741</v>
      </c>
      <c r="B1848" t="s">
        <v>4295</v>
      </c>
      <c r="C1848" t="s">
        <v>7596</v>
      </c>
      <c r="D1848" s="83" t="s">
        <v>5540</v>
      </c>
      <c r="E1848" t="s">
        <v>5263</v>
      </c>
      <c r="F1848" t="s">
        <v>5730</v>
      </c>
      <c r="H1848" t="s">
        <v>414</v>
      </c>
    </row>
    <row r="1849" spans="1:13" ht="15">
      <c r="A1849" t="s">
        <v>3745</v>
      </c>
      <c r="B1849" t="s">
        <v>4292</v>
      </c>
      <c r="C1849" t="s">
        <v>7605</v>
      </c>
      <c r="D1849" s="83" t="s">
        <v>5540</v>
      </c>
      <c r="E1849" t="s">
        <v>5263</v>
      </c>
      <c r="F1849" t="s">
        <v>5730</v>
      </c>
      <c r="H1849" t="s">
        <v>414</v>
      </c>
    </row>
    <row r="1850" spans="1:13" ht="15">
      <c r="C1850" t="s">
        <v>6605</v>
      </c>
      <c r="D1850" s="83" t="s">
        <v>5711</v>
      </c>
      <c r="E1850" t="s">
        <v>5435</v>
      </c>
      <c r="F1850" t="s">
        <v>5779</v>
      </c>
      <c r="M1850" t="s">
        <v>414</v>
      </c>
    </row>
    <row r="1851" spans="1:13" ht="15">
      <c r="C1851" t="s">
        <v>7524</v>
      </c>
      <c r="D1851" s="83" t="s">
        <v>5558</v>
      </c>
      <c r="E1851" t="s">
        <v>5281</v>
      </c>
      <c r="F1851" t="s">
        <v>5748</v>
      </c>
      <c r="H1851" t="s">
        <v>414</v>
      </c>
      <c r="M1851" t="s">
        <v>414</v>
      </c>
    </row>
    <row r="1852" spans="1:13" ht="15">
      <c r="A1852" t="s">
        <v>3786</v>
      </c>
      <c r="B1852" t="s">
        <v>4301</v>
      </c>
      <c r="C1852" t="s">
        <v>6593</v>
      </c>
      <c r="D1852" s="83" t="s">
        <v>5578</v>
      </c>
      <c r="E1852" t="s">
        <v>5301</v>
      </c>
      <c r="F1852" t="s">
        <v>5796</v>
      </c>
      <c r="K1852" t="s">
        <v>414</v>
      </c>
    </row>
    <row r="1853" spans="1:13" ht="15">
      <c r="C1853" t="s">
        <v>7177</v>
      </c>
      <c r="D1853" s="83" t="s">
        <v>5614</v>
      </c>
      <c r="E1853" t="s">
        <v>5337</v>
      </c>
      <c r="F1853" t="s">
        <v>5743</v>
      </c>
    </row>
    <row r="1854" spans="1:13" ht="15">
      <c r="C1854" t="s">
        <v>6274</v>
      </c>
      <c r="D1854" s="83" t="s">
        <v>5650</v>
      </c>
      <c r="E1854" t="s">
        <v>5373</v>
      </c>
      <c r="F1854" t="s">
        <v>5734</v>
      </c>
      <c r="K1854" t="s">
        <v>414</v>
      </c>
    </row>
    <row r="1855" spans="1:13" ht="15">
      <c r="C1855" t="s">
        <v>7456</v>
      </c>
      <c r="D1855" s="83" t="s">
        <v>5598</v>
      </c>
      <c r="E1855" t="s">
        <v>5321</v>
      </c>
      <c r="F1855" t="s">
        <v>5803</v>
      </c>
      <c r="I1855" t="s">
        <v>414</v>
      </c>
      <c r="M1855" t="s">
        <v>414</v>
      </c>
    </row>
    <row r="1856" spans="1:13" ht="15">
      <c r="C1856" t="s">
        <v>6588</v>
      </c>
      <c r="D1856" s="83" t="s">
        <v>5628</v>
      </c>
      <c r="E1856" t="s">
        <v>5351</v>
      </c>
      <c r="F1856" t="s">
        <v>5748</v>
      </c>
      <c r="K1856" t="s">
        <v>414</v>
      </c>
      <c r="L1856" t="s">
        <v>414</v>
      </c>
    </row>
    <row r="1857" spans="1:13" ht="15">
      <c r="C1857" t="s">
        <v>7429</v>
      </c>
      <c r="D1857" s="83" t="s">
        <v>5536</v>
      </c>
      <c r="E1857" t="s">
        <v>5259</v>
      </c>
      <c r="F1857" t="s">
        <v>5780</v>
      </c>
      <c r="M1857" t="s">
        <v>414</v>
      </c>
    </row>
    <row r="1858" spans="1:13" ht="15">
      <c r="C1858" t="s">
        <v>6008</v>
      </c>
      <c r="D1858" s="83" t="s">
        <v>4144</v>
      </c>
      <c r="E1858" t="s">
        <v>5037</v>
      </c>
      <c r="F1858" t="s">
        <v>5755</v>
      </c>
      <c r="H1858" t="s">
        <v>414</v>
      </c>
      <c r="I1858" t="s">
        <v>414</v>
      </c>
      <c r="L1858" t="s">
        <v>414</v>
      </c>
    </row>
    <row r="1859" spans="1:13" ht="15">
      <c r="C1859" t="s">
        <v>7510</v>
      </c>
      <c r="D1859" s="83" t="s">
        <v>5602</v>
      </c>
      <c r="E1859" t="s">
        <v>5325</v>
      </c>
      <c r="F1859" t="s">
        <v>1291</v>
      </c>
      <c r="H1859" t="s">
        <v>414</v>
      </c>
      <c r="M1859" t="s">
        <v>414</v>
      </c>
    </row>
    <row r="1860" spans="1:13" ht="15">
      <c r="C1860" t="s">
        <v>6320</v>
      </c>
      <c r="D1860" s="83" t="s">
        <v>5610</v>
      </c>
      <c r="E1860" t="s">
        <v>5333</v>
      </c>
      <c r="F1860" t="s">
        <v>5809</v>
      </c>
      <c r="H1860" t="s">
        <v>414</v>
      </c>
      <c r="K1860" t="s">
        <v>414</v>
      </c>
    </row>
    <row r="1861" spans="1:13" ht="15">
      <c r="C1861" t="s">
        <v>6460</v>
      </c>
      <c r="D1861" s="83" t="s">
        <v>5546</v>
      </c>
      <c r="E1861" t="s">
        <v>5269</v>
      </c>
      <c r="F1861" t="s">
        <v>5784</v>
      </c>
      <c r="L1861" t="s">
        <v>414</v>
      </c>
    </row>
    <row r="1862" spans="1:13" ht="15">
      <c r="C1862" t="s">
        <v>6444</v>
      </c>
      <c r="D1862" s="83" t="s">
        <v>4144</v>
      </c>
      <c r="E1862" t="s">
        <v>5037</v>
      </c>
      <c r="F1862" t="s">
        <v>5755</v>
      </c>
      <c r="H1862" t="s">
        <v>414</v>
      </c>
      <c r="I1862" t="s">
        <v>414</v>
      </c>
      <c r="L1862" t="s">
        <v>414</v>
      </c>
    </row>
    <row r="1863" spans="1:13" ht="15">
      <c r="C1863" t="s">
        <v>6444</v>
      </c>
      <c r="D1863" s="83" t="s">
        <v>5858</v>
      </c>
      <c r="E1863" t="s">
        <v>7777</v>
      </c>
      <c r="F1863" t="s">
        <v>5755</v>
      </c>
      <c r="H1863" t="s">
        <v>414</v>
      </c>
      <c r="K1863" t="s">
        <v>414</v>
      </c>
      <c r="L1863" t="s">
        <v>414</v>
      </c>
    </row>
    <row r="1864" spans="1:13" ht="15">
      <c r="C1864" t="s">
        <v>6444</v>
      </c>
      <c r="D1864" s="83" t="s">
        <v>5459</v>
      </c>
      <c r="E1864" t="s">
        <v>5182</v>
      </c>
      <c r="F1864" t="s">
        <v>486</v>
      </c>
      <c r="M1864" t="s">
        <v>414</v>
      </c>
    </row>
    <row r="1865" spans="1:13" ht="15">
      <c r="A1865" t="s">
        <v>4448</v>
      </c>
      <c r="B1865" s="12" t="s">
        <v>1309</v>
      </c>
      <c r="C1865" t="s">
        <v>7022</v>
      </c>
      <c r="D1865" s="83" t="s">
        <v>4178</v>
      </c>
      <c r="E1865" t="s">
        <v>5072</v>
      </c>
      <c r="F1865" t="s">
        <v>1309</v>
      </c>
      <c r="M1865" t="s">
        <v>414</v>
      </c>
    </row>
    <row r="1866" spans="1:13" ht="15">
      <c r="C1866" t="s">
        <v>6444</v>
      </c>
      <c r="D1866" s="83" t="s">
        <v>4158</v>
      </c>
      <c r="E1866" t="s">
        <v>5051</v>
      </c>
      <c r="F1866" t="s">
        <v>5780</v>
      </c>
      <c r="G1866" t="s">
        <v>414</v>
      </c>
      <c r="H1866" t="s">
        <v>414</v>
      </c>
      <c r="K1866" t="s">
        <v>414</v>
      </c>
      <c r="L1866" t="s">
        <v>414</v>
      </c>
    </row>
    <row r="1867" spans="1:13" ht="15">
      <c r="A1867" t="s">
        <v>3786</v>
      </c>
      <c r="B1867" t="s">
        <v>4301</v>
      </c>
      <c r="C1867" t="s">
        <v>7089</v>
      </c>
      <c r="D1867" s="83" t="s">
        <v>5602</v>
      </c>
      <c r="E1867" t="s">
        <v>5325</v>
      </c>
      <c r="F1867" t="s">
        <v>1291</v>
      </c>
      <c r="H1867" t="s">
        <v>414</v>
      </c>
      <c r="M1867" t="s">
        <v>414</v>
      </c>
    </row>
    <row r="1868" spans="1:13" ht="15">
      <c r="A1868" t="s">
        <v>4525</v>
      </c>
      <c r="B1868" s="81" t="s">
        <v>4524</v>
      </c>
      <c r="C1868" t="s">
        <v>7111</v>
      </c>
      <c r="D1868" s="83" t="s">
        <v>4155</v>
      </c>
      <c r="E1868" t="s">
        <v>5048</v>
      </c>
      <c r="F1868" t="s">
        <v>5829</v>
      </c>
      <c r="H1868" t="s">
        <v>414</v>
      </c>
      <c r="M1868" t="s">
        <v>414</v>
      </c>
    </row>
    <row r="1869" spans="1:13" ht="15">
      <c r="C1869" t="s">
        <v>7725</v>
      </c>
      <c r="D1869" s="83" t="s">
        <v>5557</v>
      </c>
      <c r="E1869" t="s">
        <v>5280</v>
      </c>
      <c r="F1869" t="s">
        <v>5755</v>
      </c>
      <c r="M1869" t="s">
        <v>414</v>
      </c>
    </row>
    <row r="1870" spans="1:13" ht="15">
      <c r="C1870" t="s">
        <v>6385</v>
      </c>
      <c r="D1870" s="83" t="s">
        <v>5656</v>
      </c>
      <c r="E1870" t="s">
        <v>5379</v>
      </c>
      <c r="F1870" t="s">
        <v>5742</v>
      </c>
    </row>
    <row r="1871" spans="1:13" ht="15">
      <c r="C1871" t="s">
        <v>5899</v>
      </c>
      <c r="D1871" s="83" t="s">
        <v>5634</v>
      </c>
      <c r="E1871" t="s">
        <v>5357</v>
      </c>
      <c r="F1871" t="s">
        <v>5811</v>
      </c>
      <c r="H1871" t="s">
        <v>414</v>
      </c>
      <c r="L1871" t="s">
        <v>414</v>
      </c>
      <c r="M1871" t="s">
        <v>414</v>
      </c>
    </row>
    <row r="1872" spans="1:13" ht="15">
      <c r="C1872" t="s">
        <v>5899</v>
      </c>
      <c r="D1872" s="83" t="s">
        <v>5613</v>
      </c>
      <c r="E1872" t="s">
        <v>5336</v>
      </c>
      <c r="F1872" t="s">
        <v>5811</v>
      </c>
      <c r="L1872" t="s">
        <v>414</v>
      </c>
      <c r="M1872" t="s">
        <v>414</v>
      </c>
    </row>
    <row r="1873" spans="1:13" ht="15">
      <c r="A1873" t="s">
        <v>3750</v>
      </c>
      <c r="B1873" t="s">
        <v>504</v>
      </c>
      <c r="C1873" t="s">
        <v>7281</v>
      </c>
      <c r="D1873" s="83" t="s">
        <v>5629</v>
      </c>
      <c r="E1873" t="s">
        <v>5352</v>
      </c>
      <c r="F1873" t="s">
        <v>5812</v>
      </c>
      <c r="I1873" t="s">
        <v>414</v>
      </c>
    </row>
    <row r="1874" spans="1:13" ht="15">
      <c r="A1874" t="s">
        <v>3750</v>
      </c>
      <c r="B1874" t="s">
        <v>504</v>
      </c>
      <c r="C1874" t="s">
        <v>6518</v>
      </c>
      <c r="D1874" s="83" t="s">
        <v>5711</v>
      </c>
      <c r="E1874" t="s">
        <v>5435</v>
      </c>
      <c r="F1874" t="s">
        <v>5779</v>
      </c>
      <c r="M1874" t="s">
        <v>414</v>
      </c>
    </row>
    <row r="1875" spans="1:13" ht="15">
      <c r="C1875" t="s">
        <v>6142</v>
      </c>
      <c r="D1875" s="83" t="s">
        <v>4144</v>
      </c>
      <c r="E1875" t="s">
        <v>5037</v>
      </c>
      <c r="F1875" t="s">
        <v>5755</v>
      </c>
      <c r="H1875" t="s">
        <v>414</v>
      </c>
      <c r="I1875" t="s">
        <v>414</v>
      </c>
      <c r="L1875" t="s">
        <v>414</v>
      </c>
    </row>
    <row r="1876" spans="1:13" ht="15">
      <c r="A1876" t="s">
        <v>4448</v>
      </c>
      <c r="B1876" s="12" t="s">
        <v>1309</v>
      </c>
      <c r="C1876" t="s">
        <v>7440</v>
      </c>
      <c r="D1876" s="83" t="s">
        <v>4155</v>
      </c>
      <c r="E1876" t="s">
        <v>5048</v>
      </c>
      <c r="F1876" t="s">
        <v>5829</v>
      </c>
      <c r="H1876" t="s">
        <v>414</v>
      </c>
      <c r="M1876" t="s">
        <v>414</v>
      </c>
    </row>
    <row r="1877" spans="1:13" ht="15">
      <c r="A1877" t="s">
        <v>3139</v>
      </c>
      <c r="B1877" t="s">
        <v>4285</v>
      </c>
      <c r="C1877" t="s">
        <v>7459</v>
      </c>
      <c r="D1877" s="83" t="s">
        <v>4155</v>
      </c>
      <c r="E1877" t="s">
        <v>5048</v>
      </c>
      <c r="F1877" t="s">
        <v>5829</v>
      </c>
      <c r="H1877" t="s">
        <v>414</v>
      </c>
      <c r="M1877" t="s">
        <v>414</v>
      </c>
    </row>
    <row r="1878" spans="1:13" ht="15">
      <c r="A1878" t="s">
        <v>3764</v>
      </c>
      <c r="B1878" s="12" t="s">
        <v>31</v>
      </c>
      <c r="C1878" t="s">
        <v>7480</v>
      </c>
      <c r="D1878" s="83" t="s">
        <v>4155</v>
      </c>
      <c r="E1878" t="s">
        <v>5048</v>
      </c>
      <c r="F1878" t="s">
        <v>5829</v>
      </c>
      <c r="H1878" t="s">
        <v>414</v>
      </c>
      <c r="M1878" t="s">
        <v>414</v>
      </c>
    </row>
    <row r="1879" spans="1:13" ht="15">
      <c r="A1879" t="s">
        <v>3750</v>
      </c>
      <c r="B1879" t="s">
        <v>504</v>
      </c>
      <c r="C1879" t="s">
        <v>7227</v>
      </c>
      <c r="D1879" s="83" t="s">
        <v>5600</v>
      </c>
      <c r="E1879" t="s">
        <v>5323</v>
      </c>
      <c r="F1879" t="s">
        <v>5743</v>
      </c>
      <c r="G1879" t="s">
        <v>414</v>
      </c>
    </row>
    <row r="1880" spans="1:13" ht="15">
      <c r="A1880" t="s">
        <v>3750</v>
      </c>
      <c r="B1880" t="s">
        <v>504</v>
      </c>
      <c r="C1880" t="s">
        <v>7476</v>
      </c>
      <c r="D1880" s="83" t="s">
        <v>5602</v>
      </c>
      <c r="E1880" t="s">
        <v>5325</v>
      </c>
      <c r="F1880" t="s">
        <v>1291</v>
      </c>
      <c r="H1880" t="s">
        <v>414</v>
      </c>
      <c r="M1880" t="s">
        <v>414</v>
      </c>
    </row>
    <row r="1881" spans="1:13" ht="15">
      <c r="A1881" t="s">
        <v>3750</v>
      </c>
      <c r="B1881" t="s">
        <v>504</v>
      </c>
      <c r="C1881" t="s">
        <v>7476</v>
      </c>
      <c r="D1881" s="83" t="s">
        <v>5459</v>
      </c>
      <c r="E1881" t="s">
        <v>5182</v>
      </c>
      <c r="F1881" t="s">
        <v>486</v>
      </c>
      <c r="M1881" t="s">
        <v>414</v>
      </c>
    </row>
    <row r="1882" spans="1:13" ht="15">
      <c r="A1882" t="s">
        <v>3775</v>
      </c>
      <c r="B1882" s="12" t="s">
        <v>3302</v>
      </c>
      <c r="C1882" t="s">
        <v>1199</v>
      </c>
      <c r="D1882" t="str">
        <f>_xlfn.XLOOKUP(E1882,HCP_evidence!H:H,HCP_evidence!I:I)</f>
        <v>https://www.sante.fr/essais-cliniques/2023-505889-29-01/essai-de-phase-ii-evaluant-l-efficacite-et-la-securite-du-traitement-par-folfirinox3-chez-des-patients-atteints-d-un-cancer-du-pancreas-localement-avance-ou-metastatique-inoperable-en-premiere-ligne-de-chimiotherapie</v>
      </c>
      <c r="E1882" t="s">
        <v>1196</v>
      </c>
      <c r="G1882" t="str" cm="1">
        <f t="array" ref="G1882">_xlfn.XLOOKUP(E1882,HCP_evidence!H:H,IF(HCP_evidence!M:M="Yes","Yes",""))</f>
        <v/>
      </c>
      <c r="H1882" t="str" cm="1">
        <f t="array" ref="H1882">_xlfn.XLOOKUP(E1882,HCP_evidence!H:H,IF(HCP_evidence!K:K="Yes","Yes",""))</f>
        <v>Yes</v>
      </c>
      <c r="I1882" t="str" cm="1">
        <f t="array" ref="I1882">_xlfn.XLOOKUP(E1882,HCP_evidence!H:H,IF(HCP_evidence!J:J="Yes","Yes",""))</f>
        <v>Yes</v>
      </c>
      <c r="J1882" t="e">
        <f>IF(OR(K1882="Yes",L1882="Yes"),"Yes","")</f>
        <v>#REF!</v>
      </c>
      <c r="K1882" t="e" cm="1">
        <f t="array" ref="K1882">_xlfn.XLOOKUP(E1882,HCP_evidence!H:H,IF(HCP_evidence!#REF!="Yes","Yes",""))</f>
        <v>#REF!</v>
      </c>
      <c r="L1882" t="e" cm="1">
        <f t="array" ref="L1882">_xlfn.XLOOKUP(E1882,HCP_evidence!H:H,IF(HCP_evidence!#REF!="Yes","Yes",""))</f>
        <v>#REF!</v>
      </c>
      <c r="M1882" t="str" cm="1">
        <f t="array" ref="M1882">_xlfn.XLOOKUP(E1882,HCP_evidence!H:H,IF(HCP_evidence!N:N="Yes","Yes",""))</f>
        <v>Yes</v>
      </c>
    </row>
    <row r="1883" spans="1:13" ht="15">
      <c r="A1883" t="s">
        <v>3775</v>
      </c>
      <c r="B1883" s="12" t="s">
        <v>3302</v>
      </c>
      <c r="C1883" t="s">
        <v>6160</v>
      </c>
      <c r="D1883" s="83" t="s">
        <v>5872</v>
      </c>
      <c r="E1883" t="s">
        <v>7793</v>
      </c>
      <c r="F1883" t="s">
        <v>7794</v>
      </c>
      <c r="K1883" t="s">
        <v>414</v>
      </c>
      <c r="L1883" t="s">
        <v>414</v>
      </c>
    </row>
    <row r="1884" spans="1:13" ht="15">
      <c r="A1884" t="s">
        <v>3775</v>
      </c>
      <c r="B1884" s="12" t="s">
        <v>3302</v>
      </c>
      <c r="C1884" t="s">
        <v>6828</v>
      </c>
      <c r="D1884" s="83" t="s">
        <v>5858</v>
      </c>
      <c r="E1884" t="s">
        <v>7777</v>
      </c>
      <c r="F1884" t="s">
        <v>5755</v>
      </c>
      <c r="H1884" t="s">
        <v>414</v>
      </c>
      <c r="K1884" t="s">
        <v>414</v>
      </c>
      <c r="L1884" t="s">
        <v>414</v>
      </c>
    </row>
    <row r="1885" spans="1:13" ht="15">
      <c r="A1885" t="s">
        <v>3775</v>
      </c>
      <c r="B1885" s="12" t="s">
        <v>3302</v>
      </c>
      <c r="C1885" t="s">
        <v>7216</v>
      </c>
      <c r="D1885" s="83" t="s">
        <v>4159</v>
      </c>
      <c r="E1885" t="s">
        <v>5052</v>
      </c>
      <c r="F1885" t="s">
        <v>5741</v>
      </c>
      <c r="H1885" t="s">
        <v>414</v>
      </c>
      <c r="M1885" t="s">
        <v>414</v>
      </c>
    </row>
    <row r="1886" spans="1:13" ht="15">
      <c r="A1886" t="s">
        <v>3775</v>
      </c>
      <c r="B1886" s="12" t="s">
        <v>3302</v>
      </c>
      <c r="C1886" t="s">
        <v>7358</v>
      </c>
      <c r="D1886" s="83" t="s">
        <v>4155</v>
      </c>
      <c r="E1886" t="s">
        <v>5048</v>
      </c>
      <c r="F1886" t="s">
        <v>5829</v>
      </c>
      <c r="H1886" t="s">
        <v>414</v>
      </c>
      <c r="M1886" t="s">
        <v>414</v>
      </c>
    </row>
    <row r="1887" spans="1:13" ht="15">
      <c r="C1887" t="s">
        <v>6325</v>
      </c>
      <c r="D1887" s="83" t="s">
        <v>5616</v>
      </c>
      <c r="E1887" t="s">
        <v>5339</v>
      </c>
      <c r="F1887" t="s">
        <v>5748</v>
      </c>
      <c r="H1887" t="s">
        <v>414</v>
      </c>
      <c r="I1887" t="s">
        <v>414</v>
      </c>
      <c r="M1887" t="s">
        <v>414</v>
      </c>
    </row>
    <row r="1888" spans="1:13" ht="15">
      <c r="A1888" t="s">
        <v>3767</v>
      </c>
      <c r="B1888" t="s">
        <v>1291</v>
      </c>
      <c r="C1888" t="s">
        <v>6062</v>
      </c>
      <c r="D1888" s="83" t="s">
        <v>5609</v>
      </c>
      <c r="E1888" t="s">
        <v>5332</v>
      </c>
      <c r="F1888" t="s">
        <v>5726</v>
      </c>
      <c r="H1888" t="s">
        <v>414</v>
      </c>
      <c r="I1888" t="s">
        <v>414</v>
      </c>
    </row>
    <row r="1889" spans="1:13" ht="15">
      <c r="C1889" t="s">
        <v>6325</v>
      </c>
      <c r="D1889" s="83" t="s">
        <v>5868</v>
      </c>
      <c r="E1889" t="s">
        <v>7789</v>
      </c>
      <c r="F1889" t="s">
        <v>5748</v>
      </c>
      <c r="L1889" t="s">
        <v>414</v>
      </c>
    </row>
    <row r="1890" spans="1:13" ht="15">
      <c r="A1890" t="s">
        <v>3775</v>
      </c>
      <c r="B1890" s="12" t="s">
        <v>3302</v>
      </c>
      <c r="C1890" t="s">
        <v>6957</v>
      </c>
      <c r="D1890" s="83" t="s">
        <v>5493</v>
      </c>
      <c r="E1890" t="s">
        <v>5216</v>
      </c>
      <c r="F1890" t="s">
        <v>5755</v>
      </c>
      <c r="H1890" t="s">
        <v>414</v>
      </c>
      <c r="M1890" t="s">
        <v>414</v>
      </c>
    </row>
    <row r="1891" spans="1:13" ht="15">
      <c r="A1891" t="s">
        <v>4453</v>
      </c>
      <c r="B1891" s="81" t="s">
        <v>3175</v>
      </c>
      <c r="C1891" t="s">
        <v>7511</v>
      </c>
      <c r="D1891" s="83" t="s">
        <v>5609</v>
      </c>
      <c r="E1891" t="s">
        <v>5332</v>
      </c>
      <c r="F1891" t="s">
        <v>5726</v>
      </c>
      <c r="H1891" t="s">
        <v>414</v>
      </c>
      <c r="I1891" t="s">
        <v>414</v>
      </c>
    </row>
    <row r="1892" spans="1:13" ht="15">
      <c r="A1892" t="s">
        <v>4453</v>
      </c>
      <c r="B1892" s="81" t="s">
        <v>3175</v>
      </c>
      <c r="C1892" t="s">
        <v>7527</v>
      </c>
      <c r="D1892" s="83" t="s">
        <v>5609</v>
      </c>
      <c r="E1892" t="s">
        <v>5332</v>
      </c>
      <c r="F1892" t="s">
        <v>5726</v>
      </c>
      <c r="H1892" t="s">
        <v>414</v>
      </c>
      <c r="I1892" t="s">
        <v>414</v>
      </c>
    </row>
    <row r="1893" spans="1:13" ht="15">
      <c r="A1893" t="s">
        <v>4453</v>
      </c>
      <c r="B1893" s="81" t="s">
        <v>3175</v>
      </c>
      <c r="C1893" t="s">
        <v>7541</v>
      </c>
      <c r="D1893" s="83" t="s">
        <v>5609</v>
      </c>
      <c r="E1893" t="s">
        <v>5332</v>
      </c>
      <c r="F1893" t="s">
        <v>5726</v>
      </c>
      <c r="H1893" t="s">
        <v>414</v>
      </c>
      <c r="I1893" t="s">
        <v>414</v>
      </c>
    </row>
    <row r="1894" spans="1:13" ht="15">
      <c r="A1894" t="s">
        <v>3755</v>
      </c>
      <c r="B1894" t="s">
        <v>4533</v>
      </c>
      <c r="C1894" t="s">
        <v>7556</v>
      </c>
      <c r="D1894" s="83" t="s">
        <v>5609</v>
      </c>
      <c r="E1894" t="s">
        <v>5332</v>
      </c>
      <c r="F1894" t="s">
        <v>5726</v>
      </c>
      <c r="H1894" t="s">
        <v>414</v>
      </c>
      <c r="I1894" t="s">
        <v>414</v>
      </c>
    </row>
    <row r="1895" spans="1:13" ht="15">
      <c r="A1895" t="s">
        <v>3775</v>
      </c>
      <c r="B1895" s="12" t="s">
        <v>3302</v>
      </c>
      <c r="C1895" t="s">
        <v>7742</v>
      </c>
      <c r="D1895" s="83" t="s">
        <v>4150</v>
      </c>
      <c r="E1895" t="s">
        <v>5043</v>
      </c>
      <c r="F1895" t="s">
        <v>31</v>
      </c>
    </row>
    <row r="1896" spans="1:13" ht="15">
      <c r="A1896" t="s">
        <v>3775</v>
      </c>
      <c r="B1896" s="12" t="s">
        <v>3302</v>
      </c>
      <c r="C1896" t="s">
        <v>6808</v>
      </c>
      <c r="D1896" s="83" t="s">
        <v>4144</v>
      </c>
      <c r="E1896" t="s">
        <v>5037</v>
      </c>
      <c r="F1896" t="s">
        <v>5755</v>
      </c>
      <c r="H1896" t="s">
        <v>414</v>
      </c>
      <c r="I1896" t="s">
        <v>414</v>
      </c>
      <c r="L1896" t="s">
        <v>414</v>
      </c>
    </row>
    <row r="1897" spans="1:13" ht="15">
      <c r="A1897" t="s">
        <v>3790</v>
      </c>
      <c r="B1897" s="81" t="s">
        <v>4303</v>
      </c>
      <c r="C1897" t="s">
        <v>6600</v>
      </c>
      <c r="D1897" s="83" t="s">
        <v>5858</v>
      </c>
      <c r="E1897" t="s">
        <v>7777</v>
      </c>
      <c r="F1897" t="s">
        <v>5755</v>
      </c>
      <c r="H1897" t="s">
        <v>414</v>
      </c>
      <c r="K1897" t="s">
        <v>414</v>
      </c>
      <c r="L1897" t="s">
        <v>414</v>
      </c>
    </row>
    <row r="1898" spans="1:13" ht="15">
      <c r="A1898" t="s">
        <v>3790</v>
      </c>
      <c r="B1898" s="81" t="s">
        <v>4303</v>
      </c>
      <c r="C1898" t="s">
        <v>6600</v>
      </c>
      <c r="D1898" s="83" t="s">
        <v>4182</v>
      </c>
      <c r="E1898" t="s">
        <v>5076</v>
      </c>
      <c r="F1898" t="s">
        <v>5725</v>
      </c>
      <c r="L1898" t="s">
        <v>414</v>
      </c>
      <c r="M1898" t="s">
        <v>414</v>
      </c>
    </row>
    <row r="1899" spans="1:13" ht="15">
      <c r="A1899" t="s">
        <v>3738</v>
      </c>
      <c r="B1899" s="74" t="s">
        <v>4300</v>
      </c>
      <c r="C1899" t="s">
        <v>7610</v>
      </c>
      <c r="D1899" s="83" t="s">
        <v>5609</v>
      </c>
      <c r="E1899" t="s">
        <v>5332</v>
      </c>
      <c r="F1899" t="s">
        <v>5726</v>
      </c>
      <c r="H1899" t="s">
        <v>414</v>
      </c>
      <c r="I1899" t="s">
        <v>414</v>
      </c>
    </row>
    <row r="1900" spans="1:13" ht="15">
      <c r="A1900" t="s">
        <v>4443</v>
      </c>
      <c r="B1900" t="s">
        <v>4287</v>
      </c>
      <c r="C1900" t="s">
        <v>6548</v>
      </c>
      <c r="D1900" s="83" t="s">
        <v>5609</v>
      </c>
      <c r="E1900" t="s">
        <v>5332</v>
      </c>
      <c r="F1900" t="s">
        <v>5726</v>
      </c>
      <c r="H1900" t="s">
        <v>414</v>
      </c>
      <c r="I1900" t="s">
        <v>414</v>
      </c>
    </row>
    <row r="1901" spans="1:13" ht="15">
      <c r="A1901" t="s">
        <v>4443</v>
      </c>
      <c r="B1901" t="s">
        <v>4287</v>
      </c>
      <c r="C1901" t="s">
        <v>7623</v>
      </c>
      <c r="D1901" s="83" t="s">
        <v>5609</v>
      </c>
      <c r="E1901" t="s">
        <v>5332</v>
      </c>
      <c r="F1901" t="s">
        <v>5726</v>
      </c>
      <c r="H1901" t="s">
        <v>414</v>
      </c>
      <c r="I1901" t="s">
        <v>414</v>
      </c>
    </row>
    <row r="1902" spans="1:13" ht="15">
      <c r="A1902" t="s">
        <v>3790</v>
      </c>
      <c r="B1902" s="81" t="s">
        <v>4303</v>
      </c>
      <c r="C1902" t="s">
        <v>6315</v>
      </c>
      <c r="D1902" s="83" t="s">
        <v>5578</v>
      </c>
      <c r="E1902" t="s">
        <v>5301</v>
      </c>
      <c r="F1902" t="s">
        <v>5796</v>
      </c>
      <c r="K1902" t="s">
        <v>414</v>
      </c>
    </row>
    <row r="1903" spans="1:13" ht="15">
      <c r="A1903" t="s">
        <v>3790</v>
      </c>
      <c r="B1903" s="81" t="s">
        <v>4303</v>
      </c>
      <c r="C1903" t="s">
        <v>6315</v>
      </c>
      <c r="D1903" s="83" t="s">
        <v>4170</v>
      </c>
      <c r="E1903" t="s">
        <v>5064</v>
      </c>
      <c r="F1903" t="s">
        <v>5747</v>
      </c>
      <c r="K1903" t="s">
        <v>414</v>
      </c>
      <c r="L1903" t="s">
        <v>414</v>
      </c>
      <c r="M1903" t="s">
        <v>414</v>
      </c>
    </row>
    <row r="1904" spans="1:13" ht="15">
      <c r="A1904" t="s">
        <v>3790</v>
      </c>
      <c r="B1904" s="81" t="s">
        <v>4303</v>
      </c>
      <c r="C1904" t="s">
        <v>6315</v>
      </c>
      <c r="D1904" s="83" t="s">
        <v>5489</v>
      </c>
      <c r="E1904" t="s">
        <v>5212</v>
      </c>
      <c r="F1904" t="s">
        <v>5736</v>
      </c>
      <c r="K1904" t="s">
        <v>414</v>
      </c>
      <c r="L1904" t="s">
        <v>414</v>
      </c>
    </row>
    <row r="1905" spans="1:13" ht="15">
      <c r="A1905" t="s">
        <v>3741</v>
      </c>
      <c r="B1905" t="s">
        <v>4295</v>
      </c>
      <c r="C1905" t="s">
        <v>7654</v>
      </c>
      <c r="D1905" s="83" t="s">
        <v>5609</v>
      </c>
      <c r="E1905" t="s">
        <v>5332</v>
      </c>
      <c r="F1905" t="s">
        <v>5726</v>
      </c>
      <c r="H1905" t="s">
        <v>414</v>
      </c>
      <c r="I1905" t="s">
        <v>414</v>
      </c>
    </row>
    <row r="1906" spans="1:13" ht="15">
      <c r="A1906" t="s">
        <v>3790</v>
      </c>
      <c r="B1906" s="81" t="s">
        <v>4303</v>
      </c>
      <c r="C1906" t="s">
        <v>6315</v>
      </c>
      <c r="D1906" s="83" t="s">
        <v>4144</v>
      </c>
      <c r="E1906" t="s">
        <v>5037</v>
      </c>
      <c r="F1906" t="s">
        <v>5755</v>
      </c>
      <c r="H1906" t="s">
        <v>414</v>
      </c>
      <c r="I1906" t="s">
        <v>414</v>
      </c>
      <c r="L1906" t="s">
        <v>414</v>
      </c>
    </row>
    <row r="1907" spans="1:13" ht="15">
      <c r="A1907" t="s">
        <v>3790</v>
      </c>
      <c r="B1907" s="81" t="s">
        <v>4303</v>
      </c>
      <c r="C1907" t="s">
        <v>6315</v>
      </c>
      <c r="D1907" s="83" t="s">
        <v>5558</v>
      </c>
      <c r="E1907" t="s">
        <v>5281</v>
      </c>
      <c r="F1907" t="s">
        <v>5748</v>
      </c>
      <c r="H1907" t="s">
        <v>414</v>
      </c>
      <c r="M1907" t="s">
        <v>414</v>
      </c>
    </row>
    <row r="1908" spans="1:13" ht="15">
      <c r="A1908" t="s">
        <v>3790</v>
      </c>
      <c r="B1908" s="81" t="s">
        <v>4303</v>
      </c>
      <c r="C1908" t="s">
        <v>6315</v>
      </c>
      <c r="D1908" s="83" t="s">
        <v>5865</v>
      </c>
      <c r="E1908" t="s">
        <v>7786</v>
      </c>
      <c r="F1908" t="s">
        <v>5748</v>
      </c>
      <c r="G1908" t="s">
        <v>414</v>
      </c>
      <c r="H1908" t="s">
        <v>414</v>
      </c>
      <c r="K1908" t="s">
        <v>414</v>
      </c>
      <c r="L1908" t="s">
        <v>414</v>
      </c>
    </row>
    <row r="1909" spans="1:13" ht="15">
      <c r="A1909" t="s">
        <v>3790</v>
      </c>
      <c r="B1909" s="81" t="s">
        <v>4303</v>
      </c>
      <c r="C1909" t="s">
        <v>6315</v>
      </c>
      <c r="D1909" s="83" t="s">
        <v>5868</v>
      </c>
      <c r="E1909" t="s">
        <v>7789</v>
      </c>
      <c r="F1909" t="s">
        <v>5748</v>
      </c>
      <c r="L1909" t="s">
        <v>414</v>
      </c>
    </row>
    <row r="1910" spans="1:13" ht="15">
      <c r="A1910" t="s">
        <v>3735</v>
      </c>
      <c r="B1910" s="74" t="s">
        <v>4288</v>
      </c>
      <c r="C1910" t="s">
        <v>7689</v>
      </c>
      <c r="D1910" s="83" t="s">
        <v>5609</v>
      </c>
      <c r="E1910" t="s">
        <v>5332</v>
      </c>
      <c r="F1910" t="s">
        <v>5726</v>
      </c>
      <c r="H1910" t="s">
        <v>414</v>
      </c>
      <c r="I1910" t="s">
        <v>414</v>
      </c>
    </row>
    <row r="1911" spans="1:13" ht="15">
      <c r="A1911" t="s">
        <v>3790</v>
      </c>
      <c r="B1911" s="81" t="s">
        <v>4303</v>
      </c>
      <c r="C1911" t="s">
        <v>6315</v>
      </c>
      <c r="D1911" s="83" t="s">
        <v>5459</v>
      </c>
      <c r="E1911" t="s">
        <v>5182</v>
      </c>
      <c r="F1911" t="s">
        <v>486</v>
      </c>
      <c r="M1911" t="s">
        <v>414</v>
      </c>
    </row>
    <row r="1912" spans="1:13" ht="15">
      <c r="A1912" t="s">
        <v>3790</v>
      </c>
      <c r="B1912" s="81" t="s">
        <v>4303</v>
      </c>
      <c r="C1912" t="s">
        <v>6315</v>
      </c>
      <c r="D1912" s="83" t="s">
        <v>5654</v>
      </c>
      <c r="E1912" t="s">
        <v>5377</v>
      </c>
      <c r="F1912" t="s">
        <v>5748</v>
      </c>
      <c r="H1912" t="s">
        <v>414</v>
      </c>
      <c r="K1912" t="s">
        <v>414</v>
      </c>
      <c r="L1912" t="s">
        <v>414</v>
      </c>
    </row>
    <row r="1913" spans="1:13" ht="15">
      <c r="A1913" t="s">
        <v>3739</v>
      </c>
      <c r="B1913" s="12" t="s">
        <v>33</v>
      </c>
      <c r="C1913" t="s">
        <v>6034</v>
      </c>
      <c r="D1913" s="83" t="s">
        <v>5609</v>
      </c>
      <c r="E1913" t="s">
        <v>5332</v>
      </c>
      <c r="F1913" t="s">
        <v>5726</v>
      </c>
      <c r="H1913" t="s">
        <v>414</v>
      </c>
      <c r="I1913" t="s">
        <v>414</v>
      </c>
    </row>
    <row r="1914" spans="1:13" ht="15">
      <c r="A1914" t="s">
        <v>3747</v>
      </c>
      <c r="B1914" t="s">
        <v>4298</v>
      </c>
      <c r="C1914" t="s">
        <v>7107</v>
      </c>
      <c r="D1914" s="83" t="s">
        <v>5663</v>
      </c>
      <c r="E1914" t="s">
        <v>5386</v>
      </c>
      <c r="F1914" t="s">
        <v>5768</v>
      </c>
    </row>
    <row r="1915" spans="1:13" ht="15">
      <c r="A1915" t="s">
        <v>3790</v>
      </c>
      <c r="B1915" s="81" t="s">
        <v>4303</v>
      </c>
      <c r="C1915" t="s">
        <v>6315</v>
      </c>
      <c r="D1915" s="83" t="s">
        <v>5856</v>
      </c>
      <c r="E1915" t="s">
        <v>7775</v>
      </c>
      <c r="F1915" t="s">
        <v>5748</v>
      </c>
      <c r="L1915" t="s">
        <v>414</v>
      </c>
    </row>
    <row r="1916" spans="1:13" ht="15">
      <c r="A1916" t="s">
        <v>4448</v>
      </c>
      <c r="B1916" s="85" t="s">
        <v>1309</v>
      </c>
      <c r="C1916" t="s">
        <v>7203</v>
      </c>
      <c r="D1916" s="83" t="s">
        <v>5458</v>
      </c>
      <c r="E1916" t="s">
        <v>5181</v>
      </c>
      <c r="F1916" t="s">
        <v>5734</v>
      </c>
      <c r="H1916" t="s">
        <v>414</v>
      </c>
      <c r="I1916" t="s">
        <v>414</v>
      </c>
    </row>
    <row r="1917" spans="1:13" ht="15">
      <c r="A1917" t="s">
        <v>4448</v>
      </c>
      <c r="B1917" s="12" t="s">
        <v>1309</v>
      </c>
      <c r="C1917" t="s">
        <v>5897</v>
      </c>
      <c r="D1917" s="83" t="s">
        <v>4168</v>
      </c>
      <c r="E1917" t="s">
        <v>5062</v>
      </c>
      <c r="F1917" t="s">
        <v>5846</v>
      </c>
      <c r="L1917" t="s">
        <v>414</v>
      </c>
    </row>
    <row r="1918" spans="1:13" ht="15">
      <c r="A1918" t="s">
        <v>4448</v>
      </c>
      <c r="B1918" s="85" t="s">
        <v>1309</v>
      </c>
      <c r="C1918" t="s">
        <v>6815</v>
      </c>
      <c r="D1918" s="83" t="s">
        <v>5865</v>
      </c>
      <c r="E1918" t="s">
        <v>7786</v>
      </c>
      <c r="F1918" t="s">
        <v>5748</v>
      </c>
      <c r="G1918" t="s">
        <v>414</v>
      </c>
      <c r="H1918" t="s">
        <v>414</v>
      </c>
      <c r="K1918" t="s">
        <v>414</v>
      </c>
      <c r="L1918" t="s">
        <v>414</v>
      </c>
    </row>
    <row r="1919" spans="1:13" ht="15">
      <c r="A1919" t="s">
        <v>4448</v>
      </c>
      <c r="B1919" s="85" t="s">
        <v>1309</v>
      </c>
      <c r="C1919" t="s">
        <v>6815</v>
      </c>
      <c r="D1919" s="83" t="s">
        <v>5540</v>
      </c>
      <c r="E1919" t="s">
        <v>5263</v>
      </c>
      <c r="F1919" t="s">
        <v>5730</v>
      </c>
      <c r="H1919" t="s">
        <v>414</v>
      </c>
    </row>
    <row r="1920" spans="1:13" ht="15">
      <c r="A1920" t="s">
        <v>4448</v>
      </c>
      <c r="B1920" s="85" t="s">
        <v>1309</v>
      </c>
      <c r="C1920" t="s">
        <v>6815</v>
      </c>
      <c r="D1920" s="83" t="s">
        <v>5654</v>
      </c>
      <c r="E1920" t="s">
        <v>5377</v>
      </c>
      <c r="F1920" t="s">
        <v>5748</v>
      </c>
      <c r="H1920" t="s">
        <v>414</v>
      </c>
      <c r="K1920" t="s">
        <v>414</v>
      </c>
      <c r="L1920" t="s">
        <v>414</v>
      </c>
    </row>
    <row r="1921" spans="1:13" ht="15">
      <c r="A1921" t="s">
        <v>3750</v>
      </c>
      <c r="B1921" t="s">
        <v>504</v>
      </c>
      <c r="C1921" t="s">
        <v>5917</v>
      </c>
      <c r="D1921" s="83" t="s">
        <v>5862</v>
      </c>
      <c r="E1921" t="s">
        <v>7782</v>
      </c>
      <c r="F1921" t="s">
        <v>5741</v>
      </c>
      <c r="H1921" t="s">
        <v>414</v>
      </c>
      <c r="L1921" t="s">
        <v>414</v>
      </c>
    </row>
    <row r="1922" spans="1:13" ht="15">
      <c r="A1922" t="s">
        <v>3750</v>
      </c>
      <c r="B1922" t="s">
        <v>504</v>
      </c>
      <c r="C1922" t="s">
        <v>6609</v>
      </c>
      <c r="D1922" s="83" t="s">
        <v>5603</v>
      </c>
      <c r="E1922" t="s">
        <v>5326</v>
      </c>
      <c r="F1922" t="s">
        <v>5778</v>
      </c>
      <c r="L1922" t="s">
        <v>414</v>
      </c>
    </row>
    <row r="1923" spans="1:13" ht="15">
      <c r="A1923" t="s">
        <v>3750</v>
      </c>
      <c r="B1923" t="s">
        <v>504</v>
      </c>
      <c r="C1923" t="s">
        <v>7273</v>
      </c>
      <c r="D1923" s="83" t="s">
        <v>5575</v>
      </c>
      <c r="E1923" t="s">
        <v>5298</v>
      </c>
      <c r="F1923" t="s">
        <v>5795</v>
      </c>
      <c r="I1923" t="s">
        <v>414</v>
      </c>
      <c r="M1923" t="s">
        <v>414</v>
      </c>
    </row>
    <row r="1924" spans="1:13" ht="15">
      <c r="A1924" t="s">
        <v>3750</v>
      </c>
      <c r="B1924" t="s">
        <v>504</v>
      </c>
      <c r="C1924" t="s">
        <v>6520</v>
      </c>
      <c r="D1924" s="83" t="s">
        <v>5722</v>
      </c>
      <c r="E1924" t="s">
        <v>5446</v>
      </c>
      <c r="F1924" t="s">
        <v>5835</v>
      </c>
      <c r="H1924" t="s">
        <v>414</v>
      </c>
      <c r="K1924" t="s">
        <v>414</v>
      </c>
      <c r="L1924" t="s">
        <v>414</v>
      </c>
    </row>
    <row r="1925" spans="1:13" ht="15">
      <c r="A1925" t="s">
        <v>3750</v>
      </c>
      <c r="B1925" t="s">
        <v>504</v>
      </c>
      <c r="C1925" t="s">
        <v>6622</v>
      </c>
      <c r="D1925" s="83" t="s">
        <v>4140</v>
      </c>
      <c r="E1925" t="s">
        <v>5033</v>
      </c>
      <c r="F1925" t="s">
        <v>5741</v>
      </c>
      <c r="L1925" t="s">
        <v>414</v>
      </c>
      <c r="M1925" t="s">
        <v>414</v>
      </c>
    </row>
    <row r="1926" spans="1:13" ht="15">
      <c r="A1926" t="s">
        <v>3750</v>
      </c>
      <c r="B1926" t="s">
        <v>504</v>
      </c>
      <c r="C1926" t="s">
        <v>7103</v>
      </c>
      <c r="D1926" s="83" t="s">
        <v>4214</v>
      </c>
      <c r="E1926" t="s">
        <v>5108</v>
      </c>
      <c r="F1926" t="s">
        <v>5741</v>
      </c>
      <c r="H1926" t="s">
        <v>414</v>
      </c>
    </row>
    <row r="1927" spans="1:13" ht="15">
      <c r="A1927" t="s">
        <v>3750</v>
      </c>
      <c r="B1927" t="s">
        <v>504</v>
      </c>
      <c r="C1927" t="s">
        <v>6328</v>
      </c>
      <c r="D1927" s="83" t="s">
        <v>4159</v>
      </c>
      <c r="E1927" t="s">
        <v>5052</v>
      </c>
      <c r="F1927" t="s">
        <v>5741</v>
      </c>
      <c r="H1927" t="s">
        <v>414</v>
      </c>
      <c r="M1927" t="s">
        <v>414</v>
      </c>
    </row>
    <row r="1928" spans="1:13" ht="15">
      <c r="A1928" t="s">
        <v>3750</v>
      </c>
      <c r="B1928" t="s">
        <v>504</v>
      </c>
      <c r="C1928" t="s">
        <v>6328</v>
      </c>
      <c r="D1928" s="83" t="s">
        <v>4146</v>
      </c>
      <c r="E1928" t="s">
        <v>5039</v>
      </c>
      <c r="F1928" t="s">
        <v>5741</v>
      </c>
      <c r="L1928" t="s">
        <v>414</v>
      </c>
      <c r="M1928" t="s">
        <v>414</v>
      </c>
    </row>
    <row r="1929" spans="1:13" ht="15">
      <c r="A1929" t="s">
        <v>3773</v>
      </c>
      <c r="B1929" t="s">
        <v>1289</v>
      </c>
      <c r="C1929" t="s">
        <v>6270</v>
      </c>
      <c r="D1929" s="83" t="s">
        <v>5654</v>
      </c>
      <c r="E1929" t="s">
        <v>5377</v>
      </c>
      <c r="F1929" t="s">
        <v>5748</v>
      </c>
      <c r="H1929" t="s">
        <v>414</v>
      </c>
      <c r="K1929" t="s">
        <v>414</v>
      </c>
      <c r="L1929" t="s">
        <v>414</v>
      </c>
    </row>
    <row r="1930" spans="1:13" ht="15">
      <c r="A1930" t="s">
        <v>3750</v>
      </c>
      <c r="B1930" t="s">
        <v>504</v>
      </c>
      <c r="C1930" t="s">
        <v>5954</v>
      </c>
      <c r="D1930" s="83" t="s">
        <v>4147</v>
      </c>
      <c r="E1930" t="s">
        <v>5040</v>
      </c>
      <c r="F1930" t="s">
        <v>5741</v>
      </c>
      <c r="L1930" t="s">
        <v>414</v>
      </c>
      <c r="M1930" t="s">
        <v>414</v>
      </c>
    </row>
    <row r="1931" spans="1:13" ht="15">
      <c r="A1931" t="s">
        <v>3750</v>
      </c>
      <c r="B1931" t="s">
        <v>504</v>
      </c>
      <c r="C1931" t="s">
        <v>6391</v>
      </c>
      <c r="D1931" s="83" t="s">
        <v>5590</v>
      </c>
      <c r="E1931" t="s">
        <v>5313</v>
      </c>
      <c r="F1931" t="s">
        <v>5778</v>
      </c>
      <c r="H1931" t="s">
        <v>414</v>
      </c>
      <c r="K1931" t="s">
        <v>414</v>
      </c>
      <c r="L1931" t="s">
        <v>414</v>
      </c>
      <c r="M1931" t="s">
        <v>414</v>
      </c>
    </row>
    <row r="1932" spans="1:13" ht="15">
      <c r="A1932" t="s">
        <v>4525</v>
      </c>
      <c r="B1932" s="81" t="s">
        <v>4524</v>
      </c>
      <c r="C1932" t="s">
        <v>6714</v>
      </c>
      <c r="D1932" s="83" t="s">
        <v>5654</v>
      </c>
      <c r="E1932" t="s">
        <v>5377</v>
      </c>
      <c r="F1932" t="s">
        <v>5748</v>
      </c>
      <c r="H1932" t="s">
        <v>414</v>
      </c>
      <c r="K1932" t="s">
        <v>414</v>
      </c>
      <c r="L1932" t="s">
        <v>414</v>
      </c>
    </row>
    <row r="1933" spans="1:13" ht="15">
      <c r="A1933" t="s">
        <v>4453</v>
      </c>
      <c r="B1933" s="81" t="s">
        <v>3175</v>
      </c>
      <c r="C1933" t="s">
        <v>6747</v>
      </c>
      <c r="D1933" s="83" t="s">
        <v>5654</v>
      </c>
      <c r="E1933" t="s">
        <v>5377</v>
      </c>
      <c r="F1933" t="s">
        <v>5748</v>
      </c>
      <c r="H1933" t="s">
        <v>414</v>
      </c>
      <c r="K1933" t="s">
        <v>414</v>
      </c>
      <c r="L1933" t="s">
        <v>414</v>
      </c>
    </row>
    <row r="1934" spans="1:13" ht="15">
      <c r="A1934" t="s">
        <v>3750</v>
      </c>
      <c r="B1934" t="s">
        <v>504</v>
      </c>
      <c r="C1934" t="s">
        <v>6616</v>
      </c>
      <c r="D1934" s="83" t="s">
        <v>5634</v>
      </c>
      <c r="E1934" t="s">
        <v>5357</v>
      </c>
      <c r="F1934" t="s">
        <v>5811</v>
      </c>
      <c r="H1934" t="s">
        <v>414</v>
      </c>
      <c r="L1934" t="s">
        <v>414</v>
      </c>
      <c r="M1934" t="s">
        <v>414</v>
      </c>
    </row>
    <row r="1935" spans="1:13" ht="15">
      <c r="C1935" t="s">
        <v>6482</v>
      </c>
      <c r="D1935" s="83" t="s">
        <v>5529</v>
      </c>
      <c r="E1935" t="s">
        <v>5252</v>
      </c>
      <c r="F1935" t="s">
        <v>5748</v>
      </c>
      <c r="M1935" t="s">
        <v>414</v>
      </c>
    </row>
    <row r="1936" spans="1:13" ht="15">
      <c r="C1936" t="s">
        <v>5997</v>
      </c>
      <c r="D1936" s="83" t="s">
        <v>5480</v>
      </c>
      <c r="E1936" t="s">
        <v>5203</v>
      </c>
      <c r="F1936" t="s">
        <v>5748</v>
      </c>
      <c r="M1936" t="s">
        <v>414</v>
      </c>
    </row>
    <row r="1937" spans="1:13" ht="15">
      <c r="C1937" t="s">
        <v>5997</v>
      </c>
      <c r="D1937" s="83" t="s">
        <v>5525</v>
      </c>
      <c r="E1937" t="s">
        <v>5248</v>
      </c>
      <c r="F1937" t="s">
        <v>5759</v>
      </c>
      <c r="M1937" t="s">
        <v>414</v>
      </c>
    </row>
    <row r="1938" spans="1:13" ht="15">
      <c r="C1938" t="s">
        <v>7109</v>
      </c>
      <c r="D1938" s="83" t="s">
        <v>5665</v>
      </c>
      <c r="E1938" t="s">
        <v>5388</v>
      </c>
      <c r="F1938" t="s">
        <v>5780</v>
      </c>
    </row>
    <row r="1939" spans="1:13" ht="15">
      <c r="A1939" t="s">
        <v>3738</v>
      </c>
      <c r="B1939" s="74" t="s">
        <v>4300</v>
      </c>
      <c r="C1939" t="s">
        <v>6623</v>
      </c>
      <c r="D1939" s="83" t="s">
        <v>5654</v>
      </c>
      <c r="E1939" t="s">
        <v>5377</v>
      </c>
      <c r="F1939" t="s">
        <v>5748</v>
      </c>
      <c r="H1939" t="s">
        <v>414</v>
      </c>
      <c r="K1939" t="s">
        <v>414</v>
      </c>
      <c r="L1939" t="s">
        <v>414</v>
      </c>
    </row>
    <row r="1940" spans="1:13" ht="15">
      <c r="C1940" t="s">
        <v>5926</v>
      </c>
      <c r="D1940" s="83" t="s">
        <v>5558</v>
      </c>
      <c r="E1940" t="s">
        <v>5281</v>
      </c>
      <c r="F1940" t="s">
        <v>5748</v>
      </c>
      <c r="H1940" t="s">
        <v>414</v>
      </c>
      <c r="M1940" t="s">
        <v>414</v>
      </c>
    </row>
    <row r="1941" spans="1:13" ht="15">
      <c r="C1941" t="s">
        <v>5926</v>
      </c>
      <c r="D1941" s="83" t="s">
        <v>5865</v>
      </c>
      <c r="E1941" t="s">
        <v>7786</v>
      </c>
      <c r="F1941" t="s">
        <v>5748</v>
      </c>
      <c r="G1941" t="s">
        <v>414</v>
      </c>
      <c r="H1941" t="s">
        <v>414</v>
      </c>
      <c r="K1941" t="s">
        <v>414</v>
      </c>
      <c r="L1941" t="s">
        <v>414</v>
      </c>
    </row>
    <row r="1942" spans="1:13" ht="15">
      <c r="C1942" t="s">
        <v>5926</v>
      </c>
      <c r="D1942" s="83" t="s">
        <v>5868</v>
      </c>
      <c r="E1942" t="s">
        <v>7789</v>
      </c>
      <c r="F1942" t="s">
        <v>5748</v>
      </c>
      <c r="L1942" t="s">
        <v>414</v>
      </c>
    </row>
    <row r="1943" spans="1:13" ht="15">
      <c r="A1943" t="s">
        <v>3741</v>
      </c>
      <c r="B1943" t="s">
        <v>4295</v>
      </c>
      <c r="C1943" t="s">
        <v>6879</v>
      </c>
      <c r="D1943" s="83" t="s">
        <v>5654</v>
      </c>
      <c r="E1943" t="s">
        <v>5377</v>
      </c>
      <c r="F1943" t="s">
        <v>5748</v>
      </c>
      <c r="H1943" t="s">
        <v>414</v>
      </c>
      <c r="K1943" t="s">
        <v>414</v>
      </c>
      <c r="L1943" t="s">
        <v>414</v>
      </c>
    </row>
    <row r="1944" spans="1:13" ht="15">
      <c r="A1944" t="s">
        <v>3765</v>
      </c>
      <c r="B1944" t="s">
        <v>4302</v>
      </c>
      <c r="C1944" t="s">
        <v>6733</v>
      </c>
      <c r="D1944" s="83" t="s">
        <v>5654</v>
      </c>
      <c r="E1944" t="s">
        <v>5377</v>
      </c>
      <c r="F1944" t="s">
        <v>5748</v>
      </c>
      <c r="H1944" t="s">
        <v>414</v>
      </c>
      <c r="K1944" t="s">
        <v>414</v>
      </c>
      <c r="L1944" t="s">
        <v>414</v>
      </c>
    </row>
    <row r="1945" spans="1:13" ht="15">
      <c r="C1945" t="s">
        <v>7211</v>
      </c>
      <c r="D1945" s="83" t="s">
        <v>5526</v>
      </c>
      <c r="E1945" t="s">
        <v>5249</v>
      </c>
      <c r="F1945" t="s">
        <v>5773</v>
      </c>
      <c r="H1945" t="s">
        <v>414</v>
      </c>
      <c r="M1945" t="s">
        <v>414</v>
      </c>
    </row>
    <row r="1946" spans="1:13" ht="15">
      <c r="C1946" t="s">
        <v>7368</v>
      </c>
      <c r="D1946" s="83" t="s">
        <v>4150</v>
      </c>
      <c r="E1946" t="s">
        <v>5043</v>
      </c>
      <c r="F1946" t="s">
        <v>31</v>
      </c>
    </row>
    <row r="1947" spans="1:13" ht="15">
      <c r="C1947" t="s">
        <v>6376</v>
      </c>
      <c r="D1947" s="83" t="s">
        <v>4145</v>
      </c>
      <c r="E1947" t="s">
        <v>5038</v>
      </c>
      <c r="F1947" t="s">
        <v>5843</v>
      </c>
      <c r="G1947" t="s">
        <v>414</v>
      </c>
      <c r="K1947" t="s">
        <v>414</v>
      </c>
      <c r="L1947" t="s">
        <v>414</v>
      </c>
    </row>
    <row r="1948" spans="1:13" ht="15">
      <c r="C1948" t="s">
        <v>6698</v>
      </c>
      <c r="D1948" s="83" t="s">
        <v>5453</v>
      </c>
      <c r="E1948" t="s">
        <v>5176</v>
      </c>
      <c r="F1948" t="s">
        <v>5729</v>
      </c>
      <c r="H1948" t="s">
        <v>414</v>
      </c>
      <c r="K1948" t="s">
        <v>414</v>
      </c>
      <c r="L1948" t="s">
        <v>414</v>
      </c>
    </row>
    <row r="1949" spans="1:13" ht="15">
      <c r="C1949" t="s">
        <v>6405</v>
      </c>
      <c r="D1949" s="83" t="s">
        <v>5618</v>
      </c>
      <c r="E1949" t="s">
        <v>5341</v>
      </c>
      <c r="F1949" t="s">
        <v>5813</v>
      </c>
      <c r="H1949" t="s">
        <v>414</v>
      </c>
      <c r="K1949" t="s">
        <v>414</v>
      </c>
      <c r="M1949" t="s">
        <v>414</v>
      </c>
    </row>
    <row r="1950" spans="1:13" ht="15">
      <c r="C1950" t="s">
        <v>6367</v>
      </c>
      <c r="D1950" s="83" t="s">
        <v>5611</v>
      </c>
      <c r="E1950" t="s">
        <v>5334</v>
      </c>
      <c r="F1950" t="s">
        <v>5810</v>
      </c>
      <c r="L1950" t="s">
        <v>414</v>
      </c>
      <c r="M1950" t="s">
        <v>414</v>
      </c>
    </row>
    <row r="1951" spans="1:13" ht="15">
      <c r="A1951" t="s">
        <v>3790</v>
      </c>
      <c r="B1951" s="81" t="s">
        <v>4303</v>
      </c>
      <c r="C1951" t="s">
        <v>6661</v>
      </c>
      <c r="D1951" s="83" t="s">
        <v>5634</v>
      </c>
      <c r="E1951" t="s">
        <v>5357</v>
      </c>
      <c r="F1951" t="s">
        <v>5811</v>
      </c>
      <c r="H1951" t="s">
        <v>414</v>
      </c>
      <c r="L1951" t="s">
        <v>414</v>
      </c>
      <c r="M1951" t="s">
        <v>414</v>
      </c>
    </row>
    <row r="1952" spans="1:13" ht="15">
      <c r="C1952" t="s">
        <v>6601</v>
      </c>
      <c r="D1952" s="83" t="s">
        <v>5669</v>
      </c>
      <c r="E1952" t="s">
        <v>5392</v>
      </c>
      <c r="F1952" t="s">
        <v>5793</v>
      </c>
      <c r="G1952" t="s">
        <v>414</v>
      </c>
      <c r="K1952" t="s">
        <v>414</v>
      </c>
    </row>
    <row r="1953" spans="1:13" ht="15">
      <c r="C1953" t="s">
        <v>6859</v>
      </c>
      <c r="D1953" s="83" t="s">
        <v>5589</v>
      </c>
      <c r="E1953" t="s">
        <v>5312</v>
      </c>
      <c r="F1953" t="s">
        <v>5748</v>
      </c>
      <c r="H1953" t="s">
        <v>414</v>
      </c>
      <c r="M1953" t="s">
        <v>414</v>
      </c>
    </row>
    <row r="1954" spans="1:13" ht="15">
      <c r="C1954" t="s">
        <v>6859</v>
      </c>
      <c r="D1954" s="83" t="s">
        <v>5521</v>
      </c>
      <c r="E1954" t="s">
        <v>5244</v>
      </c>
      <c r="F1954" t="s">
        <v>5748</v>
      </c>
      <c r="H1954" t="s">
        <v>414</v>
      </c>
      <c r="I1954" t="s">
        <v>414</v>
      </c>
      <c r="L1954" t="s">
        <v>414</v>
      </c>
      <c r="M1954" t="s">
        <v>414</v>
      </c>
    </row>
    <row r="1955" spans="1:13" ht="15">
      <c r="C1955" t="s">
        <v>6809</v>
      </c>
      <c r="D1955" s="83" t="s">
        <v>5553</v>
      </c>
      <c r="E1955" t="s">
        <v>5276</v>
      </c>
      <c r="F1955" t="s">
        <v>5768</v>
      </c>
      <c r="G1955" t="s">
        <v>414</v>
      </c>
      <c r="H1955" t="s">
        <v>414</v>
      </c>
      <c r="K1955" t="s">
        <v>414</v>
      </c>
      <c r="L1955" t="s">
        <v>414</v>
      </c>
    </row>
    <row r="1956" spans="1:13" ht="15">
      <c r="C1956" t="s">
        <v>6356</v>
      </c>
      <c r="D1956" s="83" t="s">
        <v>5553</v>
      </c>
      <c r="E1956" t="s">
        <v>5276</v>
      </c>
      <c r="F1956" t="s">
        <v>5768</v>
      </c>
      <c r="G1956" t="s">
        <v>414</v>
      </c>
      <c r="H1956" t="s">
        <v>414</v>
      </c>
      <c r="K1956" t="s">
        <v>414</v>
      </c>
      <c r="L1956" t="s">
        <v>414</v>
      </c>
    </row>
    <row r="1957" spans="1:13" ht="15">
      <c r="A1957" t="s">
        <v>4448</v>
      </c>
      <c r="B1957" s="12" t="s">
        <v>1309</v>
      </c>
      <c r="C1957" t="s">
        <v>6626</v>
      </c>
      <c r="D1957" s="83" t="s">
        <v>5494</v>
      </c>
      <c r="E1957" t="s">
        <v>5217</v>
      </c>
      <c r="F1957" t="s">
        <v>5756</v>
      </c>
      <c r="L1957" t="s">
        <v>414</v>
      </c>
      <c r="M1957" t="s">
        <v>414</v>
      </c>
    </row>
    <row r="1958" spans="1:13" ht="15">
      <c r="C1958" t="s">
        <v>6644</v>
      </c>
      <c r="D1958" s="83" t="s">
        <v>5553</v>
      </c>
      <c r="E1958" t="s">
        <v>5276</v>
      </c>
      <c r="F1958" t="s">
        <v>5768</v>
      </c>
      <c r="G1958" t="s">
        <v>414</v>
      </c>
      <c r="H1958" t="s">
        <v>414</v>
      </c>
      <c r="K1958" t="s">
        <v>414</v>
      </c>
      <c r="L1958" t="s">
        <v>414</v>
      </c>
    </row>
    <row r="1959" spans="1:13" ht="15">
      <c r="C1959" t="s">
        <v>6703</v>
      </c>
      <c r="D1959" s="83" t="s">
        <v>5553</v>
      </c>
      <c r="E1959" t="s">
        <v>5276</v>
      </c>
      <c r="F1959" t="s">
        <v>5768</v>
      </c>
      <c r="G1959" t="s">
        <v>414</v>
      </c>
      <c r="H1959" t="s">
        <v>414</v>
      </c>
      <c r="K1959" t="s">
        <v>414</v>
      </c>
      <c r="L1959" t="s">
        <v>414</v>
      </c>
    </row>
    <row r="1960" spans="1:13" ht="15">
      <c r="C1960" t="s">
        <v>6771</v>
      </c>
      <c r="D1960" s="83" t="s">
        <v>5553</v>
      </c>
      <c r="E1960" t="s">
        <v>5276</v>
      </c>
      <c r="F1960" t="s">
        <v>5768</v>
      </c>
      <c r="G1960" t="s">
        <v>414</v>
      </c>
      <c r="H1960" t="s">
        <v>414</v>
      </c>
      <c r="K1960" t="s">
        <v>414</v>
      </c>
      <c r="L1960" t="s">
        <v>414</v>
      </c>
    </row>
    <row r="1961" spans="1:13" ht="15">
      <c r="C1961" t="s">
        <v>6558</v>
      </c>
      <c r="D1961" s="83" t="s">
        <v>5553</v>
      </c>
      <c r="E1961" t="s">
        <v>5276</v>
      </c>
      <c r="F1961" t="s">
        <v>5768</v>
      </c>
      <c r="G1961" t="s">
        <v>414</v>
      </c>
      <c r="H1961" t="s">
        <v>414</v>
      </c>
      <c r="K1961" t="s">
        <v>414</v>
      </c>
      <c r="L1961" t="s">
        <v>414</v>
      </c>
    </row>
    <row r="1962" spans="1:13" ht="15">
      <c r="A1962" t="s">
        <v>3139</v>
      </c>
      <c r="B1962" t="s">
        <v>4285</v>
      </c>
      <c r="C1962" t="s">
        <v>6762</v>
      </c>
      <c r="D1962" s="83" t="s">
        <v>5494</v>
      </c>
      <c r="E1962" t="s">
        <v>5217</v>
      </c>
      <c r="F1962" t="s">
        <v>5756</v>
      </c>
      <c r="L1962" t="s">
        <v>414</v>
      </c>
      <c r="M1962" t="s">
        <v>414</v>
      </c>
    </row>
    <row r="1963" spans="1:13" ht="15">
      <c r="A1963" t="s">
        <v>4443</v>
      </c>
      <c r="B1963" t="s">
        <v>4287</v>
      </c>
      <c r="C1963" t="s">
        <v>6782</v>
      </c>
      <c r="D1963" s="83" t="s">
        <v>5494</v>
      </c>
      <c r="E1963" t="s">
        <v>5217</v>
      </c>
      <c r="F1963" t="s">
        <v>5756</v>
      </c>
      <c r="L1963" t="s">
        <v>414</v>
      </c>
      <c r="M1963" t="s">
        <v>414</v>
      </c>
    </row>
    <row r="1964" spans="1:13" ht="15">
      <c r="A1964" t="s">
        <v>3738</v>
      </c>
      <c r="B1964" s="74" t="s">
        <v>4300</v>
      </c>
      <c r="C1964" t="s">
        <v>6803</v>
      </c>
      <c r="D1964" s="83" t="s">
        <v>5494</v>
      </c>
      <c r="E1964" t="s">
        <v>5217</v>
      </c>
      <c r="F1964" t="s">
        <v>5756</v>
      </c>
      <c r="L1964" t="s">
        <v>414</v>
      </c>
      <c r="M1964" t="s">
        <v>414</v>
      </c>
    </row>
    <row r="1965" spans="1:13" ht="15">
      <c r="A1965" t="s">
        <v>3740</v>
      </c>
      <c r="B1965" t="s">
        <v>3444</v>
      </c>
      <c r="C1965" t="s">
        <v>6818</v>
      </c>
      <c r="D1965" s="83" t="s">
        <v>5494</v>
      </c>
      <c r="E1965" t="s">
        <v>5217</v>
      </c>
      <c r="F1965" t="s">
        <v>5756</v>
      </c>
      <c r="L1965" t="s">
        <v>414</v>
      </c>
      <c r="M1965" t="s">
        <v>414</v>
      </c>
    </row>
    <row r="1966" spans="1:13" ht="15">
      <c r="C1966" t="s">
        <v>6793</v>
      </c>
      <c r="D1966" s="83" t="s">
        <v>5553</v>
      </c>
      <c r="E1966" t="s">
        <v>5276</v>
      </c>
      <c r="F1966" t="s">
        <v>5768</v>
      </c>
      <c r="G1966" t="s">
        <v>414</v>
      </c>
      <c r="H1966" t="s">
        <v>414</v>
      </c>
      <c r="K1966" t="s">
        <v>414</v>
      </c>
      <c r="L1966" t="s">
        <v>414</v>
      </c>
    </row>
    <row r="1967" spans="1:13" ht="15">
      <c r="C1967" t="s">
        <v>6728</v>
      </c>
      <c r="D1967" s="83" t="s">
        <v>5553</v>
      </c>
      <c r="E1967" t="s">
        <v>5276</v>
      </c>
      <c r="F1967" t="s">
        <v>5768</v>
      </c>
      <c r="G1967" t="s">
        <v>414</v>
      </c>
      <c r="H1967" t="s">
        <v>414</v>
      </c>
      <c r="K1967" t="s">
        <v>414</v>
      </c>
      <c r="L1967" t="s">
        <v>414</v>
      </c>
    </row>
    <row r="1968" spans="1:13" ht="15">
      <c r="C1968" t="s">
        <v>6678</v>
      </c>
      <c r="D1968" s="83" t="s">
        <v>5553</v>
      </c>
      <c r="E1968" t="s">
        <v>5276</v>
      </c>
      <c r="F1968" t="s">
        <v>5768</v>
      </c>
      <c r="G1968" t="s">
        <v>414</v>
      </c>
      <c r="H1968" t="s">
        <v>414</v>
      </c>
      <c r="K1968" t="s">
        <v>414</v>
      </c>
      <c r="L1968" t="s">
        <v>414</v>
      </c>
    </row>
    <row r="1969" spans="3:13" ht="15">
      <c r="C1969" t="s">
        <v>6748</v>
      </c>
      <c r="D1969" s="83" t="s">
        <v>5553</v>
      </c>
      <c r="E1969" t="s">
        <v>5276</v>
      </c>
      <c r="F1969" t="s">
        <v>5768</v>
      </c>
      <c r="G1969" t="s">
        <v>414</v>
      </c>
      <c r="H1969" t="s">
        <v>414</v>
      </c>
      <c r="K1969" t="s">
        <v>414</v>
      </c>
      <c r="L1969" t="s">
        <v>414</v>
      </c>
    </row>
    <row r="1970" spans="3:13" ht="15">
      <c r="C1970" t="s">
        <v>6439</v>
      </c>
      <c r="D1970" s="83" t="s">
        <v>5553</v>
      </c>
      <c r="E1970" t="s">
        <v>5276</v>
      </c>
      <c r="F1970" t="s">
        <v>5768</v>
      </c>
      <c r="G1970" t="s">
        <v>414</v>
      </c>
      <c r="H1970" t="s">
        <v>414</v>
      </c>
      <c r="K1970" t="s">
        <v>414</v>
      </c>
      <c r="L1970" t="s">
        <v>414</v>
      </c>
    </row>
    <row r="1971" spans="3:13" ht="15">
      <c r="C1971" t="s">
        <v>6145</v>
      </c>
      <c r="D1971" s="83" t="s">
        <v>5553</v>
      </c>
      <c r="E1971" t="s">
        <v>5276</v>
      </c>
      <c r="F1971" t="s">
        <v>5768</v>
      </c>
      <c r="G1971" t="s">
        <v>414</v>
      </c>
      <c r="H1971" t="s">
        <v>414</v>
      </c>
      <c r="K1971" t="s">
        <v>414</v>
      </c>
      <c r="L1971" t="s">
        <v>414</v>
      </c>
    </row>
    <row r="1972" spans="3:13" ht="15">
      <c r="C1972" t="s">
        <v>6013</v>
      </c>
      <c r="D1972" s="83" t="s">
        <v>5553</v>
      </c>
      <c r="E1972" t="s">
        <v>5276</v>
      </c>
      <c r="F1972" t="s">
        <v>5768</v>
      </c>
      <c r="G1972" t="s">
        <v>414</v>
      </c>
      <c r="H1972" t="s">
        <v>414</v>
      </c>
      <c r="K1972" t="s">
        <v>414</v>
      </c>
      <c r="L1972" t="s">
        <v>414</v>
      </c>
    </row>
    <row r="1973" spans="3:13" ht="15">
      <c r="C1973" t="s">
        <v>6262</v>
      </c>
      <c r="D1973" s="83" t="s">
        <v>5553</v>
      </c>
      <c r="E1973" t="s">
        <v>5276</v>
      </c>
      <c r="F1973" t="s">
        <v>5768</v>
      </c>
      <c r="G1973" t="s">
        <v>414</v>
      </c>
      <c r="H1973" t="s">
        <v>414</v>
      </c>
      <c r="K1973" t="s">
        <v>414</v>
      </c>
      <c r="L1973" t="s">
        <v>414</v>
      </c>
    </row>
    <row r="1974" spans="3:13" ht="15">
      <c r="C1974" t="s">
        <v>6598</v>
      </c>
      <c r="D1974" s="83" t="s">
        <v>5553</v>
      </c>
      <c r="E1974" t="s">
        <v>5276</v>
      </c>
      <c r="F1974" t="s">
        <v>5768</v>
      </c>
      <c r="G1974" t="s">
        <v>414</v>
      </c>
      <c r="H1974" t="s">
        <v>414</v>
      </c>
      <c r="K1974" t="s">
        <v>414</v>
      </c>
      <c r="L1974" t="s">
        <v>414</v>
      </c>
    </row>
    <row r="1975" spans="3:13" ht="15">
      <c r="C1975" t="s">
        <v>6501</v>
      </c>
      <c r="D1975" s="83" t="s">
        <v>5553</v>
      </c>
      <c r="E1975" t="s">
        <v>5276</v>
      </c>
      <c r="F1975" t="s">
        <v>5768</v>
      </c>
      <c r="G1975" t="s">
        <v>414</v>
      </c>
      <c r="H1975" t="s">
        <v>414</v>
      </c>
      <c r="K1975" t="s">
        <v>414</v>
      </c>
      <c r="L1975" t="s">
        <v>414</v>
      </c>
    </row>
    <row r="1976" spans="3:13" ht="15">
      <c r="C1976" t="s">
        <v>5980</v>
      </c>
      <c r="D1976" s="83" t="s">
        <v>5518</v>
      </c>
      <c r="E1976" t="s">
        <v>5241</v>
      </c>
      <c r="F1976" t="s">
        <v>5770</v>
      </c>
      <c r="H1976" t="s">
        <v>414</v>
      </c>
      <c r="K1976" t="s">
        <v>414</v>
      </c>
      <c r="L1976" t="s">
        <v>414</v>
      </c>
      <c r="M1976" t="s">
        <v>414</v>
      </c>
    </row>
    <row r="1977" spans="3:13" ht="15">
      <c r="C1977" t="s">
        <v>7086</v>
      </c>
      <c r="D1977" s="83" t="s">
        <v>5599</v>
      </c>
      <c r="E1977" t="s">
        <v>5322</v>
      </c>
      <c r="F1977" t="s">
        <v>5804</v>
      </c>
    </row>
    <row r="1978" spans="3:13" ht="15">
      <c r="C1978" t="s">
        <v>6129</v>
      </c>
      <c r="D1978" s="83" t="s">
        <v>5518</v>
      </c>
      <c r="E1978" t="s">
        <v>5241</v>
      </c>
      <c r="F1978" t="s">
        <v>5770</v>
      </c>
      <c r="H1978" t="s">
        <v>414</v>
      </c>
      <c r="K1978" t="s">
        <v>414</v>
      </c>
      <c r="L1978" t="s">
        <v>414</v>
      </c>
      <c r="M1978" t="s">
        <v>414</v>
      </c>
    </row>
    <row r="1979" spans="3:13" ht="15">
      <c r="C1979" t="s">
        <v>6244</v>
      </c>
      <c r="D1979" s="83" t="s">
        <v>5518</v>
      </c>
      <c r="E1979" t="s">
        <v>5241</v>
      </c>
      <c r="F1979" t="s">
        <v>5770</v>
      </c>
      <c r="H1979" t="s">
        <v>414</v>
      </c>
      <c r="K1979" t="s">
        <v>414</v>
      </c>
      <c r="L1979" t="s">
        <v>414</v>
      </c>
      <c r="M1979" t="s">
        <v>414</v>
      </c>
    </row>
    <row r="1980" spans="3:13" ht="15">
      <c r="C1980" t="s">
        <v>6341</v>
      </c>
      <c r="D1980" s="83" t="s">
        <v>5518</v>
      </c>
      <c r="E1980" t="s">
        <v>5241</v>
      </c>
      <c r="F1980" t="s">
        <v>5770</v>
      </c>
      <c r="H1980" t="s">
        <v>414</v>
      </c>
      <c r="K1980" t="s">
        <v>414</v>
      </c>
      <c r="L1980" t="s">
        <v>414</v>
      </c>
      <c r="M1980" t="s">
        <v>414</v>
      </c>
    </row>
    <row r="1981" spans="3:13" ht="15">
      <c r="C1981" t="s">
        <v>6424</v>
      </c>
      <c r="D1981" s="83" t="s">
        <v>5518</v>
      </c>
      <c r="E1981" t="s">
        <v>5241</v>
      </c>
      <c r="F1981" t="s">
        <v>5770</v>
      </c>
      <c r="H1981" t="s">
        <v>414</v>
      </c>
      <c r="K1981" t="s">
        <v>414</v>
      </c>
      <c r="L1981" t="s">
        <v>414</v>
      </c>
      <c r="M1981" t="s">
        <v>414</v>
      </c>
    </row>
    <row r="1982" spans="3:13" ht="15">
      <c r="C1982" t="s">
        <v>6565</v>
      </c>
      <c r="D1982" s="83" t="s">
        <v>5718</v>
      </c>
      <c r="E1982" t="s">
        <v>5442</v>
      </c>
      <c r="F1982" t="s">
        <v>5845</v>
      </c>
      <c r="H1982" t="s">
        <v>414</v>
      </c>
      <c r="I1982" t="s">
        <v>414</v>
      </c>
      <c r="K1982" t="s">
        <v>414</v>
      </c>
      <c r="L1982" t="s">
        <v>414</v>
      </c>
    </row>
    <row r="1983" spans="3:13" ht="15">
      <c r="C1983" t="s">
        <v>7280</v>
      </c>
      <c r="D1983" s="83" t="s">
        <v>5617</v>
      </c>
      <c r="E1983" t="s">
        <v>5340</v>
      </c>
      <c r="F1983" t="s">
        <v>5812</v>
      </c>
    </row>
    <row r="1984" spans="3:13" ht="15">
      <c r="C1984" t="s">
        <v>7482</v>
      </c>
      <c r="D1984" s="83" t="s">
        <v>4152</v>
      </c>
      <c r="E1984" t="s">
        <v>5045</v>
      </c>
      <c r="F1984" t="s">
        <v>301</v>
      </c>
      <c r="M1984" t="s">
        <v>414</v>
      </c>
    </row>
    <row r="1985" spans="1:13" ht="15">
      <c r="C1985" t="s">
        <v>7355</v>
      </c>
      <c r="D1985" s="83" t="s">
        <v>5629</v>
      </c>
      <c r="E1985" t="s">
        <v>5352</v>
      </c>
      <c r="F1985" t="s">
        <v>5812</v>
      </c>
      <c r="I1985" t="s">
        <v>414</v>
      </c>
    </row>
    <row r="1986" spans="1:13" ht="15">
      <c r="C1986" t="s">
        <v>7174</v>
      </c>
      <c r="D1986" s="83" t="s">
        <v>5601</v>
      </c>
      <c r="E1986" t="s">
        <v>5324</v>
      </c>
      <c r="F1986" t="s">
        <v>5727</v>
      </c>
      <c r="H1986" t="s">
        <v>414</v>
      </c>
      <c r="K1986" t="s">
        <v>414</v>
      </c>
      <c r="L1986" t="s">
        <v>414</v>
      </c>
      <c r="M1986" t="s">
        <v>414</v>
      </c>
    </row>
    <row r="1987" spans="1:13" ht="15">
      <c r="A1987" t="s">
        <v>3742</v>
      </c>
      <c r="B1987" s="74" t="s">
        <v>4294</v>
      </c>
      <c r="C1987" t="s">
        <v>6326</v>
      </c>
      <c r="D1987" s="83" t="s">
        <v>4160</v>
      </c>
      <c r="E1987" t="s">
        <v>5053</v>
      </c>
      <c r="F1987" t="s">
        <v>5778</v>
      </c>
      <c r="L1987" t="s">
        <v>414</v>
      </c>
    </row>
    <row r="1988" spans="1:13" ht="15">
      <c r="C1988" t="s">
        <v>6330</v>
      </c>
      <c r="D1988" s="83" t="s">
        <v>4157</v>
      </c>
      <c r="E1988" t="s">
        <v>5050</v>
      </c>
      <c r="F1988" t="s">
        <v>60</v>
      </c>
      <c r="K1988" t="s">
        <v>414</v>
      </c>
      <c r="L1988" t="s">
        <v>414</v>
      </c>
    </row>
    <row r="1989" spans="1:13" ht="15">
      <c r="C1989" t="s">
        <v>5953</v>
      </c>
      <c r="D1989" s="83" t="s">
        <v>4157</v>
      </c>
      <c r="E1989" t="s">
        <v>5050</v>
      </c>
      <c r="F1989" t="s">
        <v>60</v>
      </c>
      <c r="K1989" t="s">
        <v>414</v>
      </c>
      <c r="L1989" t="s">
        <v>414</v>
      </c>
    </row>
    <row r="1990" spans="1:13" ht="15">
      <c r="C1990" t="s">
        <v>7462</v>
      </c>
      <c r="D1990" s="83" t="s">
        <v>5877</v>
      </c>
      <c r="E1990" t="s">
        <v>7801</v>
      </c>
      <c r="F1990" t="s">
        <v>27</v>
      </c>
      <c r="M1990" t="s">
        <v>414</v>
      </c>
    </row>
    <row r="1991" spans="1:13" ht="15">
      <c r="C1991" t="s">
        <v>7196</v>
      </c>
      <c r="D1991" s="83" t="s">
        <v>5877</v>
      </c>
      <c r="E1991" t="s">
        <v>7801</v>
      </c>
      <c r="F1991" t="s">
        <v>27</v>
      </c>
      <c r="M1991" t="s">
        <v>414</v>
      </c>
    </row>
    <row r="1992" spans="1:13" ht="15">
      <c r="C1992" t="s">
        <v>7245</v>
      </c>
      <c r="D1992" s="83" t="s">
        <v>5877</v>
      </c>
      <c r="E1992" t="s">
        <v>7801</v>
      </c>
      <c r="F1992" t="s">
        <v>27</v>
      </c>
      <c r="M1992" t="s">
        <v>414</v>
      </c>
    </row>
    <row r="1993" spans="1:13" ht="15">
      <c r="C1993" t="s">
        <v>7530</v>
      </c>
      <c r="D1993" s="83" t="s">
        <v>5877</v>
      </c>
      <c r="E1993" t="s">
        <v>7801</v>
      </c>
      <c r="F1993" t="s">
        <v>27</v>
      </c>
      <c r="M1993" t="s">
        <v>414</v>
      </c>
    </row>
    <row r="1994" spans="1:13" ht="15">
      <c r="C1994" t="s">
        <v>6184</v>
      </c>
      <c r="D1994" s="83" t="s">
        <v>5678</v>
      </c>
      <c r="E1994" t="s">
        <v>5401</v>
      </c>
      <c r="F1994" t="s">
        <v>1291</v>
      </c>
      <c r="H1994" t="s">
        <v>414</v>
      </c>
      <c r="M1994" t="s">
        <v>414</v>
      </c>
    </row>
    <row r="1995" spans="1:13" ht="15">
      <c r="C1995" t="s">
        <v>7514</v>
      </c>
      <c r="D1995" s="83" t="s">
        <v>5877</v>
      </c>
      <c r="E1995" t="s">
        <v>7801</v>
      </c>
      <c r="F1995" t="s">
        <v>27</v>
      </c>
      <c r="M1995" t="s">
        <v>414</v>
      </c>
    </row>
    <row r="1996" spans="1:13" ht="15">
      <c r="C1996" t="s">
        <v>7332</v>
      </c>
      <c r="D1996" s="83" t="s">
        <v>5877</v>
      </c>
      <c r="E1996" t="s">
        <v>7801</v>
      </c>
      <c r="F1996" t="s">
        <v>27</v>
      </c>
      <c r="M1996" t="s">
        <v>414</v>
      </c>
    </row>
    <row r="1997" spans="1:13" ht="15">
      <c r="C1997" t="s">
        <v>6942</v>
      </c>
      <c r="D1997" s="83" t="s">
        <v>5854</v>
      </c>
      <c r="E1997" t="s">
        <v>7772</v>
      </c>
      <c r="F1997" t="s">
        <v>7773</v>
      </c>
      <c r="L1997" t="s">
        <v>414</v>
      </c>
    </row>
    <row r="1998" spans="1:13" ht="15">
      <c r="C1998" t="s">
        <v>7421</v>
      </c>
      <c r="D1998" s="83" t="s">
        <v>5877</v>
      </c>
      <c r="E1998" t="s">
        <v>7801</v>
      </c>
      <c r="F1998" t="s">
        <v>27</v>
      </c>
      <c r="M1998" t="s">
        <v>414</v>
      </c>
    </row>
    <row r="1999" spans="1:13" ht="15">
      <c r="A1999" t="s">
        <v>3750</v>
      </c>
      <c r="B1999" t="s">
        <v>504</v>
      </c>
      <c r="C1999" t="s">
        <v>6339</v>
      </c>
      <c r="D1999" s="83" t="s">
        <v>5574</v>
      </c>
      <c r="E1999" t="s">
        <v>5297</v>
      </c>
      <c r="F1999" t="s">
        <v>5794</v>
      </c>
      <c r="H1999" t="s">
        <v>414</v>
      </c>
      <c r="M1999" t="s">
        <v>414</v>
      </c>
    </row>
    <row r="2000" spans="1:13" ht="15">
      <c r="C2000" t="s">
        <v>7373</v>
      </c>
      <c r="D2000" s="83" t="s">
        <v>5512</v>
      </c>
      <c r="E2000" t="s">
        <v>5235</v>
      </c>
      <c r="F2000" t="s">
        <v>5769</v>
      </c>
      <c r="M2000" t="s">
        <v>414</v>
      </c>
    </row>
    <row r="2001" spans="1:13" ht="15">
      <c r="C2001" t="s">
        <v>7146</v>
      </c>
      <c r="D2001" s="83" t="s">
        <v>5483</v>
      </c>
      <c r="E2001" t="s">
        <v>5206</v>
      </c>
      <c r="F2001" t="s">
        <v>5743</v>
      </c>
      <c r="H2001" t="s">
        <v>414</v>
      </c>
      <c r="I2001" t="s">
        <v>414</v>
      </c>
    </row>
    <row r="2002" spans="1:13" ht="15">
      <c r="C2002" t="s">
        <v>7146</v>
      </c>
      <c r="D2002" s="83" t="s">
        <v>5560</v>
      </c>
      <c r="E2002" t="s">
        <v>5283</v>
      </c>
      <c r="F2002" t="s">
        <v>5790</v>
      </c>
      <c r="H2002" t="s">
        <v>414</v>
      </c>
      <c r="M2002" t="s">
        <v>414</v>
      </c>
    </row>
    <row r="2003" spans="1:13" ht="15">
      <c r="C2003" t="s">
        <v>7305</v>
      </c>
      <c r="D2003" s="83" t="s">
        <v>5535</v>
      </c>
      <c r="E2003" t="s">
        <v>5258</v>
      </c>
      <c r="F2003" t="s">
        <v>5779</v>
      </c>
      <c r="H2003" t="s">
        <v>414</v>
      </c>
      <c r="M2003" t="s">
        <v>414</v>
      </c>
    </row>
    <row r="2004" spans="1:13" ht="15">
      <c r="A2004" t="s">
        <v>3790</v>
      </c>
      <c r="B2004" s="81" t="s">
        <v>4303</v>
      </c>
      <c r="C2004" t="s">
        <v>6924</v>
      </c>
      <c r="D2004" s="83" t="s">
        <v>5589</v>
      </c>
      <c r="E2004" t="s">
        <v>5312</v>
      </c>
      <c r="F2004" t="s">
        <v>5748</v>
      </c>
      <c r="H2004" t="s">
        <v>414</v>
      </c>
      <c r="M2004" t="s">
        <v>414</v>
      </c>
    </row>
    <row r="2005" spans="1:13" ht="15">
      <c r="A2005" t="s">
        <v>7923</v>
      </c>
      <c r="C2005" t="s">
        <v>6061</v>
      </c>
      <c r="D2005" s="83" t="s">
        <v>5659</v>
      </c>
      <c r="E2005" t="s">
        <v>5382</v>
      </c>
      <c r="F2005" t="s">
        <v>5799</v>
      </c>
      <c r="G2005" t="s">
        <v>414</v>
      </c>
      <c r="K2005" t="s">
        <v>414</v>
      </c>
      <c r="L2005" t="s">
        <v>414</v>
      </c>
    </row>
    <row r="2006" spans="1:13" ht="15">
      <c r="A2006" t="s">
        <v>7923</v>
      </c>
      <c r="C2006" t="s">
        <v>6529</v>
      </c>
      <c r="D2006" s="83" t="s">
        <v>4142</v>
      </c>
      <c r="E2006" t="s">
        <v>5035</v>
      </c>
      <c r="F2006" t="s">
        <v>5799</v>
      </c>
      <c r="H2006" t="s">
        <v>414</v>
      </c>
      <c r="K2006" t="s">
        <v>414</v>
      </c>
      <c r="L2006" t="s">
        <v>414</v>
      </c>
    </row>
    <row r="2007" spans="1:13" ht="15">
      <c r="A2007" t="s">
        <v>7923</v>
      </c>
      <c r="C2007" t="s">
        <v>5902</v>
      </c>
      <c r="D2007" s="83" t="s">
        <v>4142</v>
      </c>
      <c r="E2007" t="s">
        <v>5035</v>
      </c>
      <c r="F2007" t="s">
        <v>5799</v>
      </c>
      <c r="H2007" t="s">
        <v>414</v>
      </c>
      <c r="K2007" t="s">
        <v>414</v>
      </c>
      <c r="L2007" t="s">
        <v>414</v>
      </c>
    </row>
    <row r="2008" spans="1:13" ht="15">
      <c r="A2008" t="s">
        <v>7923</v>
      </c>
      <c r="C2008" t="s">
        <v>7275</v>
      </c>
      <c r="D2008" s="83" t="s">
        <v>5587</v>
      </c>
      <c r="E2008" t="s">
        <v>5310</v>
      </c>
      <c r="F2008" t="s">
        <v>5799</v>
      </c>
      <c r="H2008" t="s">
        <v>414</v>
      </c>
    </row>
    <row r="2009" spans="1:13" ht="15">
      <c r="A2009" t="s">
        <v>7923</v>
      </c>
      <c r="C2009" t="s">
        <v>7170</v>
      </c>
      <c r="D2009" s="83" t="s">
        <v>5587</v>
      </c>
      <c r="E2009" t="s">
        <v>5310</v>
      </c>
      <c r="F2009" t="s">
        <v>5799</v>
      </c>
      <c r="H2009" t="s">
        <v>414</v>
      </c>
    </row>
    <row r="2010" spans="1:13" ht="15">
      <c r="A2010" t="s">
        <v>7923</v>
      </c>
      <c r="C2010" t="s">
        <v>7082</v>
      </c>
      <c r="D2010" s="83" t="s">
        <v>5587</v>
      </c>
      <c r="E2010" t="s">
        <v>5310</v>
      </c>
      <c r="F2010" t="s">
        <v>5799</v>
      </c>
      <c r="H2010" t="s">
        <v>414</v>
      </c>
    </row>
    <row r="2011" spans="1:13" ht="15">
      <c r="A2011" t="s">
        <v>7923</v>
      </c>
      <c r="C2011" t="s">
        <v>7224</v>
      </c>
      <c r="D2011" s="83" t="s">
        <v>5587</v>
      </c>
      <c r="E2011" t="s">
        <v>5310</v>
      </c>
      <c r="F2011" t="s">
        <v>5799</v>
      </c>
      <c r="H2011" t="s">
        <v>414</v>
      </c>
    </row>
    <row r="2012" spans="1:13" ht="15">
      <c r="A2012" t="s">
        <v>7923</v>
      </c>
      <c r="C2012" t="s">
        <v>6705</v>
      </c>
      <c r="D2012" s="83" t="s">
        <v>5588</v>
      </c>
      <c r="E2012" t="s">
        <v>5311</v>
      </c>
      <c r="F2012" t="s">
        <v>5740</v>
      </c>
      <c r="M2012" t="s">
        <v>414</v>
      </c>
    </row>
    <row r="2013" spans="1:13" ht="15">
      <c r="A2013" t="s">
        <v>7923</v>
      </c>
      <c r="C2013" t="s">
        <v>6810</v>
      </c>
      <c r="D2013" s="83" t="s">
        <v>5588</v>
      </c>
      <c r="E2013" t="s">
        <v>5311</v>
      </c>
      <c r="F2013" t="s">
        <v>5740</v>
      </c>
      <c r="M2013" t="s">
        <v>414</v>
      </c>
    </row>
    <row r="2014" spans="1:13" ht="15">
      <c r="A2014" t="s">
        <v>7923</v>
      </c>
      <c r="C2014" t="s">
        <v>6560</v>
      </c>
      <c r="D2014" s="83" t="s">
        <v>5588</v>
      </c>
      <c r="E2014" t="s">
        <v>5311</v>
      </c>
      <c r="F2014" t="s">
        <v>5740</v>
      </c>
      <c r="M2014" t="s">
        <v>414</v>
      </c>
    </row>
    <row r="2015" spans="1:13" ht="15">
      <c r="A2015" t="s">
        <v>7923</v>
      </c>
      <c r="C2015" t="s">
        <v>6149</v>
      </c>
      <c r="D2015" s="83" t="s">
        <v>5588</v>
      </c>
      <c r="E2015" t="s">
        <v>5311</v>
      </c>
      <c r="F2015" t="s">
        <v>5740</v>
      </c>
      <c r="M2015" t="s">
        <v>414</v>
      </c>
    </row>
    <row r="2016" spans="1:13" ht="15">
      <c r="A2016" t="s">
        <v>7923</v>
      </c>
      <c r="C2016" t="s">
        <v>6823</v>
      </c>
      <c r="D2016" s="83" t="s">
        <v>5588</v>
      </c>
      <c r="E2016" t="s">
        <v>5311</v>
      </c>
      <c r="F2016" t="s">
        <v>5740</v>
      </c>
      <c r="M2016" t="s">
        <v>414</v>
      </c>
    </row>
    <row r="2017" spans="1:13" ht="15">
      <c r="A2017" t="s">
        <v>7923</v>
      </c>
      <c r="C2017" t="s">
        <v>6442</v>
      </c>
      <c r="D2017" s="83" t="s">
        <v>5588</v>
      </c>
      <c r="E2017" t="s">
        <v>5311</v>
      </c>
      <c r="F2017" t="s">
        <v>5740</v>
      </c>
      <c r="M2017" t="s">
        <v>414</v>
      </c>
    </row>
    <row r="2018" spans="1:13" ht="15">
      <c r="A2018" t="s">
        <v>7923</v>
      </c>
      <c r="C2018" t="s">
        <v>6647</v>
      </c>
      <c r="D2018" s="83" t="s">
        <v>5588</v>
      </c>
      <c r="E2018" t="s">
        <v>5311</v>
      </c>
      <c r="F2018" t="s">
        <v>5740</v>
      </c>
      <c r="M2018" t="s">
        <v>414</v>
      </c>
    </row>
    <row r="2019" spans="1:13" ht="15">
      <c r="A2019" t="s">
        <v>7923</v>
      </c>
      <c r="C2019" t="s">
        <v>6772</v>
      </c>
      <c r="D2019" s="83" t="s">
        <v>5588</v>
      </c>
      <c r="E2019" t="s">
        <v>5311</v>
      </c>
      <c r="F2019" t="s">
        <v>5740</v>
      </c>
      <c r="M2019" t="s">
        <v>414</v>
      </c>
    </row>
    <row r="2020" spans="1:13" ht="15">
      <c r="A2020" t="s">
        <v>7923</v>
      </c>
      <c r="C2020" t="s">
        <v>7116</v>
      </c>
      <c r="D2020" s="83" t="s">
        <v>5681</v>
      </c>
      <c r="E2020" t="s">
        <v>5404</v>
      </c>
      <c r="F2020" t="s">
        <v>5799</v>
      </c>
    </row>
    <row r="2021" spans="1:13" ht="15">
      <c r="A2021" t="s">
        <v>7923</v>
      </c>
      <c r="C2021" t="s">
        <v>7189</v>
      </c>
      <c r="D2021" s="83" t="s">
        <v>5681</v>
      </c>
      <c r="E2021" t="s">
        <v>5404</v>
      </c>
      <c r="F2021" t="s">
        <v>5799</v>
      </c>
    </row>
    <row r="2022" spans="1:13" ht="15">
      <c r="A2022" t="s">
        <v>7923</v>
      </c>
      <c r="C2022" t="s">
        <v>6035</v>
      </c>
      <c r="D2022" s="83" t="s">
        <v>5698</v>
      </c>
      <c r="E2022" t="s">
        <v>5421</v>
      </c>
      <c r="F2022" t="s">
        <v>5799</v>
      </c>
      <c r="M2022" t="s">
        <v>414</v>
      </c>
    </row>
    <row r="2023" spans="1:13" ht="15">
      <c r="A2023" t="s">
        <v>7923</v>
      </c>
      <c r="C2023" t="s">
        <v>6162</v>
      </c>
      <c r="D2023" s="83" t="s">
        <v>5698</v>
      </c>
      <c r="E2023" t="s">
        <v>5421</v>
      </c>
      <c r="F2023" t="s">
        <v>5799</v>
      </c>
      <c r="M2023" t="s">
        <v>414</v>
      </c>
    </row>
    <row r="2024" spans="1:13" ht="15">
      <c r="C2024" t="s">
        <v>6791</v>
      </c>
      <c r="D2024" s="83" t="s">
        <v>5525</v>
      </c>
      <c r="E2024" t="s">
        <v>5248</v>
      </c>
      <c r="F2024" t="s">
        <v>5759</v>
      </c>
      <c r="M2024" t="s">
        <v>414</v>
      </c>
    </row>
    <row r="2025" spans="1:13" ht="15">
      <c r="A2025" t="s">
        <v>4498</v>
      </c>
      <c r="B2025" s="81" t="s">
        <v>4497</v>
      </c>
      <c r="C2025" t="s">
        <v>7237</v>
      </c>
      <c r="D2025" s="83" t="s">
        <v>4188</v>
      </c>
      <c r="E2025" t="s">
        <v>5082</v>
      </c>
      <c r="F2025" t="s">
        <v>60</v>
      </c>
    </row>
    <row r="2026" spans="1:13" ht="15">
      <c r="C2026" t="s">
        <v>7399</v>
      </c>
      <c r="D2026" s="83" t="s">
        <v>5512</v>
      </c>
      <c r="E2026" t="s">
        <v>5235</v>
      </c>
      <c r="F2026" t="s">
        <v>5769</v>
      </c>
      <c r="M2026" t="s">
        <v>414</v>
      </c>
    </row>
    <row r="2027" spans="1:13" ht="15">
      <c r="C2027" t="s">
        <v>6340</v>
      </c>
      <c r="D2027" s="83" t="s">
        <v>5875</v>
      </c>
      <c r="E2027" t="s">
        <v>7798</v>
      </c>
      <c r="F2027" t="s">
        <v>7799</v>
      </c>
      <c r="G2027" t="s">
        <v>414</v>
      </c>
    </row>
    <row r="2028" spans="1:13" ht="15">
      <c r="C2028" t="s">
        <v>6340</v>
      </c>
      <c r="D2028" s="83" t="s">
        <v>5510</v>
      </c>
      <c r="E2028" t="s">
        <v>5233</v>
      </c>
      <c r="F2028" t="s">
        <v>5768</v>
      </c>
      <c r="H2028" t="s">
        <v>414</v>
      </c>
      <c r="M2028" t="s">
        <v>414</v>
      </c>
    </row>
    <row r="2029" spans="1:13" ht="15">
      <c r="A2029" t="s">
        <v>3754</v>
      </c>
      <c r="B2029" t="s">
        <v>296</v>
      </c>
      <c r="C2029" t="s">
        <v>7164</v>
      </c>
      <c r="D2029" s="83" t="s">
        <v>5556</v>
      </c>
      <c r="E2029" t="s">
        <v>5279</v>
      </c>
      <c r="F2029" t="s">
        <v>1216</v>
      </c>
    </row>
    <row r="2030" spans="1:13" ht="15">
      <c r="C2030" t="s">
        <v>6923</v>
      </c>
      <c r="D2030" s="83" t="s">
        <v>5521</v>
      </c>
      <c r="E2030" t="s">
        <v>5244</v>
      </c>
      <c r="F2030" t="s">
        <v>5748</v>
      </c>
      <c r="H2030" t="s">
        <v>414</v>
      </c>
      <c r="I2030" t="s">
        <v>414</v>
      </c>
      <c r="L2030" t="s">
        <v>414</v>
      </c>
      <c r="M2030" t="s">
        <v>414</v>
      </c>
    </row>
    <row r="2031" spans="1:13" ht="15">
      <c r="C2031" t="s">
        <v>7008</v>
      </c>
      <c r="D2031" s="83" t="s">
        <v>5448</v>
      </c>
      <c r="E2031" t="s">
        <v>5171</v>
      </c>
      <c r="F2031" t="s">
        <v>1309</v>
      </c>
      <c r="H2031" t="s">
        <v>414</v>
      </c>
      <c r="M2031" t="s">
        <v>414</v>
      </c>
    </row>
    <row r="2032" spans="1:13" ht="15">
      <c r="C2032" t="s">
        <v>5973</v>
      </c>
      <c r="D2032" s="83" t="s">
        <v>4154</v>
      </c>
      <c r="E2032" t="s">
        <v>5047</v>
      </c>
      <c r="F2032" t="s">
        <v>5737</v>
      </c>
      <c r="H2032" t="s">
        <v>414</v>
      </c>
      <c r="L2032" t="s">
        <v>414</v>
      </c>
      <c r="M2032" t="s">
        <v>414</v>
      </c>
    </row>
    <row r="2033" spans="1:13" ht="15">
      <c r="C2033" t="s">
        <v>7343</v>
      </c>
      <c r="D2033" s="83" t="s">
        <v>5535</v>
      </c>
      <c r="E2033" t="s">
        <v>5258</v>
      </c>
      <c r="F2033" t="s">
        <v>5779</v>
      </c>
      <c r="H2033" t="s">
        <v>414</v>
      </c>
      <c r="M2033" t="s">
        <v>414</v>
      </c>
    </row>
    <row r="2034" spans="1:13" ht="15">
      <c r="C2034" t="s">
        <v>7206</v>
      </c>
      <c r="D2034" s="83" t="s">
        <v>5483</v>
      </c>
      <c r="E2034" t="s">
        <v>5206</v>
      </c>
      <c r="F2034" t="s">
        <v>5743</v>
      </c>
      <c r="H2034" t="s">
        <v>414</v>
      </c>
      <c r="I2034" t="s">
        <v>414</v>
      </c>
    </row>
    <row r="2035" spans="1:13" ht="15">
      <c r="C2035" t="s">
        <v>7206</v>
      </c>
      <c r="D2035" s="83" t="s">
        <v>5560</v>
      </c>
      <c r="E2035" t="s">
        <v>5283</v>
      </c>
      <c r="F2035" t="s">
        <v>5790</v>
      </c>
      <c r="H2035" t="s">
        <v>414</v>
      </c>
      <c r="M2035" t="s">
        <v>414</v>
      </c>
    </row>
    <row r="2036" spans="1:13" ht="15">
      <c r="C2036" t="s">
        <v>7425</v>
      </c>
      <c r="D2036" s="83" t="s">
        <v>4156</v>
      </c>
      <c r="E2036" t="s">
        <v>5049</v>
      </c>
      <c r="F2036" t="s">
        <v>5760</v>
      </c>
      <c r="M2036" t="s">
        <v>414</v>
      </c>
    </row>
    <row r="2037" spans="1:13" ht="15">
      <c r="C2037" t="s">
        <v>6634</v>
      </c>
      <c r="D2037" s="83" t="s">
        <v>5583</v>
      </c>
      <c r="E2037" t="s">
        <v>5306</v>
      </c>
      <c r="F2037" t="s">
        <v>5797</v>
      </c>
      <c r="H2037" t="s">
        <v>414</v>
      </c>
      <c r="I2037" t="s">
        <v>414</v>
      </c>
      <c r="M2037" t="s">
        <v>414</v>
      </c>
    </row>
    <row r="2038" spans="1:13" ht="15">
      <c r="A2038" t="s">
        <v>3745</v>
      </c>
      <c r="B2038" t="s">
        <v>4292</v>
      </c>
      <c r="C2038" t="s">
        <v>7073</v>
      </c>
      <c r="D2038" s="83" t="s">
        <v>4138</v>
      </c>
      <c r="E2038" t="s">
        <v>5054</v>
      </c>
      <c r="F2038" t="s">
        <v>5778</v>
      </c>
    </row>
    <row r="2039" spans="1:13" ht="15">
      <c r="A2039" t="s">
        <v>4448</v>
      </c>
      <c r="B2039" s="12" t="s">
        <v>1309</v>
      </c>
      <c r="C2039" t="s">
        <v>5919</v>
      </c>
      <c r="D2039" s="83" t="s">
        <v>4176</v>
      </c>
      <c r="E2039" t="s">
        <v>5070</v>
      </c>
      <c r="F2039" t="s">
        <v>1309</v>
      </c>
    </row>
    <row r="2040" spans="1:13" ht="15">
      <c r="A2040" t="s">
        <v>4448</v>
      </c>
      <c r="B2040" s="12" t="s">
        <v>1309</v>
      </c>
      <c r="C2040" t="s">
        <v>7017</v>
      </c>
      <c r="D2040" s="83" t="s">
        <v>4179</v>
      </c>
      <c r="E2040" t="s">
        <v>5073</v>
      </c>
      <c r="F2040" t="s">
        <v>1309</v>
      </c>
      <c r="M2040" t="s">
        <v>414</v>
      </c>
    </row>
    <row r="2041" spans="1:13" ht="15">
      <c r="A2041" t="s">
        <v>3790</v>
      </c>
      <c r="B2041" s="81" t="s">
        <v>4303</v>
      </c>
      <c r="C2041" t="s">
        <v>7128</v>
      </c>
      <c r="D2041" s="83" t="s">
        <v>5708</v>
      </c>
      <c r="E2041" t="s">
        <v>5432</v>
      </c>
      <c r="F2041" t="s">
        <v>4303</v>
      </c>
    </row>
    <row r="2042" spans="1:13" ht="15">
      <c r="C2042" t="s">
        <v>6423</v>
      </c>
      <c r="D2042" s="83" t="s">
        <v>5510</v>
      </c>
      <c r="E2042" t="s">
        <v>5233</v>
      </c>
      <c r="F2042" t="s">
        <v>5768</v>
      </c>
      <c r="H2042" t="s">
        <v>414</v>
      </c>
      <c r="M2042" t="s">
        <v>414</v>
      </c>
    </row>
    <row r="2043" spans="1:13" ht="15">
      <c r="C2043" t="s">
        <v>1216</v>
      </c>
      <c r="D2043" t="e">
        <f>_xlfn.XLOOKUP(E2043,HCP_evidence!H:H,HCP_evidence!I:I)</f>
        <v>#N/A</v>
      </c>
      <c r="E2043" t="s">
        <v>1211</v>
      </c>
      <c r="G2043" t="e" cm="1">
        <f t="array" ref="G2043">_xlfn.XLOOKUP(E2043,HCP_evidence!H:H,IF(HCP_evidence!M:M="Yes","Yes",""))</f>
        <v>#N/A</v>
      </c>
      <c r="H2043" t="e" cm="1">
        <f t="array" ref="H2043">_xlfn.XLOOKUP(E2043,HCP_evidence!H:H,IF(HCP_evidence!K:K="Yes","Yes",""))</f>
        <v>#N/A</v>
      </c>
      <c r="I2043" t="e" cm="1">
        <f t="array" ref="I2043">_xlfn.XLOOKUP(E2043,HCP_evidence!H:H,IF(HCP_evidence!J:J="Yes","Yes",""))</f>
        <v>#N/A</v>
      </c>
      <c r="J2043" t="e">
        <f>IF(OR(K2043="Yes",L2043="Yes"),"Yes","")</f>
        <v>#REF!</v>
      </c>
      <c r="K2043" t="e" cm="1">
        <f t="array" ref="K2043">_xlfn.XLOOKUP(E2043,HCP_evidence!H:H,IF(HCP_evidence!#REF!="Yes","Yes",""))</f>
        <v>#REF!</v>
      </c>
      <c r="L2043" t="e" cm="1">
        <f t="array" ref="L2043">_xlfn.XLOOKUP(E2043,HCP_evidence!H:H,IF(HCP_evidence!#REF!="Yes","Yes",""))</f>
        <v>#REF!</v>
      </c>
      <c r="M2043" t="e" cm="1">
        <f t="array" ref="M2043">_xlfn.XLOOKUP(E2043,HCP_evidence!H:H,IF(HCP_evidence!N:N="Yes","Yes",""))</f>
        <v>#N/A</v>
      </c>
    </row>
    <row r="2044" spans="1:13" ht="15">
      <c r="C2044" t="s">
        <v>1216</v>
      </c>
      <c r="D2044" t="e">
        <f>_xlfn.XLOOKUP(E2044,HCP_evidence!H:H,HCP_evidence!I:I)</f>
        <v>#N/A</v>
      </c>
      <c r="E2044" t="s">
        <v>1217</v>
      </c>
      <c r="G2044" t="e" cm="1">
        <f t="array" ref="G2044">_xlfn.XLOOKUP(E2044,HCP_evidence!H:H,IF(HCP_evidence!M:M="Yes","Yes",""))</f>
        <v>#N/A</v>
      </c>
      <c r="H2044" t="e" cm="1">
        <f t="array" ref="H2044">_xlfn.XLOOKUP(E2044,HCP_evidence!H:H,IF(HCP_evidence!K:K="Yes","Yes",""))</f>
        <v>#N/A</v>
      </c>
      <c r="I2044" t="e" cm="1">
        <f t="array" ref="I2044">_xlfn.XLOOKUP(E2044,HCP_evidence!H:H,IF(HCP_evidence!J:J="Yes","Yes",""))</f>
        <v>#N/A</v>
      </c>
      <c r="J2044" t="e">
        <f>IF(OR(K2044="Yes",L2044="Yes"),"Yes","")</f>
        <v>#REF!</v>
      </c>
      <c r="K2044" t="e" cm="1">
        <f t="array" ref="K2044">_xlfn.XLOOKUP(E2044,HCP_evidence!H:H,IF(HCP_evidence!#REF!="Yes","Yes",""))</f>
        <v>#REF!</v>
      </c>
      <c r="L2044" t="e" cm="1">
        <f t="array" ref="L2044">_xlfn.XLOOKUP(E2044,HCP_evidence!H:H,IF(HCP_evidence!#REF!="Yes","Yes",""))</f>
        <v>#REF!</v>
      </c>
      <c r="M2044" t="e" cm="1">
        <f t="array" ref="M2044">_xlfn.XLOOKUP(E2044,HCP_evidence!H:H,IF(HCP_evidence!N:N="Yes","Yes",""))</f>
        <v>#N/A</v>
      </c>
    </row>
    <row r="2045" spans="1:13" ht="15">
      <c r="A2045" t="s">
        <v>3764</v>
      </c>
      <c r="B2045" s="12" t="s">
        <v>31</v>
      </c>
      <c r="C2045" t="s">
        <v>6327</v>
      </c>
      <c r="D2045" s="83" t="s">
        <v>4149</v>
      </c>
      <c r="E2045" t="s">
        <v>5042</v>
      </c>
      <c r="F2045" t="s">
        <v>5748</v>
      </c>
      <c r="K2045" t="s">
        <v>414</v>
      </c>
      <c r="L2045" t="s">
        <v>414</v>
      </c>
      <c r="M2045" t="s">
        <v>414</v>
      </c>
    </row>
    <row r="2046" spans="1:13" ht="15">
      <c r="A2046" t="s">
        <v>3738</v>
      </c>
      <c r="B2046" s="74" t="s">
        <v>4300</v>
      </c>
      <c r="C2046" t="s">
        <v>6411</v>
      </c>
      <c r="D2046" s="83" t="s">
        <v>4149</v>
      </c>
      <c r="E2046" t="s">
        <v>5042</v>
      </c>
      <c r="F2046" t="s">
        <v>5748</v>
      </c>
      <c r="K2046" t="s">
        <v>414</v>
      </c>
      <c r="L2046" t="s">
        <v>414</v>
      </c>
      <c r="M2046" t="s">
        <v>414</v>
      </c>
    </row>
    <row r="2047" spans="1:13" ht="15">
      <c r="C2047" t="s">
        <v>7178</v>
      </c>
      <c r="D2047" s="83" t="s">
        <v>5617</v>
      </c>
      <c r="E2047" t="s">
        <v>5340</v>
      </c>
      <c r="F2047" t="s">
        <v>5812</v>
      </c>
    </row>
    <row r="2048" spans="1:13" ht="15">
      <c r="C2048" t="s">
        <v>7021</v>
      </c>
      <c r="D2048" s="83" t="s">
        <v>4204</v>
      </c>
      <c r="E2048" t="s">
        <v>5098</v>
      </c>
      <c r="F2048" t="s">
        <v>5741</v>
      </c>
      <c r="M2048" t="s">
        <v>414</v>
      </c>
    </row>
    <row r="2049" spans="1:13" ht="15">
      <c r="C2049" t="s">
        <v>6975</v>
      </c>
      <c r="D2049" s="83" t="s">
        <v>5486</v>
      </c>
      <c r="E2049" t="s">
        <v>5209</v>
      </c>
      <c r="F2049" t="s">
        <v>5750</v>
      </c>
      <c r="H2049" t="s">
        <v>414</v>
      </c>
      <c r="M2049" t="s">
        <v>414</v>
      </c>
    </row>
    <row r="2050" spans="1:13" ht="15">
      <c r="A2050" t="s">
        <v>3765</v>
      </c>
      <c r="B2050" t="s">
        <v>4302</v>
      </c>
      <c r="C2050" t="s">
        <v>6624</v>
      </c>
      <c r="D2050" s="83" t="s">
        <v>4149</v>
      </c>
      <c r="E2050" t="s">
        <v>5042</v>
      </c>
      <c r="F2050" t="s">
        <v>5748</v>
      </c>
      <c r="K2050" t="s">
        <v>414</v>
      </c>
      <c r="L2050" t="s">
        <v>414</v>
      </c>
      <c r="M2050" t="s">
        <v>414</v>
      </c>
    </row>
    <row r="2051" spans="1:13" ht="15">
      <c r="C2051" t="s">
        <v>6975</v>
      </c>
      <c r="D2051" s="83" t="s">
        <v>5529</v>
      </c>
      <c r="E2051" t="s">
        <v>5252</v>
      </c>
      <c r="F2051" t="s">
        <v>5748</v>
      </c>
      <c r="M2051" t="s">
        <v>414</v>
      </c>
    </row>
    <row r="2052" spans="1:13" ht="15">
      <c r="A2052" t="s">
        <v>7923</v>
      </c>
      <c r="C2052" t="s">
        <v>7163</v>
      </c>
      <c r="D2052" s="83" t="s">
        <v>5554</v>
      </c>
      <c r="E2052" t="s">
        <v>5277</v>
      </c>
      <c r="F2052" t="s">
        <v>5763</v>
      </c>
    </row>
    <row r="2053" spans="1:13" ht="15">
      <c r="A2053" t="s">
        <v>3740</v>
      </c>
      <c r="B2053" t="s">
        <v>3444</v>
      </c>
      <c r="C2053" t="s">
        <v>6719</v>
      </c>
      <c r="D2053" s="83" t="s">
        <v>4149</v>
      </c>
      <c r="E2053" t="s">
        <v>5042</v>
      </c>
      <c r="F2053" t="s">
        <v>5748</v>
      </c>
      <c r="K2053" t="s">
        <v>414</v>
      </c>
      <c r="L2053" t="s">
        <v>414</v>
      </c>
      <c r="M2053" t="s">
        <v>414</v>
      </c>
    </row>
    <row r="2054" spans="1:13" ht="15">
      <c r="A2054" t="s">
        <v>3764</v>
      </c>
      <c r="B2054" s="12" t="s">
        <v>31</v>
      </c>
      <c r="C2054" t="s">
        <v>2957</v>
      </c>
      <c r="D2054" t="str">
        <f>_xlfn.XLOOKUP(E2054,HCP_evidence!H:H,HCP_evidence!I:I)</f>
        <v>https://www.gercor.com/premices-g-109-prodige-84-2/</v>
      </c>
      <c r="E2054" t="s">
        <v>1278</v>
      </c>
      <c r="G2054" t="str" cm="1">
        <f t="array" ref="G2054">_xlfn.XLOOKUP(E2054,HCP_evidence!H:H,IF(HCP_evidence!M:M="Yes","Yes",""))</f>
        <v/>
      </c>
      <c r="H2054" t="str" cm="1">
        <f t="array" ref="H2054">_xlfn.XLOOKUP(E2054,HCP_evidence!H:H,IF(HCP_evidence!K:K="Yes","Yes",""))</f>
        <v>Yes</v>
      </c>
      <c r="I2054" t="str" cm="1">
        <f t="array" ref="I2054">_xlfn.XLOOKUP(E2054,HCP_evidence!H:H,IF(HCP_evidence!J:J="Yes","Yes",""))</f>
        <v/>
      </c>
      <c r="J2054" t="e">
        <f>IF(OR(K2054="Yes",L2054="Yes"),"Yes","")</f>
        <v>#REF!</v>
      </c>
      <c r="K2054" t="e" cm="1">
        <f t="array" ref="K2054">_xlfn.XLOOKUP(E2054,HCP_evidence!H:H,IF(HCP_evidence!#REF!="Yes","Yes",""))</f>
        <v>#REF!</v>
      </c>
      <c r="L2054" t="e" cm="1">
        <f t="array" ref="L2054">_xlfn.XLOOKUP(E2054,HCP_evidence!H:H,IF(HCP_evidence!#REF!="Yes","Yes",""))</f>
        <v>#REF!</v>
      </c>
      <c r="M2054" t="str" cm="1">
        <f t="array" ref="M2054">_xlfn.XLOOKUP(E2054,HCP_evidence!H:H,IF(HCP_evidence!N:N="Yes","Yes",""))</f>
        <v/>
      </c>
    </row>
    <row r="2055" spans="1:13" ht="15">
      <c r="A2055" t="s">
        <v>3764</v>
      </c>
      <c r="B2055" s="12" t="s">
        <v>31</v>
      </c>
      <c r="C2055" t="s">
        <v>2957</v>
      </c>
      <c r="D2055" t="str">
        <f>_xlfn.XLOOKUP(E2055,HCP_evidence!H:H,HCP_evidence!I:I)</f>
        <v>https://www.gercor.com/premices-g-109-prodige-84-2/</v>
      </c>
      <c r="E2055" t="s">
        <v>1278</v>
      </c>
      <c r="G2055" t="str" cm="1">
        <f t="array" ref="G2055">_xlfn.XLOOKUP(E2055,HCP_evidence!H:H,IF(HCP_evidence!M:M="Yes","Yes",""))</f>
        <v/>
      </c>
      <c r="H2055" t="str" cm="1">
        <f t="array" ref="H2055">_xlfn.XLOOKUP(E2055,HCP_evidence!H:H,IF(HCP_evidence!K:K="Yes","Yes",""))</f>
        <v>Yes</v>
      </c>
      <c r="I2055" t="str" cm="1">
        <f t="array" ref="I2055">_xlfn.XLOOKUP(E2055,HCP_evidence!H:H,IF(HCP_evidence!J:J="Yes","Yes",""))</f>
        <v/>
      </c>
      <c r="J2055" t="e">
        <f>IF(OR(K2055="Yes",L2055="Yes"),"Yes","")</f>
        <v>#REF!</v>
      </c>
      <c r="K2055" t="e" cm="1">
        <f t="array" ref="K2055">_xlfn.XLOOKUP(E2055,HCP_evidence!H:H,IF(HCP_evidence!#REF!="Yes","Yes",""))</f>
        <v>#REF!</v>
      </c>
      <c r="L2055" t="e" cm="1">
        <f t="array" ref="L2055">_xlfn.XLOOKUP(E2055,HCP_evidence!H:H,IF(HCP_evidence!#REF!="Yes","Yes",""))</f>
        <v>#REF!</v>
      </c>
      <c r="M2055" t="str" cm="1">
        <f t="array" ref="M2055">_xlfn.XLOOKUP(E2055,HCP_evidence!H:H,IF(HCP_evidence!N:N="Yes","Yes",""))</f>
        <v/>
      </c>
    </row>
    <row r="2056" spans="1:13" ht="15">
      <c r="A2056" t="s">
        <v>7923</v>
      </c>
      <c r="C2056" t="s">
        <v>6104</v>
      </c>
      <c r="D2056" s="83" t="s">
        <v>5866</v>
      </c>
      <c r="E2056" t="s">
        <v>7787</v>
      </c>
      <c r="F2056" t="s">
        <v>5763</v>
      </c>
      <c r="H2056" t="s">
        <v>414</v>
      </c>
      <c r="K2056" t="s">
        <v>414</v>
      </c>
      <c r="L2056" t="s">
        <v>414</v>
      </c>
    </row>
    <row r="2057" spans="1:13" ht="15">
      <c r="A2057" t="s">
        <v>4448</v>
      </c>
      <c r="B2057" s="12" t="s">
        <v>1309</v>
      </c>
      <c r="C2057" t="s">
        <v>1283</v>
      </c>
      <c r="D2057" t="str">
        <f>_xlfn.XLOOKUP(E2057,HCP_evidence!H:H,HCP_evidence!I:I)</f>
        <v>https://www.gercor.com/premices-g-109-prodige-84-2/</v>
      </c>
      <c r="E2057" t="s">
        <v>1278</v>
      </c>
      <c r="G2057" t="str" cm="1">
        <f t="array" ref="G2057">_xlfn.XLOOKUP(E2057,HCP_evidence!H:H,IF(HCP_evidence!M:M="Yes","Yes",""))</f>
        <v/>
      </c>
      <c r="H2057" t="str" cm="1">
        <f t="array" ref="H2057">_xlfn.XLOOKUP(E2057,HCP_evidence!H:H,IF(HCP_evidence!K:K="Yes","Yes",""))</f>
        <v>Yes</v>
      </c>
      <c r="I2057" t="str" cm="1">
        <f t="array" ref="I2057">_xlfn.XLOOKUP(E2057,HCP_evidence!H:H,IF(HCP_evidence!J:J="Yes","Yes",""))</f>
        <v/>
      </c>
      <c r="J2057" t="e">
        <f>IF(OR(K2057="Yes",L2057="Yes"),"Yes","")</f>
        <v>#REF!</v>
      </c>
      <c r="K2057" t="e" cm="1">
        <f t="array" ref="K2057">_xlfn.XLOOKUP(E2057,HCP_evidence!H:H,IF(HCP_evidence!#REF!="Yes","Yes",""))</f>
        <v>#REF!</v>
      </c>
      <c r="L2057" t="e" cm="1">
        <f t="array" ref="L2057">_xlfn.XLOOKUP(E2057,HCP_evidence!H:H,IF(HCP_evidence!#REF!="Yes","Yes",""))</f>
        <v>#REF!</v>
      </c>
      <c r="M2057" t="str" cm="1">
        <f t="array" ref="M2057">_xlfn.XLOOKUP(E2057,HCP_evidence!H:H,IF(HCP_evidence!N:N="Yes","Yes",""))</f>
        <v/>
      </c>
    </row>
    <row r="2058" spans="1:13" ht="15">
      <c r="A2058" t="s">
        <v>3738</v>
      </c>
      <c r="B2058" s="74" t="s">
        <v>4300</v>
      </c>
      <c r="C2058" t="s">
        <v>1281</v>
      </c>
      <c r="D2058" t="str">
        <f>_xlfn.XLOOKUP(E2058,HCP_evidence!H:H,HCP_evidence!I:I)</f>
        <v>https://www.gercor.com/premices-g-109-prodige-84-2/</v>
      </c>
      <c r="E2058" t="s">
        <v>1278</v>
      </c>
      <c r="G2058" t="str" cm="1">
        <f t="array" ref="G2058">_xlfn.XLOOKUP(E2058,HCP_evidence!H:H,IF(HCP_evidence!M:M="Yes","Yes",""))</f>
        <v/>
      </c>
      <c r="H2058" t="str" cm="1">
        <f t="array" ref="H2058">_xlfn.XLOOKUP(E2058,HCP_evidence!H:H,IF(HCP_evidence!K:K="Yes","Yes",""))</f>
        <v>Yes</v>
      </c>
      <c r="I2058" t="str" cm="1">
        <f t="array" ref="I2058">_xlfn.XLOOKUP(E2058,HCP_evidence!H:H,IF(HCP_evidence!J:J="Yes","Yes",""))</f>
        <v/>
      </c>
      <c r="J2058" t="e">
        <f>IF(OR(K2058="Yes",L2058="Yes"),"Yes","")</f>
        <v>#REF!</v>
      </c>
      <c r="K2058" t="e" cm="1">
        <f t="array" ref="K2058">_xlfn.XLOOKUP(E2058,HCP_evidence!H:H,IF(HCP_evidence!#REF!="Yes","Yes",""))</f>
        <v>#REF!</v>
      </c>
      <c r="L2058" t="e" cm="1">
        <f t="array" ref="L2058">_xlfn.XLOOKUP(E2058,HCP_evidence!H:H,IF(HCP_evidence!#REF!="Yes","Yes",""))</f>
        <v>#REF!</v>
      </c>
      <c r="M2058" t="str" cm="1">
        <f t="array" ref="M2058">_xlfn.XLOOKUP(E2058,HCP_evidence!H:H,IF(HCP_evidence!N:N="Yes","Yes",""))</f>
        <v/>
      </c>
    </row>
    <row r="2059" spans="1:13" ht="15">
      <c r="A2059" t="s">
        <v>4525</v>
      </c>
      <c r="B2059" s="81" t="s">
        <v>4524</v>
      </c>
      <c r="C2059" t="s">
        <v>6046</v>
      </c>
      <c r="D2059" s="83" t="s">
        <v>4208</v>
      </c>
      <c r="E2059" t="s">
        <v>5102</v>
      </c>
      <c r="F2059" t="s">
        <v>5727</v>
      </c>
      <c r="M2059" t="s">
        <v>414</v>
      </c>
    </row>
    <row r="2060" spans="1:13" ht="15">
      <c r="A2060" t="s">
        <v>4525</v>
      </c>
      <c r="B2060" s="81" t="s">
        <v>4524</v>
      </c>
      <c r="C2060" t="s">
        <v>5913</v>
      </c>
      <c r="D2060" s="83" t="s">
        <v>5652</v>
      </c>
      <c r="E2060" t="s">
        <v>5375</v>
      </c>
      <c r="F2060" t="s">
        <v>5727</v>
      </c>
      <c r="H2060" t="s">
        <v>414</v>
      </c>
      <c r="K2060" t="s">
        <v>414</v>
      </c>
      <c r="L2060" t="s">
        <v>414</v>
      </c>
    </row>
    <row r="2061" spans="1:13" ht="15">
      <c r="A2061" t="s">
        <v>3139</v>
      </c>
      <c r="B2061" t="s">
        <v>4285</v>
      </c>
      <c r="C2061" t="s">
        <v>5966</v>
      </c>
      <c r="D2061" s="83" t="s">
        <v>4153</v>
      </c>
      <c r="E2061" t="s">
        <v>5046</v>
      </c>
      <c r="F2061" t="s">
        <v>31</v>
      </c>
      <c r="K2061" t="s">
        <v>414</v>
      </c>
      <c r="L2061" t="s">
        <v>414</v>
      </c>
    </row>
    <row r="2062" spans="1:13" ht="15">
      <c r="A2062" t="s">
        <v>7923</v>
      </c>
      <c r="C2062" t="s">
        <v>6220</v>
      </c>
      <c r="D2062" s="83" t="s">
        <v>5577</v>
      </c>
      <c r="E2062" t="s">
        <v>5300</v>
      </c>
      <c r="F2062" t="s">
        <v>5763</v>
      </c>
    </row>
    <row r="2063" spans="1:13" ht="15">
      <c r="A2063" t="s">
        <v>7923</v>
      </c>
      <c r="C2063" t="s">
        <v>6220</v>
      </c>
      <c r="D2063" s="83" t="s">
        <v>5866</v>
      </c>
      <c r="E2063" t="s">
        <v>7787</v>
      </c>
      <c r="F2063" t="s">
        <v>5763</v>
      </c>
      <c r="H2063" t="s">
        <v>414</v>
      </c>
      <c r="K2063" t="s">
        <v>414</v>
      </c>
      <c r="L2063" t="s">
        <v>414</v>
      </c>
    </row>
    <row r="2064" spans="1:13" ht="15">
      <c r="A2064" t="s">
        <v>4448</v>
      </c>
      <c r="B2064" s="12" t="s">
        <v>1309</v>
      </c>
      <c r="C2064" t="s">
        <v>6335</v>
      </c>
      <c r="D2064" s="83" t="s">
        <v>4153</v>
      </c>
      <c r="E2064" t="s">
        <v>5046</v>
      </c>
      <c r="F2064" t="s">
        <v>31</v>
      </c>
      <c r="K2064" t="s">
        <v>414</v>
      </c>
      <c r="L2064" t="s">
        <v>414</v>
      </c>
    </row>
    <row r="2065" spans="1:12" ht="15">
      <c r="A2065" t="s">
        <v>3741</v>
      </c>
      <c r="B2065" t="s">
        <v>4295</v>
      </c>
      <c r="C2065" t="s">
        <v>6419</v>
      </c>
      <c r="D2065" s="83" t="s">
        <v>4153</v>
      </c>
      <c r="E2065" t="s">
        <v>5046</v>
      </c>
      <c r="F2065" t="s">
        <v>31</v>
      </c>
      <c r="K2065" t="s">
        <v>414</v>
      </c>
      <c r="L2065" t="s">
        <v>414</v>
      </c>
    </row>
    <row r="2066" spans="1:12" ht="15">
      <c r="A2066" t="s">
        <v>3765</v>
      </c>
      <c r="B2066" t="s">
        <v>4302</v>
      </c>
      <c r="C2066" t="s">
        <v>6483</v>
      </c>
      <c r="D2066" s="83" t="s">
        <v>4153</v>
      </c>
      <c r="E2066" t="s">
        <v>5046</v>
      </c>
      <c r="F2066" t="s">
        <v>31</v>
      </c>
      <c r="K2066" t="s">
        <v>414</v>
      </c>
      <c r="L2066" t="s">
        <v>414</v>
      </c>
    </row>
    <row r="2067" spans="1:12" ht="15">
      <c r="A2067" t="s">
        <v>3740</v>
      </c>
      <c r="B2067" t="s">
        <v>3444</v>
      </c>
      <c r="C2067" t="s">
        <v>6544</v>
      </c>
      <c r="D2067" s="83" t="s">
        <v>4153</v>
      </c>
      <c r="E2067" t="s">
        <v>5046</v>
      </c>
      <c r="F2067" t="s">
        <v>31</v>
      </c>
      <c r="K2067" t="s">
        <v>414</v>
      </c>
      <c r="L2067" t="s">
        <v>414</v>
      </c>
    </row>
    <row r="2068" spans="1:12" ht="15">
      <c r="A2068" t="s">
        <v>4525</v>
      </c>
      <c r="B2068" s="81" t="s">
        <v>4524</v>
      </c>
      <c r="C2068" t="s">
        <v>5913</v>
      </c>
      <c r="D2068" s="83" t="s">
        <v>5693</v>
      </c>
      <c r="E2068" t="s">
        <v>5416</v>
      </c>
      <c r="F2068" t="s">
        <v>5837</v>
      </c>
      <c r="L2068" t="s">
        <v>414</v>
      </c>
    </row>
    <row r="2069" spans="1:12" ht="15">
      <c r="A2069" t="s">
        <v>3739</v>
      </c>
      <c r="B2069" s="12" t="s">
        <v>33</v>
      </c>
      <c r="C2069" t="s">
        <v>6094</v>
      </c>
      <c r="D2069" s="83" t="s">
        <v>5693</v>
      </c>
      <c r="E2069" t="s">
        <v>5416</v>
      </c>
      <c r="F2069" t="s">
        <v>5837</v>
      </c>
      <c r="L2069" t="s">
        <v>414</v>
      </c>
    </row>
    <row r="2070" spans="1:12" ht="15">
      <c r="A2070" t="s">
        <v>7923</v>
      </c>
      <c r="C2070" t="s">
        <v>6030</v>
      </c>
      <c r="D2070" s="83" t="s">
        <v>5619</v>
      </c>
      <c r="E2070" t="s">
        <v>5342</v>
      </c>
      <c r="F2070" t="s">
        <v>5763</v>
      </c>
    </row>
    <row r="2071" spans="1:12" ht="15">
      <c r="A2071" t="s">
        <v>7923</v>
      </c>
      <c r="C2071" t="s">
        <v>6032</v>
      </c>
      <c r="D2071" s="83" t="s">
        <v>5631</v>
      </c>
      <c r="E2071" t="s">
        <v>5354</v>
      </c>
      <c r="F2071" t="s">
        <v>5763</v>
      </c>
    </row>
    <row r="2072" spans="1:12" ht="15">
      <c r="A2072" t="s">
        <v>3767</v>
      </c>
      <c r="B2072" t="s">
        <v>1291</v>
      </c>
      <c r="C2072" t="s">
        <v>6294</v>
      </c>
      <c r="D2072" s="83" t="s">
        <v>5639</v>
      </c>
      <c r="E2072" t="s">
        <v>5362</v>
      </c>
      <c r="F2072" t="s">
        <v>5742</v>
      </c>
    </row>
    <row r="2073" spans="1:12" ht="15">
      <c r="A2073" t="s">
        <v>4525</v>
      </c>
      <c r="B2073" s="81" t="s">
        <v>4524</v>
      </c>
      <c r="C2073" t="s">
        <v>5881</v>
      </c>
      <c r="D2073" s="83" t="s">
        <v>5639</v>
      </c>
      <c r="E2073" t="s">
        <v>5362</v>
      </c>
      <c r="F2073" t="s">
        <v>5742</v>
      </c>
    </row>
    <row r="2074" spans="1:12" ht="15">
      <c r="A2074" t="s">
        <v>3755</v>
      </c>
      <c r="B2074" t="s">
        <v>4533</v>
      </c>
      <c r="C2074" t="s">
        <v>6456</v>
      </c>
      <c r="D2074" s="83" t="s">
        <v>5639</v>
      </c>
      <c r="E2074" t="s">
        <v>5362</v>
      </c>
      <c r="F2074" t="s">
        <v>5742</v>
      </c>
    </row>
    <row r="2075" spans="1:12" ht="15">
      <c r="A2075" t="s">
        <v>7923</v>
      </c>
      <c r="C2075" t="s">
        <v>6032</v>
      </c>
      <c r="D2075" s="83" t="s">
        <v>5531</v>
      </c>
      <c r="E2075" t="s">
        <v>5254</v>
      </c>
      <c r="F2075" t="s">
        <v>5763</v>
      </c>
    </row>
    <row r="2076" spans="1:12" ht="15">
      <c r="A2076" t="s">
        <v>4565</v>
      </c>
      <c r="B2076" s="12" t="s">
        <v>395</v>
      </c>
      <c r="C2076" t="s">
        <v>6566</v>
      </c>
      <c r="D2076" s="83" t="s">
        <v>5639</v>
      </c>
      <c r="E2076" t="s">
        <v>5362</v>
      </c>
      <c r="F2076" t="s">
        <v>5742</v>
      </c>
    </row>
    <row r="2077" spans="1:12" ht="15">
      <c r="A2077" t="s">
        <v>7923</v>
      </c>
      <c r="C2077" t="s">
        <v>6161</v>
      </c>
      <c r="D2077" s="83" t="s">
        <v>5531</v>
      </c>
      <c r="E2077" t="s">
        <v>5254</v>
      </c>
      <c r="F2077" t="s">
        <v>5763</v>
      </c>
    </row>
    <row r="2078" spans="1:12" ht="15">
      <c r="A2078" t="s">
        <v>3743</v>
      </c>
      <c r="B2078" t="s">
        <v>4290</v>
      </c>
      <c r="C2078" t="s">
        <v>6649</v>
      </c>
      <c r="D2078" s="83" t="s">
        <v>5639</v>
      </c>
      <c r="E2078" t="s">
        <v>5362</v>
      </c>
      <c r="F2078" t="s">
        <v>5742</v>
      </c>
    </row>
    <row r="2079" spans="1:12" ht="15">
      <c r="A2079" t="s">
        <v>7923</v>
      </c>
      <c r="C2079" t="s">
        <v>6028</v>
      </c>
      <c r="D2079" s="83" t="s">
        <v>5655</v>
      </c>
      <c r="E2079" t="s">
        <v>5378</v>
      </c>
      <c r="F2079" t="s">
        <v>5763</v>
      </c>
      <c r="H2079" t="s">
        <v>414</v>
      </c>
      <c r="K2079" t="s">
        <v>414</v>
      </c>
      <c r="L2079" t="s">
        <v>414</v>
      </c>
    </row>
    <row r="2080" spans="1:12" ht="15">
      <c r="A2080" t="s">
        <v>7923</v>
      </c>
      <c r="C2080" t="s">
        <v>6028</v>
      </c>
      <c r="D2080" s="83" t="s">
        <v>5554</v>
      </c>
      <c r="E2080" t="s">
        <v>5277</v>
      </c>
      <c r="F2080" t="s">
        <v>5763</v>
      </c>
    </row>
    <row r="2081" spans="1:13" ht="15">
      <c r="A2081" t="s">
        <v>3739</v>
      </c>
      <c r="B2081" s="12" t="s">
        <v>33</v>
      </c>
      <c r="C2081" t="s">
        <v>6034</v>
      </c>
      <c r="D2081" s="83" t="s">
        <v>5639</v>
      </c>
      <c r="E2081" t="s">
        <v>5362</v>
      </c>
      <c r="F2081" t="s">
        <v>5742</v>
      </c>
    </row>
    <row r="2082" spans="1:13" ht="15">
      <c r="A2082" t="s">
        <v>3783</v>
      </c>
      <c r="B2082" t="s">
        <v>301</v>
      </c>
      <c r="C2082" t="s">
        <v>2970</v>
      </c>
      <c r="D2082" t="str">
        <f>_xlfn.XLOOKUP(E2082,HCP_evidence!H:H,HCP_evidence!I:I)</f>
        <v>https://www.sante.fr/essais-cliniques/2024-511195-33-00/etude-de-phase-1b-evaluant-la-securite-la-tolerance-la-pharmacocinetique-et-l-efficacite-de-l-amg-193-en-association-avec-d-autres-traitements-chez-des-sujets-atteints-d-un-cancer-avance-de-l-appareil-digestif-des-voies-biliaires-ou-du-pancreas-avec-deletion-homozygote-du-gene-mtap-protocole-principal</v>
      </c>
      <c r="E2082" t="s">
        <v>1208</v>
      </c>
      <c r="G2082" t="str" cm="1">
        <f t="array" ref="G2082">_xlfn.XLOOKUP(E2082,HCP_evidence!H:H,IF(HCP_evidence!M:M="Yes","Yes",""))</f>
        <v/>
      </c>
      <c r="H2082" t="str" cm="1">
        <f t="array" ref="H2082">_xlfn.XLOOKUP(E2082,HCP_evidence!H:H,IF(HCP_evidence!K:K="Yes","Yes",""))</f>
        <v>Yes</v>
      </c>
      <c r="I2082" t="str" cm="1">
        <f t="array" ref="I2082">_xlfn.XLOOKUP(E2082,HCP_evidence!H:H,IF(HCP_evidence!J:J="Yes","Yes",""))</f>
        <v>Yes</v>
      </c>
      <c r="J2082" t="e">
        <f>IF(OR(K2082="Yes",L2082="Yes"),"Yes","")</f>
        <v>#REF!</v>
      </c>
      <c r="K2082" t="e" cm="1">
        <f t="array" ref="K2082">_xlfn.XLOOKUP(E2082,HCP_evidence!H:H,IF(HCP_evidence!#REF!="Yes","Yes",""))</f>
        <v>#REF!</v>
      </c>
      <c r="L2082" t="e" cm="1">
        <f t="array" ref="L2082">_xlfn.XLOOKUP(E2082,HCP_evidence!H:H,IF(HCP_evidence!#REF!="Yes","Yes",""))</f>
        <v>#REF!</v>
      </c>
      <c r="M2082" t="str" cm="1">
        <f t="array" ref="M2082">_xlfn.XLOOKUP(E2082,HCP_evidence!H:H,IF(HCP_evidence!N:N="Yes","Yes",""))</f>
        <v>Yes</v>
      </c>
    </row>
    <row r="2083" spans="1:13" ht="15">
      <c r="A2083" t="s">
        <v>3739</v>
      </c>
      <c r="B2083" s="12" t="s">
        <v>33</v>
      </c>
      <c r="C2083" t="s">
        <v>32</v>
      </c>
      <c r="D2083" t="str">
        <f>_xlfn.XLOOKUP(E2083,HCP_evidence!H:H,HCP_evidence!I:I)</f>
        <v>https://www.sante.fr/essais-cliniques/2024-511195-33-00/etude-de-phase-1b-evaluant-la-securite-la-tolerance-la-pharmacocinetique-et-l-efficacite-de-l-amg-193-en-association-avec-d-autres-traitements-chez-des-sujets-atteints-d-un-cancer-avance-de-l-appareil-digestif-des-voies-biliaires-ou-du-pancreas-avec-deletion-homozygote-du-gene-mtap-protocole-principal</v>
      </c>
      <c r="E2083" t="s">
        <v>1208</v>
      </c>
      <c r="G2083" t="str" cm="1">
        <f t="array" ref="G2083">_xlfn.XLOOKUP(E2083,HCP_evidence!H:H,IF(HCP_evidence!M:M="Yes","Yes",""))</f>
        <v/>
      </c>
      <c r="H2083" t="str" cm="1">
        <f t="array" ref="H2083">_xlfn.XLOOKUP(E2083,HCP_evidence!H:H,IF(HCP_evidence!K:K="Yes","Yes",""))</f>
        <v>Yes</v>
      </c>
      <c r="I2083" t="str" cm="1">
        <f t="array" ref="I2083">_xlfn.XLOOKUP(E2083,HCP_evidence!H:H,IF(HCP_evidence!J:J="Yes","Yes",""))</f>
        <v>Yes</v>
      </c>
      <c r="J2083" t="e">
        <f>IF(OR(K2083="Yes",L2083="Yes"),"Yes","")</f>
        <v>#REF!</v>
      </c>
      <c r="K2083" t="e" cm="1">
        <f t="array" ref="K2083">_xlfn.XLOOKUP(E2083,HCP_evidence!H:H,IF(HCP_evidence!#REF!="Yes","Yes",""))</f>
        <v>#REF!</v>
      </c>
      <c r="L2083" t="e" cm="1">
        <f t="array" ref="L2083">_xlfn.XLOOKUP(E2083,HCP_evidence!H:H,IF(HCP_evidence!#REF!="Yes","Yes",""))</f>
        <v>#REF!</v>
      </c>
      <c r="M2083" t="str" cm="1">
        <f t="array" ref="M2083">_xlfn.XLOOKUP(E2083,HCP_evidence!H:H,IF(HCP_evidence!N:N="Yes","Yes",""))</f>
        <v>Yes</v>
      </c>
    </row>
    <row r="2084" spans="1:13" ht="15">
      <c r="A2084" t="s">
        <v>4448</v>
      </c>
      <c r="B2084" s="12" t="s">
        <v>1309</v>
      </c>
      <c r="C2084" t="s">
        <v>380</v>
      </c>
      <c r="D2084" t="str">
        <f>_xlfn.XLOOKUP(E2084,HCP_evidence!H:H,HCP_evidence!I:I)</f>
        <v>https://www.sante.fr/essais-cliniques/2024-511195-33-00/etude-de-phase-1b-evaluant-la-securite-la-tolerance-la-pharmacocinetique-et-l-efficacite-de-l-amg-193-en-association-avec-d-autres-traitements-chez-des-sujets-atteints-d-un-cancer-avance-de-l-appareil-digestif-des-voies-biliaires-ou-du-pancreas-avec-deletion-homozygote-du-gene-mtap-protocole-principal</v>
      </c>
      <c r="E2084" t="s">
        <v>1208</v>
      </c>
      <c r="G2084" t="str" cm="1">
        <f t="array" ref="G2084">_xlfn.XLOOKUP(E2084,HCP_evidence!H:H,IF(HCP_evidence!M:M="Yes","Yes",""))</f>
        <v/>
      </c>
      <c r="H2084" t="str" cm="1">
        <f t="array" ref="H2084">_xlfn.XLOOKUP(E2084,HCP_evidence!H:H,IF(HCP_evidence!K:K="Yes","Yes",""))</f>
        <v>Yes</v>
      </c>
      <c r="I2084" t="str" cm="1">
        <f t="array" ref="I2084">_xlfn.XLOOKUP(E2084,HCP_evidence!H:H,IF(HCP_evidence!J:J="Yes","Yes",""))</f>
        <v>Yes</v>
      </c>
      <c r="J2084" t="e">
        <f>IF(OR(K2084="Yes",L2084="Yes"),"Yes","")</f>
        <v>#REF!</v>
      </c>
      <c r="K2084" t="e" cm="1">
        <f t="array" ref="K2084">_xlfn.XLOOKUP(E2084,HCP_evidence!H:H,IF(HCP_evidence!#REF!="Yes","Yes",""))</f>
        <v>#REF!</v>
      </c>
      <c r="L2084" t="e" cm="1">
        <f t="array" ref="L2084">_xlfn.XLOOKUP(E2084,HCP_evidence!H:H,IF(HCP_evidence!#REF!="Yes","Yes",""))</f>
        <v>#REF!</v>
      </c>
      <c r="M2084" t="str" cm="1">
        <f t="array" ref="M2084">_xlfn.XLOOKUP(E2084,HCP_evidence!H:H,IF(HCP_evidence!N:N="Yes","Yes",""))</f>
        <v>Yes</v>
      </c>
    </row>
    <row r="2085" spans="1:13" ht="15">
      <c r="A2085" t="s">
        <v>7923</v>
      </c>
      <c r="C2085" t="s">
        <v>7181</v>
      </c>
      <c r="D2085" s="83" t="s">
        <v>5577</v>
      </c>
      <c r="E2085" t="s">
        <v>5300</v>
      </c>
      <c r="F2085" t="s">
        <v>5763</v>
      </c>
    </row>
    <row r="2086" spans="1:13" ht="15">
      <c r="A2086" t="s">
        <v>7923</v>
      </c>
      <c r="C2086" t="s">
        <v>7181</v>
      </c>
      <c r="D2086" s="83" t="s">
        <v>5631</v>
      </c>
      <c r="E2086" t="s">
        <v>5354</v>
      </c>
      <c r="F2086" t="s">
        <v>5763</v>
      </c>
    </row>
    <row r="2087" spans="1:13" ht="15">
      <c r="A2087" t="s">
        <v>7923</v>
      </c>
      <c r="C2087" t="s">
        <v>6158</v>
      </c>
      <c r="D2087" s="83" t="s">
        <v>5619</v>
      </c>
      <c r="E2087" t="s">
        <v>5342</v>
      </c>
      <c r="F2087" t="s">
        <v>5763</v>
      </c>
    </row>
    <row r="2088" spans="1:13" ht="15">
      <c r="A2088" t="s">
        <v>7923</v>
      </c>
      <c r="C2088" t="s">
        <v>6322</v>
      </c>
      <c r="D2088" s="83" t="s">
        <v>5866</v>
      </c>
      <c r="E2088" t="s">
        <v>7787</v>
      </c>
      <c r="F2088" t="s">
        <v>5763</v>
      </c>
      <c r="H2088" t="s">
        <v>414</v>
      </c>
      <c r="K2088" t="s">
        <v>414</v>
      </c>
      <c r="L2088" t="s">
        <v>414</v>
      </c>
    </row>
    <row r="2089" spans="1:13" ht="15">
      <c r="A2089" t="s">
        <v>7923</v>
      </c>
      <c r="C2089" t="s">
        <v>7274</v>
      </c>
      <c r="D2089" s="83" t="s">
        <v>5577</v>
      </c>
      <c r="E2089" t="s">
        <v>5300</v>
      </c>
      <c r="F2089" t="s">
        <v>5763</v>
      </c>
    </row>
    <row r="2090" spans="1:13" ht="15">
      <c r="A2090" t="s">
        <v>3139</v>
      </c>
      <c r="B2090" t="s">
        <v>4285</v>
      </c>
      <c r="C2090" t="s">
        <v>6388</v>
      </c>
      <c r="D2090" s="83" t="s">
        <v>5467</v>
      </c>
      <c r="E2090" t="s">
        <v>5190</v>
      </c>
      <c r="F2090" t="s">
        <v>5740</v>
      </c>
      <c r="M2090" t="s">
        <v>414</v>
      </c>
    </row>
    <row r="2091" spans="1:13" ht="15">
      <c r="A2091" t="s">
        <v>7923</v>
      </c>
      <c r="C2091" t="s">
        <v>7268</v>
      </c>
      <c r="D2091" s="83" t="s">
        <v>5554</v>
      </c>
      <c r="E2091" t="s">
        <v>5277</v>
      </c>
      <c r="F2091" t="s">
        <v>5763</v>
      </c>
    </row>
    <row r="2092" spans="1:13" ht="15">
      <c r="A2092" t="s">
        <v>7923</v>
      </c>
      <c r="C2092" t="s">
        <v>7317</v>
      </c>
      <c r="D2092" s="83" t="s">
        <v>5577</v>
      </c>
      <c r="E2092" t="s">
        <v>5300</v>
      </c>
      <c r="F2092" t="s">
        <v>5763</v>
      </c>
    </row>
    <row r="2093" spans="1:13" ht="15">
      <c r="A2093" t="s">
        <v>7923</v>
      </c>
      <c r="C2093" t="s">
        <v>7310</v>
      </c>
      <c r="D2093" s="83" t="s">
        <v>5554</v>
      </c>
      <c r="E2093" t="s">
        <v>5277</v>
      </c>
      <c r="F2093" t="s">
        <v>5763</v>
      </c>
    </row>
    <row r="2094" spans="1:13" ht="15">
      <c r="A2094" t="s">
        <v>7923</v>
      </c>
      <c r="C2094" t="s">
        <v>6407</v>
      </c>
      <c r="D2094" s="83" t="s">
        <v>5866</v>
      </c>
      <c r="E2094" t="s">
        <v>7787</v>
      </c>
      <c r="F2094" t="s">
        <v>5763</v>
      </c>
      <c r="H2094" t="s">
        <v>414</v>
      </c>
      <c r="K2094" t="s">
        <v>414</v>
      </c>
      <c r="L2094" t="s">
        <v>414</v>
      </c>
    </row>
    <row r="2095" spans="1:13" ht="15">
      <c r="A2095" t="s">
        <v>7923</v>
      </c>
      <c r="C2095" t="s">
        <v>6275</v>
      </c>
      <c r="D2095" s="83" t="s">
        <v>5619</v>
      </c>
      <c r="E2095" t="s">
        <v>5342</v>
      </c>
      <c r="F2095" t="s">
        <v>5763</v>
      </c>
    </row>
    <row r="2096" spans="1:13" ht="15">
      <c r="A2096" t="s">
        <v>7923</v>
      </c>
      <c r="C2096" t="s">
        <v>5982</v>
      </c>
      <c r="D2096" s="83" t="s">
        <v>5632</v>
      </c>
      <c r="E2096" t="s">
        <v>5355</v>
      </c>
      <c r="F2096" t="s">
        <v>5763</v>
      </c>
      <c r="K2096" t="s">
        <v>414</v>
      </c>
      <c r="L2096" t="s">
        <v>414</v>
      </c>
    </row>
    <row r="2097" spans="1:13" ht="15">
      <c r="A2097" t="s">
        <v>7923</v>
      </c>
      <c r="C2097" t="s">
        <v>7038</v>
      </c>
      <c r="D2097" s="83" t="s">
        <v>5522</v>
      </c>
      <c r="E2097" t="s">
        <v>5245</v>
      </c>
      <c r="F2097" t="s">
        <v>5763</v>
      </c>
    </row>
    <row r="2098" spans="1:13" ht="15">
      <c r="A2098" t="s">
        <v>3783</v>
      </c>
      <c r="B2098" t="s">
        <v>301</v>
      </c>
      <c r="C2098" t="s">
        <v>6151</v>
      </c>
      <c r="D2098" s="83" t="s">
        <v>5575</v>
      </c>
      <c r="E2098" t="s">
        <v>5298</v>
      </c>
      <c r="F2098" t="s">
        <v>5795</v>
      </c>
      <c r="I2098" t="s">
        <v>414</v>
      </c>
      <c r="M2098" t="s">
        <v>414</v>
      </c>
    </row>
    <row r="2099" spans="1:13" ht="15">
      <c r="A2099" t="s">
        <v>7923</v>
      </c>
      <c r="C2099" t="s">
        <v>7038</v>
      </c>
      <c r="D2099" s="83" t="s">
        <v>5502</v>
      </c>
      <c r="E2099" t="s">
        <v>5225</v>
      </c>
      <c r="F2099" t="s">
        <v>5763</v>
      </c>
    </row>
    <row r="2100" spans="1:13" ht="15">
      <c r="A2100" t="s">
        <v>3773</v>
      </c>
      <c r="B2100" t="s">
        <v>1289</v>
      </c>
      <c r="C2100" t="s">
        <v>6186</v>
      </c>
      <c r="D2100" s="83" t="s">
        <v>5575</v>
      </c>
      <c r="E2100" t="s">
        <v>5298</v>
      </c>
      <c r="F2100" t="s">
        <v>5795</v>
      </c>
      <c r="I2100" t="s">
        <v>414</v>
      </c>
      <c r="M2100" t="s">
        <v>414</v>
      </c>
    </row>
    <row r="2101" spans="1:13" ht="15">
      <c r="A2101" t="s">
        <v>7923</v>
      </c>
      <c r="C2101" t="s">
        <v>7038</v>
      </c>
      <c r="D2101" s="83" t="s">
        <v>5577</v>
      </c>
      <c r="E2101" t="s">
        <v>5300</v>
      </c>
      <c r="F2101" t="s">
        <v>5763</v>
      </c>
    </row>
    <row r="2102" spans="1:13" ht="15">
      <c r="A2102" t="s">
        <v>7923</v>
      </c>
      <c r="C2102" t="s">
        <v>7038</v>
      </c>
      <c r="D2102" s="83" t="s">
        <v>5631</v>
      </c>
      <c r="E2102" t="s">
        <v>5354</v>
      </c>
      <c r="F2102" t="s">
        <v>5763</v>
      </c>
    </row>
    <row r="2103" spans="1:13" ht="15">
      <c r="A2103" t="s">
        <v>7923</v>
      </c>
      <c r="C2103" t="s">
        <v>7038</v>
      </c>
      <c r="D2103" s="83" t="s">
        <v>5699</v>
      </c>
      <c r="E2103" t="s">
        <v>5422</v>
      </c>
      <c r="F2103" t="s">
        <v>5763</v>
      </c>
      <c r="H2103" t="s">
        <v>414</v>
      </c>
    </row>
    <row r="2104" spans="1:13" ht="15">
      <c r="A2104" t="s">
        <v>4448</v>
      </c>
      <c r="B2104" s="12" t="s">
        <v>1309</v>
      </c>
      <c r="C2104" t="s">
        <v>5919</v>
      </c>
      <c r="D2104" s="83" t="s">
        <v>5571</v>
      </c>
      <c r="E2104" t="s">
        <v>5294</v>
      </c>
      <c r="F2104" t="s">
        <v>5793</v>
      </c>
      <c r="G2104" t="s">
        <v>414</v>
      </c>
      <c r="H2104" t="s">
        <v>414</v>
      </c>
      <c r="K2104" t="s">
        <v>414</v>
      </c>
      <c r="L2104" t="s">
        <v>414</v>
      </c>
      <c r="M2104" t="s">
        <v>414</v>
      </c>
    </row>
    <row r="2105" spans="1:13" ht="15">
      <c r="A2105" t="s">
        <v>7923</v>
      </c>
      <c r="C2105" t="s">
        <v>6072</v>
      </c>
      <c r="D2105" s="83" t="s">
        <v>5710</v>
      </c>
      <c r="E2105" t="s">
        <v>5434</v>
      </c>
      <c r="F2105" t="s">
        <v>5763</v>
      </c>
      <c r="H2105" t="s">
        <v>414</v>
      </c>
      <c r="M2105" t="s">
        <v>414</v>
      </c>
    </row>
    <row r="2106" spans="1:13" ht="15">
      <c r="A2106" t="s">
        <v>3740</v>
      </c>
      <c r="B2106" t="s">
        <v>3444</v>
      </c>
      <c r="C2106" t="s">
        <v>6223</v>
      </c>
      <c r="D2106" s="83" t="s">
        <v>5571</v>
      </c>
      <c r="E2106" t="s">
        <v>5294</v>
      </c>
      <c r="F2106" t="s">
        <v>5793</v>
      </c>
      <c r="G2106" t="s">
        <v>414</v>
      </c>
      <c r="H2106" t="s">
        <v>414</v>
      </c>
      <c r="K2106" t="s">
        <v>414</v>
      </c>
      <c r="L2106" t="s">
        <v>414</v>
      </c>
      <c r="M2106" t="s">
        <v>414</v>
      </c>
    </row>
    <row r="2107" spans="1:13" ht="15">
      <c r="A2107" t="s">
        <v>3739</v>
      </c>
      <c r="B2107" s="12" t="s">
        <v>33</v>
      </c>
      <c r="C2107" t="s">
        <v>6181</v>
      </c>
      <c r="D2107" s="83" t="s">
        <v>5571</v>
      </c>
      <c r="E2107" t="s">
        <v>5294</v>
      </c>
      <c r="F2107" t="s">
        <v>5793</v>
      </c>
      <c r="G2107" t="s">
        <v>414</v>
      </c>
      <c r="H2107" t="s">
        <v>414</v>
      </c>
      <c r="K2107" t="s">
        <v>414</v>
      </c>
      <c r="L2107" t="s">
        <v>414</v>
      </c>
      <c r="M2107" t="s">
        <v>414</v>
      </c>
    </row>
    <row r="2108" spans="1:13" ht="15">
      <c r="A2108" t="s">
        <v>7923</v>
      </c>
      <c r="C2108" t="s">
        <v>6072</v>
      </c>
      <c r="D2108" s="83" t="s">
        <v>5866</v>
      </c>
      <c r="E2108" t="s">
        <v>7787</v>
      </c>
      <c r="F2108" t="s">
        <v>5763</v>
      </c>
      <c r="H2108" t="s">
        <v>414</v>
      </c>
      <c r="K2108" t="s">
        <v>414</v>
      </c>
      <c r="L2108" t="s">
        <v>414</v>
      </c>
    </row>
    <row r="2109" spans="1:13" ht="15">
      <c r="A2109" t="s">
        <v>4448</v>
      </c>
      <c r="B2109" s="12" t="s">
        <v>1309</v>
      </c>
      <c r="C2109" t="s">
        <v>6130</v>
      </c>
      <c r="D2109" s="83" t="s">
        <v>5506</v>
      </c>
      <c r="E2109" t="s">
        <v>5229</v>
      </c>
      <c r="F2109" t="s">
        <v>5766</v>
      </c>
      <c r="H2109" t="s">
        <v>414</v>
      </c>
      <c r="M2109" t="s">
        <v>414</v>
      </c>
    </row>
    <row r="2110" spans="1:13" ht="15">
      <c r="A2110" t="s">
        <v>3783</v>
      </c>
      <c r="B2110" t="s">
        <v>301</v>
      </c>
      <c r="C2110" t="s">
        <v>6245</v>
      </c>
      <c r="D2110" s="83" t="s">
        <v>5506</v>
      </c>
      <c r="E2110" t="s">
        <v>5229</v>
      </c>
      <c r="F2110" t="s">
        <v>5766</v>
      </c>
      <c r="H2110" t="s">
        <v>414</v>
      </c>
      <c r="M2110" t="s">
        <v>414</v>
      </c>
    </row>
    <row r="2111" spans="1:13" ht="15">
      <c r="A2111" t="s">
        <v>4525</v>
      </c>
      <c r="B2111" s="81" t="s">
        <v>4524</v>
      </c>
      <c r="C2111" t="s">
        <v>6342</v>
      </c>
      <c r="D2111" s="83" t="s">
        <v>5506</v>
      </c>
      <c r="E2111" t="s">
        <v>5229</v>
      </c>
      <c r="F2111" t="s">
        <v>5766</v>
      </c>
      <c r="H2111" t="s">
        <v>414</v>
      </c>
      <c r="M2111" t="s">
        <v>414</v>
      </c>
    </row>
    <row r="2112" spans="1:13" ht="15">
      <c r="A2112" t="s">
        <v>4448</v>
      </c>
      <c r="B2112" s="12" t="s">
        <v>1309</v>
      </c>
      <c r="C2112" t="s">
        <v>6425</v>
      </c>
      <c r="D2112" s="83" t="s">
        <v>5506</v>
      </c>
      <c r="E2112" t="s">
        <v>5229</v>
      </c>
      <c r="F2112" t="s">
        <v>5766</v>
      </c>
      <c r="H2112" t="s">
        <v>414</v>
      </c>
      <c r="M2112" t="s">
        <v>414</v>
      </c>
    </row>
    <row r="2113" spans="1:13" ht="15">
      <c r="A2113" t="s">
        <v>7923</v>
      </c>
      <c r="C2113" t="s">
        <v>6072</v>
      </c>
      <c r="D2113" s="83" t="s">
        <v>5699</v>
      </c>
      <c r="E2113" t="s">
        <v>5422</v>
      </c>
      <c r="F2113" t="s">
        <v>5763</v>
      </c>
      <c r="H2113" t="s">
        <v>414</v>
      </c>
    </row>
    <row r="2114" spans="1:13" ht="15">
      <c r="A2114" t="s">
        <v>4443</v>
      </c>
      <c r="B2114" t="s">
        <v>4287</v>
      </c>
      <c r="C2114" t="s">
        <v>6548</v>
      </c>
      <c r="D2114" s="83" t="s">
        <v>5506</v>
      </c>
      <c r="E2114" t="s">
        <v>5229</v>
      </c>
      <c r="F2114" t="s">
        <v>5766</v>
      </c>
      <c r="H2114" t="s">
        <v>414</v>
      </c>
      <c r="M2114" t="s">
        <v>414</v>
      </c>
    </row>
    <row r="2115" spans="1:13" ht="15">
      <c r="A2115" t="s">
        <v>3783</v>
      </c>
      <c r="B2115" t="s">
        <v>301</v>
      </c>
      <c r="C2115" t="s">
        <v>6071</v>
      </c>
      <c r="D2115" s="83" t="s">
        <v>5644</v>
      </c>
      <c r="E2115" t="s">
        <v>5367</v>
      </c>
      <c r="F2115" t="s">
        <v>301</v>
      </c>
      <c r="M2115" t="s">
        <v>414</v>
      </c>
    </row>
    <row r="2116" spans="1:13" ht="15">
      <c r="A2116" t="s">
        <v>7923</v>
      </c>
      <c r="C2116" t="s">
        <v>7282</v>
      </c>
      <c r="D2116" s="83" t="s">
        <v>5577</v>
      </c>
      <c r="E2116" t="s">
        <v>5300</v>
      </c>
      <c r="F2116" t="s">
        <v>5763</v>
      </c>
    </row>
    <row r="2117" spans="1:13" ht="15">
      <c r="A2117" t="s">
        <v>7923</v>
      </c>
      <c r="C2117" t="s">
        <v>7282</v>
      </c>
      <c r="D2117" s="83" t="s">
        <v>5631</v>
      </c>
      <c r="E2117" t="s">
        <v>5354</v>
      </c>
      <c r="F2117" t="s">
        <v>5763</v>
      </c>
    </row>
    <row r="2118" spans="1:13" ht="15">
      <c r="A2118" t="s">
        <v>7923</v>
      </c>
      <c r="C2118" t="s">
        <v>7282</v>
      </c>
      <c r="D2118" s="83" t="s">
        <v>5554</v>
      </c>
      <c r="E2118" t="s">
        <v>5277</v>
      </c>
      <c r="F2118" t="s">
        <v>5763</v>
      </c>
    </row>
    <row r="2119" spans="1:13" ht="15">
      <c r="A2119" t="s">
        <v>3739</v>
      </c>
      <c r="B2119" s="12" t="s">
        <v>33</v>
      </c>
      <c r="C2119" t="s">
        <v>32</v>
      </c>
      <c r="D2119" t="s">
        <v>1219</v>
      </c>
      <c r="E2119" t="s">
        <v>1220</v>
      </c>
      <c r="G2119" t="e" cm="1">
        <f t="array" ref="G2119">_xlfn.XLOOKUP(E2119,HCP_evidence!H:H,IF(HCP_evidence!M:M="Yes","Yes",""))</f>
        <v>#N/A</v>
      </c>
      <c r="H2119" t="s">
        <v>414</v>
      </c>
      <c r="I2119" t="s">
        <v>414</v>
      </c>
      <c r="J2119" t="e">
        <f>IF(OR(K2119="Yes",L2119="Yes"),"Yes","")</f>
        <v>#REF!</v>
      </c>
      <c r="K2119" t="e" cm="1">
        <f t="array" ref="K2119">_xlfn.XLOOKUP(E2119,HCP_evidence!H:H,IF(HCP_evidence!#REF!="Yes","Yes",""))</f>
        <v>#REF!</v>
      </c>
      <c r="L2119" t="e" cm="1">
        <f t="array" ref="L2119">_xlfn.XLOOKUP(E2119,HCP_evidence!H:H,IF(HCP_evidence!#REF!="Yes","Yes",""))</f>
        <v>#REF!</v>
      </c>
      <c r="M2119" t="s">
        <v>414</v>
      </c>
    </row>
    <row r="2120" spans="1:13" ht="15">
      <c r="A2120" t="s">
        <v>7923</v>
      </c>
      <c r="C2120" t="s">
        <v>6535</v>
      </c>
      <c r="D2120" s="83" t="s">
        <v>5866</v>
      </c>
      <c r="E2120" t="s">
        <v>7787</v>
      </c>
      <c r="F2120" t="s">
        <v>5763</v>
      </c>
      <c r="H2120" t="s">
        <v>414</v>
      </c>
      <c r="K2120" t="s">
        <v>414</v>
      </c>
      <c r="L2120" t="s">
        <v>414</v>
      </c>
    </row>
    <row r="2121" spans="1:13" ht="15">
      <c r="A2121" t="s">
        <v>7923</v>
      </c>
      <c r="C2121" t="s">
        <v>7147</v>
      </c>
      <c r="D2121" s="83" t="s">
        <v>5502</v>
      </c>
      <c r="E2121" t="s">
        <v>5225</v>
      </c>
      <c r="F2121" t="s">
        <v>5763</v>
      </c>
    </row>
    <row r="2122" spans="1:13" ht="15">
      <c r="A2122" t="s">
        <v>3773</v>
      </c>
      <c r="B2122" t="s">
        <v>1289</v>
      </c>
      <c r="C2122" t="s">
        <v>1190</v>
      </c>
      <c r="D2122" t="str">
        <f>_xlfn.XLOOKUP(E2122,HCP_evidence!H:H,HCP_evidence!I:I)</f>
        <v>https://www.sante.fr/essais-cliniques/2024-515344-23-00/etude-de-phase-ii-evaluant-les-avantages-d-un-traitement-sequentiel-par-gembrax-puis-folfirinox-suivi-d-une-radiotherapie-stereotaxique-guidee-par-irm-chez-des-patients-atteints-d-un-cancer-du-pancreas-localement-avance</v>
      </c>
      <c r="E2122" t="s">
        <v>1200</v>
      </c>
      <c r="G2122" t="str" cm="1">
        <f t="array" ref="G2122">_xlfn.XLOOKUP(E2122,HCP_evidence!H:H,IF(HCP_evidence!M:M="Yes","Yes",""))</f>
        <v/>
      </c>
      <c r="H2122" t="str" cm="1">
        <f t="array" ref="H2122">_xlfn.XLOOKUP(E2122,HCP_evidence!H:H,IF(HCP_evidence!K:K="Yes","Yes",""))</f>
        <v/>
      </c>
      <c r="I2122" t="str" cm="1">
        <f t="array" ref="I2122">_xlfn.XLOOKUP(E2122,HCP_evidence!H:H,IF(HCP_evidence!J:J="Yes","Yes",""))</f>
        <v>Yes</v>
      </c>
      <c r="J2122" t="e">
        <f>IF(OR(K2122="Yes",L2122="Yes"),"Yes","")</f>
        <v>#REF!</v>
      </c>
      <c r="K2122" t="e" cm="1">
        <f t="array" ref="K2122">_xlfn.XLOOKUP(E2122,HCP_evidence!H:H,IF(HCP_evidence!#REF!="Yes","Yes",""))</f>
        <v>#REF!</v>
      </c>
      <c r="L2122" t="e" cm="1">
        <f t="array" ref="L2122">_xlfn.XLOOKUP(E2122,HCP_evidence!H:H,IF(HCP_evidence!#REF!="Yes","Yes",""))</f>
        <v>#REF!</v>
      </c>
      <c r="M2122" t="str" cm="1">
        <f t="array" ref="M2122">_xlfn.XLOOKUP(E2122,HCP_evidence!H:H,IF(HCP_evidence!N:N="Yes","Yes",""))</f>
        <v/>
      </c>
    </row>
    <row r="2123" spans="1:13" ht="15">
      <c r="A2123" t="s">
        <v>4448</v>
      </c>
      <c r="B2123" s="12" t="s">
        <v>1309</v>
      </c>
      <c r="C2123" t="s">
        <v>380</v>
      </c>
      <c r="D2123" t="str">
        <f>_xlfn.XLOOKUP(E2123,HCP_evidence!H:H,HCP_evidence!I:I)</f>
        <v>https://www.sante.fr/essais-cliniques/2024-515344-23-00/etude-de-phase-ii-evaluant-les-avantages-d-un-traitement-sequentiel-par-gembrax-puis-folfirinox-suivi-d-une-radiotherapie-stereotaxique-guidee-par-irm-chez-des-patients-atteints-d-un-cancer-du-pancreas-localement-avance</v>
      </c>
      <c r="E2123" t="s">
        <v>1200</v>
      </c>
      <c r="G2123" t="str" cm="1">
        <f t="array" ref="G2123">_xlfn.XLOOKUP(E2123,HCP_evidence!H:H,IF(HCP_evidence!M:M="Yes","Yes",""))</f>
        <v/>
      </c>
      <c r="H2123" t="str" cm="1">
        <f t="array" ref="H2123">_xlfn.XLOOKUP(E2123,HCP_evidence!H:H,IF(HCP_evidence!K:K="Yes","Yes",""))</f>
        <v/>
      </c>
      <c r="I2123" t="str" cm="1">
        <f t="array" ref="I2123">_xlfn.XLOOKUP(E2123,HCP_evidence!H:H,IF(HCP_evidence!J:J="Yes","Yes",""))</f>
        <v>Yes</v>
      </c>
      <c r="J2123" t="e">
        <f>IF(OR(K2123="Yes",L2123="Yes"),"Yes","")</f>
        <v>#REF!</v>
      </c>
      <c r="K2123" t="e" cm="1">
        <f t="array" ref="K2123">_xlfn.XLOOKUP(E2123,HCP_evidence!H:H,IF(HCP_evidence!#REF!="Yes","Yes",""))</f>
        <v>#REF!</v>
      </c>
      <c r="L2123" t="e" cm="1">
        <f t="array" ref="L2123">_xlfn.XLOOKUP(E2123,HCP_evidence!H:H,IF(HCP_evidence!#REF!="Yes","Yes",""))</f>
        <v>#REF!</v>
      </c>
      <c r="M2123" t="str" cm="1">
        <f t="array" ref="M2123">_xlfn.XLOOKUP(E2123,HCP_evidence!H:H,IF(HCP_evidence!N:N="Yes","Yes",""))</f>
        <v/>
      </c>
    </row>
    <row r="2124" spans="1:13" ht="15">
      <c r="A2124" t="s">
        <v>3738</v>
      </c>
      <c r="B2124" s="74" t="s">
        <v>4300</v>
      </c>
      <c r="C2124" t="s">
        <v>1281</v>
      </c>
      <c r="D2124" t="str">
        <f>_xlfn.XLOOKUP(E2124,HCP_evidence!H:H,HCP_evidence!I:I)</f>
        <v>https://www.sante.fr/essais-cliniques/2024-515344-23-00/etude-de-phase-ii-evaluant-les-avantages-d-un-traitement-sequentiel-par-gembrax-puis-folfirinox-suivi-d-une-radiotherapie-stereotaxique-guidee-par-irm-chez-des-patients-atteints-d-un-cancer-du-pancreas-localement-avance</v>
      </c>
      <c r="E2124" t="s">
        <v>1200</v>
      </c>
      <c r="G2124" t="str" cm="1">
        <f t="array" ref="G2124">_xlfn.XLOOKUP(E2124,HCP_evidence!H:H,IF(HCP_evidence!M:M="Yes","Yes",""))</f>
        <v/>
      </c>
      <c r="H2124" t="str" cm="1">
        <f t="array" ref="H2124">_xlfn.XLOOKUP(E2124,HCP_evidence!H:H,IF(HCP_evidence!K:K="Yes","Yes",""))</f>
        <v/>
      </c>
      <c r="I2124" t="str" cm="1">
        <f t="array" ref="I2124">_xlfn.XLOOKUP(E2124,HCP_evidence!H:H,IF(HCP_evidence!J:J="Yes","Yes",""))</f>
        <v>Yes</v>
      </c>
      <c r="J2124" t="e">
        <f>IF(OR(K2124="Yes",L2124="Yes"),"Yes","")</f>
        <v>#REF!</v>
      </c>
      <c r="K2124" t="e" cm="1">
        <f t="array" ref="K2124">_xlfn.XLOOKUP(E2124,HCP_evidence!H:H,IF(HCP_evidence!#REF!="Yes","Yes",""))</f>
        <v>#REF!</v>
      </c>
      <c r="L2124" t="e" cm="1">
        <f t="array" ref="L2124">_xlfn.XLOOKUP(E2124,HCP_evidence!H:H,IF(HCP_evidence!#REF!="Yes","Yes",""))</f>
        <v>#REF!</v>
      </c>
      <c r="M2124" t="str" cm="1">
        <f t="array" ref="M2124">_xlfn.XLOOKUP(E2124,HCP_evidence!H:H,IF(HCP_evidence!N:N="Yes","Yes",""))</f>
        <v/>
      </c>
    </row>
    <row r="2125" spans="1:13" ht="15">
      <c r="A2125" t="s">
        <v>7923</v>
      </c>
      <c r="C2125" t="s">
        <v>7147</v>
      </c>
      <c r="D2125" s="83" t="s">
        <v>5577</v>
      </c>
      <c r="E2125" t="s">
        <v>5300</v>
      </c>
      <c r="F2125" t="s">
        <v>5763</v>
      </c>
    </row>
    <row r="2126" spans="1:13" ht="15">
      <c r="A2126" t="s">
        <v>7923</v>
      </c>
      <c r="C2126" t="s">
        <v>6582</v>
      </c>
      <c r="D2126" s="83" t="s">
        <v>5866</v>
      </c>
      <c r="E2126" t="s">
        <v>7787</v>
      </c>
      <c r="F2126" t="s">
        <v>5763</v>
      </c>
      <c r="H2126" t="s">
        <v>414</v>
      </c>
      <c r="K2126" t="s">
        <v>414</v>
      </c>
      <c r="L2126" t="s">
        <v>414</v>
      </c>
    </row>
    <row r="2127" spans="1:13" ht="15">
      <c r="A2127" t="s">
        <v>3769</v>
      </c>
      <c r="B2127" t="s">
        <v>7803</v>
      </c>
      <c r="C2127" t="s">
        <v>5983</v>
      </c>
      <c r="D2127" s="83" t="s">
        <v>5544</v>
      </c>
      <c r="E2127" t="s">
        <v>5267</v>
      </c>
      <c r="F2127" t="s">
        <v>5782</v>
      </c>
      <c r="H2127" t="s">
        <v>414</v>
      </c>
      <c r="I2127" t="s">
        <v>414</v>
      </c>
      <c r="M2127" t="s">
        <v>414</v>
      </c>
    </row>
    <row r="2128" spans="1:13" ht="15">
      <c r="A2128" t="s">
        <v>7923</v>
      </c>
      <c r="C2128" t="s">
        <v>5937</v>
      </c>
      <c r="D2128" s="83" t="s">
        <v>5866</v>
      </c>
      <c r="E2128" t="s">
        <v>7787</v>
      </c>
      <c r="F2128" t="s">
        <v>5763</v>
      </c>
      <c r="H2128" t="s">
        <v>414</v>
      </c>
      <c r="K2128" t="s">
        <v>414</v>
      </c>
      <c r="L2128" t="s">
        <v>414</v>
      </c>
    </row>
    <row r="2129" spans="1:13" ht="15">
      <c r="A2129" t="s">
        <v>7923</v>
      </c>
      <c r="C2129" t="s">
        <v>6621</v>
      </c>
      <c r="D2129" s="83" t="s">
        <v>5502</v>
      </c>
      <c r="E2129" t="s">
        <v>5225</v>
      </c>
      <c r="F2129" t="s">
        <v>5763</v>
      </c>
    </row>
    <row r="2130" spans="1:13" ht="15">
      <c r="A2130" t="s">
        <v>7923</v>
      </c>
      <c r="C2130" t="s">
        <v>6621</v>
      </c>
      <c r="D2130" s="83" t="s">
        <v>5577</v>
      </c>
      <c r="E2130" t="s">
        <v>5300</v>
      </c>
      <c r="F2130" t="s">
        <v>5763</v>
      </c>
    </row>
    <row r="2131" spans="1:13" ht="15">
      <c r="A2131" t="s">
        <v>3773</v>
      </c>
      <c r="B2131" t="s">
        <v>1289</v>
      </c>
      <c r="C2131" t="s">
        <v>1190</v>
      </c>
      <c r="D2131" t="str">
        <f>_xlfn.XLOOKUP(E2131,HCP_evidence!H:H,HCP_evidence!I:I)</f>
        <v>https://www.sante.fr/essais-cliniques/2023-505889-29-01/essai-de-phase-ii-evaluant-l-efficacite-et-la-securite-du-traitement-par-folfirinox3-chez-des-patients-atteints-d-un-cancer-du-pancreas-localement-avance-ou-metastatique-inoperable-en-premiere-ligne-de-chimiotherapie</v>
      </c>
      <c r="E2131" t="s">
        <v>1196</v>
      </c>
      <c r="G2131" t="str" cm="1">
        <f t="array" ref="G2131">_xlfn.XLOOKUP(E2131,HCP_evidence!H:H,IF(HCP_evidence!M:M="Yes","Yes",""))</f>
        <v/>
      </c>
      <c r="H2131" t="str" cm="1">
        <f t="array" ref="H2131">_xlfn.XLOOKUP(E2131,HCP_evidence!H:H,IF(HCP_evidence!K:K="Yes","Yes",""))</f>
        <v>Yes</v>
      </c>
      <c r="I2131" t="str" cm="1">
        <f t="array" ref="I2131">_xlfn.XLOOKUP(E2131,HCP_evidence!H:H,IF(HCP_evidence!J:J="Yes","Yes",""))</f>
        <v>Yes</v>
      </c>
      <c r="J2131" t="e">
        <f>IF(OR(K2131="Yes",L2131="Yes"),"Yes","")</f>
        <v>#REF!</v>
      </c>
      <c r="K2131" t="e" cm="1">
        <f t="array" ref="K2131">_xlfn.XLOOKUP(E2131,HCP_evidence!H:H,IF(HCP_evidence!#REF!="Yes","Yes",""))</f>
        <v>#REF!</v>
      </c>
      <c r="L2131" t="e" cm="1">
        <f t="array" ref="L2131">_xlfn.XLOOKUP(E2131,HCP_evidence!H:H,IF(HCP_evidence!#REF!="Yes","Yes",""))</f>
        <v>#REF!</v>
      </c>
      <c r="M2131" t="str" cm="1">
        <f t="array" ref="M2131">_xlfn.XLOOKUP(E2131,HCP_evidence!H:H,IF(HCP_evidence!N:N="Yes","Yes",""))</f>
        <v>Yes</v>
      </c>
    </row>
    <row r="2132" spans="1:13" ht="15">
      <c r="A2132" t="s">
        <v>7923</v>
      </c>
      <c r="C2132" t="s">
        <v>6621</v>
      </c>
      <c r="D2132" s="83" t="s">
        <v>5866</v>
      </c>
      <c r="E2132" t="s">
        <v>7787</v>
      </c>
      <c r="F2132" t="s">
        <v>5763</v>
      </c>
      <c r="H2132" t="s">
        <v>414</v>
      </c>
      <c r="K2132" t="s">
        <v>414</v>
      </c>
      <c r="L2132" t="s">
        <v>414</v>
      </c>
    </row>
    <row r="2133" spans="1:13" ht="15">
      <c r="A2133" t="s">
        <v>7923</v>
      </c>
      <c r="C2133" t="s">
        <v>5946</v>
      </c>
      <c r="D2133" s="83" t="s">
        <v>5870</v>
      </c>
      <c r="E2133" t="s">
        <v>7791</v>
      </c>
      <c r="F2133" t="s">
        <v>5763</v>
      </c>
      <c r="H2133" t="s">
        <v>414</v>
      </c>
      <c r="K2133" t="s">
        <v>414</v>
      </c>
    </row>
    <row r="2134" spans="1:13" ht="15">
      <c r="A2134" t="s">
        <v>7923</v>
      </c>
      <c r="C2134" t="s">
        <v>7455</v>
      </c>
      <c r="D2134" s="83" t="s">
        <v>5577</v>
      </c>
      <c r="E2134" t="s">
        <v>5300</v>
      </c>
      <c r="F2134" t="s">
        <v>5763</v>
      </c>
    </row>
    <row r="2135" spans="1:13" ht="15">
      <c r="A2135" t="s">
        <v>3139</v>
      </c>
      <c r="B2135" t="s">
        <v>4285</v>
      </c>
      <c r="C2135" t="s">
        <v>6237</v>
      </c>
      <c r="D2135" s="83" t="s">
        <v>5565</v>
      </c>
      <c r="E2135" t="s">
        <v>5288</v>
      </c>
      <c r="F2135" t="s">
        <v>5740</v>
      </c>
      <c r="H2135" t="s">
        <v>414</v>
      </c>
      <c r="M2135" t="s">
        <v>414</v>
      </c>
    </row>
    <row r="2136" spans="1:13" ht="15">
      <c r="A2136" t="s">
        <v>7923</v>
      </c>
      <c r="C2136" t="s">
        <v>6276</v>
      </c>
      <c r="D2136" s="83" t="s">
        <v>5531</v>
      </c>
      <c r="E2136" t="s">
        <v>5254</v>
      </c>
      <c r="F2136" t="s">
        <v>5763</v>
      </c>
    </row>
    <row r="2137" spans="1:13" ht="15">
      <c r="A2137" t="s">
        <v>7923</v>
      </c>
      <c r="C2137" t="s">
        <v>7381</v>
      </c>
      <c r="D2137" s="83" t="s">
        <v>5554</v>
      </c>
      <c r="E2137" t="s">
        <v>5277</v>
      </c>
      <c r="F2137" t="s">
        <v>5763</v>
      </c>
    </row>
    <row r="2138" spans="1:13" ht="15">
      <c r="A2138" t="s">
        <v>7923</v>
      </c>
      <c r="C2138" t="s">
        <v>7255</v>
      </c>
      <c r="D2138" s="83" t="s">
        <v>5502</v>
      </c>
      <c r="E2138" t="s">
        <v>5225</v>
      </c>
      <c r="F2138" t="s">
        <v>5763</v>
      </c>
    </row>
    <row r="2139" spans="1:13" ht="15">
      <c r="A2139" t="s">
        <v>3755</v>
      </c>
      <c r="B2139" t="s">
        <v>4533</v>
      </c>
      <c r="C2139" t="s">
        <v>6333</v>
      </c>
      <c r="D2139" s="83" t="s">
        <v>5628</v>
      </c>
      <c r="E2139" t="s">
        <v>5351</v>
      </c>
      <c r="F2139" t="s">
        <v>5748</v>
      </c>
      <c r="K2139" t="s">
        <v>414</v>
      </c>
      <c r="L2139" t="s">
        <v>414</v>
      </c>
    </row>
    <row r="2140" spans="1:13" ht="15">
      <c r="A2140" t="s">
        <v>7923</v>
      </c>
      <c r="C2140" t="s">
        <v>7255</v>
      </c>
      <c r="D2140" s="83" t="s">
        <v>5577</v>
      </c>
      <c r="E2140" t="s">
        <v>5300</v>
      </c>
      <c r="F2140" t="s">
        <v>5763</v>
      </c>
    </row>
    <row r="2141" spans="1:13" ht="15">
      <c r="A2141" t="s">
        <v>3744</v>
      </c>
      <c r="B2141" t="s">
        <v>1243</v>
      </c>
      <c r="C2141" t="s">
        <v>6481</v>
      </c>
      <c r="D2141" s="83" t="s">
        <v>5628</v>
      </c>
      <c r="E2141" t="s">
        <v>5351</v>
      </c>
      <c r="F2141" t="s">
        <v>5748</v>
      </c>
      <c r="K2141" t="s">
        <v>414</v>
      </c>
      <c r="L2141" t="s">
        <v>414</v>
      </c>
    </row>
    <row r="2142" spans="1:13" ht="15">
      <c r="A2142" t="s">
        <v>3765</v>
      </c>
      <c r="B2142" t="s">
        <v>4302</v>
      </c>
      <c r="C2142" t="s">
        <v>6543</v>
      </c>
      <c r="D2142" s="83" t="s">
        <v>5628</v>
      </c>
      <c r="E2142" t="s">
        <v>5351</v>
      </c>
      <c r="F2142" t="s">
        <v>5748</v>
      </c>
      <c r="K2142" t="s">
        <v>414</v>
      </c>
      <c r="L2142" t="s">
        <v>414</v>
      </c>
    </row>
    <row r="2143" spans="1:13" ht="15">
      <c r="A2143" t="s">
        <v>7923</v>
      </c>
      <c r="C2143" t="s">
        <v>7255</v>
      </c>
      <c r="D2143" s="83" t="s">
        <v>5554</v>
      </c>
      <c r="E2143" t="s">
        <v>5277</v>
      </c>
      <c r="F2143" t="s">
        <v>5763</v>
      </c>
    </row>
    <row r="2144" spans="1:13" ht="15">
      <c r="A2144" t="s">
        <v>7923</v>
      </c>
      <c r="C2144" t="s">
        <v>6365</v>
      </c>
      <c r="D2144" s="83" t="s">
        <v>5619</v>
      </c>
      <c r="E2144" t="s">
        <v>5342</v>
      </c>
      <c r="F2144" t="s">
        <v>5763</v>
      </c>
    </row>
    <row r="2145" spans="1:13" ht="15">
      <c r="A2145" t="s">
        <v>7923</v>
      </c>
      <c r="C2145" t="s">
        <v>7084</v>
      </c>
      <c r="D2145" s="83" t="s">
        <v>5594</v>
      </c>
      <c r="E2145" t="s">
        <v>5317</v>
      </c>
      <c r="F2145" t="s">
        <v>5763</v>
      </c>
    </row>
    <row r="2146" spans="1:13" ht="15">
      <c r="A2146" t="s">
        <v>7923</v>
      </c>
      <c r="C2146" t="s">
        <v>7066</v>
      </c>
      <c r="D2146" s="83" t="s">
        <v>5577</v>
      </c>
      <c r="E2146" t="s">
        <v>5300</v>
      </c>
      <c r="F2146" t="s">
        <v>5763</v>
      </c>
    </row>
    <row r="2147" spans="1:13" ht="15">
      <c r="A2147" t="s">
        <v>7923</v>
      </c>
      <c r="C2147" t="s">
        <v>7066</v>
      </c>
      <c r="D2147" s="83" t="s">
        <v>5554</v>
      </c>
      <c r="E2147" t="s">
        <v>5277</v>
      </c>
      <c r="F2147" t="s">
        <v>5763</v>
      </c>
    </row>
    <row r="2148" spans="1:13" ht="15">
      <c r="A2148" t="s">
        <v>3139</v>
      </c>
      <c r="B2148" t="s">
        <v>4285</v>
      </c>
      <c r="C2148" t="s">
        <v>6033</v>
      </c>
      <c r="D2148" s="83" t="s">
        <v>5581</v>
      </c>
      <c r="E2148" t="s">
        <v>5304</v>
      </c>
      <c r="F2148" t="s">
        <v>5725</v>
      </c>
      <c r="I2148" t="s">
        <v>414</v>
      </c>
    </row>
    <row r="2149" spans="1:13" ht="15">
      <c r="A2149" t="s">
        <v>7923</v>
      </c>
      <c r="C2149" t="s">
        <v>6109</v>
      </c>
      <c r="D2149" s="83" t="s">
        <v>5502</v>
      </c>
      <c r="E2149" t="s">
        <v>5225</v>
      </c>
      <c r="F2149" t="s">
        <v>5763</v>
      </c>
    </row>
    <row r="2150" spans="1:13" ht="15">
      <c r="A2150" t="s">
        <v>7923</v>
      </c>
      <c r="C2150" t="s">
        <v>6109</v>
      </c>
      <c r="D2150" s="83" t="s">
        <v>5577</v>
      </c>
      <c r="E2150" t="s">
        <v>5300</v>
      </c>
      <c r="F2150" t="s">
        <v>5763</v>
      </c>
    </row>
    <row r="2151" spans="1:13" ht="15">
      <c r="A2151" t="s">
        <v>4453</v>
      </c>
      <c r="B2151" s="81" t="s">
        <v>3175</v>
      </c>
      <c r="C2151" t="s">
        <v>7244</v>
      </c>
      <c r="D2151" s="83" t="s">
        <v>4141</v>
      </c>
      <c r="E2151" t="s">
        <v>5034</v>
      </c>
      <c r="F2151" t="s">
        <v>60</v>
      </c>
      <c r="M2151" t="s">
        <v>414</v>
      </c>
    </row>
    <row r="2152" spans="1:13" ht="15">
      <c r="A2152" t="s">
        <v>7923</v>
      </c>
      <c r="C2152" t="s">
        <v>6109</v>
      </c>
      <c r="D2152" s="83" t="s">
        <v>5870</v>
      </c>
      <c r="E2152" t="s">
        <v>7791</v>
      </c>
      <c r="F2152" t="s">
        <v>5763</v>
      </c>
      <c r="H2152" t="s">
        <v>414</v>
      </c>
      <c r="K2152" t="s">
        <v>414</v>
      </c>
    </row>
    <row r="2153" spans="1:13" ht="15">
      <c r="A2153" t="s">
        <v>4453</v>
      </c>
      <c r="B2153" s="81" t="s">
        <v>3175</v>
      </c>
      <c r="C2153" t="s">
        <v>7331</v>
      </c>
      <c r="D2153" s="83" t="s">
        <v>4141</v>
      </c>
      <c r="E2153" t="s">
        <v>5034</v>
      </c>
      <c r="F2153" t="s">
        <v>60</v>
      </c>
      <c r="M2153" t="s">
        <v>414</v>
      </c>
    </row>
    <row r="2154" spans="1:13" ht="15">
      <c r="A2154" t="s">
        <v>7923</v>
      </c>
      <c r="C2154" t="s">
        <v>6109</v>
      </c>
      <c r="D2154" s="83" t="s">
        <v>5699</v>
      </c>
      <c r="E2154" t="s">
        <v>5422</v>
      </c>
      <c r="F2154" t="s">
        <v>5763</v>
      </c>
      <c r="H2154" t="s">
        <v>414</v>
      </c>
    </row>
    <row r="2155" spans="1:13" ht="15">
      <c r="A2155" t="s">
        <v>7923</v>
      </c>
      <c r="C2155" t="s">
        <v>6445</v>
      </c>
      <c r="D2155" s="83" t="s">
        <v>5619</v>
      </c>
      <c r="E2155" t="s">
        <v>5342</v>
      </c>
      <c r="F2155" t="s">
        <v>5763</v>
      </c>
    </row>
    <row r="2156" spans="1:13" ht="15">
      <c r="A2156" t="s">
        <v>7923</v>
      </c>
      <c r="C2156" t="s">
        <v>6047</v>
      </c>
      <c r="D2156" s="83" t="s">
        <v>5703</v>
      </c>
      <c r="E2156" t="s">
        <v>5427</v>
      </c>
      <c r="F2156" t="s">
        <v>5763</v>
      </c>
      <c r="K2156" t="s">
        <v>414</v>
      </c>
    </row>
    <row r="2157" spans="1:13" ht="15">
      <c r="A2157" t="s">
        <v>7923</v>
      </c>
      <c r="C2157" t="s">
        <v>6059</v>
      </c>
      <c r="D2157" s="83" t="s">
        <v>5689</v>
      </c>
      <c r="E2157" t="s">
        <v>5412</v>
      </c>
      <c r="F2157" t="s">
        <v>5763</v>
      </c>
      <c r="M2157" t="s">
        <v>414</v>
      </c>
    </row>
    <row r="2158" spans="1:13" ht="15">
      <c r="A2158" t="s">
        <v>7923</v>
      </c>
      <c r="C2158" t="s">
        <v>6059</v>
      </c>
      <c r="D2158" s="83" t="s">
        <v>5655</v>
      </c>
      <c r="E2158" t="s">
        <v>5378</v>
      </c>
      <c r="F2158" t="s">
        <v>5763</v>
      </c>
      <c r="H2158" t="s">
        <v>414</v>
      </c>
      <c r="K2158" t="s">
        <v>414</v>
      </c>
      <c r="L2158" t="s">
        <v>414</v>
      </c>
    </row>
    <row r="2159" spans="1:13" ht="15">
      <c r="A2159" t="s">
        <v>7923</v>
      </c>
      <c r="C2159" t="s">
        <v>6366</v>
      </c>
      <c r="D2159" s="83" t="s">
        <v>5522</v>
      </c>
      <c r="E2159" t="s">
        <v>5245</v>
      </c>
      <c r="F2159" t="s">
        <v>5763</v>
      </c>
    </row>
    <row r="2160" spans="1:13" ht="15">
      <c r="A2160" t="s">
        <v>7923</v>
      </c>
      <c r="C2160" t="s">
        <v>6366</v>
      </c>
      <c r="D2160" s="83" t="s">
        <v>5577</v>
      </c>
      <c r="E2160" t="s">
        <v>5300</v>
      </c>
      <c r="F2160" t="s">
        <v>5763</v>
      </c>
    </row>
    <row r="2161" spans="1:13" ht="15">
      <c r="A2161" t="s">
        <v>7923</v>
      </c>
      <c r="C2161" t="s">
        <v>6366</v>
      </c>
      <c r="D2161" s="83" t="s">
        <v>5631</v>
      </c>
      <c r="E2161" t="s">
        <v>5354</v>
      </c>
      <c r="F2161" t="s">
        <v>5763</v>
      </c>
    </row>
    <row r="2162" spans="1:13" ht="15">
      <c r="A2162" t="s">
        <v>7923</v>
      </c>
      <c r="C2162" t="s">
        <v>6366</v>
      </c>
      <c r="D2162" s="83" t="s">
        <v>5531</v>
      </c>
      <c r="E2162" t="s">
        <v>5254</v>
      </c>
      <c r="F2162" t="s">
        <v>5763</v>
      </c>
    </row>
    <row r="2163" spans="1:13" ht="15">
      <c r="A2163" t="s">
        <v>7923</v>
      </c>
      <c r="C2163" t="s">
        <v>6509</v>
      </c>
      <c r="D2163" s="83" t="s">
        <v>5619</v>
      </c>
      <c r="E2163" t="s">
        <v>5342</v>
      </c>
      <c r="F2163" t="s">
        <v>5763</v>
      </c>
    </row>
    <row r="2164" spans="1:13" ht="15">
      <c r="C2164" t="s">
        <v>6549</v>
      </c>
      <c r="D2164" s="83" t="s">
        <v>5583</v>
      </c>
      <c r="E2164" t="s">
        <v>5306</v>
      </c>
      <c r="F2164" t="s">
        <v>5797</v>
      </c>
      <c r="H2164" t="s">
        <v>414</v>
      </c>
      <c r="I2164" t="s">
        <v>414</v>
      </c>
      <c r="M2164" t="s">
        <v>414</v>
      </c>
    </row>
    <row r="2165" spans="1:13" ht="15">
      <c r="C2165" t="s">
        <v>6132</v>
      </c>
      <c r="D2165" s="83" t="s">
        <v>5583</v>
      </c>
      <c r="E2165" t="s">
        <v>5306</v>
      </c>
      <c r="F2165" t="s">
        <v>5797</v>
      </c>
      <c r="H2165" t="s">
        <v>414</v>
      </c>
      <c r="I2165" t="s">
        <v>414</v>
      </c>
      <c r="M2165" t="s">
        <v>414</v>
      </c>
    </row>
    <row r="2166" spans="1:13" ht="15">
      <c r="A2166" t="s">
        <v>4453</v>
      </c>
      <c r="B2166" s="81" t="s">
        <v>3175</v>
      </c>
      <c r="C2166" t="s">
        <v>6682</v>
      </c>
      <c r="D2166" s="83" t="s">
        <v>5461</v>
      </c>
      <c r="E2166" t="s">
        <v>5184</v>
      </c>
      <c r="F2166" t="s">
        <v>5738</v>
      </c>
    </row>
    <row r="2167" spans="1:13" ht="15">
      <c r="A2167" t="s">
        <v>4450</v>
      </c>
      <c r="B2167" t="s">
        <v>3356</v>
      </c>
      <c r="C2167" t="s">
        <v>7031</v>
      </c>
      <c r="D2167" s="83" t="s">
        <v>5482</v>
      </c>
      <c r="E2167" t="s">
        <v>5205</v>
      </c>
      <c r="F2167" t="s">
        <v>5749</v>
      </c>
      <c r="M2167" t="s">
        <v>414</v>
      </c>
    </row>
    <row r="2168" spans="1:13" ht="15">
      <c r="C2168" t="s">
        <v>6960</v>
      </c>
      <c r="D2168" s="83" t="s">
        <v>5589</v>
      </c>
      <c r="E2168" t="s">
        <v>5312</v>
      </c>
      <c r="F2168" t="s">
        <v>5748</v>
      </c>
      <c r="H2168" t="s">
        <v>414</v>
      </c>
      <c r="M2168" t="s">
        <v>414</v>
      </c>
    </row>
    <row r="2169" spans="1:13" ht="15">
      <c r="C2169" t="s">
        <v>6426</v>
      </c>
      <c r="D2169" s="83" t="s">
        <v>5583</v>
      </c>
      <c r="E2169" t="s">
        <v>5306</v>
      </c>
      <c r="F2169" t="s">
        <v>5797</v>
      </c>
      <c r="H2169" t="s">
        <v>414</v>
      </c>
      <c r="I2169" t="s">
        <v>414</v>
      </c>
      <c r="M2169" t="s">
        <v>414</v>
      </c>
    </row>
    <row r="2170" spans="1:13" ht="15">
      <c r="C2170" t="s">
        <v>6817</v>
      </c>
      <c r="D2170" s="83" t="s">
        <v>4140</v>
      </c>
      <c r="E2170" t="s">
        <v>5033</v>
      </c>
      <c r="F2170" t="s">
        <v>5741</v>
      </c>
      <c r="L2170" t="s">
        <v>414</v>
      </c>
      <c r="M2170" t="s">
        <v>414</v>
      </c>
    </row>
    <row r="2171" spans="1:13" ht="15">
      <c r="C2171" t="s">
        <v>7374</v>
      </c>
      <c r="D2171" s="83" t="s">
        <v>5535</v>
      </c>
      <c r="E2171" t="s">
        <v>5258</v>
      </c>
      <c r="F2171" t="s">
        <v>5779</v>
      </c>
      <c r="H2171" t="s">
        <v>414</v>
      </c>
      <c r="M2171" t="s">
        <v>414</v>
      </c>
    </row>
    <row r="2172" spans="1:13" ht="15">
      <c r="C2172" t="s">
        <v>7264</v>
      </c>
      <c r="D2172" s="83" t="s">
        <v>5538</v>
      </c>
      <c r="E2172" t="s">
        <v>5261</v>
      </c>
      <c r="F2172" t="s">
        <v>5779</v>
      </c>
      <c r="H2172" t="s">
        <v>414</v>
      </c>
      <c r="M2172" t="s">
        <v>414</v>
      </c>
    </row>
    <row r="2173" spans="1:13" ht="15">
      <c r="C2173" t="s">
        <v>7264</v>
      </c>
      <c r="D2173" s="83" t="s">
        <v>5535</v>
      </c>
      <c r="E2173" t="s">
        <v>5258</v>
      </c>
      <c r="F2173" t="s">
        <v>5779</v>
      </c>
      <c r="H2173" t="s">
        <v>414</v>
      </c>
      <c r="M2173" t="s">
        <v>414</v>
      </c>
    </row>
    <row r="2174" spans="1:13" ht="15">
      <c r="C2174" t="s">
        <v>7149</v>
      </c>
      <c r="D2174" s="83" t="s">
        <v>5512</v>
      </c>
      <c r="E2174" t="s">
        <v>5235</v>
      </c>
      <c r="F2174" t="s">
        <v>5769</v>
      </c>
      <c r="M2174" t="s">
        <v>414</v>
      </c>
    </row>
    <row r="2175" spans="1:13" ht="15">
      <c r="C2175" t="s">
        <v>7253</v>
      </c>
      <c r="D2175" s="83" t="s">
        <v>5483</v>
      </c>
      <c r="E2175" t="s">
        <v>5206</v>
      </c>
      <c r="F2175" t="s">
        <v>5743</v>
      </c>
      <c r="H2175" t="s">
        <v>414</v>
      </c>
      <c r="I2175" t="s">
        <v>414</v>
      </c>
    </row>
    <row r="2176" spans="1:13" ht="15">
      <c r="A2176" t="s">
        <v>3752</v>
      </c>
      <c r="B2176" t="s">
        <v>4520</v>
      </c>
      <c r="C2176" t="s">
        <v>6537</v>
      </c>
      <c r="D2176" s="83" t="s">
        <v>4160</v>
      </c>
      <c r="E2176" t="s">
        <v>5053</v>
      </c>
      <c r="F2176" t="s">
        <v>5778</v>
      </c>
      <c r="L2176" t="s">
        <v>414</v>
      </c>
    </row>
    <row r="2177" spans="1:13" ht="15">
      <c r="A2177" t="s">
        <v>4525</v>
      </c>
      <c r="B2177" s="81" t="s">
        <v>4524</v>
      </c>
      <c r="C2177" t="s">
        <v>5913</v>
      </c>
      <c r="D2177" s="83" t="s">
        <v>4207</v>
      </c>
      <c r="E2177" t="s">
        <v>5101</v>
      </c>
      <c r="F2177" t="s">
        <v>5727</v>
      </c>
      <c r="H2177" t="s">
        <v>414</v>
      </c>
      <c r="M2177" t="s">
        <v>414</v>
      </c>
    </row>
    <row r="2178" spans="1:13" ht="15">
      <c r="A2178" t="s">
        <v>3752</v>
      </c>
      <c r="B2178" t="s">
        <v>4520</v>
      </c>
      <c r="C2178" t="s">
        <v>6753</v>
      </c>
      <c r="D2178" s="83" t="s">
        <v>5603</v>
      </c>
      <c r="E2178" t="s">
        <v>5326</v>
      </c>
      <c r="F2178" t="s">
        <v>5778</v>
      </c>
      <c r="L2178" t="s">
        <v>414</v>
      </c>
    </row>
    <row r="2179" spans="1:13" ht="15">
      <c r="A2179" t="s">
        <v>7923</v>
      </c>
      <c r="C2179" t="s">
        <v>6355</v>
      </c>
      <c r="D2179" s="83" t="s">
        <v>5449</v>
      </c>
      <c r="E2179" t="s">
        <v>5172</v>
      </c>
      <c r="F2179" t="s">
        <v>5726</v>
      </c>
    </row>
    <row r="2180" spans="1:13" ht="15">
      <c r="A2180" t="s">
        <v>3139</v>
      </c>
      <c r="B2180" t="s">
        <v>4285</v>
      </c>
      <c r="C2180" t="s">
        <v>6085</v>
      </c>
      <c r="D2180" s="83" t="s">
        <v>5856</v>
      </c>
      <c r="E2180" t="s">
        <v>7775</v>
      </c>
      <c r="F2180" t="s">
        <v>5748</v>
      </c>
      <c r="L2180" t="s">
        <v>414</v>
      </c>
    </row>
    <row r="2181" spans="1:13" ht="15">
      <c r="A2181" t="s">
        <v>7923</v>
      </c>
      <c r="C2181" t="s">
        <v>6009</v>
      </c>
      <c r="D2181" s="83" t="s">
        <v>5452</v>
      </c>
      <c r="E2181" t="s">
        <v>5175</v>
      </c>
      <c r="F2181" t="s">
        <v>5726</v>
      </c>
      <c r="M2181" t="s">
        <v>414</v>
      </c>
    </row>
    <row r="2182" spans="1:13" ht="15">
      <c r="A2182" t="s">
        <v>7923</v>
      </c>
      <c r="C2182" t="s">
        <v>6261</v>
      </c>
      <c r="D2182" s="83" t="s">
        <v>5449</v>
      </c>
      <c r="E2182" t="s">
        <v>5172</v>
      </c>
      <c r="F2182" t="s">
        <v>5726</v>
      </c>
    </row>
    <row r="2183" spans="1:13" ht="15">
      <c r="A2183" t="s">
        <v>4525</v>
      </c>
      <c r="B2183" s="81" t="s">
        <v>4524</v>
      </c>
      <c r="C2183" t="s">
        <v>6046</v>
      </c>
      <c r="D2183" s="83" t="s">
        <v>5856</v>
      </c>
      <c r="E2183" t="s">
        <v>7775</v>
      </c>
      <c r="F2183" t="s">
        <v>5748</v>
      </c>
      <c r="L2183" t="s">
        <v>414</v>
      </c>
    </row>
    <row r="2184" spans="1:13" ht="15">
      <c r="A2184" t="s">
        <v>7923</v>
      </c>
      <c r="C2184" t="s">
        <v>6143</v>
      </c>
      <c r="D2184" s="83" t="s">
        <v>5452</v>
      </c>
      <c r="E2184" t="s">
        <v>5175</v>
      </c>
      <c r="F2184" t="s">
        <v>5726</v>
      </c>
      <c r="M2184" t="s">
        <v>414</v>
      </c>
    </row>
    <row r="2185" spans="1:13" ht="15">
      <c r="A2185" t="s">
        <v>4446</v>
      </c>
      <c r="B2185" t="s">
        <v>4445</v>
      </c>
      <c r="C2185" t="s">
        <v>6526</v>
      </c>
      <c r="D2185" s="83" t="s">
        <v>5856</v>
      </c>
      <c r="E2185" t="s">
        <v>7775</v>
      </c>
      <c r="F2185" t="s">
        <v>5748</v>
      </c>
      <c r="L2185" t="s">
        <v>414</v>
      </c>
    </row>
    <row r="2186" spans="1:13" ht="15">
      <c r="A2186" t="s">
        <v>7923</v>
      </c>
      <c r="C2186" t="s">
        <v>6438</v>
      </c>
      <c r="D2186" s="83" t="s">
        <v>5449</v>
      </c>
      <c r="E2186" t="s">
        <v>5172</v>
      </c>
      <c r="F2186" t="s">
        <v>5726</v>
      </c>
    </row>
    <row r="2187" spans="1:13" ht="15">
      <c r="A2187" t="s">
        <v>7923</v>
      </c>
      <c r="C2187" t="s">
        <v>6260</v>
      </c>
      <c r="D2187" s="83" t="s">
        <v>5452</v>
      </c>
      <c r="E2187" t="s">
        <v>5175</v>
      </c>
      <c r="F2187" t="s">
        <v>5726</v>
      </c>
      <c r="M2187" t="s">
        <v>414</v>
      </c>
    </row>
    <row r="2188" spans="1:13" ht="15">
      <c r="A2188" t="s">
        <v>7923</v>
      </c>
      <c r="C2188" t="s">
        <v>6500</v>
      </c>
      <c r="D2188" s="83" t="s">
        <v>5449</v>
      </c>
      <c r="E2188" t="s">
        <v>5172</v>
      </c>
      <c r="F2188" t="s">
        <v>5726</v>
      </c>
    </row>
    <row r="2189" spans="1:13" ht="15">
      <c r="A2189" t="s">
        <v>7923</v>
      </c>
      <c r="C2189" t="s">
        <v>6354</v>
      </c>
      <c r="D2189" s="83" t="s">
        <v>5452</v>
      </c>
      <c r="E2189" t="s">
        <v>5175</v>
      </c>
      <c r="F2189" t="s">
        <v>5726</v>
      </c>
      <c r="M2189" t="s">
        <v>414</v>
      </c>
    </row>
    <row r="2190" spans="1:13" ht="15">
      <c r="A2190" t="s">
        <v>7923</v>
      </c>
      <c r="C2190" t="s">
        <v>6437</v>
      </c>
      <c r="D2190" s="83" t="s">
        <v>5452</v>
      </c>
      <c r="E2190" t="s">
        <v>5175</v>
      </c>
      <c r="F2190" t="s">
        <v>5726</v>
      </c>
      <c r="M2190" t="s">
        <v>414</v>
      </c>
    </row>
    <row r="2191" spans="1:13" ht="15">
      <c r="A2191" t="s">
        <v>3765</v>
      </c>
      <c r="B2191" t="s">
        <v>4302</v>
      </c>
      <c r="C2191" t="s">
        <v>6733</v>
      </c>
      <c r="D2191" s="83" t="s">
        <v>5856</v>
      </c>
      <c r="E2191" t="s">
        <v>7775</v>
      </c>
      <c r="F2191" t="s">
        <v>5748</v>
      </c>
      <c r="L2191" t="s">
        <v>414</v>
      </c>
    </row>
    <row r="2192" spans="1:13" ht="15">
      <c r="A2192" t="s">
        <v>7923</v>
      </c>
      <c r="C2192" t="s">
        <v>6499</v>
      </c>
      <c r="D2192" s="83" t="s">
        <v>5452</v>
      </c>
      <c r="E2192" t="s">
        <v>5175</v>
      </c>
      <c r="F2192" t="s">
        <v>5726</v>
      </c>
      <c r="M2192" t="s">
        <v>414</v>
      </c>
    </row>
    <row r="2193" spans="1:13" ht="15">
      <c r="A2193" t="s">
        <v>3740</v>
      </c>
      <c r="B2193" t="s">
        <v>3444</v>
      </c>
      <c r="C2193" t="s">
        <v>6400</v>
      </c>
      <c r="D2193" s="83" t="s">
        <v>5856</v>
      </c>
      <c r="E2193" t="s">
        <v>7775</v>
      </c>
      <c r="F2193" t="s">
        <v>5748</v>
      </c>
      <c r="L2193" t="s">
        <v>414</v>
      </c>
    </row>
    <row r="2194" spans="1:13" ht="15">
      <c r="A2194" t="s">
        <v>3738</v>
      </c>
      <c r="B2194" s="74" t="s">
        <v>4300</v>
      </c>
      <c r="C2194" t="s">
        <v>7131</v>
      </c>
      <c r="D2194" s="83" t="s">
        <v>5717</v>
      </c>
      <c r="E2194" t="s">
        <v>5441</v>
      </c>
      <c r="F2194" t="s">
        <v>5725</v>
      </c>
    </row>
    <row r="2195" spans="1:13" ht="15">
      <c r="A2195" t="s">
        <v>7923</v>
      </c>
      <c r="C2195" t="s">
        <v>6010</v>
      </c>
      <c r="D2195" s="83" t="s">
        <v>5449</v>
      </c>
      <c r="E2195" t="s">
        <v>5172</v>
      </c>
      <c r="F2195" t="s">
        <v>5726</v>
      </c>
    </row>
    <row r="2196" spans="1:13" ht="15">
      <c r="A2196" t="s">
        <v>3764</v>
      </c>
      <c r="B2196" s="12" t="s">
        <v>31</v>
      </c>
      <c r="C2196" t="s">
        <v>6025</v>
      </c>
      <c r="D2196" s="83" t="s">
        <v>5646</v>
      </c>
      <c r="E2196" t="s">
        <v>5369</v>
      </c>
      <c r="F2196" t="s">
        <v>31</v>
      </c>
    </row>
    <row r="2197" spans="1:13" ht="15">
      <c r="A2197" t="s">
        <v>7923</v>
      </c>
      <c r="C2197" t="s">
        <v>6144</v>
      </c>
      <c r="D2197" s="83" t="s">
        <v>5449</v>
      </c>
      <c r="E2197" t="s">
        <v>5172</v>
      </c>
      <c r="F2197" t="s">
        <v>5726</v>
      </c>
    </row>
    <row r="2198" spans="1:13" ht="15">
      <c r="A2198" t="s">
        <v>7923</v>
      </c>
      <c r="C2198" t="s">
        <v>6556</v>
      </c>
      <c r="D2198" s="83" t="s">
        <v>5452</v>
      </c>
      <c r="E2198" t="s">
        <v>5175</v>
      </c>
      <c r="F2198" t="s">
        <v>5726</v>
      </c>
      <c r="M2198" t="s">
        <v>414</v>
      </c>
    </row>
    <row r="2199" spans="1:13" ht="15">
      <c r="A2199" t="s">
        <v>7923</v>
      </c>
      <c r="C2199" t="s">
        <v>6557</v>
      </c>
      <c r="D2199" s="83" t="s">
        <v>5449</v>
      </c>
      <c r="E2199" t="s">
        <v>5172</v>
      </c>
      <c r="F2199" t="s">
        <v>5726</v>
      </c>
    </row>
    <row r="2200" spans="1:13" ht="15">
      <c r="A2200" t="s">
        <v>7923</v>
      </c>
      <c r="C2200" t="s">
        <v>6597</v>
      </c>
      <c r="D2200" s="83" t="s">
        <v>5452</v>
      </c>
      <c r="E2200" t="s">
        <v>5175</v>
      </c>
      <c r="F2200" t="s">
        <v>5726</v>
      </c>
      <c r="M2200" t="s">
        <v>414</v>
      </c>
    </row>
    <row r="2201" spans="1:13" ht="15">
      <c r="A2201" t="s">
        <v>3139</v>
      </c>
      <c r="B2201" t="s">
        <v>4285</v>
      </c>
      <c r="C2201" t="s">
        <v>6388</v>
      </c>
      <c r="D2201" s="83" t="s">
        <v>5585</v>
      </c>
      <c r="E2201" t="s">
        <v>5308</v>
      </c>
      <c r="F2201" t="s">
        <v>1309</v>
      </c>
    </row>
    <row r="2202" spans="1:13" ht="15">
      <c r="A2202" t="s">
        <v>7923</v>
      </c>
      <c r="C2202" t="s">
        <v>6643</v>
      </c>
      <c r="D2202" s="83" t="s">
        <v>5712</v>
      </c>
      <c r="E2202" t="s">
        <v>5436</v>
      </c>
      <c r="F2202" t="s">
        <v>5726</v>
      </c>
      <c r="H2202" t="s">
        <v>414</v>
      </c>
      <c r="M2202" t="s">
        <v>414</v>
      </c>
    </row>
    <row r="2203" spans="1:13" ht="15">
      <c r="A2203" t="s">
        <v>7923</v>
      </c>
      <c r="C2203" t="s">
        <v>6643</v>
      </c>
      <c r="D2203" s="83" t="s">
        <v>5452</v>
      </c>
      <c r="E2203" t="s">
        <v>5175</v>
      </c>
      <c r="F2203" t="s">
        <v>5726</v>
      </c>
      <c r="M2203" t="s">
        <v>414</v>
      </c>
    </row>
    <row r="2204" spans="1:13" ht="15">
      <c r="A2204" t="s">
        <v>7923</v>
      </c>
      <c r="C2204" t="s">
        <v>5988</v>
      </c>
      <c r="D2204" s="83" t="s">
        <v>5648</v>
      </c>
      <c r="E2204" t="s">
        <v>5371</v>
      </c>
      <c r="F2204" t="s">
        <v>5726</v>
      </c>
      <c r="G2204" t="s">
        <v>414</v>
      </c>
      <c r="H2204" t="s">
        <v>414</v>
      </c>
      <c r="L2204" t="s">
        <v>414</v>
      </c>
    </row>
    <row r="2205" spans="1:13" ht="15">
      <c r="A2205" t="s">
        <v>7923</v>
      </c>
      <c r="C2205" t="s">
        <v>7102</v>
      </c>
      <c r="D2205" s="83" t="s">
        <v>5642</v>
      </c>
      <c r="E2205" t="s">
        <v>5365</v>
      </c>
      <c r="F2205" t="s">
        <v>5726</v>
      </c>
      <c r="G2205" t="s">
        <v>414</v>
      </c>
      <c r="M2205" t="s">
        <v>414</v>
      </c>
    </row>
    <row r="2206" spans="1:13" ht="15">
      <c r="C2206" t="s">
        <v>6545</v>
      </c>
      <c r="D2206" s="83" t="s">
        <v>5453</v>
      </c>
      <c r="E2206" t="s">
        <v>5176</v>
      </c>
      <c r="F2206" t="s">
        <v>5729</v>
      </c>
      <c r="H2206" t="s">
        <v>414</v>
      </c>
      <c r="K2206" t="s">
        <v>414</v>
      </c>
      <c r="L2206" t="s">
        <v>414</v>
      </c>
    </row>
    <row r="2207" spans="1:13" ht="15">
      <c r="A2207" t="s">
        <v>4448</v>
      </c>
      <c r="B2207" s="12" t="s">
        <v>1309</v>
      </c>
      <c r="C2207" t="s">
        <v>6218</v>
      </c>
      <c r="D2207" s="83" t="s">
        <v>5585</v>
      </c>
      <c r="E2207" t="s">
        <v>5308</v>
      </c>
      <c r="F2207" t="s">
        <v>1309</v>
      </c>
    </row>
    <row r="2208" spans="1:13" ht="15">
      <c r="C2208" t="s">
        <v>6834</v>
      </c>
      <c r="D2208" s="83" t="s">
        <v>5588</v>
      </c>
      <c r="E2208" t="s">
        <v>5311</v>
      </c>
      <c r="F2208" t="s">
        <v>5740</v>
      </c>
      <c r="M2208" t="s">
        <v>414</v>
      </c>
    </row>
    <row r="2209" spans="1:13" ht="15">
      <c r="C2209" t="s">
        <v>7092</v>
      </c>
      <c r="D2209" s="83" t="s">
        <v>5608</v>
      </c>
      <c r="E2209" t="s">
        <v>5331</v>
      </c>
      <c r="F2209" t="s">
        <v>5754</v>
      </c>
    </row>
    <row r="2210" spans="1:13" ht="15">
      <c r="A2210" t="s">
        <v>4443</v>
      </c>
      <c r="B2210" t="s">
        <v>4287</v>
      </c>
      <c r="C2210" t="s">
        <v>6752</v>
      </c>
      <c r="D2210" s="83" t="s">
        <v>5585</v>
      </c>
      <c r="E2210" t="s">
        <v>5308</v>
      </c>
      <c r="F2210" t="s">
        <v>1309</v>
      </c>
    </row>
    <row r="2211" spans="1:13" ht="15">
      <c r="A2211" t="s">
        <v>3738</v>
      </c>
      <c r="B2211" s="74" t="s">
        <v>4300</v>
      </c>
      <c r="C2211" t="s">
        <v>6774</v>
      </c>
      <c r="D2211" s="83" t="s">
        <v>5585</v>
      </c>
      <c r="E2211" t="s">
        <v>5308</v>
      </c>
      <c r="F2211" t="s">
        <v>1309</v>
      </c>
    </row>
    <row r="2212" spans="1:13" ht="15">
      <c r="C2212" t="s">
        <v>7676</v>
      </c>
      <c r="D2212" s="83" t="s">
        <v>5609</v>
      </c>
      <c r="E2212" t="s">
        <v>5332</v>
      </c>
      <c r="F2212" t="s">
        <v>5726</v>
      </c>
      <c r="H2212" t="s">
        <v>414</v>
      </c>
      <c r="I2212" t="s">
        <v>414</v>
      </c>
    </row>
    <row r="2213" spans="1:13" ht="15">
      <c r="C2213" t="s">
        <v>6855</v>
      </c>
      <c r="D2213" s="83" t="s">
        <v>5666</v>
      </c>
      <c r="E2213" t="s">
        <v>5389</v>
      </c>
      <c r="F2213" t="s">
        <v>60</v>
      </c>
      <c r="H2213" t="s">
        <v>414</v>
      </c>
      <c r="I2213" t="s">
        <v>414</v>
      </c>
    </row>
    <row r="2214" spans="1:13" ht="15">
      <c r="A2214" t="s">
        <v>3813</v>
      </c>
      <c r="B2214" t="s">
        <v>8098</v>
      </c>
      <c r="C2214" t="s">
        <v>6591</v>
      </c>
      <c r="D2214" s="83" t="s">
        <v>5493</v>
      </c>
      <c r="E2214" t="s">
        <v>5216</v>
      </c>
      <c r="F2214" t="s">
        <v>5755</v>
      </c>
      <c r="H2214" t="s">
        <v>414</v>
      </c>
      <c r="M2214" t="s">
        <v>414</v>
      </c>
    </row>
    <row r="2215" spans="1:13" ht="15">
      <c r="A2215" t="s">
        <v>3813</v>
      </c>
      <c r="B2215" t="s">
        <v>8098</v>
      </c>
      <c r="C2215" t="s">
        <v>6591</v>
      </c>
      <c r="D2215" s="83" t="s">
        <v>5529</v>
      </c>
      <c r="E2215" t="s">
        <v>5252</v>
      </c>
      <c r="F2215" t="s">
        <v>5748</v>
      </c>
      <c r="M2215" t="s">
        <v>414</v>
      </c>
    </row>
    <row r="2216" spans="1:13" ht="15">
      <c r="A2216" t="s">
        <v>3813</v>
      </c>
      <c r="B2216" t="s">
        <v>8098</v>
      </c>
      <c r="C2216" t="s">
        <v>6215</v>
      </c>
      <c r="D2216" s="83" t="s">
        <v>5616</v>
      </c>
      <c r="E2216" t="s">
        <v>5339</v>
      </c>
      <c r="F2216" t="s">
        <v>5748</v>
      </c>
      <c r="H2216" t="s">
        <v>414</v>
      </c>
      <c r="I2216" t="s">
        <v>414</v>
      </c>
      <c r="M2216" t="s">
        <v>414</v>
      </c>
    </row>
    <row r="2217" spans="1:13" ht="15">
      <c r="A2217" t="s">
        <v>3813</v>
      </c>
      <c r="B2217" t="s">
        <v>8098</v>
      </c>
      <c r="C2217" t="s">
        <v>6215</v>
      </c>
      <c r="D2217" s="83" t="s">
        <v>5865</v>
      </c>
      <c r="E2217" t="s">
        <v>7786</v>
      </c>
      <c r="F2217" t="s">
        <v>5748</v>
      </c>
      <c r="G2217" t="s">
        <v>414</v>
      </c>
      <c r="H2217" t="s">
        <v>414</v>
      </c>
      <c r="K2217" t="s">
        <v>414</v>
      </c>
      <c r="L2217" t="s">
        <v>414</v>
      </c>
    </row>
    <row r="2218" spans="1:13" ht="15">
      <c r="A2218" t="s">
        <v>3813</v>
      </c>
      <c r="B2218" t="s">
        <v>8098</v>
      </c>
      <c r="C2218" t="s">
        <v>6596</v>
      </c>
      <c r="D2218" s="83" t="s">
        <v>5525</v>
      </c>
      <c r="E2218" t="s">
        <v>5248</v>
      </c>
      <c r="F2218" t="s">
        <v>5759</v>
      </c>
      <c r="M2218" t="s">
        <v>414</v>
      </c>
    </row>
    <row r="2219" spans="1:13" ht="15">
      <c r="A2219" t="s">
        <v>3767</v>
      </c>
      <c r="B2219" t="s">
        <v>1291</v>
      </c>
      <c r="C2219" t="s">
        <v>6062</v>
      </c>
      <c r="D2219" s="83" t="s">
        <v>5678</v>
      </c>
      <c r="E2219" t="s">
        <v>5401</v>
      </c>
      <c r="F2219" t="s">
        <v>1291</v>
      </c>
      <c r="H2219" t="s">
        <v>414</v>
      </c>
      <c r="M2219" t="s">
        <v>414</v>
      </c>
    </row>
    <row r="2220" spans="1:13" ht="15">
      <c r="A2220" t="s">
        <v>3813</v>
      </c>
      <c r="B2220" t="s">
        <v>8098</v>
      </c>
      <c r="C2220" t="s">
        <v>7407</v>
      </c>
      <c r="D2220" s="83" t="s">
        <v>5557</v>
      </c>
      <c r="E2220" t="s">
        <v>5280</v>
      </c>
      <c r="F2220" t="s">
        <v>5755</v>
      </c>
      <c r="M2220" t="s">
        <v>414</v>
      </c>
    </row>
    <row r="2221" spans="1:13" ht="15">
      <c r="A2221" t="s">
        <v>3813</v>
      </c>
      <c r="B2221" t="s">
        <v>8098</v>
      </c>
      <c r="C2221" t="s">
        <v>7139</v>
      </c>
      <c r="D2221" s="83" t="s">
        <v>5549</v>
      </c>
      <c r="E2221" t="s">
        <v>5272</v>
      </c>
      <c r="F2221" t="s">
        <v>5750</v>
      </c>
      <c r="H2221" t="s">
        <v>414</v>
      </c>
      <c r="L2221" t="s">
        <v>414</v>
      </c>
      <c r="M2221" t="s">
        <v>414</v>
      </c>
    </row>
    <row r="2222" spans="1:13" ht="15">
      <c r="A2222" t="s">
        <v>4453</v>
      </c>
      <c r="B2222" s="81" t="s">
        <v>3175</v>
      </c>
      <c r="C2222" t="s">
        <v>7075</v>
      </c>
      <c r="D2222" s="83" t="s">
        <v>5568</v>
      </c>
      <c r="E2222" t="s">
        <v>5291</v>
      </c>
      <c r="F2222" t="s">
        <v>60</v>
      </c>
      <c r="H2222" t="s">
        <v>414</v>
      </c>
      <c r="M2222" t="s">
        <v>414</v>
      </c>
    </row>
    <row r="2223" spans="1:13" ht="15">
      <c r="A2223" t="s">
        <v>3813</v>
      </c>
      <c r="B2223" t="s">
        <v>8098</v>
      </c>
      <c r="C2223" t="s">
        <v>7139</v>
      </c>
      <c r="D2223" s="83" t="s">
        <v>5459</v>
      </c>
      <c r="E2223" t="s">
        <v>5182</v>
      </c>
      <c r="F2223" t="s">
        <v>486</v>
      </c>
      <c r="M2223" t="s">
        <v>414</v>
      </c>
    </row>
    <row r="2224" spans="1:13" ht="15">
      <c r="C2224" t="s">
        <v>6637</v>
      </c>
      <c r="D2224" s="83" t="s">
        <v>5589</v>
      </c>
      <c r="E2224" t="s">
        <v>5312</v>
      </c>
      <c r="F2224" t="s">
        <v>5748</v>
      </c>
      <c r="H2224" t="s">
        <v>414</v>
      </c>
      <c r="M2224" t="s">
        <v>414</v>
      </c>
    </row>
    <row r="2225" spans="1:13" ht="15">
      <c r="C2225" t="s">
        <v>6637</v>
      </c>
      <c r="D2225" s="83" t="s">
        <v>5517</v>
      </c>
      <c r="E2225" t="s">
        <v>5240</v>
      </c>
      <c r="F2225" t="s">
        <v>5748</v>
      </c>
      <c r="M2225" t="s">
        <v>414</v>
      </c>
    </row>
    <row r="2226" spans="1:13" ht="15">
      <c r="C2226" t="s">
        <v>6637</v>
      </c>
      <c r="D2226" s="83" t="s">
        <v>5514</v>
      </c>
      <c r="E2226" t="s">
        <v>5237</v>
      </c>
      <c r="F2226" t="s">
        <v>5748</v>
      </c>
      <c r="H2226" t="s">
        <v>414</v>
      </c>
      <c r="M2226" t="s">
        <v>414</v>
      </c>
    </row>
    <row r="2227" spans="1:13" ht="15">
      <c r="C2227" t="s">
        <v>6637</v>
      </c>
      <c r="D2227" s="83" t="s">
        <v>5507</v>
      </c>
      <c r="E2227" t="s">
        <v>5230</v>
      </c>
      <c r="F2227" t="s">
        <v>5748</v>
      </c>
      <c r="H2227" t="s">
        <v>414</v>
      </c>
      <c r="M2227" t="s">
        <v>414</v>
      </c>
    </row>
    <row r="2228" spans="1:13" ht="15">
      <c r="A2228" t="s">
        <v>3767</v>
      </c>
      <c r="B2228" t="s">
        <v>1291</v>
      </c>
      <c r="C2228" t="s">
        <v>6062</v>
      </c>
      <c r="D2228" s="83" t="s">
        <v>5495</v>
      </c>
      <c r="E2228" t="s">
        <v>5218</v>
      </c>
      <c r="F2228" t="s">
        <v>5755</v>
      </c>
      <c r="H2228" t="s">
        <v>414</v>
      </c>
      <c r="M2228" t="s">
        <v>414</v>
      </c>
    </row>
    <row r="2229" spans="1:13" ht="15">
      <c r="C2229" t="s">
        <v>6637</v>
      </c>
      <c r="D2229" s="83" t="s">
        <v>5521</v>
      </c>
      <c r="E2229" t="s">
        <v>5244</v>
      </c>
      <c r="F2229" t="s">
        <v>5748</v>
      </c>
      <c r="H2229" t="s">
        <v>414</v>
      </c>
      <c r="I2229" t="s">
        <v>414</v>
      </c>
      <c r="L2229" t="s">
        <v>414</v>
      </c>
      <c r="M2229" t="s">
        <v>414</v>
      </c>
    </row>
    <row r="2230" spans="1:13" ht="15">
      <c r="A2230" t="s">
        <v>4448</v>
      </c>
      <c r="B2230" s="12" t="s">
        <v>1309</v>
      </c>
      <c r="C2230" t="s">
        <v>5998</v>
      </c>
      <c r="D2230" s="83" t="s">
        <v>5495</v>
      </c>
      <c r="E2230" t="s">
        <v>5218</v>
      </c>
      <c r="F2230" t="s">
        <v>5755</v>
      </c>
      <c r="H2230" t="s">
        <v>414</v>
      </c>
      <c r="M2230" t="s">
        <v>414</v>
      </c>
    </row>
    <row r="2231" spans="1:13" ht="15">
      <c r="C2231" t="s">
        <v>6723</v>
      </c>
      <c r="D2231" s="83" t="s">
        <v>5589</v>
      </c>
      <c r="E2231" t="s">
        <v>5312</v>
      </c>
      <c r="F2231" t="s">
        <v>5748</v>
      </c>
      <c r="H2231" t="s">
        <v>414</v>
      </c>
      <c r="M2231" t="s">
        <v>414</v>
      </c>
    </row>
    <row r="2232" spans="1:13" ht="15">
      <c r="C2232" t="s">
        <v>7097</v>
      </c>
      <c r="D2232" s="83" t="s">
        <v>5625</v>
      </c>
      <c r="E2232" t="s">
        <v>5348</v>
      </c>
      <c r="F2232" t="s">
        <v>5773</v>
      </c>
      <c r="H2232" t="s">
        <v>414</v>
      </c>
      <c r="M2232" t="s">
        <v>414</v>
      </c>
    </row>
    <row r="2233" spans="1:13" ht="15">
      <c r="C2233" t="s">
        <v>7741</v>
      </c>
      <c r="D2233" s="83" t="s">
        <v>5557</v>
      </c>
      <c r="E2233" t="s">
        <v>5280</v>
      </c>
      <c r="F2233" t="s">
        <v>5755</v>
      </c>
      <c r="M2233" t="s">
        <v>414</v>
      </c>
    </row>
    <row r="2234" spans="1:13" ht="15">
      <c r="C2234" t="s">
        <v>6250</v>
      </c>
      <c r="D2234" s="83" t="s">
        <v>5493</v>
      </c>
      <c r="E2234" t="s">
        <v>5216</v>
      </c>
      <c r="F2234" t="s">
        <v>5755</v>
      </c>
      <c r="H2234" t="s">
        <v>414</v>
      </c>
      <c r="M2234" t="s">
        <v>414</v>
      </c>
    </row>
    <row r="2235" spans="1:13" ht="15">
      <c r="C2235" t="s">
        <v>6250</v>
      </c>
      <c r="D2235" s="83" t="s">
        <v>5507</v>
      </c>
      <c r="E2235" t="s">
        <v>5230</v>
      </c>
      <c r="F2235" t="s">
        <v>5748</v>
      </c>
      <c r="H2235" t="s">
        <v>414</v>
      </c>
      <c r="M2235" t="s">
        <v>414</v>
      </c>
    </row>
    <row r="2236" spans="1:13" ht="15">
      <c r="A2236" t="s">
        <v>3739</v>
      </c>
      <c r="B2236" s="12" t="s">
        <v>33</v>
      </c>
      <c r="C2236" t="s">
        <v>6257</v>
      </c>
      <c r="D2236" s="83" t="s">
        <v>5495</v>
      </c>
      <c r="E2236" t="s">
        <v>5218</v>
      </c>
      <c r="F2236" t="s">
        <v>5755</v>
      </c>
      <c r="H2236" t="s">
        <v>414</v>
      </c>
      <c r="M2236" t="s">
        <v>414</v>
      </c>
    </row>
    <row r="2237" spans="1:13" ht="15">
      <c r="A2237" t="s">
        <v>3739</v>
      </c>
      <c r="B2237" s="12" t="s">
        <v>33</v>
      </c>
      <c r="C2237" t="s">
        <v>32</v>
      </c>
      <c r="D2237" t="str">
        <f>_xlfn.XLOOKUP(E2237,HCP_evidence!H:H,HCP_evidence!I:I)</f>
        <v>https://www.sante.fr/essais-cliniques/2024-516063-89-00/rasolute-302-etude-multicentrique-de-phase-iii-ouverte-et-randomisee-comparant-le-rmc-6236-au-traitement-de-reference-choisi-par-l-investigateur-chez-des-patients-atteints-d-un-adenocarcinome-canalaire-pancreatique-pdac-metastatique-ayant-deja-recu-un-traitement</v>
      </c>
      <c r="E2237" t="s">
        <v>1192</v>
      </c>
      <c r="G2237" t="str" cm="1">
        <f t="array" ref="G2237">_xlfn.XLOOKUP(E2237,HCP_evidence!H:H,IF(HCP_evidence!M:M="Yes","Yes",""))</f>
        <v>Yes</v>
      </c>
      <c r="H2237" t="str" cm="1">
        <f t="array" ref="H2237">_xlfn.XLOOKUP(E2237,HCP_evidence!H:H,IF(HCP_evidence!K:K="Yes","Yes",""))</f>
        <v>Yes</v>
      </c>
      <c r="I2237" t="str" cm="1">
        <f t="array" ref="I2237">_xlfn.XLOOKUP(E2237,HCP_evidence!H:H,IF(HCP_evidence!J:J="Yes","Yes",""))</f>
        <v/>
      </c>
      <c r="J2237" t="e">
        <f>IF(OR(K2237="Yes",L2237="Yes"),"Yes","")</f>
        <v>#REF!</v>
      </c>
      <c r="K2237" t="e" cm="1">
        <f t="array" ref="K2237">_xlfn.XLOOKUP(E2237,HCP_evidence!H:H,IF(HCP_evidence!#REF!="Yes","Yes",""))</f>
        <v>#REF!</v>
      </c>
      <c r="L2237" t="e" cm="1">
        <f t="array" ref="L2237">_xlfn.XLOOKUP(E2237,HCP_evidence!H:H,IF(HCP_evidence!#REF!="Yes","Yes",""))</f>
        <v>#REF!</v>
      </c>
      <c r="M2237" t="str" cm="1">
        <f t="array" ref="M2237">_xlfn.XLOOKUP(E2237,HCP_evidence!H:H,IF(HCP_evidence!N:N="Yes","Yes",""))</f>
        <v/>
      </c>
    </row>
    <row r="2238" spans="1:13" ht="15">
      <c r="A2238" t="s">
        <v>4448</v>
      </c>
      <c r="B2238" s="12" t="s">
        <v>1309</v>
      </c>
      <c r="C2238" t="s">
        <v>380</v>
      </c>
      <c r="D2238" t="str">
        <f>_xlfn.XLOOKUP(E2238,HCP_evidence!H:H,HCP_evidence!I:I)</f>
        <v>https://www.sante.fr/essais-cliniques/2024-516063-89-00/rasolute-302-etude-multicentrique-de-phase-iii-ouverte-et-randomisee-comparant-le-rmc-6236-au-traitement-de-reference-choisi-par-l-investigateur-chez-des-patients-atteints-d-un-adenocarcinome-canalaire-pancreatique-pdac-metastatique-ayant-deja-recu-un-traitement</v>
      </c>
      <c r="E2238" t="s">
        <v>1192</v>
      </c>
      <c r="G2238" t="str" cm="1">
        <f t="array" ref="G2238">_xlfn.XLOOKUP(E2238,HCP_evidence!H:H,IF(HCP_evidence!M:M="Yes","Yes",""))</f>
        <v>Yes</v>
      </c>
      <c r="H2238" t="str" cm="1">
        <f t="array" ref="H2238">_xlfn.XLOOKUP(E2238,HCP_evidence!H:H,IF(HCP_evidence!K:K="Yes","Yes",""))</f>
        <v>Yes</v>
      </c>
      <c r="I2238" t="str" cm="1">
        <f t="array" ref="I2238">_xlfn.XLOOKUP(E2238,HCP_evidence!H:H,IF(HCP_evidence!J:J="Yes","Yes",""))</f>
        <v/>
      </c>
      <c r="J2238" t="e">
        <f>IF(OR(K2238="Yes",L2238="Yes"),"Yes","")</f>
        <v>#REF!</v>
      </c>
      <c r="K2238" t="e" cm="1">
        <f t="array" ref="K2238">_xlfn.XLOOKUP(E2238,HCP_evidence!H:H,IF(HCP_evidence!#REF!="Yes","Yes",""))</f>
        <v>#REF!</v>
      </c>
      <c r="L2238" t="e" cm="1">
        <f t="array" ref="L2238">_xlfn.XLOOKUP(E2238,HCP_evidence!H:H,IF(HCP_evidence!#REF!="Yes","Yes",""))</f>
        <v>#REF!</v>
      </c>
      <c r="M2238" t="str" cm="1">
        <f t="array" ref="M2238">_xlfn.XLOOKUP(E2238,HCP_evidence!H:H,IF(HCP_evidence!N:N="Yes","Yes",""))</f>
        <v/>
      </c>
    </row>
    <row r="2239" spans="1:13" ht="15">
      <c r="A2239" t="s">
        <v>3740</v>
      </c>
      <c r="B2239" t="s">
        <v>3444</v>
      </c>
      <c r="C2239" t="s">
        <v>501</v>
      </c>
      <c r="D2239" t="str">
        <f>_xlfn.XLOOKUP(E2239,HCP_evidence!H:H,HCP_evidence!I:I)</f>
        <v>https://www.sante.fr/essais-cliniques/2024-516063-89-00/rasolute-302-etude-multicentrique-de-phase-iii-ouverte-et-randomisee-comparant-le-rmc-6236-au-traitement-de-reference-choisi-par-l-investigateur-chez-des-patients-atteints-d-un-adenocarcinome-canalaire-pancreatique-pdac-metastatique-ayant-deja-recu-un-traitement</v>
      </c>
      <c r="E2239" t="s">
        <v>1192</v>
      </c>
      <c r="G2239" t="str" cm="1">
        <f t="array" ref="G2239">_xlfn.XLOOKUP(E2239,HCP_evidence!H:H,IF(HCP_evidence!M:M="Yes","Yes",""))</f>
        <v>Yes</v>
      </c>
      <c r="H2239" t="str" cm="1">
        <f t="array" ref="H2239">_xlfn.XLOOKUP(E2239,HCP_evidence!H:H,IF(HCP_evidence!K:K="Yes","Yes",""))</f>
        <v>Yes</v>
      </c>
      <c r="I2239" t="str" cm="1">
        <f t="array" ref="I2239">_xlfn.XLOOKUP(E2239,HCP_evidence!H:H,IF(HCP_evidence!J:J="Yes","Yes",""))</f>
        <v/>
      </c>
      <c r="J2239" t="e">
        <f>IF(OR(K2239="Yes",L2239="Yes"),"Yes","")</f>
        <v>#REF!</v>
      </c>
      <c r="K2239" t="e" cm="1">
        <f t="array" ref="K2239">_xlfn.XLOOKUP(E2239,HCP_evidence!H:H,IF(HCP_evidence!#REF!="Yes","Yes",""))</f>
        <v>#REF!</v>
      </c>
      <c r="L2239" t="e" cm="1">
        <f t="array" ref="L2239">_xlfn.XLOOKUP(E2239,HCP_evidence!H:H,IF(HCP_evidence!#REF!="Yes","Yes",""))</f>
        <v>#REF!</v>
      </c>
      <c r="M2239" t="str" cm="1">
        <f t="array" ref="M2239">_xlfn.XLOOKUP(E2239,HCP_evidence!H:H,IF(HCP_evidence!N:N="Yes","Yes",""))</f>
        <v/>
      </c>
    </row>
    <row r="2240" spans="1:13" ht="15">
      <c r="C2240" t="s">
        <v>6250</v>
      </c>
      <c r="D2240" s="83" t="s">
        <v>5529</v>
      </c>
      <c r="E2240" t="s">
        <v>5252</v>
      </c>
      <c r="F2240" t="s">
        <v>5748</v>
      </c>
      <c r="M2240" t="s">
        <v>414</v>
      </c>
    </row>
    <row r="2241" spans="1:13" ht="15">
      <c r="A2241" t="s">
        <v>3740</v>
      </c>
      <c r="B2241" t="s">
        <v>3444</v>
      </c>
      <c r="C2241" t="s">
        <v>1222</v>
      </c>
      <c r="D2241" t="str">
        <f>_xlfn.XLOOKUP(E2241,HCP_evidence!H:H,HCP_evidence!I:I)</f>
        <v>https://www.sante.fr/essais-cliniques/2025-523495-23-00/rasolute-304-a-phase-3-multicenter-open-label-randomized-2-arm-study-of-adjuvant-daraxonrasib-versus-standard-of-care-observation-following-completion-of-neoadjuvant-and-or-adjuvant-chemotherapy-in-patients-with-resected-pancreatic-ductal-adenocarcinoma-pdac</v>
      </c>
      <c r="E2241" t="s">
        <v>1224</v>
      </c>
      <c r="G2241" t="str" cm="1">
        <f t="array" ref="G2241">_xlfn.XLOOKUP(E2241,HCP_evidence!H:H,IF(HCP_evidence!M:M="Yes","Yes",""))</f>
        <v>Yes</v>
      </c>
      <c r="H2241" t="str" cm="1">
        <f t="array" ref="H2241">_xlfn.XLOOKUP(E2241,HCP_evidence!H:H,IF(HCP_evidence!K:K="Yes","Yes",""))</f>
        <v/>
      </c>
      <c r="I2241" t="str" cm="1">
        <f t="array" ref="I2241">_xlfn.XLOOKUP(E2241,HCP_evidence!H:H,IF(HCP_evidence!J:J="Yes","Yes",""))</f>
        <v/>
      </c>
      <c r="J2241" t="e">
        <f>IF(OR(K2241="Yes",L2241="Yes"),"Yes","")</f>
        <v>#REF!</v>
      </c>
      <c r="K2241" t="e" cm="1">
        <f t="array" ref="K2241">_xlfn.XLOOKUP(E2241,HCP_evidence!H:H,IF(HCP_evidence!#REF!="Yes","Yes",""))</f>
        <v>#REF!</v>
      </c>
      <c r="L2241" t="e" cm="1">
        <f t="array" ref="L2241">_xlfn.XLOOKUP(E2241,HCP_evidence!H:H,IF(HCP_evidence!#REF!="Yes","Yes",""))</f>
        <v>#REF!</v>
      </c>
      <c r="M2241" t="str" cm="1">
        <f t="array" ref="M2241">_xlfn.XLOOKUP(E2241,HCP_evidence!H:H,IF(HCP_evidence!N:N="Yes","Yes",""))</f>
        <v/>
      </c>
    </row>
    <row r="2242" spans="1:13" ht="15">
      <c r="A2242" t="s">
        <v>4453</v>
      </c>
      <c r="B2242" s="81" t="s">
        <v>3175</v>
      </c>
      <c r="C2242" t="s">
        <v>1223</v>
      </c>
      <c r="D2242" t="str">
        <f>_xlfn.XLOOKUP(E2242,HCP_evidence!H:H,HCP_evidence!I:I)</f>
        <v>https://www.sante.fr/essais-cliniques/2025-523495-23-00/rasolute-304-a-phase-3-multicenter-open-label-randomized-2-arm-study-of-adjuvant-daraxonrasib-versus-standard-of-care-observation-following-completion-of-neoadjuvant-and-or-adjuvant-chemotherapy-in-patients-with-resected-pancreatic-ductal-adenocarcinoma-pdac</v>
      </c>
      <c r="E2242" t="s">
        <v>1224</v>
      </c>
      <c r="G2242" t="str" cm="1">
        <f t="array" ref="G2242">_xlfn.XLOOKUP(E2242,HCP_evidence!H:H,IF(HCP_evidence!M:M="Yes","Yes",""))</f>
        <v>Yes</v>
      </c>
      <c r="H2242" t="str" cm="1">
        <f t="array" ref="H2242">_xlfn.XLOOKUP(E2242,HCP_evidence!H:H,IF(HCP_evidence!K:K="Yes","Yes",""))</f>
        <v/>
      </c>
      <c r="I2242" t="str" cm="1">
        <f t="array" ref="I2242">_xlfn.XLOOKUP(E2242,HCP_evidence!H:H,IF(HCP_evidence!J:J="Yes","Yes",""))</f>
        <v/>
      </c>
      <c r="J2242" t="e">
        <f>IF(OR(K2242="Yes",L2242="Yes"),"Yes","")</f>
        <v>#REF!</v>
      </c>
      <c r="K2242" t="e" cm="1">
        <f t="array" ref="K2242">_xlfn.XLOOKUP(E2242,HCP_evidence!H:H,IF(HCP_evidence!#REF!="Yes","Yes",""))</f>
        <v>#REF!</v>
      </c>
      <c r="L2242" t="e" cm="1">
        <f t="array" ref="L2242">_xlfn.XLOOKUP(E2242,HCP_evidence!H:H,IF(HCP_evidence!#REF!="Yes","Yes",""))</f>
        <v>#REF!</v>
      </c>
      <c r="M2242" t="str" cm="1">
        <f t="array" ref="M2242">_xlfn.XLOOKUP(E2242,HCP_evidence!H:H,IF(HCP_evidence!N:N="Yes","Yes",""))</f>
        <v/>
      </c>
    </row>
    <row r="2243" spans="1:13" ht="15">
      <c r="C2243" t="s">
        <v>6250</v>
      </c>
      <c r="D2243" s="83" t="s">
        <v>5495</v>
      </c>
      <c r="E2243" t="s">
        <v>5218</v>
      </c>
      <c r="F2243" t="s">
        <v>5755</v>
      </c>
      <c r="H2243" t="s">
        <v>414</v>
      </c>
      <c r="M2243" t="s">
        <v>414</v>
      </c>
    </row>
    <row r="2244" spans="1:13" ht="15">
      <c r="C2244" t="s">
        <v>6564</v>
      </c>
      <c r="D2244" s="83" t="s">
        <v>5702</v>
      </c>
      <c r="E2244" t="s">
        <v>5426</v>
      </c>
      <c r="F2244" t="s">
        <v>5726</v>
      </c>
      <c r="H2244" t="s">
        <v>414</v>
      </c>
    </row>
    <row r="2245" spans="1:13" ht="15">
      <c r="C2245" t="s">
        <v>6939</v>
      </c>
      <c r="D2245" s="83" t="s">
        <v>5529</v>
      </c>
      <c r="E2245" t="s">
        <v>5252</v>
      </c>
      <c r="F2245" t="s">
        <v>5748</v>
      </c>
      <c r="M2245" t="s">
        <v>414</v>
      </c>
    </row>
    <row r="2246" spans="1:13" ht="15">
      <c r="A2246" t="s">
        <v>7997</v>
      </c>
      <c r="B2246" t="s">
        <v>7996</v>
      </c>
      <c r="C2246" t="s">
        <v>6843</v>
      </c>
      <c r="D2246" s="83" t="s">
        <v>5529</v>
      </c>
      <c r="E2246" t="s">
        <v>5252</v>
      </c>
      <c r="F2246" t="s">
        <v>5748</v>
      </c>
      <c r="M2246" t="s">
        <v>414</v>
      </c>
    </row>
    <row r="2247" spans="1:13" ht="15">
      <c r="C2247" t="s">
        <v>6977</v>
      </c>
      <c r="D2247" s="83" t="s">
        <v>5589</v>
      </c>
      <c r="E2247" t="s">
        <v>5312</v>
      </c>
      <c r="F2247" t="s">
        <v>5748</v>
      </c>
      <c r="H2247" t="s">
        <v>414</v>
      </c>
      <c r="M2247" t="s">
        <v>414</v>
      </c>
    </row>
    <row r="2248" spans="1:13" ht="15">
      <c r="A2248" t="s">
        <v>4450</v>
      </c>
      <c r="B2248" t="s">
        <v>3356</v>
      </c>
      <c r="C2248" t="s">
        <v>6194</v>
      </c>
      <c r="D2248" s="83" t="s">
        <v>4169</v>
      </c>
      <c r="E2248" t="s">
        <v>5063</v>
      </c>
      <c r="F2248" t="s">
        <v>5748</v>
      </c>
    </row>
    <row r="2249" spans="1:13" ht="15">
      <c r="C2249" t="s">
        <v>7699</v>
      </c>
      <c r="D2249" s="83" t="s">
        <v>5526</v>
      </c>
      <c r="E2249" t="s">
        <v>5249</v>
      </c>
      <c r="F2249" t="s">
        <v>5773</v>
      </c>
      <c r="H2249" t="s">
        <v>414</v>
      </c>
      <c r="M2249" t="s">
        <v>414</v>
      </c>
    </row>
    <row r="2250" spans="1:13" ht="15">
      <c r="C2250" t="s">
        <v>6746</v>
      </c>
      <c r="D2250" s="83" t="s">
        <v>5517</v>
      </c>
      <c r="E2250" t="s">
        <v>5240</v>
      </c>
      <c r="F2250" t="s">
        <v>5748</v>
      </c>
      <c r="M2250" t="s">
        <v>414</v>
      </c>
    </row>
    <row r="2251" spans="1:13" ht="15">
      <c r="A2251" t="s">
        <v>3738</v>
      </c>
      <c r="B2251" s="74" t="s">
        <v>4300</v>
      </c>
      <c r="C2251" t="s">
        <v>6443</v>
      </c>
      <c r="D2251" s="83" t="s">
        <v>4169</v>
      </c>
      <c r="E2251" t="s">
        <v>5063</v>
      </c>
      <c r="F2251" t="s">
        <v>5748</v>
      </c>
    </row>
    <row r="2252" spans="1:13" ht="15">
      <c r="C2252" t="s">
        <v>6496</v>
      </c>
      <c r="D2252" s="83" t="s">
        <v>5517</v>
      </c>
      <c r="E2252" t="s">
        <v>5240</v>
      </c>
      <c r="F2252" t="s">
        <v>5748</v>
      </c>
      <c r="M2252" t="s">
        <v>414</v>
      </c>
    </row>
    <row r="2253" spans="1:13" ht="15">
      <c r="C2253" t="s">
        <v>6334</v>
      </c>
      <c r="D2253" s="83" t="s">
        <v>5529</v>
      </c>
      <c r="E2253" t="s">
        <v>5252</v>
      </c>
      <c r="F2253" t="s">
        <v>5748</v>
      </c>
      <c r="M2253" t="s">
        <v>414</v>
      </c>
    </row>
    <row r="2254" spans="1:13" ht="15">
      <c r="A2254" t="s">
        <v>3742</v>
      </c>
      <c r="B2254" s="74" t="s">
        <v>4294</v>
      </c>
      <c r="C2254" t="s">
        <v>6463</v>
      </c>
      <c r="D2254" s="83" t="s">
        <v>5603</v>
      </c>
      <c r="E2254" t="s">
        <v>5326</v>
      </c>
      <c r="F2254" t="s">
        <v>5778</v>
      </c>
      <c r="L2254" t="s">
        <v>414</v>
      </c>
    </row>
    <row r="2255" spans="1:13" ht="15">
      <c r="A2255" t="s">
        <v>4565</v>
      </c>
      <c r="B2255" s="12" t="s">
        <v>395</v>
      </c>
      <c r="C2255" t="s">
        <v>5987</v>
      </c>
      <c r="D2255" s="83" t="s">
        <v>5481</v>
      </c>
      <c r="E2255" t="s">
        <v>5204</v>
      </c>
      <c r="F2255" t="s">
        <v>5729</v>
      </c>
    </row>
    <row r="2256" spans="1:13" ht="15">
      <c r="A2256" t="s">
        <v>3750</v>
      </c>
      <c r="B2256" t="s">
        <v>504</v>
      </c>
      <c r="C2256" t="s">
        <v>6477</v>
      </c>
      <c r="D2256" s="83" t="s">
        <v>4160</v>
      </c>
      <c r="E2256" t="s">
        <v>5053</v>
      </c>
      <c r="F2256" t="s">
        <v>5778</v>
      </c>
      <c r="L2256" t="s">
        <v>414</v>
      </c>
    </row>
    <row r="2257" spans="1:13" ht="15">
      <c r="A2257" t="s">
        <v>3783</v>
      </c>
      <c r="B2257" t="s">
        <v>301</v>
      </c>
      <c r="C2257" t="s">
        <v>6071</v>
      </c>
      <c r="D2257" s="83" t="s">
        <v>5668</v>
      </c>
      <c r="E2257" t="s">
        <v>5391</v>
      </c>
      <c r="F2257" t="s">
        <v>5827</v>
      </c>
      <c r="H2257" t="s">
        <v>414</v>
      </c>
    </row>
    <row r="2258" spans="1:13" ht="15">
      <c r="A2258" t="s">
        <v>3773</v>
      </c>
      <c r="B2258" t="s">
        <v>1289</v>
      </c>
      <c r="C2258" t="s">
        <v>6190</v>
      </c>
      <c r="D2258" s="83" t="s">
        <v>5668</v>
      </c>
      <c r="E2258" t="s">
        <v>5391</v>
      </c>
      <c r="F2258" t="s">
        <v>5827</v>
      </c>
      <c r="H2258" t="s">
        <v>414</v>
      </c>
    </row>
    <row r="2259" spans="1:13" ht="15">
      <c r="A2259" t="s">
        <v>3755</v>
      </c>
      <c r="B2259" t="s">
        <v>4533</v>
      </c>
      <c r="C2259" t="s">
        <v>6296</v>
      </c>
      <c r="D2259" s="83" t="s">
        <v>5668</v>
      </c>
      <c r="E2259" t="s">
        <v>5391</v>
      </c>
      <c r="F2259" t="s">
        <v>5827</v>
      </c>
      <c r="H2259" t="s">
        <v>414</v>
      </c>
    </row>
    <row r="2260" spans="1:13" ht="15">
      <c r="A2260" t="s">
        <v>3739</v>
      </c>
      <c r="B2260" s="12" t="s">
        <v>33</v>
      </c>
      <c r="C2260" t="s">
        <v>6383</v>
      </c>
      <c r="D2260" s="83" t="s">
        <v>5668</v>
      </c>
      <c r="E2260" t="s">
        <v>5391</v>
      </c>
      <c r="F2260" t="s">
        <v>5827</v>
      </c>
      <c r="H2260" t="s">
        <v>414</v>
      </c>
    </row>
    <row r="2261" spans="1:13" ht="15">
      <c r="A2261" t="s">
        <v>3750</v>
      </c>
      <c r="B2261" t="s">
        <v>504</v>
      </c>
      <c r="C2261" t="s">
        <v>417</v>
      </c>
      <c r="D2261" t="str">
        <f>_xlfn.XLOOKUP(E2261,HCP_evidence!H:H,HCP_evidence!I:I)</f>
        <v>https://www.sante.fr/essais-cliniques/2025-522093-36-00/c3651021-etude-de-phase-2b-3-randomisee-en-double-aveugle-visant-a-evaluer-l-efficacite-la-securite-et-la-tolerabilite-du-ponsegromab-pf-06946860-par-rapport-a-un-placebo-les-deux-associes-a-une-chimiotherapie-de-premiere-ligne-chez-des-participants-adultes-atteints-de-cachexie-et-d-adenocarcinome-ductal-pancreatique-metastatique</v>
      </c>
      <c r="E2261" t="s">
        <v>1183</v>
      </c>
      <c r="G2261" t="str" cm="1">
        <f t="array" ref="G2261">_xlfn.XLOOKUP(E2261,HCP_evidence!H:H,IF(HCP_evidence!M:M="Yes","Yes",""))</f>
        <v/>
      </c>
      <c r="H2261" t="str" cm="1">
        <f t="array" ref="H2261">_xlfn.XLOOKUP(E2261,HCP_evidence!H:H,IF(HCP_evidence!K:K="Yes","Yes",""))</f>
        <v>Yes</v>
      </c>
      <c r="I2261" t="str" cm="1">
        <f t="array" ref="I2261">_xlfn.XLOOKUP(E2261,HCP_evidence!H:H,IF(HCP_evidence!J:J="Yes","Yes",""))</f>
        <v/>
      </c>
      <c r="J2261" t="e">
        <f>IF(OR(K2261="Yes",L2261="Yes"),"Yes","")</f>
        <v>#REF!</v>
      </c>
      <c r="K2261" t="e" cm="1">
        <f t="array" ref="K2261">_xlfn.XLOOKUP(E2261,HCP_evidence!H:H,IF(HCP_evidence!#REF!="Yes","Yes",""))</f>
        <v>#REF!</v>
      </c>
      <c r="L2261" t="e" cm="1">
        <f t="array" ref="L2261">_xlfn.XLOOKUP(E2261,HCP_evidence!H:H,IF(HCP_evidence!#REF!="Yes","Yes",""))</f>
        <v>#REF!</v>
      </c>
      <c r="M2261" t="str" cm="1">
        <f t="array" ref="M2261">_xlfn.XLOOKUP(E2261,HCP_evidence!H:H,IF(HCP_evidence!N:N="Yes","Yes",""))</f>
        <v/>
      </c>
    </row>
    <row r="2262" spans="1:13" ht="15">
      <c r="C2262" t="s">
        <v>7301</v>
      </c>
      <c r="D2262" s="83" t="s">
        <v>5483</v>
      </c>
      <c r="E2262" t="s">
        <v>5206</v>
      </c>
      <c r="F2262" t="s">
        <v>5743</v>
      </c>
      <c r="H2262" t="s">
        <v>414</v>
      </c>
      <c r="I2262" t="s">
        <v>414</v>
      </c>
    </row>
    <row r="2263" spans="1:13" ht="15">
      <c r="C2263" t="s">
        <v>6045</v>
      </c>
      <c r="D2263" s="83" t="s">
        <v>5622</v>
      </c>
      <c r="E2263" t="s">
        <v>5345</v>
      </c>
      <c r="F2263" t="s">
        <v>5814</v>
      </c>
      <c r="I2263" t="s">
        <v>414</v>
      </c>
    </row>
    <row r="2264" spans="1:13" ht="15">
      <c r="A2264" t="s">
        <v>4525</v>
      </c>
      <c r="B2264" s="81" t="s">
        <v>4524</v>
      </c>
      <c r="C2264" t="s">
        <v>6102</v>
      </c>
      <c r="D2264" s="83" t="s">
        <v>5618</v>
      </c>
      <c r="E2264" t="s">
        <v>5341</v>
      </c>
      <c r="F2264" t="s">
        <v>5813</v>
      </c>
      <c r="H2264" t="s">
        <v>414</v>
      </c>
      <c r="K2264" t="s">
        <v>414</v>
      </c>
      <c r="M2264" t="s">
        <v>414</v>
      </c>
    </row>
    <row r="2265" spans="1:13" ht="15">
      <c r="A2265" t="s">
        <v>4448</v>
      </c>
      <c r="B2265" s="12" t="s">
        <v>1309</v>
      </c>
      <c r="C2265" t="s">
        <v>6218</v>
      </c>
      <c r="D2265" s="83" t="s">
        <v>5618</v>
      </c>
      <c r="E2265" t="s">
        <v>5341</v>
      </c>
      <c r="F2265" t="s">
        <v>5813</v>
      </c>
      <c r="H2265" t="s">
        <v>414</v>
      </c>
      <c r="K2265" t="s">
        <v>414</v>
      </c>
      <c r="M2265" t="s">
        <v>414</v>
      </c>
    </row>
    <row r="2266" spans="1:13" ht="15">
      <c r="A2266" t="s">
        <v>4446</v>
      </c>
      <c r="B2266" t="s">
        <v>4445</v>
      </c>
      <c r="C2266" t="s">
        <v>6288</v>
      </c>
      <c r="D2266" s="83" t="s">
        <v>5618</v>
      </c>
      <c r="E2266" t="s">
        <v>5341</v>
      </c>
      <c r="F2266" t="s">
        <v>5813</v>
      </c>
      <c r="H2266" t="s">
        <v>414</v>
      </c>
      <c r="K2266" t="s">
        <v>414</v>
      </c>
      <c r="M2266" t="s">
        <v>414</v>
      </c>
    </row>
    <row r="2267" spans="1:13" ht="15">
      <c r="C2267" t="s">
        <v>6171</v>
      </c>
      <c r="D2267" s="83" t="s">
        <v>5622</v>
      </c>
      <c r="E2267" t="s">
        <v>5345</v>
      </c>
      <c r="F2267" t="s">
        <v>5814</v>
      </c>
      <c r="I2267" t="s">
        <v>414</v>
      </c>
    </row>
    <row r="2268" spans="1:13" ht="15">
      <c r="C2268" t="s">
        <v>6282</v>
      </c>
      <c r="D2268" s="83" t="s">
        <v>5622</v>
      </c>
      <c r="E2268" t="s">
        <v>5345</v>
      </c>
      <c r="F2268" t="s">
        <v>5814</v>
      </c>
      <c r="I2268" t="s">
        <v>414</v>
      </c>
    </row>
    <row r="2269" spans="1:13" ht="15">
      <c r="A2269" t="s">
        <v>4525</v>
      </c>
      <c r="B2269" s="81" t="s">
        <v>4524</v>
      </c>
      <c r="C2269" t="s">
        <v>6185</v>
      </c>
      <c r="D2269" s="83" t="s">
        <v>4193</v>
      </c>
      <c r="E2269" t="s">
        <v>5087</v>
      </c>
      <c r="F2269" t="s">
        <v>5831</v>
      </c>
      <c r="H2269" t="s">
        <v>414</v>
      </c>
    </row>
    <row r="2270" spans="1:13" ht="15">
      <c r="C2270" t="s">
        <v>6372</v>
      </c>
      <c r="D2270" s="83" t="s">
        <v>5622</v>
      </c>
      <c r="E2270" t="s">
        <v>5345</v>
      </c>
      <c r="F2270" t="s">
        <v>5814</v>
      </c>
      <c r="I2270" t="s">
        <v>414</v>
      </c>
    </row>
    <row r="2271" spans="1:13" ht="15">
      <c r="A2271" t="s">
        <v>3739</v>
      </c>
      <c r="B2271" s="12" t="s">
        <v>33</v>
      </c>
      <c r="C2271" t="s">
        <v>6379</v>
      </c>
      <c r="D2271" s="83" t="s">
        <v>4193</v>
      </c>
      <c r="E2271" t="s">
        <v>5087</v>
      </c>
      <c r="F2271" t="s">
        <v>5831</v>
      </c>
      <c r="H2271" t="s">
        <v>414</v>
      </c>
    </row>
    <row r="2272" spans="1:13" ht="15">
      <c r="A2272" t="s">
        <v>3783</v>
      </c>
      <c r="B2272" t="s">
        <v>301</v>
      </c>
      <c r="C2272" t="s">
        <v>6065</v>
      </c>
      <c r="D2272" s="83" t="s">
        <v>5672</v>
      </c>
      <c r="E2272" t="s">
        <v>5395</v>
      </c>
      <c r="F2272" t="s">
        <v>5831</v>
      </c>
      <c r="H2272" t="s">
        <v>414</v>
      </c>
    </row>
    <row r="2273" spans="1:13" ht="15">
      <c r="A2273" t="s">
        <v>4525</v>
      </c>
      <c r="B2273" s="81" t="s">
        <v>4524</v>
      </c>
      <c r="C2273" t="s">
        <v>5913</v>
      </c>
      <c r="D2273" s="83" t="s">
        <v>5672</v>
      </c>
      <c r="E2273" t="s">
        <v>5395</v>
      </c>
      <c r="F2273" t="s">
        <v>5831</v>
      </c>
      <c r="H2273" t="s">
        <v>414</v>
      </c>
    </row>
    <row r="2274" spans="1:13" ht="15">
      <c r="C2274" t="s">
        <v>6451</v>
      </c>
      <c r="D2274" s="83" t="s">
        <v>5622</v>
      </c>
      <c r="E2274" t="s">
        <v>5345</v>
      </c>
      <c r="F2274" t="s">
        <v>5814</v>
      </c>
      <c r="I2274" t="s">
        <v>414</v>
      </c>
    </row>
    <row r="2275" spans="1:13" ht="15">
      <c r="A2275" t="s">
        <v>3746</v>
      </c>
      <c r="B2275" s="12" t="s">
        <v>4482</v>
      </c>
      <c r="C2275" t="s">
        <v>6380</v>
      </c>
      <c r="D2275" s="83" t="s">
        <v>5672</v>
      </c>
      <c r="E2275" t="s">
        <v>5395</v>
      </c>
      <c r="F2275" t="s">
        <v>5831</v>
      </c>
      <c r="H2275" t="s">
        <v>414</v>
      </c>
    </row>
    <row r="2276" spans="1:13" ht="15">
      <c r="A2276" t="s">
        <v>3739</v>
      </c>
      <c r="B2276" s="12" t="s">
        <v>33</v>
      </c>
      <c r="C2276" t="s">
        <v>6379</v>
      </c>
      <c r="D2276" s="83" t="s">
        <v>5672</v>
      </c>
      <c r="E2276" t="s">
        <v>5395</v>
      </c>
      <c r="F2276" t="s">
        <v>5831</v>
      </c>
      <c r="H2276" t="s">
        <v>414</v>
      </c>
    </row>
    <row r="2277" spans="1:13" ht="15">
      <c r="C2277" t="s">
        <v>6514</v>
      </c>
      <c r="D2277" s="83" t="s">
        <v>5622</v>
      </c>
      <c r="E2277" t="s">
        <v>5345</v>
      </c>
      <c r="F2277" t="s">
        <v>5814</v>
      </c>
      <c r="I2277" t="s">
        <v>414</v>
      </c>
    </row>
    <row r="2278" spans="1:13" ht="15">
      <c r="A2278" t="s">
        <v>7923</v>
      </c>
      <c r="C2278" t="s">
        <v>7118</v>
      </c>
      <c r="D2278" s="83" t="s">
        <v>5685</v>
      </c>
      <c r="E2278" t="s">
        <v>5408</v>
      </c>
      <c r="F2278" t="s">
        <v>5739</v>
      </c>
      <c r="M2278" t="s">
        <v>414</v>
      </c>
    </row>
    <row r="2279" spans="1:13" ht="15">
      <c r="A2279" t="s">
        <v>7923</v>
      </c>
      <c r="C2279" t="s">
        <v>7190</v>
      </c>
      <c r="D2279" s="83" t="s">
        <v>5685</v>
      </c>
      <c r="E2279" t="s">
        <v>5408</v>
      </c>
      <c r="F2279" t="s">
        <v>5739</v>
      </c>
      <c r="M2279" t="s">
        <v>414</v>
      </c>
    </row>
    <row r="2280" spans="1:13" ht="15">
      <c r="A2280" t="s">
        <v>7923</v>
      </c>
      <c r="C2280" t="s">
        <v>7240</v>
      </c>
      <c r="D2280" s="83" t="s">
        <v>5685</v>
      </c>
      <c r="E2280" t="s">
        <v>5408</v>
      </c>
      <c r="F2280" t="s">
        <v>5739</v>
      </c>
      <c r="M2280" t="s">
        <v>414</v>
      </c>
    </row>
    <row r="2281" spans="1:13" ht="15">
      <c r="A2281" t="s">
        <v>7923</v>
      </c>
      <c r="C2281" t="s">
        <v>5955</v>
      </c>
      <c r="D2281" s="83" t="s">
        <v>5626</v>
      </c>
      <c r="E2281" t="s">
        <v>5349</v>
      </c>
      <c r="F2281" t="s">
        <v>5771</v>
      </c>
      <c r="H2281" t="s">
        <v>414</v>
      </c>
      <c r="M2281" t="s">
        <v>414</v>
      </c>
    </row>
    <row r="2282" spans="1:13" ht="15">
      <c r="A2282" t="s">
        <v>7923</v>
      </c>
      <c r="C2282" t="s">
        <v>7288</v>
      </c>
      <c r="D2282" s="83" t="s">
        <v>5685</v>
      </c>
      <c r="E2282" t="s">
        <v>5408</v>
      </c>
      <c r="F2282" t="s">
        <v>5739</v>
      </c>
      <c r="M2282" t="s">
        <v>414</v>
      </c>
    </row>
    <row r="2283" spans="1:13" ht="15">
      <c r="A2283" t="s">
        <v>7923</v>
      </c>
      <c r="C2283" t="s">
        <v>7328</v>
      </c>
      <c r="D2283" s="83" t="s">
        <v>5685</v>
      </c>
      <c r="E2283" t="s">
        <v>5408</v>
      </c>
      <c r="F2283" t="s">
        <v>5739</v>
      </c>
      <c r="M2283" t="s">
        <v>414</v>
      </c>
    </row>
    <row r="2284" spans="1:13" ht="15">
      <c r="A2284" t="s">
        <v>4448</v>
      </c>
      <c r="B2284" s="12" t="s">
        <v>1309</v>
      </c>
      <c r="C2284" t="s">
        <v>5950</v>
      </c>
      <c r="D2284" s="83" t="s">
        <v>4146</v>
      </c>
      <c r="E2284" t="s">
        <v>5039</v>
      </c>
      <c r="F2284" t="s">
        <v>5741</v>
      </c>
      <c r="L2284" t="s">
        <v>414</v>
      </c>
      <c r="M2284" t="s">
        <v>414</v>
      </c>
    </row>
    <row r="2285" spans="1:13" ht="15">
      <c r="A2285" t="s">
        <v>7923</v>
      </c>
      <c r="C2285" t="s">
        <v>6114</v>
      </c>
      <c r="D2285" s="83" t="s">
        <v>5626</v>
      </c>
      <c r="E2285" t="s">
        <v>5349</v>
      </c>
      <c r="F2285" t="s">
        <v>5771</v>
      </c>
      <c r="H2285" t="s">
        <v>414</v>
      </c>
      <c r="M2285" t="s">
        <v>414</v>
      </c>
    </row>
    <row r="2286" spans="1:13" ht="15">
      <c r="A2286" t="s">
        <v>3737</v>
      </c>
      <c r="B2286" s="74" t="s">
        <v>4421</v>
      </c>
      <c r="C2286" t="s">
        <v>6227</v>
      </c>
      <c r="D2286" s="83" t="s">
        <v>4146</v>
      </c>
      <c r="E2286" t="s">
        <v>5039</v>
      </c>
      <c r="F2286" t="s">
        <v>5741</v>
      </c>
      <c r="L2286" t="s">
        <v>414</v>
      </c>
      <c r="M2286" t="s">
        <v>414</v>
      </c>
    </row>
    <row r="2287" spans="1:13" ht="15">
      <c r="A2287" t="s">
        <v>7923</v>
      </c>
      <c r="C2287" t="s">
        <v>7360</v>
      </c>
      <c r="D2287" s="83" t="s">
        <v>5685</v>
      </c>
      <c r="E2287" t="s">
        <v>5408</v>
      </c>
      <c r="F2287" t="s">
        <v>5739</v>
      </c>
      <c r="M2287" t="s">
        <v>414</v>
      </c>
    </row>
    <row r="2288" spans="1:13" ht="15">
      <c r="A2288" t="s">
        <v>3139</v>
      </c>
      <c r="B2288" t="s">
        <v>4285</v>
      </c>
      <c r="C2288" t="s">
        <v>6085</v>
      </c>
      <c r="D2288" s="83" t="s">
        <v>4146</v>
      </c>
      <c r="E2288" t="s">
        <v>5039</v>
      </c>
      <c r="F2288" t="s">
        <v>5741</v>
      </c>
      <c r="L2288" t="s">
        <v>414</v>
      </c>
      <c r="M2288" t="s">
        <v>414</v>
      </c>
    </row>
    <row r="2289" spans="1:13" ht="15">
      <c r="A2289" t="s">
        <v>3773</v>
      </c>
      <c r="B2289" t="s">
        <v>1289</v>
      </c>
      <c r="C2289" t="s">
        <v>6190</v>
      </c>
      <c r="D2289" s="83" t="s">
        <v>4146</v>
      </c>
      <c r="E2289" t="s">
        <v>5039</v>
      </c>
      <c r="F2289" t="s">
        <v>5741</v>
      </c>
      <c r="L2289" t="s">
        <v>414</v>
      </c>
      <c r="M2289" t="s">
        <v>414</v>
      </c>
    </row>
    <row r="2290" spans="1:13" ht="15">
      <c r="A2290" t="s">
        <v>3738</v>
      </c>
      <c r="B2290" s="74" t="s">
        <v>4300</v>
      </c>
      <c r="C2290" t="s">
        <v>6539</v>
      </c>
      <c r="D2290" s="83" t="s">
        <v>4146</v>
      </c>
      <c r="E2290" t="s">
        <v>5039</v>
      </c>
      <c r="F2290" t="s">
        <v>5741</v>
      </c>
      <c r="L2290" t="s">
        <v>414</v>
      </c>
      <c r="M2290" t="s">
        <v>414</v>
      </c>
    </row>
    <row r="2291" spans="1:13" ht="15">
      <c r="A2291" t="s">
        <v>7923</v>
      </c>
      <c r="C2291" t="s">
        <v>6230</v>
      </c>
      <c r="D2291" s="83" t="s">
        <v>5626</v>
      </c>
      <c r="E2291" t="s">
        <v>5349</v>
      </c>
      <c r="F2291" t="s">
        <v>5771</v>
      </c>
      <c r="H2291" t="s">
        <v>414</v>
      </c>
      <c r="M2291" t="s">
        <v>414</v>
      </c>
    </row>
    <row r="2292" spans="1:13" ht="15">
      <c r="A2292" t="s">
        <v>3740</v>
      </c>
      <c r="B2292" t="s">
        <v>3444</v>
      </c>
      <c r="C2292" t="s">
        <v>6625</v>
      </c>
      <c r="D2292" s="83" t="s">
        <v>4146</v>
      </c>
      <c r="E2292" t="s">
        <v>5039</v>
      </c>
      <c r="F2292" t="s">
        <v>5741</v>
      </c>
      <c r="L2292" t="s">
        <v>414</v>
      </c>
      <c r="M2292" t="s">
        <v>414</v>
      </c>
    </row>
    <row r="2293" spans="1:13" ht="15">
      <c r="A2293" t="s">
        <v>7923</v>
      </c>
      <c r="C2293" t="s">
        <v>7119</v>
      </c>
      <c r="D2293" s="83" t="s">
        <v>5688</v>
      </c>
      <c r="E2293" t="s">
        <v>5411</v>
      </c>
      <c r="F2293" t="s">
        <v>5771</v>
      </c>
      <c r="H2293" t="s">
        <v>414</v>
      </c>
      <c r="I2293" t="s">
        <v>414</v>
      </c>
    </row>
    <row r="2294" spans="1:13" ht="15">
      <c r="A2294" t="s">
        <v>3139</v>
      </c>
      <c r="B2294" t="s">
        <v>4285</v>
      </c>
      <c r="C2294" t="s">
        <v>7166</v>
      </c>
      <c r="D2294" s="83" t="s">
        <v>5561</v>
      </c>
      <c r="E2294" t="s">
        <v>5284</v>
      </c>
      <c r="F2294" t="s">
        <v>5791</v>
      </c>
    </row>
    <row r="2295" spans="1:13" ht="15">
      <c r="A2295" t="s">
        <v>3739</v>
      </c>
      <c r="B2295" s="12" t="s">
        <v>33</v>
      </c>
      <c r="C2295" t="s">
        <v>7220</v>
      </c>
      <c r="D2295" s="83" t="s">
        <v>5561</v>
      </c>
      <c r="E2295" t="s">
        <v>5284</v>
      </c>
      <c r="F2295" t="s">
        <v>5791</v>
      </c>
    </row>
    <row r="2296" spans="1:13" ht="15">
      <c r="A2296" t="s">
        <v>3735</v>
      </c>
      <c r="B2296" s="74" t="s">
        <v>4288</v>
      </c>
      <c r="C2296" t="s">
        <v>7271</v>
      </c>
      <c r="D2296" s="83" t="s">
        <v>5561</v>
      </c>
      <c r="E2296" t="s">
        <v>5284</v>
      </c>
      <c r="F2296" t="s">
        <v>5791</v>
      </c>
    </row>
    <row r="2297" spans="1:13" ht="15">
      <c r="A2297" t="s">
        <v>7923</v>
      </c>
      <c r="C2297" t="s">
        <v>7390</v>
      </c>
      <c r="D2297" s="83" t="s">
        <v>5685</v>
      </c>
      <c r="E2297" t="s">
        <v>5408</v>
      </c>
      <c r="F2297" t="s">
        <v>5739</v>
      </c>
      <c r="M2297" t="s">
        <v>414</v>
      </c>
    </row>
    <row r="2298" spans="1:13" ht="15">
      <c r="A2298" t="s">
        <v>7923</v>
      </c>
      <c r="C2298" t="s">
        <v>7418</v>
      </c>
      <c r="D2298" s="83" t="s">
        <v>5685</v>
      </c>
      <c r="E2298" t="s">
        <v>5408</v>
      </c>
      <c r="F2298" t="s">
        <v>5739</v>
      </c>
      <c r="M2298" t="s">
        <v>414</v>
      </c>
    </row>
    <row r="2299" spans="1:13" ht="15">
      <c r="A2299" t="s">
        <v>4453</v>
      </c>
      <c r="B2299" s="81" t="s">
        <v>3175</v>
      </c>
      <c r="C2299" t="s">
        <v>6747</v>
      </c>
      <c r="D2299" s="83" t="s">
        <v>5561</v>
      </c>
      <c r="E2299" t="s">
        <v>5284</v>
      </c>
      <c r="F2299" t="s">
        <v>5791</v>
      </c>
    </row>
    <row r="2300" spans="1:13" ht="15">
      <c r="A2300" t="s">
        <v>3755</v>
      </c>
      <c r="B2300" t="s">
        <v>4533</v>
      </c>
      <c r="C2300" t="s">
        <v>7409</v>
      </c>
      <c r="D2300" s="83" t="s">
        <v>5561</v>
      </c>
      <c r="E2300" t="s">
        <v>5284</v>
      </c>
      <c r="F2300" t="s">
        <v>5791</v>
      </c>
    </row>
    <row r="2301" spans="1:13" ht="15">
      <c r="A2301" t="s">
        <v>7923</v>
      </c>
      <c r="C2301" t="s">
        <v>7441</v>
      </c>
      <c r="D2301" s="83" t="s">
        <v>5685</v>
      </c>
      <c r="E2301" t="s">
        <v>5408</v>
      </c>
      <c r="F2301" t="s">
        <v>5739</v>
      </c>
      <c r="M2301" t="s">
        <v>414</v>
      </c>
    </row>
    <row r="2302" spans="1:13" ht="15">
      <c r="A2302" t="s">
        <v>7923</v>
      </c>
      <c r="C2302" t="s">
        <v>5958</v>
      </c>
      <c r="D2302" s="83" t="s">
        <v>5626</v>
      </c>
      <c r="E2302" t="s">
        <v>5349</v>
      </c>
      <c r="F2302" t="s">
        <v>5771</v>
      </c>
      <c r="H2302" t="s">
        <v>414</v>
      </c>
      <c r="M2302" t="s">
        <v>414</v>
      </c>
    </row>
    <row r="2303" spans="1:13" ht="15">
      <c r="A2303" t="s">
        <v>7923</v>
      </c>
      <c r="C2303" t="s">
        <v>5958</v>
      </c>
      <c r="D2303" s="83" t="s">
        <v>5539</v>
      </c>
      <c r="E2303" t="s">
        <v>5262</v>
      </c>
      <c r="F2303" t="s">
        <v>5781</v>
      </c>
      <c r="H2303" t="s">
        <v>414</v>
      </c>
      <c r="M2303" t="s">
        <v>414</v>
      </c>
    </row>
    <row r="2304" spans="1:13" ht="15">
      <c r="A2304" t="s">
        <v>7923</v>
      </c>
      <c r="C2304" t="s">
        <v>7460</v>
      </c>
      <c r="D2304" s="83" t="s">
        <v>5685</v>
      </c>
      <c r="E2304" t="s">
        <v>5408</v>
      </c>
      <c r="F2304" t="s">
        <v>5739</v>
      </c>
      <c r="M2304" t="s">
        <v>414</v>
      </c>
    </row>
    <row r="2305" spans="1:13" ht="15">
      <c r="A2305" t="s">
        <v>7923</v>
      </c>
      <c r="C2305" t="s">
        <v>7108</v>
      </c>
      <c r="D2305" s="83" t="s">
        <v>5664</v>
      </c>
      <c r="E2305" t="s">
        <v>5387</v>
      </c>
      <c r="F2305" t="s">
        <v>5771</v>
      </c>
      <c r="M2305" t="s">
        <v>414</v>
      </c>
    </row>
    <row r="2306" spans="1:13" ht="15">
      <c r="A2306" t="s">
        <v>4450</v>
      </c>
      <c r="B2306" t="s">
        <v>3356</v>
      </c>
      <c r="C2306" t="s">
        <v>6304</v>
      </c>
      <c r="D2306" s="83" t="s">
        <v>5853</v>
      </c>
      <c r="E2306" t="s">
        <v>7770</v>
      </c>
      <c r="F2306" t="s">
        <v>7771</v>
      </c>
      <c r="G2306" t="s">
        <v>414</v>
      </c>
      <c r="L2306" t="s">
        <v>414</v>
      </c>
    </row>
    <row r="2307" spans="1:13" ht="15">
      <c r="A2307" t="s">
        <v>4525</v>
      </c>
      <c r="B2307" s="81" t="s">
        <v>4524</v>
      </c>
      <c r="C2307" t="s">
        <v>6389</v>
      </c>
      <c r="D2307" s="83" t="s">
        <v>5853</v>
      </c>
      <c r="E2307" t="s">
        <v>7770</v>
      </c>
      <c r="F2307" t="s">
        <v>7771</v>
      </c>
      <c r="G2307" t="s">
        <v>414</v>
      </c>
      <c r="L2307" t="s">
        <v>414</v>
      </c>
    </row>
    <row r="2308" spans="1:13" ht="15">
      <c r="A2308" t="s">
        <v>7923</v>
      </c>
      <c r="C2308" t="s">
        <v>7481</v>
      </c>
      <c r="D2308" s="83" t="s">
        <v>5685</v>
      </c>
      <c r="E2308" t="s">
        <v>5408</v>
      </c>
      <c r="F2308" t="s">
        <v>5739</v>
      </c>
      <c r="M2308" t="s">
        <v>414</v>
      </c>
    </row>
    <row r="2309" spans="1:13" ht="15">
      <c r="A2309" t="s">
        <v>7923</v>
      </c>
      <c r="C2309" t="s">
        <v>7500</v>
      </c>
      <c r="D2309" s="83" t="s">
        <v>5685</v>
      </c>
      <c r="E2309" t="s">
        <v>5408</v>
      </c>
      <c r="F2309" t="s">
        <v>5739</v>
      </c>
      <c r="M2309" t="s">
        <v>414</v>
      </c>
    </row>
    <row r="2310" spans="1:13" ht="15">
      <c r="A2310" t="s">
        <v>3741</v>
      </c>
      <c r="B2310" t="s">
        <v>4295</v>
      </c>
      <c r="C2310" t="s">
        <v>6571</v>
      </c>
      <c r="D2310" s="83" t="s">
        <v>5853</v>
      </c>
      <c r="E2310" t="s">
        <v>7770</v>
      </c>
      <c r="F2310" t="s">
        <v>7771</v>
      </c>
      <c r="G2310" t="s">
        <v>414</v>
      </c>
      <c r="L2310" t="s">
        <v>414</v>
      </c>
    </row>
    <row r="2311" spans="1:13" ht="15">
      <c r="A2311" t="s">
        <v>7923</v>
      </c>
      <c r="C2311" t="s">
        <v>6116</v>
      </c>
      <c r="D2311" s="83" t="s">
        <v>5539</v>
      </c>
      <c r="E2311" t="s">
        <v>5262</v>
      </c>
      <c r="F2311" t="s">
        <v>5781</v>
      </c>
      <c r="H2311" t="s">
        <v>414</v>
      </c>
      <c r="M2311" t="s">
        <v>414</v>
      </c>
    </row>
    <row r="2312" spans="1:13" ht="15">
      <c r="A2312" t="s">
        <v>3740</v>
      </c>
      <c r="B2312" t="s">
        <v>3444</v>
      </c>
      <c r="C2312" t="s">
        <v>6653</v>
      </c>
      <c r="D2312" s="83" t="s">
        <v>5853</v>
      </c>
      <c r="E2312" t="s">
        <v>7770</v>
      </c>
      <c r="F2312" t="s">
        <v>7771</v>
      </c>
      <c r="G2312" t="s">
        <v>414</v>
      </c>
      <c r="L2312" t="s">
        <v>414</v>
      </c>
    </row>
    <row r="2313" spans="1:13" ht="15">
      <c r="A2313" t="s">
        <v>3767</v>
      </c>
      <c r="B2313" t="s">
        <v>1291</v>
      </c>
      <c r="C2313" t="s">
        <v>6062</v>
      </c>
      <c r="D2313" s="83" t="s">
        <v>5686</v>
      </c>
      <c r="E2313" t="s">
        <v>5409</v>
      </c>
      <c r="F2313" t="s">
        <v>5759</v>
      </c>
      <c r="H2313" t="s">
        <v>414</v>
      </c>
      <c r="M2313" t="s">
        <v>414</v>
      </c>
    </row>
    <row r="2314" spans="1:13" ht="15">
      <c r="A2314" t="s">
        <v>3739</v>
      </c>
      <c r="B2314" s="12" t="s">
        <v>33</v>
      </c>
      <c r="C2314" t="s">
        <v>6181</v>
      </c>
      <c r="D2314" s="83" t="s">
        <v>5686</v>
      </c>
      <c r="E2314" t="s">
        <v>5409</v>
      </c>
      <c r="F2314" t="s">
        <v>5759</v>
      </c>
      <c r="H2314" t="s">
        <v>414</v>
      </c>
      <c r="M2314" t="s">
        <v>414</v>
      </c>
    </row>
    <row r="2315" spans="1:13" ht="15">
      <c r="A2315" t="s">
        <v>7923</v>
      </c>
      <c r="C2315" t="s">
        <v>7512</v>
      </c>
      <c r="D2315" s="83" t="s">
        <v>5685</v>
      </c>
      <c r="E2315" t="s">
        <v>5408</v>
      </c>
      <c r="F2315" t="s">
        <v>5739</v>
      </c>
      <c r="M2315" t="s">
        <v>414</v>
      </c>
    </row>
    <row r="2316" spans="1:13" ht="15">
      <c r="A2316" t="s">
        <v>3139</v>
      </c>
      <c r="B2316" t="s">
        <v>4285</v>
      </c>
      <c r="C2316" t="s">
        <v>6168</v>
      </c>
      <c r="D2316" s="83" t="s">
        <v>4174</v>
      </c>
      <c r="E2316" t="s">
        <v>5068</v>
      </c>
      <c r="F2316" t="s">
        <v>1216</v>
      </c>
    </row>
    <row r="2317" spans="1:13" ht="15">
      <c r="A2317" t="s">
        <v>7923</v>
      </c>
      <c r="C2317" t="s">
        <v>6413</v>
      </c>
      <c r="D2317" s="83" t="s">
        <v>5626</v>
      </c>
      <c r="E2317" t="s">
        <v>5349</v>
      </c>
      <c r="F2317" t="s">
        <v>5771</v>
      </c>
      <c r="H2317" t="s">
        <v>414</v>
      </c>
      <c r="M2317" t="s">
        <v>414</v>
      </c>
    </row>
    <row r="2318" spans="1:13" ht="15">
      <c r="A2318" t="s">
        <v>7923</v>
      </c>
      <c r="C2318" t="s">
        <v>7528</v>
      </c>
      <c r="D2318" s="83" t="s">
        <v>5685</v>
      </c>
      <c r="E2318" t="s">
        <v>5408</v>
      </c>
      <c r="F2318" t="s">
        <v>5739</v>
      </c>
      <c r="M2318" t="s">
        <v>414</v>
      </c>
    </row>
    <row r="2319" spans="1:13" ht="15">
      <c r="A2319" t="s">
        <v>7923</v>
      </c>
      <c r="C2319" t="s">
        <v>7542</v>
      </c>
      <c r="D2319" s="83" t="s">
        <v>5685</v>
      </c>
      <c r="E2319" t="s">
        <v>5408</v>
      </c>
      <c r="F2319" t="s">
        <v>5739</v>
      </c>
      <c r="M2319" t="s">
        <v>414</v>
      </c>
    </row>
    <row r="2320" spans="1:13" ht="15">
      <c r="A2320" t="s">
        <v>3139</v>
      </c>
      <c r="B2320" t="s">
        <v>4285</v>
      </c>
      <c r="C2320" t="s">
        <v>6005</v>
      </c>
      <c r="D2320" s="83" t="s">
        <v>5574</v>
      </c>
      <c r="E2320" t="s">
        <v>5297</v>
      </c>
      <c r="F2320" t="s">
        <v>5794</v>
      </c>
      <c r="H2320" t="s">
        <v>414</v>
      </c>
      <c r="M2320" t="s">
        <v>414</v>
      </c>
    </row>
    <row r="2321" spans="1:13" ht="15">
      <c r="A2321" t="s">
        <v>7923</v>
      </c>
      <c r="C2321" t="s">
        <v>5930</v>
      </c>
      <c r="D2321" s="83" t="s">
        <v>5636</v>
      </c>
      <c r="E2321" t="s">
        <v>5359</v>
      </c>
      <c r="F2321" t="s">
        <v>5819</v>
      </c>
      <c r="H2321" t="s">
        <v>414</v>
      </c>
      <c r="K2321" t="s">
        <v>414</v>
      </c>
    </row>
    <row r="2322" spans="1:13" ht="15">
      <c r="A2322" t="s">
        <v>7923</v>
      </c>
      <c r="C2322" t="s">
        <v>7558</v>
      </c>
      <c r="D2322" s="83" t="s">
        <v>5685</v>
      </c>
      <c r="E2322" t="s">
        <v>5408</v>
      </c>
      <c r="F2322" t="s">
        <v>5739</v>
      </c>
      <c r="M2322" t="s">
        <v>414</v>
      </c>
    </row>
    <row r="2323" spans="1:13" ht="15">
      <c r="A2323" t="s">
        <v>7923</v>
      </c>
      <c r="C2323" t="s">
        <v>6479</v>
      </c>
      <c r="D2323" s="83" t="s">
        <v>5626</v>
      </c>
      <c r="E2323" t="s">
        <v>5349</v>
      </c>
      <c r="F2323" t="s">
        <v>5771</v>
      </c>
      <c r="H2323" t="s">
        <v>414</v>
      </c>
      <c r="M2323" t="s">
        <v>414</v>
      </c>
    </row>
    <row r="2324" spans="1:13" ht="15">
      <c r="A2324" t="s">
        <v>7923</v>
      </c>
      <c r="C2324" t="s">
        <v>7572</v>
      </c>
      <c r="D2324" s="83" t="s">
        <v>5685</v>
      </c>
      <c r="E2324" t="s">
        <v>5408</v>
      </c>
      <c r="F2324" t="s">
        <v>5739</v>
      </c>
      <c r="M2324" t="s">
        <v>414</v>
      </c>
    </row>
    <row r="2325" spans="1:13" ht="15">
      <c r="A2325" t="s">
        <v>7923</v>
      </c>
      <c r="C2325" t="s">
        <v>7582</v>
      </c>
      <c r="D2325" s="83" t="s">
        <v>5685</v>
      </c>
      <c r="E2325" t="s">
        <v>5408</v>
      </c>
      <c r="F2325" t="s">
        <v>5739</v>
      </c>
      <c r="M2325" t="s">
        <v>414</v>
      </c>
    </row>
    <row r="2326" spans="1:13" ht="15">
      <c r="A2326" t="s">
        <v>7923</v>
      </c>
      <c r="C2326" t="s">
        <v>6541</v>
      </c>
      <c r="D2326" s="83" t="s">
        <v>5626</v>
      </c>
      <c r="E2326" t="s">
        <v>5349</v>
      </c>
      <c r="F2326" t="s">
        <v>5771</v>
      </c>
      <c r="H2326" t="s">
        <v>414</v>
      </c>
      <c r="M2326" t="s">
        <v>414</v>
      </c>
    </row>
    <row r="2327" spans="1:13" ht="15">
      <c r="A2327" t="s">
        <v>7923</v>
      </c>
      <c r="C2327" t="s">
        <v>6100</v>
      </c>
      <c r="D2327" s="83" t="s">
        <v>5664</v>
      </c>
      <c r="E2327" t="s">
        <v>5387</v>
      </c>
      <c r="F2327" t="s">
        <v>5771</v>
      </c>
      <c r="M2327" t="s">
        <v>414</v>
      </c>
    </row>
    <row r="2328" spans="1:13" ht="15">
      <c r="A2328" t="s">
        <v>3739</v>
      </c>
      <c r="B2328" s="12" t="s">
        <v>33</v>
      </c>
      <c r="C2328" t="s">
        <v>6672</v>
      </c>
      <c r="D2328" s="83" t="s">
        <v>5574</v>
      </c>
      <c r="E2328" t="s">
        <v>5297</v>
      </c>
      <c r="F2328" t="s">
        <v>5794</v>
      </c>
      <c r="H2328" t="s">
        <v>414</v>
      </c>
      <c r="M2328" t="s">
        <v>414</v>
      </c>
    </row>
    <row r="2329" spans="1:13" ht="15">
      <c r="A2329" t="s">
        <v>7923</v>
      </c>
      <c r="C2329" t="s">
        <v>6100</v>
      </c>
      <c r="D2329" s="83" t="s">
        <v>5636</v>
      </c>
      <c r="E2329" t="s">
        <v>5359</v>
      </c>
      <c r="F2329" t="s">
        <v>5819</v>
      </c>
      <c r="H2329" t="s">
        <v>414</v>
      </c>
      <c r="K2329" t="s">
        <v>414</v>
      </c>
    </row>
    <row r="2330" spans="1:13" ht="15">
      <c r="A2330" t="s">
        <v>3773</v>
      </c>
      <c r="B2330" t="s">
        <v>1289</v>
      </c>
      <c r="C2330" t="s">
        <v>7060</v>
      </c>
      <c r="D2330" s="83" t="s">
        <v>4171</v>
      </c>
      <c r="E2330" t="s">
        <v>5065</v>
      </c>
      <c r="F2330" t="s">
        <v>5765</v>
      </c>
      <c r="H2330" t="s">
        <v>414</v>
      </c>
      <c r="M2330" t="s">
        <v>414</v>
      </c>
    </row>
    <row r="2331" spans="1:13" ht="15">
      <c r="A2331" t="s">
        <v>3739</v>
      </c>
      <c r="B2331" s="12" t="s">
        <v>33</v>
      </c>
      <c r="C2331" t="s">
        <v>6020</v>
      </c>
      <c r="D2331" s="83" t="s">
        <v>4158</v>
      </c>
      <c r="E2331" t="s">
        <v>5051</v>
      </c>
      <c r="F2331" t="s">
        <v>5780</v>
      </c>
      <c r="G2331" t="s">
        <v>414</v>
      </c>
      <c r="H2331" t="s">
        <v>414</v>
      </c>
      <c r="K2331" t="s">
        <v>414</v>
      </c>
      <c r="L2331" t="s">
        <v>414</v>
      </c>
    </row>
    <row r="2332" spans="1:13" ht="15">
      <c r="A2332" t="s">
        <v>3783</v>
      </c>
      <c r="B2332" t="s">
        <v>301</v>
      </c>
      <c r="C2332" t="s">
        <v>6151</v>
      </c>
      <c r="D2332" s="83" t="s">
        <v>4158</v>
      </c>
      <c r="E2332" t="s">
        <v>5051</v>
      </c>
      <c r="F2332" t="s">
        <v>5780</v>
      </c>
      <c r="G2332" t="s">
        <v>414</v>
      </c>
      <c r="H2332" t="s">
        <v>414</v>
      </c>
      <c r="K2332" t="s">
        <v>414</v>
      </c>
      <c r="L2332" t="s">
        <v>414</v>
      </c>
    </row>
    <row r="2333" spans="1:13" ht="15">
      <c r="A2333" t="s">
        <v>3773</v>
      </c>
      <c r="B2333" t="s">
        <v>1289</v>
      </c>
      <c r="C2333" t="s">
        <v>6270</v>
      </c>
      <c r="D2333" s="83" t="s">
        <v>4158</v>
      </c>
      <c r="E2333" t="s">
        <v>5051</v>
      </c>
      <c r="F2333" t="s">
        <v>5780</v>
      </c>
      <c r="G2333" t="s">
        <v>414</v>
      </c>
      <c r="H2333" t="s">
        <v>414</v>
      </c>
      <c r="K2333" t="s">
        <v>414</v>
      </c>
      <c r="L2333" t="s">
        <v>414</v>
      </c>
    </row>
    <row r="2334" spans="1:13" ht="15">
      <c r="A2334" t="s">
        <v>4448</v>
      </c>
      <c r="B2334" s="12" t="s">
        <v>1309</v>
      </c>
      <c r="C2334" t="s">
        <v>5923</v>
      </c>
      <c r="D2334" s="83" t="s">
        <v>4158</v>
      </c>
      <c r="E2334" t="s">
        <v>5051</v>
      </c>
      <c r="F2334" t="s">
        <v>5780</v>
      </c>
      <c r="G2334" t="s">
        <v>414</v>
      </c>
      <c r="H2334" t="s">
        <v>414</v>
      </c>
      <c r="K2334" t="s">
        <v>414</v>
      </c>
      <c r="L2334" t="s">
        <v>414</v>
      </c>
    </row>
    <row r="2335" spans="1:13" ht="15">
      <c r="A2335" t="s">
        <v>7923</v>
      </c>
      <c r="C2335" t="s">
        <v>7591</v>
      </c>
      <c r="D2335" s="83" t="s">
        <v>5685</v>
      </c>
      <c r="E2335" t="s">
        <v>5408</v>
      </c>
      <c r="F2335" t="s">
        <v>5739</v>
      </c>
      <c r="M2335" t="s">
        <v>414</v>
      </c>
    </row>
    <row r="2336" spans="1:13" ht="15">
      <c r="A2336" t="s">
        <v>7923</v>
      </c>
      <c r="C2336" t="s">
        <v>7191</v>
      </c>
      <c r="D2336" s="83" t="s">
        <v>5688</v>
      </c>
      <c r="E2336" t="s">
        <v>5411</v>
      </c>
      <c r="F2336" t="s">
        <v>5771</v>
      </c>
      <c r="H2336" t="s">
        <v>414</v>
      </c>
      <c r="I2336" t="s">
        <v>414</v>
      </c>
    </row>
    <row r="2337" spans="1:13" ht="15">
      <c r="A2337" t="s">
        <v>7923</v>
      </c>
      <c r="C2337" t="s">
        <v>6586</v>
      </c>
      <c r="D2337" s="83" t="s">
        <v>5626</v>
      </c>
      <c r="E2337" t="s">
        <v>5349</v>
      </c>
      <c r="F2337" t="s">
        <v>5771</v>
      </c>
      <c r="H2337" t="s">
        <v>414</v>
      </c>
      <c r="M2337" t="s">
        <v>414</v>
      </c>
    </row>
    <row r="2338" spans="1:13" ht="15">
      <c r="A2338" t="s">
        <v>7923</v>
      </c>
      <c r="C2338" t="s">
        <v>6216</v>
      </c>
      <c r="D2338" s="83" t="s">
        <v>5636</v>
      </c>
      <c r="E2338" t="s">
        <v>5359</v>
      </c>
      <c r="F2338" t="s">
        <v>5819</v>
      </c>
      <c r="H2338" t="s">
        <v>414</v>
      </c>
      <c r="K2338" t="s">
        <v>414</v>
      </c>
    </row>
    <row r="2339" spans="1:13" ht="15">
      <c r="A2339" t="s">
        <v>7923</v>
      </c>
      <c r="C2339" t="s">
        <v>7602</v>
      </c>
      <c r="D2339" s="83" t="s">
        <v>5685</v>
      </c>
      <c r="E2339" t="s">
        <v>5408</v>
      </c>
      <c r="F2339" t="s">
        <v>5739</v>
      </c>
      <c r="M2339" t="s">
        <v>414</v>
      </c>
    </row>
    <row r="2340" spans="1:13" ht="15">
      <c r="A2340" t="s">
        <v>7923</v>
      </c>
      <c r="C2340" t="s">
        <v>7611</v>
      </c>
      <c r="D2340" s="83" t="s">
        <v>5685</v>
      </c>
      <c r="E2340" t="s">
        <v>5408</v>
      </c>
      <c r="F2340" t="s">
        <v>5739</v>
      </c>
      <c r="M2340" t="s">
        <v>414</v>
      </c>
    </row>
    <row r="2341" spans="1:13" ht="15">
      <c r="A2341" t="s">
        <v>3738</v>
      </c>
      <c r="B2341" s="74" t="s">
        <v>4300</v>
      </c>
      <c r="C2341" t="s">
        <v>6396</v>
      </c>
      <c r="D2341" s="83" t="s">
        <v>5859</v>
      </c>
      <c r="E2341" t="s">
        <v>7778</v>
      </c>
      <c r="F2341" t="s">
        <v>7779</v>
      </c>
      <c r="K2341" t="s">
        <v>414</v>
      </c>
    </row>
    <row r="2342" spans="1:13" ht="15">
      <c r="A2342" t="s">
        <v>7923</v>
      </c>
      <c r="C2342" t="s">
        <v>7235</v>
      </c>
      <c r="D2342" s="83" t="s">
        <v>5664</v>
      </c>
      <c r="E2342" t="s">
        <v>5387</v>
      </c>
      <c r="F2342" t="s">
        <v>5771</v>
      </c>
      <c r="M2342" t="s">
        <v>414</v>
      </c>
    </row>
    <row r="2343" spans="1:13" ht="15">
      <c r="A2343" t="s">
        <v>7923</v>
      </c>
      <c r="C2343" t="s">
        <v>7624</v>
      </c>
      <c r="D2343" s="83" t="s">
        <v>5685</v>
      </c>
      <c r="E2343" t="s">
        <v>5408</v>
      </c>
      <c r="F2343" t="s">
        <v>5739</v>
      </c>
      <c r="M2343" t="s">
        <v>414</v>
      </c>
    </row>
    <row r="2344" spans="1:13" ht="15">
      <c r="A2344" t="s">
        <v>7923</v>
      </c>
      <c r="C2344" t="s">
        <v>7616</v>
      </c>
      <c r="D2344" s="83" t="s">
        <v>5685</v>
      </c>
      <c r="E2344" t="s">
        <v>5408</v>
      </c>
      <c r="F2344" t="s">
        <v>5739</v>
      </c>
      <c r="M2344" t="s">
        <v>414</v>
      </c>
    </row>
    <row r="2345" spans="1:13" ht="15">
      <c r="A2345" t="s">
        <v>7923</v>
      </c>
      <c r="C2345" t="s">
        <v>7633</v>
      </c>
      <c r="D2345" s="83" t="s">
        <v>5685</v>
      </c>
      <c r="E2345" t="s">
        <v>5408</v>
      </c>
      <c r="F2345" t="s">
        <v>5739</v>
      </c>
      <c r="M2345" t="s">
        <v>414</v>
      </c>
    </row>
    <row r="2346" spans="1:13" ht="15">
      <c r="A2346" t="s">
        <v>7923</v>
      </c>
      <c r="C2346" t="s">
        <v>6627</v>
      </c>
      <c r="D2346" s="83" t="s">
        <v>5626</v>
      </c>
      <c r="E2346" t="s">
        <v>5349</v>
      </c>
      <c r="F2346" t="s">
        <v>5771</v>
      </c>
      <c r="H2346" t="s">
        <v>414</v>
      </c>
      <c r="M2346" t="s">
        <v>414</v>
      </c>
    </row>
    <row r="2347" spans="1:13" ht="15">
      <c r="A2347" t="s">
        <v>3739</v>
      </c>
      <c r="B2347" s="12" t="s">
        <v>33</v>
      </c>
      <c r="C2347" t="s">
        <v>6034</v>
      </c>
      <c r="D2347" s="83" t="s">
        <v>5586</v>
      </c>
      <c r="E2347" t="s">
        <v>5309</v>
      </c>
      <c r="F2347" t="s">
        <v>5739</v>
      </c>
    </row>
    <row r="2348" spans="1:13" ht="15">
      <c r="A2348" t="s">
        <v>3783</v>
      </c>
      <c r="B2348" t="s">
        <v>301</v>
      </c>
      <c r="C2348" t="s">
        <v>6014</v>
      </c>
      <c r="D2348" s="83" t="s">
        <v>5624</v>
      </c>
      <c r="E2348" t="s">
        <v>5347</v>
      </c>
      <c r="F2348" t="s">
        <v>5815</v>
      </c>
      <c r="H2348" t="s">
        <v>414</v>
      </c>
      <c r="K2348" t="s">
        <v>414</v>
      </c>
      <c r="L2348" t="s">
        <v>414</v>
      </c>
      <c r="M2348" t="s">
        <v>414</v>
      </c>
    </row>
    <row r="2349" spans="1:13" ht="15">
      <c r="A2349" t="s">
        <v>3773</v>
      </c>
      <c r="B2349" t="s">
        <v>1289</v>
      </c>
      <c r="C2349" t="s">
        <v>6147</v>
      </c>
      <c r="D2349" s="83" t="s">
        <v>5624</v>
      </c>
      <c r="E2349" t="s">
        <v>5347</v>
      </c>
      <c r="F2349" t="s">
        <v>5815</v>
      </c>
      <c r="H2349" t="s">
        <v>414</v>
      </c>
      <c r="K2349" t="s">
        <v>414</v>
      </c>
      <c r="L2349" t="s">
        <v>414</v>
      </c>
      <c r="M2349" t="s">
        <v>414</v>
      </c>
    </row>
    <row r="2350" spans="1:13" ht="15">
      <c r="A2350" t="s">
        <v>3767</v>
      </c>
      <c r="B2350" t="s">
        <v>1291</v>
      </c>
      <c r="C2350" t="s">
        <v>6264</v>
      </c>
      <c r="D2350" s="83" t="s">
        <v>5624</v>
      </c>
      <c r="E2350" t="s">
        <v>5347</v>
      </c>
      <c r="F2350" t="s">
        <v>5815</v>
      </c>
      <c r="H2350" t="s">
        <v>414</v>
      </c>
      <c r="K2350" t="s">
        <v>414</v>
      </c>
      <c r="L2350" t="s">
        <v>414</v>
      </c>
      <c r="M2350" t="s">
        <v>414</v>
      </c>
    </row>
    <row r="2351" spans="1:13" ht="15">
      <c r="A2351" t="s">
        <v>7923</v>
      </c>
      <c r="C2351" t="s">
        <v>7285</v>
      </c>
      <c r="D2351" s="83" t="s">
        <v>5664</v>
      </c>
      <c r="E2351" t="s">
        <v>5387</v>
      </c>
      <c r="F2351" t="s">
        <v>5771</v>
      </c>
      <c r="M2351" t="s">
        <v>414</v>
      </c>
    </row>
    <row r="2352" spans="1:13" ht="15">
      <c r="A2352" t="s">
        <v>4446</v>
      </c>
      <c r="B2352" t="s">
        <v>4445</v>
      </c>
      <c r="C2352" t="s">
        <v>6440</v>
      </c>
      <c r="D2352" s="83" t="s">
        <v>5624</v>
      </c>
      <c r="E2352" t="s">
        <v>5347</v>
      </c>
      <c r="F2352" t="s">
        <v>5815</v>
      </c>
      <c r="H2352" t="s">
        <v>414</v>
      </c>
      <c r="K2352" t="s">
        <v>414</v>
      </c>
      <c r="L2352" t="s">
        <v>414</v>
      </c>
      <c r="M2352" t="s">
        <v>414</v>
      </c>
    </row>
    <row r="2353" spans="1:13" ht="15">
      <c r="A2353" t="s">
        <v>7923</v>
      </c>
      <c r="C2353" t="s">
        <v>7641</v>
      </c>
      <c r="D2353" s="83" t="s">
        <v>5685</v>
      </c>
      <c r="E2353" t="s">
        <v>5408</v>
      </c>
      <c r="F2353" t="s">
        <v>5739</v>
      </c>
      <c r="M2353" t="s">
        <v>414</v>
      </c>
    </row>
    <row r="2354" spans="1:13" ht="15">
      <c r="A2354" t="s">
        <v>7923</v>
      </c>
      <c r="C2354" t="s">
        <v>6668</v>
      </c>
      <c r="D2354" s="83" t="s">
        <v>5626</v>
      </c>
      <c r="E2354" t="s">
        <v>5349</v>
      </c>
      <c r="F2354" t="s">
        <v>5771</v>
      </c>
      <c r="H2354" t="s">
        <v>414</v>
      </c>
      <c r="M2354" t="s">
        <v>414</v>
      </c>
    </row>
    <row r="2355" spans="1:13" ht="15">
      <c r="A2355" t="s">
        <v>7923</v>
      </c>
      <c r="C2355" t="s">
        <v>7648</v>
      </c>
      <c r="D2355" s="83" t="s">
        <v>5685</v>
      </c>
      <c r="E2355" t="s">
        <v>5408</v>
      </c>
      <c r="F2355" t="s">
        <v>5739</v>
      </c>
      <c r="M2355" t="s">
        <v>414</v>
      </c>
    </row>
    <row r="2356" spans="1:13" ht="15">
      <c r="A2356" t="s">
        <v>3746</v>
      </c>
      <c r="B2356" s="12" t="s">
        <v>4482</v>
      </c>
      <c r="C2356" t="s">
        <v>6645</v>
      </c>
      <c r="D2356" s="83" t="s">
        <v>5624</v>
      </c>
      <c r="E2356" t="s">
        <v>5347</v>
      </c>
      <c r="F2356" t="s">
        <v>5815</v>
      </c>
      <c r="H2356" t="s">
        <v>414</v>
      </c>
      <c r="K2356" t="s">
        <v>414</v>
      </c>
      <c r="L2356" t="s">
        <v>414</v>
      </c>
      <c r="M2356" t="s">
        <v>414</v>
      </c>
    </row>
    <row r="2357" spans="1:13" ht="15">
      <c r="A2357" t="s">
        <v>3739</v>
      </c>
      <c r="B2357" s="12" t="s">
        <v>33</v>
      </c>
      <c r="C2357" t="s">
        <v>6679</v>
      </c>
      <c r="D2357" s="83" t="s">
        <v>5624</v>
      </c>
      <c r="E2357" t="s">
        <v>5347</v>
      </c>
      <c r="F2357" t="s">
        <v>5815</v>
      </c>
      <c r="H2357" t="s">
        <v>414</v>
      </c>
      <c r="K2357" t="s">
        <v>414</v>
      </c>
      <c r="L2357" t="s">
        <v>414</v>
      </c>
      <c r="M2357" t="s">
        <v>414</v>
      </c>
    </row>
    <row r="2358" spans="1:13" ht="15">
      <c r="A2358" t="s">
        <v>7923</v>
      </c>
      <c r="C2358" t="s">
        <v>6695</v>
      </c>
      <c r="D2358" s="83" t="s">
        <v>5626</v>
      </c>
      <c r="E2358" t="s">
        <v>5349</v>
      </c>
      <c r="F2358" t="s">
        <v>5771</v>
      </c>
      <c r="H2358" t="s">
        <v>414</v>
      </c>
      <c r="M2358" t="s">
        <v>414</v>
      </c>
    </row>
    <row r="2359" spans="1:13" ht="15">
      <c r="A2359" t="s">
        <v>7923</v>
      </c>
      <c r="C2359" t="s">
        <v>7043</v>
      </c>
      <c r="D2359" s="83" t="s">
        <v>5519</v>
      </c>
      <c r="E2359" t="s">
        <v>5242</v>
      </c>
      <c r="F2359" t="s">
        <v>5771</v>
      </c>
      <c r="M2359" t="s">
        <v>414</v>
      </c>
    </row>
    <row r="2360" spans="1:13" ht="15">
      <c r="A2360" t="s">
        <v>7923</v>
      </c>
      <c r="C2360" t="s">
        <v>7043</v>
      </c>
      <c r="D2360" s="83" t="s">
        <v>5664</v>
      </c>
      <c r="E2360" t="s">
        <v>5387</v>
      </c>
      <c r="F2360" t="s">
        <v>5771</v>
      </c>
      <c r="M2360" t="s">
        <v>414</v>
      </c>
    </row>
    <row r="2361" spans="1:13" ht="15">
      <c r="A2361" t="s">
        <v>7923</v>
      </c>
      <c r="C2361" t="s">
        <v>7655</v>
      </c>
      <c r="D2361" s="83" t="s">
        <v>5685</v>
      </c>
      <c r="E2361" t="s">
        <v>5408</v>
      </c>
      <c r="F2361" t="s">
        <v>5739</v>
      </c>
      <c r="M2361" t="s">
        <v>414</v>
      </c>
    </row>
    <row r="2362" spans="1:13" ht="15">
      <c r="A2362" t="s">
        <v>7923</v>
      </c>
      <c r="C2362" t="s">
        <v>6231</v>
      </c>
      <c r="D2362" s="83" t="s">
        <v>5539</v>
      </c>
      <c r="E2362" t="s">
        <v>5262</v>
      </c>
      <c r="F2362" t="s">
        <v>5781</v>
      </c>
      <c r="H2362" t="s">
        <v>414</v>
      </c>
      <c r="M2362" t="s">
        <v>414</v>
      </c>
    </row>
    <row r="2363" spans="1:13" ht="15">
      <c r="A2363" t="s">
        <v>7923</v>
      </c>
      <c r="C2363" t="s">
        <v>6721</v>
      </c>
      <c r="D2363" s="83" t="s">
        <v>5626</v>
      </c>
      <c r="E2363" t="s">
        <v>5349</v>
      </c>
      <c r="F2363" t="s">
        <v>5771</v>
      </c>
      <c r="H2363" t="s">
        <v>414</v>
      </c>
      <c r="M2363" t="s">
        <v>414</v>
      </c>
    </row>
    <row r="2364" spans="1:13" ht="15">
      <c r="A2364" t="s">
        <v>7923</v>
      </c>
      <c r="C2364" t="s">
        <v>6319</v>
      </c>
      <c r="D2364" s="83" t="s">
        <v>5636</v>
      </c>
      <c r="E2364" t="s">
        <v>5359</v>
      </c>
      <c r="F2364" t="s">
        <v>5819</v>
      </c>
      <c r="H2364" t="s">
        <v>414</v>
      </c>
      <c r="K2364" t="s">
        <v>414</v>
      </c>
    </row>
    <row r="2365" spans="1:13" ht="15">
      <c r="A2365" t="s">
        <v>7923</v>
      </c>
      <c r="C2365" t="s">
        <v>7662</v>
      </c>
      <c r="D2365" s="83" t="s">
        <v>5685</v>
      </c>
      <c r="E2365" t="s">
        <v>5408</v>
      </c>
      <c r="F2365" t="s">
        <v>5739</v>
      </c>
      <c r="M2365" t="s">
        <v>414</v>
      </c>
    </row>
    <row r="2366" spans="1:13" ht="15">
      <c r="A2366" t="s">
        <v>7923</v>
      </c>
      <c r="C2366" t="s">
        <v>7669</v>
      </c>
      <c r="D2366" s="83" t="s">
        <v>5685</v>
      </c>
      <c r="E2366" t="s">
        <v>5408</v>
      </c>
      <c r="F2366" t="s">
        <v>5739</v>
      </c>
      <c r="M2366" t="s">
        <v>414</v>
      </c>
    </row>
    <row r="2367" spans="1:13" ht="15">
      <c r="A2367" t="s">
        <v>7923</v>
      </c>
      <c r="C2367" t="s">
        <v>7677</v>
      </c>
      <c r="D2367" s="83" t="s">
        <v>5685</v>
      </c>
      <c r="E2367" t="s">
        <v>5408</v>
      </c>
      <c r="F2367" t="s">
        <v>5739</v>
      </c>
      <c r="M2367" t="s">
        <v>414</v>
      </c>
    </row>
    <row r="2368" spans="1:13" ht="15">
      <c r="A2368" t="s">
        <v>7923</v>
      </c>
      <c r="C2368" t="s">
        <v>7683</v>
      </c>
      <c r="D2368" s="83" t="s">
        <v>5685</v>
      </c>
      <c r="E2368" t="s">
        <v>5408</v>
      </c>
      <c r="F2368" t="s">
        <v>5739</v>
      </c>
      <c r="M2368" t="s">
        <v>414</v>
      </c>
    </row>
    <row r="2369" spans="1:13" ht="15">
      <c r="A2369" t="s">
        <v>7923</v>
      </c>
      <c r="C2369" t="s">
        <v>7690</v>
      </c>
      <c r="D2369" s="83" t="s">
        <v>5685</v>
      </c>
      <c r="E2369" t="s">
        <v>5408</v>
      </c>
      <c r="F2369" t="s">
        <v>5739</v>
      </c>
      <c r="M2369" t="s">
        <v>414</v>
      </c>
    </row>
    <row r="2370" spans="1:13" ht="15">
      <c r="A2370" t="s">
        <v>7923</v>
      </c>
      <c r="C2370" t="s">
        <v>7697</v>
      </c>
      <c r="D2370" s="83" t="s">
        <v>5685</v>
      </c>
      <c r="E2370" t="s">
        <v>5408</v>
      </c>
      <c r="F2370" t="s">
        <v>5739</v>
      </c>
      <c r="M2370" t="s">
        <v>414</v>
      </c>
    </row>
    <row r="2371" spans="1:13" ht="15">
      <c r="A2371" t="s">
        <v>7923</v>
      </c>
      <c r="C2371" t="s">
        <v>7705</v>
      </c>
      <c r="D2371" s="83" t="s">
        <v>5685</v>
      </c>
      <c r="E2371" t="s">
        <v>5408</v>
      </c>
      <c r="F2371" t="s">
        <v>5739</v>
      </c>
      <c r="M2371" t="s">
        <v>414</v>
      </c>
    </row>
    <row r="2372" spans="1:13" ht="15">
      <c r="A2372" t="s">
        <v>7923</v>
      </c>
      <c r="C2372" t="s">
        <v>7711</v>
      </c>
      <c r="D2372" s="83" t="s">
        <v>5685</v>
      </c>
      <c r="E2372" t="s">
        <v>5408</v>
      </c>
      <c r="F2372" t="s">
        <v>5739</v>
      </c>
      <c r="M2372" t="s">
        <v>414</v>
      </c>
    </row>
    <row r="2373" spans="1:13" ht="15">
      <c r="A2373" t="s">
        <v>7923</v>
      </c>
      <c r="C2373" t="s">
        <v>7357</v>
      </c>
      <c r="D2373" s="83" t="s">
        <v>5664</v>
      </c>
      <c r="E2373" t="s">
        <v>5387</v>
      </c>
      <c r="F2373" t="s">
        <v>5771</v>
      </c>
      <c r="M2373" t="s">
        <v>414</v>
      </c>
    </row>
    <row r="2374" spans="1:13" ht="15">
      <c r="A2374" t="s">
        <v>7923</v>
      </c>
      <c r="C2374" t="s">
        <v>7717</v>
      </c>
      <c r="D2374" s="83" t="s">
        <v>5685</v>
      </c>
      <c r="E2374" t="s">
        <v>5408</v>
      </c>
      <c r="F2374" t="s">
        <v>5739</v>
      </c>
      <c r="M2374" t="s">
        <v>414</v>
      </c>
    </row>
    <row r="2375" spans="1:13" ht="15">
      <c r="A2375" t="s">
        <v>7923</v>
      </c>
      <c r="C2375" t="s">
        <v>7721</v>
      </c>
      <c r="D2375" s="83" t="s">
        <v>5685</v>
      </c>
      <c r="E2375" t="s">
        <v>5408</v>
      </c>
      <c r="F2375" t="s">
        <v>5739</v>
      </c>
      <c r="M2375" t="s">
        <v>414</v>
      </c>
    </row>
    <row r="2376" spans="1:13" ht="15">
      <c r="A2376" t="s">
        <v>3783</v>
      </c>
      <c r="B2376" t="s">
        <v>301</v>
      </c>
      <c r="C2376" t="s">
        <v>6031</v>
      </c>
      <c r="D2376" s="83" t="s">
        <v>5669</v>
      </c>
      <c r="E2376" t="s">
        <v>5392</v>
      </c>
      <c r="F2376" t="s">
        <v>5793</v>
      </c>
      <c r="G2376" t="s">
        <v>414</v>
      </c>
      <c r="K2376" t="s">
        <v>414</v>
      </c>
    </row>
    <row r="2377" spans="1:13" ht="15">
      <c r="A2377" t="s">
        <v>7923</v>
      </c>
      <c r="C2377" t="s">
        <v>7726</v>
      </c>
      <c r="D2377" s="83" t="s">
        <v>5685</v>
      </c>
      <c r="E2377" t="s">
        <v>5408</v>
      </c>
      <c r="F2377" t="s">
        <v>5739</v>
      </c>
      <c r="M2377" t="s">
        <v>414</v>
      </c>
    </row>
    <row r="2378" spans="1:13" ht="15">
      <c r="A2378" t="s">
        <v>3767</v>
      </c>
      <c r="B2378" t="s">
        <v>1291</v>
      </c>
      <c r="C2378" t="s">
        <v>6359</v>
      </c>
      <c r="D2378" s="83" t="s">
        <v>5669</v>
      </c>
      <c r="E2378" t="s">
        <v>5392</v>
      </c>
      <c r="F2378" t="s">
        <v>5793</v>
      </c>
      <c r="G2378" t="s">
        <v>414</v>
      </c>
      <c r="K2378" t="s">
        <v>414</v>
      </c>
    </row>
    <row r="2379" spans="1:13" ht="15">
      <c r="A2379" t="s">
        <v>4525</v>
      </c>
      <c r="B2379" s="81" t="s">
        <v>4524</v>
      </c>
      <c r="C2379" t="s">
        <v>6001</v>
      </c>
      <c r="D2379" s="83" t="s">
        <v>5669</v>
      </c>
      <c r="E2379" t="s">
        <v>5392</v>
      </c>
      <c r="F2379" t="s">
        <v>5793</v>
      </c>
      <c r="G2379" t="s">
        <v>414</v>
      </c>
      <c r="K2379" t="s">
        <v>414</v>
      </c>
    </row>
    <row r="2380" spans="1:13" ht="15">
      <c r="A2380" t="s">
        <v>7923</v>
      </c>
      <c r="C2380" t="s">
        <v>7730</v>
      </c>
      <c r="D2380" s="83" t="s">
        <v>5685</v>
      </c>
      <c r="E2380" t="s">
        <v>5408</v>
      </c>
      <c r="F2380" t="s">
        <v>5739</v>
      </c>
      <c r="M2380" t="s">
        <v>414</v>
      </c>
    </row>
    <row r="2381" spans="1:13" ht="15">
      <c r="A2381" t="s">
        <v>7923</v>
      </c>
      <c r="C2381" t="s">
        <v>6740</v>
      </c>
      <c r="D2381" s="83" t="s">
        <v>5626</v>
      </c>
      <c r="E2381" t="s">
        <v>5349</v>
      </c>
      <c r="F2381" t="s">
        <v>5771</v>
      </c>
      <c r="H2381" t="s">
        <v>414</v>
      </c>
      <c r="M2381" t="s">
        <v>414</v>
      </c>
    </row>
    <row r="2382" spans="1:13" ht="15">
      <c r="A2382" t="s">
        <v>7923</v>
      </c>
      <c r="C2382" t="s">
        <v>5994</v>
      </c>
      <c r="D2382" s="83" t="s">
        <v>5626</v>
      </c>
      <c r="E2382" t="s">
        <v>5349</v>
      </c>
      <c r="F2382" t="s">
        <v>5771</v>
      </c>
      <c r="H2382" t="s">
        <v>414</v>
      </c>
      <c r="M2382" t="s">
        <v>414</v>
      </c>
    </row>
    <row r="2383" spans="1:13" ht="15">
      <c r="A2383" t="s">
        <v>7923</v>
      </c>
      <c r="C2383" t="s">
        <v>5994</v>
      </c>
      <c r="D2383" s="83" t="s">
        <v>5671</v>
      </c>
      <c r="E2383" t="s">
        <v>5394</v>
      </c>
      <c r="F2383" t="s">
        <v>5771</v>
      </c>
      <c r="H2383" t="s">
        <v>414</v>
      </c>
      <c r="K2383" t="s">
        <v>414</v>
      </c>
    </row>
    <row r="2384" spans="1:13" ht="15">
      <c r="A2384" t="s">
        <v>7923</v>
      </c>
      <c r="C2384" t="s">
        <v>7733</v>
      </c>
      <c r="D2384" s="83" t="s">
        <v>5685</v>
      </c>
      <c r="E2384" t="s">
        <v>5408</v>
      </c>
      <c r="F2384" t="s">
        <v>5739</v>
      </c>
      <c r="M2384" t="s">
        <v>414</v>
      </c>
    </row>
    <row r="2385" spans="1:13" ht="15">
      <c r="A2385" t="s">
        <v>7923</v>
      </c>
      <c r="C2385" t="s">
        <v>7736</v>
      </c>
      <c r="D2385" s="83" t="s">
        <v>5685</v>
      </c>
      <c r="E2385" t="s">
        <v>5408</v>
      </c>
      <c r="F2385" t="s">
        <v>5739</v>
      </c>
      <c r="M2385" t="s">
        <v>414</v>
      </c>
    </row>
    <row r="2386" spans="1:13" ht="15">
      <c r="A2386" t="s">
        <v>7923</v>
      </c>
      <c r="C2386" t="s">
        <v>6783</v>
      </c>
      <c r="D2386" s="83" t="s">
        <v>5626</v>
      </c>
      <c r="E2386" t="s">
        <v>5349</v>
      </c>
      <c r="F2386" t="s">
        <v>5771</v>
      </c>
      <c r="H2386" t="s">
        <v>414</v>
      </c>
      <c r="M2386" t="s">
        <v>414</v>
      </c>
    </row>
    <row r="2387" spans="1:13" ht="15">
      <c r="A2387" t="s">
        <v>7923</v>
      </c>
      <c r="C2387" t="s">
        <v>7739</v>
      </c>
      <c r="D2387" s="83" t="s">
        <v>5685</v>
      </c>
      <c r="E2387" t="s">
        <v>5408</v>
      </c>
      <c r="F2387" t="s">
        <v>5739</v>
      </c>
      <c r="M2387" t="s">
        <v>414</v>
      </c>
    </row>
    <row r="2388" spans="1:13" ht="15">
      <c r="A2388" t="s">
        <v>7923</v>
      </c>
      <c r="C2388" t="s">
        <v>6135</v>
      </c>
      <c r="D2388" s="83" t="s">
        <v>5688</v>
      </c>
      <c r="E2388" t="s">
        <v>5411</v>
      </c>
      <c r="F2388" t="s">
        <v>5771</v>
      </c>
      <c r="H2388" t="s">
        <v>414</v>
      </c>
      <c r="I2388" t="s">
        <v>414</v>
      </c>
    </row>
    <row r="2389" spans="1:13" ht="15">
      <c r="A2389" t="s">
        <v>7923</v>
      </c>
      <c r="C2389" t="s">
        <v>6135</v>
      </c>
      <c r="D2389" s="83" t="s">
        <v>5671</v>
      </c>
      <c r="E2389" t="s">
        <v>5394</v>
      </c>
      <c r="F2389" t="s">
        <v>5771</v>
      </c>
      <c r="H2389" t="s">
        <v>414</v>
      </c>
      <c r="K2389" t="s">
        <v>414</v>
      </c>
    </row>
    <row r="2390" spans="1:13" ht="15">
      <c r="A2390" t="s">
        <v>7923</v>
      </c>
      <c r="C2390" t="s">
        <v>6404</v>
      </c>
      <c r="D2390" s="83" t="s">
        <v>5636</v>
      </c>
      <c r="E2390" t="s">
        <v>5359</v>
      </c>
      <c r="F2390" t="s">
        <v>5819</v>
      </c>
      <c r="H2390" t="s">
        <v>414</v>
      </c>
      <c r="K2390" t="s">
        <v>414</v>
      </c>
    </row>
    <row r="2391" spans="1:13" ht="15">
      <c r="C2391" t="s">
        <v>5942</v>
      </c>
      <c r="D2391" s="83" t="s">
        <v>5869</v>
      </c>
      <c r="E2391" t="s">
        <v>7790</v>
      </c>
      <c r="F2391" t="s">
        <v>5764</v>
      </c>
      <c r="H2391" t="s">
        <v>414</v>
      </c>
      <c r="K2391" t="s">
        <v>414</v>
      </c>
      <c r="L2391" t="s">
        <v>414</v>
      </c>
      <c r="M2391" t="s">
        <v>414</v>
      </c>
    </row>
    <row r="2392" spans="1:13" ht="15">
      <c r="C2392" t="s">
        <v>7428</v>
      </c>
      <c r="D2392" s="83" t="s">
        <v>5535</v>
      </c>
      <c r="E2392" t="s">
        <v>5258</v>
      </c>
      <c r="F2392" t="s">
        <v>5779</v>
      </c>
      <c r="H2392" t="s">
        <v>414</v>
      </c>
      <c r="M2392" t="s">
        <v>414</v>
      </c>
    </row>
    <row r="2393" spans="1:13" ht="15">
      <c r="A2393" t="s">
        <v>4565</v>
      </c>
      <c r="B2393" s="12" t="s">
        <v>395</v>
      </c>
      <c r="C2393" t="s">
        <v>5924</v>
      </c>
      <c r="D2393" s="83" t="s">
        <v>5864</v>
      </c>
      <c r="E2393" t="s">
        <v>7784</v>
      </c>
      <c r="F2393" t="s">
        <v>7785</v>
      </c>
      <c r="H2393" t="s">
        <v>414</v>
      </c>
      <c r="L2393" t="s">
        <v>414</v>
      </c>
    </row>
    <row r="2394" spans="1:13" ht="15">
      <c r="C2394" t="s">
        <v>7339</v>
      </c>
      <c r="D2394" s="83" t="s">
        <v>5483</v>
      </c>
      <c r="E2394" t="s">
        <v>5206</v>
      </c>
      <c r="F2394" t="s">
        <v>5743</v>
      </c>
      <c r="H2394" t="s">
        <v>414</v>
      </c>
      <c r="I2394" t="s">
        <v>414</v>
      </c>
    </row>
    <row r="2395" spans="1:13" ht="15">
      <c r="A2395" t="s">
        <v>3755</v>
      </c>
      <c r="B2395" t="s">
        <v>4533</v>
      </c>
      <c r="C2395" t="s">
        <v>6214</v>
      </c>
      <c r="D2395" s="83" t="s">
        <v>5864</v>
      </c>
      <c r="E2395" t="s">
        <v>7784</v>
      </c>
      <c r="F2395" t="s">
        <v>7785</v>
      </c>
      <c r="H2395" t="s">
        <v>414</v>
      </c>
      <c r="L2395" t="s">
        <v>414</v>
      </c>
    </row>
    <row r="2396" spans="1:13" ht="15">
      <c r="A2396" t="s">
        <v>3773</v>
      </c>
      <c r="B2396" t="s">
        <v>1289</v>
      </c>
      <c r="C2396" t="s">
        <v>6204</v>
      </c>
      <c r="D2396" s="83" t="s">
        <v>5864</v>
      </c>
      <c r="E2396" t="s">
        <v>7784</v>
      </c>
      <c r="F2396" t="s">
        <v>7785</v>
      </c>
      <c r="H2396" t="s">
        <v>414</v>
      </c>
      <c r="L2396" t="s">
        <v>414</v>
      </c>
    </row>
    <row r="2397" spans="1:13" ht="15">
      <c r="C2397" t="s">
        <v>5922</v>
      </c>
      <c r="D2397" s="83" t="s">
        <v>5634</v>
      </c>
      <c r="E2397" t="s">
        <v>5357</v>
      </c>
      <c r="F2397" t="s">
        <v>5811</v>
      </c>
      <c r="H2397" t="s">
        <v>414</v>
      </c>
      <c r="L2397" t="s">
        <v>414</v>
      </c>
      <c r="M2397" t="s">
        <v>414</v>
      </c>
    </row>
    <row r="2398" spans="1:13" ht="15">
      <c r="C2398" t="s">
        <v>6478</v>
      </c>
      <c r="D2398" s="83" t="s">
        <v>4149</v>
      </c>
      <c r="E2398" t="s">
        <v>5042</v>
      </c>
      <c r="F2398" t="s">
        <v>5748</v>
      </c>
      <c r="K2398" t="s">
        <v>414</v>
      </c>
      <c r="L2398" t="s">
        <v>414</v>
      </c>
      <c r="M2398" t="s">
        <v>414</v>
      </c>
    </row>
    <row r="2399" spans="1:13" ht="15">
      <c r="A2399" t="s">
        <v>3745</v>
      </c>
      <c r="B2399" t="s">
        <v>4292</v>
      </c>
      <c r="C2399" t="s">
        <v>6532</v>
      </c>
      <c r="D2399" s="83" t="s">
        <v>5864</v>
      </c>
      <c r="E2399" t="s">
        <v>7784</v>
      </c>
      <c r="F2399" t="s">
        <v>7785</v>
      </c>
      <c r="H2399" t="s">
        <v>414</v>
      </c>
      <c r="L2399" t="s">
        <v>414</v>
      </c>
    </row>
    <row r="2400" spans="1:13" ht="15">
      <c r="C2400" t="s">
        <v>5888</v>
      </c>
      <c r="D2400" s="83" t="s">
        <v>5853</v>
      </c>
      <c r="E2400" t="s">
        <v>7770</v>
      </c>
      <c r="F2400" t="s">
        <v>7771</v>
      </c>
      <c r="G2400" t="s">
        <v>414</v>
      </c>
      <c r="L2400" t="s">
        <v>414</v>
      </c>
    </row>
    <row r="2401" spans="1:13" ht="15">
      <c r="C2401" t="s">
        <v>7446</v>
      </c>
      <c r="D2401" s="83" t="s">
        <v>5535</v>
      </c>
      <c r="E2401" t="s">
        <v>5258</v>
      </c>
      <c r="F2401" t="s">
        <v>5779</v>
      </c>
      <c r="H2401" t="s">
        <v>414</v>
      </c>
      <c r="M2401" t="s">
        <v>414</v>
      </c>
    </row>
    <row r="2402" spans="1:13" ht="15">
      <c r="A2402" t="s">
        <v>3743</v>
      </c>
      <c r="B2402" t="s">
        <v>4290</v>
      </c>
      <c r="C2402" t="s">
        <v>6662</v>
      </c>
      <c r="D2402" s="83" t="s">
        <v>5864</v>
      </c>
      <c r="E2402" t="s">
        <v>7784</v>
      </c>
      <c r="F2402" t="s">
        <v>7785</v>
      </c>
      <c r="H2402" t="s">
        <v>414</v>
      </c>
      <c r="L2402" t="s">
        <v>414</v>
      </c>
    </row>
    <row r="2403" spans="1:13" ht="15">
      <c r="A2403" t="s">
        <v>3738</v>
      </c>
      <c r="B2403" s="74" t="s">
        <v>4300</v>
      </c>
      <c r="C2403" t="s">
        <v>6074</v>
      </c>
      <c r="D2403" s="83" t="s">
        <v>5864</v>
      </c>
      <c r="E2403" t="s">
        <v>7784</v>
      </c>
      <c r="F2403" t="s">
        <v>7785</v>
      </c>
      <c r="H2403" t="s">
        <v>414</v>
      </c>
      <c r="L2403" t="s">
        <v>414</v>
      </c>
    </row>
    <row r="2404" spans="1:13" ht="15">
      <c r="A2404" t="s">
        <v>4525</v>
      </c>
      <c r="B2404" s="81" t="s">
        <v>4524</v>
      </c>
      <c r="C2404" t="s">
        <v>7124</v>
      </c>
      <c r="D2404" s="83" t="s">
        <v>5694</v>
      </c>
      <c r="E2404" t="s">
        <v>5417</v>
      </c>
      <c r="F2404" t="s">
        <v>5838</v>
      </c>
      <c r="H2404" t="s">
        <v>414</v>
      </c>
      <c r="I2404" t="s">
        <v>414</v>
      </c>
    </row>
    <row r="2405" spans="1:13" ht="15">
      <c r="A2405" t="s">
        <v>3739</v>
      </c>
      <c r="B2405" s="12" t="s">
        <v>33</v>
      </c>
      <c r="C2405" t="s">
        <v>7197</v>
      </c>
      <c r="D2405" s="83" t="s">
        <v>5694</v>
      </c>
      <c r="E2405" t="s">
        <v>5417</v>
      </c>
      <c r="F2405" t="s">
        <v>5838</v>
      </c>
      <c r="H2405" t="s">
        <v>414</v>
      </c>
      <c r="I2405" t="s">
        <v>414</v>
      </c>
    </row>
    <row r="2406" spans="1:13" ht="15">
      <c r="A2406" t="s">
        <v>3139</v>
      </c>
      <c r="B2406" t="s">
        <v>4285</v>
      </c>
      <c r="C2406" t="s">
        <v>7016</v>
      </c>
      <c r="D2406" s="83" t="s">
        <v>5468</v>
      </c>
      <c r="E2406" t="s">
        <v>5191</v>
      </c>
      <c r="F2406" t="s">
        <v>5734</v>
      </c>
    </row>
    <row r="2407" spans="1:13" ht="15">
      <c r="A2407" t="s">
        <v>3767</v>
      </c>
      <c r="B2407" t="s">
        <v>1291</v>
      </c>
      <c r="C2407" t="s">
        <v>7141</v>
      </c>
      <c r="D2407" s="83" t="s">
        <v>5468</v>
      </c>
      <c r="E2407" t="s">
        <v>5191</v>
      </c>
      <c r="F2407" t="s">
        <v>5734</v>
      </c>
    </row>
    <row r="2408" spans="1:13" ht="15">
      <c r="A2408" t="s">
        <v>4453</v>
      </c>
      <c r="B2408" s="81" t="s">
        <v>3175</v>
      </c>
      <c r="C2408" t="s">
        <v>7138</v>
      </c>
      <c r="D2408" s="83" t="s">
        <v>5468</v>
      </c>
      <c r="E2408" t="s">
        <v>5191</v>
      </c>
      <c r="F2408" t="s">
        <v>5734</v>
      </c>
    </row>
    <row r="2409" spans="1:13" ht="15">
      <c r="A2409" t="s">
        <v>3741</v>
      </c>
      <c r="B2409" t="s">
        <v>4295</v>
      </c>
      <c r="C2409" t="s">
        <v>7251</v>
      </c>
      <c r="D2409" s="83" t="s">
        <v>5468</v>
      </c>
      <c r="E2409" t="s">
        <v>5191</v>
      </c>
      <c r="F2409" t="s">
        <v>5734</v>
      </c>
    </row>
    <row r="2410" spans="1:13" ht="15">
      <c r="C2410" t="s">
        <v>7307</v>
      </c>
      <c r="D2410" s="83" t="s">
        <v>5538</v>
      </c>
      <c r="E2410" t="s">
        <v>5261</v>
      </c>
      <c r="F2410" t="s">
        <v>5779</v>
      </c>
      <c r="H2410" t="s">
        <v>414</v>
      </c>
      <c r="M2410" t="s">
        <v>414</v>
      </c>
    </row>
    <row r="2411" spans="1:13" ht="15">
      <c r="A2411" t="s">
        <v>3139</v>
      </c>
      <c r="B2411" t="s">
        <v>4285</v>
      </c>
      <c r="C2411" t="s">
        <v>7016</v>
      </c>
      <c r="D2411" s="83" t="s">
        <v>5564</v>
      </c>
      <c r="E2411" t="s">
        <v>5287</v>
      </c>
      <c r="F2411" t="s">
        <v>5734</v>
      </c>
    </row>
    <row r="2412" spans="1:13" ht="15">
      <c r="A2412" t="s">
        <v>3767</v>
      </c>
      <c r="B2412" t="s">
        <v>1291</v>
      </c>
      <c r="C2412" t="s">
        <v>7141</v>
      </c>
      <c r="D2412" s="83" t="s">
        <v>5564</v>
      </c>
      <c r="E2412" t="s">
        <v>5287</v>
      </c>
      <c r="F2412" t="s">
        <v>5734</v>
      </c>
    </row>
    <row r="2413" spans="1:13" ht="15">
      <c r="A2413" t="s">
        <v>4453</v>
      </c>
      <c r="B2413" s="81" t="s">
        <v>3175</v>
      </c>
      <c r="C2413" t="s">
        <v>7138</v>
      </c>
      <c r="D2413" s="83" t="s">
        <v>5564</v>
      </c>
      <c r="E2413" t="s">
        <v>5287</v>
      </c>
      <c r="F2413" t="s">
        <v>5734</v>
      </c>
    </row>
    <row r="2414" spans="1:13" ht="15">
      <c r="A2414" t="s">
        <v>3755</v>
      </c>
      <c r="B2414" t="s">
        <v>4533</v>
      </c>
      <c r="C2414" t="s">
        <v>7315</v>
      </c>
      <c r="D2414" s="83" t="s">
        <v>5564</v>
      </c>
      <c r="E2414" t="s">
        <v>5287</v>
      </c>
      <c r="F2414" t="s">
        <v>5734</v>
      </c>
    </row>
    <row r="2415" spans="1:13" ht="15">
      <c r="A2415" t="s">
        <v>3741</v>
      </c>
      <c r="B2415" t="s">
        <v>4295</v>
      </c>
      <c r="C2415" t="s">
        <v>7251</v>
      </c>
      <c r="D2415" s="83" t="s">
        <v>5564</v>
      </c>
      <c r="E2415" t="s">
        <v>5287</v>
      </c>
      <c r="F2415" t="s">
        <v>5734</v>
      </c>
    </row>
    <row r="2416" spans="1:13" ht="15">
      <c r="C2416" t="s">
        <v>7426</v>
      </c>
      <c r="D2416" s="83" t="s">
        <v>5512</v>
      </c>
      <c r="E2416" t="s">
        <v>5235</v>
      </c>
      <c r="F2416" t="s">
        <v>5769</v>
      </c>
      <c r="M2416" t="s">
        <v>414</v>
      </c>
    </row>
    <row r="2417" spans="1:13" ht="15">
      <c r="A2417" t="s">
        <v>3745</v>
      </c>
      <c r="B2417" t="s">
        <v>4292</v>
      </c>
      <c r="C2417" t="s">
        <v>7411</v>
      </c>
      <c r="D2417" s="83" t="s">
        <v>5564</v>
      </c>
      <c r="E2417" t="s">
        <v>5287</v>
      </c>
      <c r="F2417" t="s">
        <v>5734</v>
      </c>
    </row>
    <row r="2418" spans="1:13" ht="15">
      <c r="C2418" t="s">
        <v>7256</v>
      </c>
      <c r="D2418" s="83" t="s">
        <v>5512</v>
      </c>
      <c r="E2418" t="s">
        <v>5235</v>
      </c>
      <c r="F2418" t="s">
        <v>5769</v>
      </c>
      <c r="M2418" t="s">
        <v>414</v>
      </c>
    </row>
    <row r="2419" spans="1:13" ht="15">
      <c r="A2419" t="s">
        <v>3783</v>
      </c>
      <c r="B2419" t="s">
        <v>301</v>
      </c>
      <c r="C2419" t="s">
        <v>6053</v>
      </c>
      <c r="D2419" s="83" t="s">
        <v>5600</v>
      </c>
      <c r="E2419" t="s">
        <v>5323</v>
      </c>
      <c r="F2419" t="s">
        <v>5743</v>
      </c>
      <c r="G2419" t="s">
        <v>414</v>
      </c>
    </row>
    <row r="2420" spans="1:13" ht="15">
      <c r="A2420" t="s">
        <v>4525</v>
      </c>
      <c r="B2420" s="81" t="s">
        <v>4524</v>
      </c>
      <c r="C2420" t="s">
        <v>7173</v>
      </c>
      <c r="D2420" s="83" t="s">
        <v>5600</v>
      </c>
      <c r="E2420" t="s">
        <v>5323</v>
      </c>
      <c r="F2420" t="s">
        <v>5743</v>
      </c>
      <c r="G2420" t="s">
        <v>414</v>
      </c>
    </row>
    <row r="2421" spans="1:13" ht="15">
      <c r="C2421" t="s">
        <v>7015</v>
      </c>
      <c r="D2421" s="83" t="s">
        <v>5457</v>
      </c>
      <c r="E2421" t="s">
        <v>5180</v>
      </c>
      <c r="F2421" t="s">
        <v>5733</v>
      </c>
      <c r="H2421" t="s">
        <v>414</v>
      </c>
      <c r="M2421" t="s">
        <v>414</v>
      </c>
    </row>
    <row r="2422" spans="1:13" ht="15">
      <c r="A2422" t="s">
        <v>3746</v>
      </c>
      <c r="B2422" s="12" t="s">
        <v>4482</v>
      </c>
      <c r="C2422" t="s">
        <v>7277</v>
      </c>
      <c r="D2422" s="83" t="s">
        <v>5600</v>
      </c>
      <c r="E2422" t="s">
        <v>5323</v>
      </c>
      <c r="F2422" t="s">
        <v>5743</v>
      </c>
      <c r="G2422" t="s">
        <v>414</v>
      </c>
    </row>
    <row r="2423" spans="1:13" ht="15">
      <c r="A2423" t="s">
        <v>3739</v>
      </c>
      <c r="B2423" s="12" t="s">
        <v>33</v>
      </c>
      <c r="C2423" t="s">
        <v>6181</v>
      </c>
      <c r="D2423" s="83" t="s">
        <v>5600</v>
      </c>
      <c r="E2423" t="s">
        <v>5323</v>
      </c>
      <c r="F2423" t="s">
        <v>5743</v>
      </c>
      <c r="G2423" t="s">
        <v>414</v>
      </c>
    </row>
    <row r="2424" spans="1:13" ht="15">
      <c r="C2424" t="s">
        <v>7015</v>
      </c>
      <c r="D2424" s="83" t="s">
        <v>5473</v>
      </c>
      <c r="E2424" t="s">
        <v>5196</v>
      </c>
      <c r="F2424" t="s">
        <v>5733</v>
      </c>
      <c r="H2424" t="s">
        <v>414</v>
      </c>
      <c r="M2424" t="s">
        <v>414</v>
      </c>
    </row>
    <row r="2425" spans="1:13" ht="15">
      <c r="C2425" t="s">
        <v>7019</v>
      </c>
      <c r="D2425" s="83" t="s">
        <v>5463</v>
      </c>
      <c r="E2425" t="s">
        <v>5186</v>
      </c>
      <c r="F2425" t="s">
        <v>5723</v>
      </c>
      <c r="G2425" t="s">
        <v>414</v>
      </c>
    </row>
    <row r="2426" spans="1:13" ht="15">
      <c r="C2426" t="s">
        <v>7050</v>
      </c>
      <c r="D2426" s="83" t="s">
        <v>4139</v>
      </c>
      <c r="E2426" t="s">
        <v>5032</v>
      </c>
      <c r="F2426" t="s">
        <v>5723</v>
      </c>
      <c r="M2426" t="s">
        <v>414</v>
      </c>
    </row>
    <row r="2427" spans="1:13" ht="15">
      <c r="A2427" t="s">
        <v>3755</v>
      </c>
      <c r="B2427" t="s">
        <v>4533</v>
      </c>
      <c r="C2427" t="s">
        <v>5959</v>
      </c>
      <c r="D2427" s="83" t="s">
        <v>4143</v>
      </c>
      <c r="E2427" t="s">
        <v>5036</v>
      </c>
      <c r="F2427" t="s">
        <v>5785</v>
      </c>
      <c r="H2427" t="s">
        <v>414</v>
      </c>
      <c r="K2427" t="s">
        <v>414</v>
      </c>
      <c r="M2427" t="s">
        <v>414</v>
      </c>
    </row>
    <row r="2428" spans="1:13" ht="15">
      <c r="A2428" t="s">
        <v>4498</v>
      </c>
      <c r="B2428" s="81" t="s">
        <v>4497</v>
      </c>
      <c r="C2428" t="s">
        <v>7529</v>
      </c>
      <c r="D2428" s="83" t="s">
        <v>4141</v>
      </c>
      <c r="E2428" t="s">
        <v>5034</v>
      </c>
      <c r="F2428" t="s">
        <v>60</v>
      </c>
      <c r="M2428" t="s">
        <v>414</v>
      </c>
    </row>
    <row r="2429" spans="1:13" ht="15">
      <c r="C2429" t="s">
        <v>7035</v>
      </c>
      <c r="D2429" s="83" t="s">
        <v>5492</v>
      </c>
      <c r="E2429" t="s">
        <v>5215</v>
      </c>
      <c r="F2429" t="s">
        <v>5754</v>
      </c>
      <c r="M2429" t="s">
        <v>414</v>
      </c>
    </row>
    <row r="2430" spans="1:13" ht="15">
      <c r="A2430" t="s">
        <v>3745</v>
      </c>
      <c r="B2430" t="s">
        <v>4292</v>
      </c>
      <c r="C2430" t="s">
        <v>6331</v>
      </c>
      <c r="D2430" s="83" t="s">
        <v>4143</v>
      </c>
      <c r="E2430" t="s">
        <v>5036</v>
      </c>
      <c r="F2430" t="s">
        <v>5785</v>
      </c>
      <c r="H2430" t="s">
        <v>414</v>
      </c>
      <c r="K2430" t="s">
        <v>414</v>
      </c>
      <c r="M2430" t="s">
        <v>414</v>
      </c>
    </row>
    <row r="2431" spans="1:13" ht="15">
      <c r="C2431" t="s">
        <v>7007</v>
      </c>
      <c r="D2431" s="83" t="s">
        <v>5447</v>
      </c>
      <c r="E2431" t="s">
        <v>5170</v>
      </c>
      <c r="F2431" t="s">
        <v>5723</v>
      </c>
      <c r="H2431" t="s">
        <v>414</v>
      </c>
    </row>
    <row r="2432" spans="1:13" ht="15">
      <c r="C2432" t="s">
        <v>5887</v>
      </c>
      <c r="D2432" s="83" t="s">
        <v>5852</v>
      </c>
      <c r="E2432" t="s">
        <v>7769</v>
      </c>
      <c r="F2432" t="s">
        <v>5723</v>
      </c>
      <c r="L2432" t="s">
        <v>414</v>
      </c>
    </row>
    <row r="2433" spans="1:13" ht="15">
      <c r="A2433" t="s">
        <v>4498</v>
      </c>
      <c r="B2433" s="81" t="s">
        <v>4497</v>
      </c>
      <c r="C2433" t="s">
        <v>7543</v>
      </c>
      <c r="D2433" s="83" t="s">
        <v>4141</v>
      </c>
      <c r="E2433" t="s">
        <v>5034</v>
      </c>
      <c r="F2433" t="s">
        <v>60</v>
      </c>
      <c r="M2433" t="s">
        <v>414</v>
      </c>
    </row>
    <row r="2434" spans="1:13" ht="15">
      <c r="C2434" t="s">
        <v>6373</v>
      </c>
      <c r="D2434" s="83" t="s">
        <v>5666</v>
      </c>
      <c r="E2434" t="s">
        <v>5389</v>
      </c>
      <c r="F2434" t="s">
        <v>60</v>
      </c>
      <c r="H2434" t="s">
        <v>414</v>
      </c>
      <c r="I2434" t="s">
        <v>414</v>
      </c>
    </row>
    <row r="2435" spans="1:13" ht="15">
      <c r="C2435" t="s">
        <v>6880</v>
      </c>
      <c r="D2435" s="83" t="s">
        <v>5666</v>
      </c>
      <c r="E2435" t="s">
        <v>5389</v>
      </c>
      <c r="F2435" t="s">
        <v>60</v>
      </c>
      <c r="H2435" t="s">
        <v>414</v>
      </c>
      <c r="I2435" t="s">
        <v>414</v>
      </c>
    </row>
    <row r="2436" spans="1:13" ht="15">
      <c r="C2436" t="s">
        <v>6515</v>
      </c>
      <c r="D2436" s="83" t="s">
        <v>5666</v>
      </c>
      <c r="E2436" t="s">
        <v>5389</v>
      </c>
      <c r="F2436" t="s">
        <v>60</v>
      </c>
      <c r="H2436" t="s">
        <v>414</v>
      </c>
      <c r="I2436" t="s">
        <v>414</v>
      </c>
    </row>
    <row r="2437" spans="1:13" ht="15">
      <c r="C2437" t="s">
        <v>6887</v>
      </c>
      <c r="D2437" s="83" t="s">
        <v>5666</v>
      </c>
      <c r="E2437" t="s">
        <v>5389</v>
      </c>
      <c r="F2437" t="s">
        <v>60</v>
      </c>
      <c r="H2437" t="s">
        <v>414</v>
      </c>
      <c r="I2437" t="s">
        <v>414</v>
      </c>
    </row>
    <row r="2438" spans="1:13" ht="15">
      <c r="C2438" t="s">
        <v>7364</v>
      </c>
      <c r="D2438" s="83" t="s">
        <v>4141</v>
      </c>
      <c r="E2438" t="s">
        <v>5034</v>
      </c>
      <c r="F2438" t="s">
        <v>60</v>
      </c>
      <c r="M2438" t="s">
        <v>414</v>
      </c>
    </row>
    <row r="2439" spans="1:13" ht="15">
      <c r="A2439" t="s">
        <v>4498</v>
      </c>
      <c r="B2439" s="81" t="s">
        <v>4497</v>
      </c>
      <c r="C2439" t="s">
        <v>7559</v>
      </c>
      <c r="D2439" s="83" t="s">
        <v>4141</v>
      </c>
      <c r="E2439" t="s">
        <v>5034</v>
      </c>
      <c r="F2439" t="s">
        <v>60</v>
      </c>
      <c r="M2439" t="s">
        <v>414</v>
      </c>
    </row>
    <row r="2440" spans="1:13" ht="15">
      <c r="C2440" t="s">
        <v>7392</v>
      </c>
      <c r="D2440" s="83" t="s">
        <v>4141</v>
      </c>
      <c r="E2440" t="s">
        <v>5034</v>
      </c>
      <c r="F2440" t="s">
        <v>60</v>
      </c>
      <c r="M2440" t="s">
        <v>414</v>
      </c>
    </row>
    <row r="2441" spans="1:13" ht="15">
      <c r="A2441" t="s">
        <v>3777</v>
      </c>
      <c r="B2441" s="90" t="s">
        <v>4849</v>
      </c>
      <c r="C2441" t="s">
        <v>6343</v>
      </c>
      <c r="D2441" s="83" t="s">
        <v>5583</v>
      </c>
      <c r="E2441" t="s">
        <v>5306</v>
      </c>
      <c r="F2441" t="s">
        <v>5797</v>
      </c>
      <c r="H2441" t="s">
        <v>414</v>
      </c>
      <c r="I2441" t="s">
        <v>414</v>
      </c>
      <c r="M2441" t="s">
        <v>414</v>
      </c>
    </row>
    <row r="2442" spans="1:13" ht="15">
      <c r="A2442" t="s">
        <v>3738</v>
      </c>
      <c r="B2442" s="74" t="s">
        <v>4300</v>
      </c>
      <c r="C2442" t="s">
        <v>7153</v>
      </c>
      <c r="D2442" s="83" t="s">
        <v>5528</v>
      </c>
      <c r="E2442" t="s">
        <v>5251</v>
      </c>
      <c r="F2442" t="s">
        <v>5743</v>
      </c>
      <c r="H2442" t="s">
        <v>414</v>
      </c>
      <c r="M2442" t="s">
        <v>414</v>
      </c>
    </row>
    <row r="2443" spans="1:13" ht="15">
      <c r="C2443" t="s">
        <v>7122</v>
      </c>
      <c r="D2443" s="83" t="s">
        <v>4141</v>
      </c>
      <c r="E2443" t="s">
        <v>5034</v>
      </c>
      <c r="F2443" t="s">
        <v>60</v>
      </c>
      <c r="M2443" t="s">
        <v>414</v>
      </c>
    </row>
    <row r="2444" spans="1:13" ht="15">
      <c r="C2444" t="s">
        <v>7135</v>
      </c>
      <c r="D2444" s="83" t="s">
        <v>5720</v>
      </c>
      <c r="E2444" t="s">
        <v>5444</v>
      </c>
      <c r="F2444" t="s">
        <v>5725</v>
      </c>
    </row>
    <row r="2445" spans="1:13" ht="15">
      <c r="C2445" t="s">
        <v>7420</v>
      </c>
      <c r="D2445" s="83" t="s">
        <v>4141</v>
      </c>
      <c r="E2445" t="s">
        <v>5034</v>
      </c>
      <c r="F2445" t="s">
        <v>60</v>
      </c>
      <c r="M2445" t="s">
        <v>414</v>
      </c>
    </row>
    <row r="2446" spans="1:13" ht="15">
      <c r="A2446" t="s">
        <v>4498</v>
      </c>
      <c r="B2446" s="81" t="s">
        <v>4497</v>
      </c>
      <c r="C2446" t="s">
        <v>7573</v>
      </c>
      <c r="D2446" s="83" t="s">
        <v>4141</v>
      </c>
      <c r="E2446" t="s">
        <v>5034</v>
      </c>
      <c r="F2446" t="s">
        <v>60</v>
      </c>
      <c r="M2446" t="s">
        <v>414</v>
      </c>
    </row>
    <row r="2447" spans="1:13" ht="15">
      <c r="C2447" t="s">
        <v>7442</v>
      </c>
      <c r="D2447" s="83" t="s">
        <v>4141</v>
      </c>
      <c r="E2447" t="s">
        <v>5034</v>
      </c>
      <c r="F2447" t="s">
        <v>60</v>
      </c>
      <c r="M2447" t="s">
        <v>414</v>
      </c>
    </row>
    <row r="2448" spans="1:13" ht="15">
      <c r="C2448" t="s">
        <v>5999</v>
      </c>
      <c r="D2448" s="83" t="s">
        <v>5701</v>
      </c>
      <c r="E2448" t="s">
        <v>5425</v>
      </c>
      <c r="F2448" t="s">
        <v>5754</v>
      </c>
      <c r="K2448" t="s">
        <v>414</v>
      </c>
    </row>
    <row r="2449" spans="1:13" ht="15">
      <c r="A2449" t="s">
        <v>4498</v>
      </c>
      <c r="B2449" s="81" t="s">
        <v>4497</v>
      </c>
      <c r="C2449" t="s">
        <v>7461</v>
      </c>
      <c r="D2449" s="83" t="s">
        <v>4141</v>
      </c>
      <c r="E2449" t="s">
        <v>5034</v>
      </c>
      <c r="F2449" t="s">
        <v>60</v>
      </c>
      <c r="M2449" t="s">
        <v>414</v>
      </c>
    </row>
    <row r="2450" spans="1:13" ht="15">
      <c r="C2450" t="s">
        <v>7033</v>
      </c>
      <c r="D2450" s="83" t="s">
        <v>4161</v>
      </c>
      <c r="E2450" t="s">
        <v>5055</v>
      </c>
      <c r="F2450" t="s">
        <v>5723</v>
      </c>
    </row>
    <row r="2451" spans="1:13" ht="15">
      <c r="C2451" t="s">
        <v>6603</v>
      </c>
      <c r="D2451" s="83" t="s">
        <v>5666</v>
      </c>
      <c r="E2451" t="s">
        <v>5389</v>
      </c>
      <c r="F2451" t="s">
        <v>60</v>
      </c>
      <c r="H2451" t="s">
        <v>414</v>
      </c>
      <c r="I2451" t="s">
        <v>414</v>
      </c>
    </row>
    <row r="2452" spans="1:13" ht="15">
      <c r="A2452" t="s">
        <v>4446</v>
      </c>
      <c r="B2452" t="s">
        <v>4445</v>
      </c>
      <c r="C2452" t="s">
        <v>6155</v>
      </c>
      <c r="D2452" s="83" t="s">
        <v>5696</v>
      </c>
      <c r="E2452" t="s">
        <v>5419</v>
      </c>
      <c r="F2452" t="s">
        <v>5739</v>
      </c>
    </row>
    <row r="2453" spans="1:13" ht="15">
      <c r="A2453" t="s">
        <v>3754</v>
      </c>
      <c r="B2453" t="s">
        <v>296</v>
      </c>
      <c r="C2453" t="s">
        <v>6845</v>
      </c>
      <c r="D2453" s="83" t="s">
        <v>5666</v>
      </c>
      <c r="E2453" t="s">
        <v>5389</v>
      </c>
      <c r="F2453" t="s">
        <v>60</v>
      </c>
      <c r="H2453" t="s">
        <v>414</v>
      </c>
      <c r="I2453" t="s">
        <v>414</v>
      </c>
    </row>
    <row r="2454" spans="1:13" ht="15">
      <c r="A2454" t="s">
        <v>3739</v>
      </c>
      <c r="B2454" s="12" t="s">
        <v>33</v>
      </c>
      <c r="C2454" t="s">
        <v>6034</v>
      </c>
      <c r="D2454" s="83" t="s">
        <v>5696</v>
      </c>
      <c r="E2454" t="s">
        <v>5419</v>
      </c>
      <c r="F2454" t="s">
        <v>5739</v>
      </c>
    </row>
    <row r="2455" spans="1:13" ht="15">
      <c r="C2455" t="s">
        <v>6563</v>
      </c>
      <c r="D2455" s="83" t="s">
        <v>5666</v>
      </c>
      <c r="E2455" t="s">
        <v>5389</v>
      </c>
      <c r="F2455" t="s">
        <v>60</v>
      </c>
      <c r="H2455" t="s">
        <v>414</v>
      </c>
      <c r="I2455" t="s">
        <v>414</v>
      </c>
    </row>
    <row r="2456" spans="1:13" ht="15">
      <c r="C2456" t="s">
        <v>6048</v>
      </c>
      <c r="D2456" s="83" t="s">
        <v>5666</v>
      </c>
      <c r="E2456" t="s">
        <v>5389</v>
      </c>
      <c r="F2456" t="s">
        <v>60</v>
      </c>
      <c r="H2456" t="s">
        <v>414</v>
      </c>
      <c r="I2456" t="s">
        <v>414</v>
      </c>
    </row>
    <row r="2457" spans="1:13" ht="15">
      <c r="C2457" t="s">
        <v>6795</v>
      </c>
      <c r="D2457" s="83" t="s">
        <v>5666</v>
      </c>
      <c r="E2457" t="s">
        <v>5389</v>
      </c>
      <c r="F2457" t="s">
        <v>60</v>
      </c>
      <c r="H2457" t="s">
        <v>414</v>
      </c>
      <c r="I2457" t="s">
        <v>414</v>
      </c>
    </row>
    <row r="2458" spans="1:13" ht="15">
      <c r="C2458" t="s">
        <v>6173</v>
      </c>
      <c r="D2458" s="83" t="s">
        <v>5666</v>
      </c>
      <c r="E2458" t="s">
        <v>5389</v>
      </c>
      <c r="F2458" t="s">
        <v>60</v>
      </c>
      <c r="H2458" t="s">
        <v>414</v>
      </c>
      <c r="I2458" t="s">
        <v>414</v>
      </c>
    </row>
    <row r="2459" spans="1:13" ht="15">
      <c r="A2459" t="s">
        <v>4556</v>
      </c>
      <c r="B2459" s="74" t="s">
        <v>1248</v>
      </c>
      <c r="C2459" t="s">
        <v>6872</v>
      </c>
      <c r="D2459" s="83" t="s">
        <v>5666</v>
      </c>
      <c r="E2459" t="s">
        <v>5389</v>
      </c>
      <c r="F2459" t="s">
        <v>60</v>
      </c>
      <c r="H2459" t="s">
        <v>414</v>
      </c>
      <c r="I2459" t="s">
        <v>414</v>
      </c>
    </row>
    <row r="2460" spans="1:13" ht="15">
      <c r="C2460" t="s">
        <v>7012</v>
      </c>
      <c r="D2460" s="83" t="s">
        <v>4183</v>
      </c>
      <c r="E2460" t="s">
        <v>5077</v>
      </c>
      <c r="F2460" t="s">
        <v>5723</v>
      </c>
    </row>
    <row r="2461" spans="1:13" ht="15">
      <c r="C2461" t="s">
        <v>5951</v>
      </c>
      <c r="D2461" s="83" t="s">
        <v>5569</v>
      </c>
      <c r="E2461" t="s">
        <v>5292</v>
      </c>
      <c r="F2461" t="s">
        <v>5725</v>
      </c>
      <c r="H2461" t="s">
        <v>414</v>
      </c>
      <c r="L2461" t="s">
        <v>414</v>
      </c>
      <c r="M2461" t="s">
        <v>414</v>
      </c>
    </row>
    <row r="2462" spans="1:13" ht="15">
      <c r="C2462" t="s">
        <v>7195</v>
      </c>
      <c r="D2462" s="83" t="s">
        <v>4141</v>
      </c>
      <c r="E2462" t="s">
        <v>5034</v>
      </c>
      <c r="F2462" t="s">
        <v>60</v>
      </c>
      <c r="M2462" t="s">
        <v>414</v>
      </c>
    </row>
    <row r="2463" spans="1:13" ht="15">
      <c r="A2463" t="s">
        <v>4498</v>
      </c>
      <c r="B2463" s="81" t="s">
        <v>4497</v>
      </c>
      <c r="C2463" t="s">
        <v>7483</v>
      </c>
      <c r="D2463" s="83" t="s">
        <v>4141</v>
      </c>
      <c r="E2463" t="s">
        <v>5034</v>
      </c>
      <c r="F2463" t="s">
        <v>60</v>
      </c>
      <c r="M2463" t="s">
        <v>414</v>
      </c>
    </row>
    <row r="2464" spans="1:13" ht="15">
      <c r="C2464" t="s">
        <v>6283</v>
      </c>
      <c r="D2464" s="83" t="s">
        <v>5666</v>
      </c>
      <c r="E2464" t="s">
        <v>5389</v>
      </c>
      <c r="F2464" t="s">
        <v>60</v>
      </c>
      <c r="H2464" t="s">
        <v>414</v>
      </c>
      <c r="I2464" t="s">
        <v>414</v>
      </c>
    </row>
    <row r="2465" spans="1:13" ht="15">
      <c r="A2465" t="s">
        <v>4498</v>
      </c>
      <c r="B2465" s="81" t="s">
        <v>4497</v>
      </c>
      <c r="C2465" t="s">
        <v>7501</v>
      </c>
      <c r="D2465" s="83" t="s">
        <v>4141</v>
      </c>
      <c r="E2465" t="s">
        <v>5034</v>
      </c>
      <c r="F2465" t="s">
        <v>60</v>
      </c>
      <c r="M2465" t="s">
        <v>414</v>
      </c>
    </row>
    <row r="2466" spans="1:13" ht="15">
      <c r="C2466" t="s">
        <v>6302</v>
      </c>
      <c r="D2466" s="83" t="s">
        <v>5546</v>
      </c>
      <c r="E2466" t="s">
        <v>5269</v>
      </c>
      <c r="F2466" t="s">
        <v>5784</v>
      </c>
      <c r="L2466" t="s">
        <v>414</v>
      </c>
    </row>
    <row r="2467" spans="1:13" ht="15">
      <c r="A2467" t="s">
        <v>4431</v>
      </c>
      <c r="B2467" s="74" t="s">
        <v>4430</v>
      </c>
      <c r="C2467" t="s">
        <v>6894</v>
      </c>
      <c r="D2467" s="83" t="s">
        <v>5666</v>
      </c>
      <c r="E2467" t="s">
        <v>5389</v>
      </c>
      <c r="F2467" t="s">
        <v>60</v>
      </c>
      <c r="H2467" t="s">
        <v>414</v>
      </c>
      <c r="I2467" t="s">
        <v>414</v>
      </c>
    </row>
    <row r="2468" spans="1:13" ht="15">
      <c r="C2468" t="s">
        <v>7290</v>
      </c>
      <c r="D2468" s="83" t="s">
        <v>4141</v>
      </c>
      <c r="E2468" t="s">
        <v>5034</v>
      </c>
      <c r="F2468" t="s">
        <v>60</v>
      </c>
      <c r="M2468" t="s">
        <v>414</v>
      </c>
    </row>
    <row r="2469" spans="1:13" ht="15">
      <c r="A2469" t="s">
        <v>4498</v>
      </c>
      <c r="B2469" s="81" t="s">
        <v>4497</v>
      </c>
      <c r="C2469" t="s">
        <v>7513</v>
      </c>
      <c r="D2469" s="83" t="s">
        <v>4141</v>
      </c>
      <c r="E2469" t="s">
        <v>5034</v>
      </c>
      <c r="F2469" t="s">
        <v>60</v>
      </c>
      <c r="M2469" t="s">
        <v>414</v>
      </c>
    </row>
    <row r="2470" spans="1:13" ht="15">
      <c r="C2470" t="s">
        <v>7025</v>
      </c>
      <c r="D2470" s="83" t="s">
        <v>5471</v>
      </c>
      <c r="E2470" t="s">
        <v>5194</v>
      </c>
      <c r="F2470" t="s">
        <v>5726</v>
      </c>
      <c r="H2470" t="s">
        <v>414</v>
      </c>
      <c r="M2470" t="s">
        <v>414</v>
      </c>
    </row>
    <row r="2471" spans="1:13" ht="15">
      <c r="C2471" t="s">
        <v>6691</v>
      </c>
      <c r="D2471" s="83" t="s">
        <v>5520</v>
      </c>
      <c r="E2471" t="s">
        <v>5243</v>
      </c>
      <c r="F2471" t="s">
        <v>5772</v>
      </c>
      <c r="H2471" t="s">
        <v>414</v>
      </c>
      <c r="L2471" t="s">
        <v>414</v>
      </c>
      <c r="M2471" t="s">
        <v>414</v>
      </c>
    </row>
    <row r="2472" spans="1:13" ht="15">
      <c r="C2472" t="s">
        <v>6408</v>
      </c>
      <c r="D2472" s="83" t="s">
        <v>5662</v>
      </c>
      <c r="E2472" t="s">
        <v>5385</v>
      </c>
      <c r="F2472" t="s">
        <v>5772</v>
      </c>
      <c r="H2472" t="s">
        <v>414</v>
      </c>
      <c r="I2472" t="s">
        <v>414</v>
      </c>
      <c r="L2472" t="s">
        <v>414</v>
      </c>
      <c r="M2472" t="s">
        <v>414</v>
      </c>
    </row>
    <row r="2473" spans="1:13" ht="15">
      <c r="A2473" t="s">
        <v>3746</v>
      </c>
      <c r="B2473" s="12" t="s">
        <v>4482</v>
      </c>
      <c r="C2473" t="s">
        <v>6066</v>
      </c>
      <c r="D2473" s="83" t="s">
        <v>5709</v>
      </c>
      <c r="E2473" t="s">
        <v>5433</v>
      </c>
      <c r="F2473" t="s">
        <v>5740</v>
      </c>
    </row>
    <row r="2474" spans="1:13" ht="15">
      <c r="A2474" t="s">
        <v>3739</v>
      </c>
      <c r="B2474" s="12" t="s">
        <v>33</v>
      </c>
      <c r="C2474" t="s">
        <v>6187</v>
      </c>
      <c r="D2474" s="83" t="s">
        <v>5709</v>
      </c>
      <c r="E2474" t="s">
        <v>5433</v>
      </c>
      <c r="F2474" t="s">
        <v>5740</v>
      </c>
    </row>
    <row r="2475" spans="1:13" ht="15">
      <c r="A2475" t="s">
        <v>3783</v>
      </c>
      <c r="B2475" t="s">
        <v>301</v>
      </c>
      <c r="C2475" t="s">
        <v>6031</v>
      </c>
      <c r="D2475" s="83" t="s">
        <v>5872</v>
      </c>
      <c r="E2475" t="s">
        <v>7793</v>
      </c>
      <c r="F2475" t="s">
        <v>7794</v>
      </c>
      <c r="K2475" t="s">
        <v>414</v>
      </c>
      <c r="L2475" t="s">
        <v>414</v>
      </c>
    </row>
    <row r="2476" spans="1:13" ht="15">
      <c r="C2476" t="s">
        <v>6362</v>
      </c>
      <c r="D2476" s="83" t="s">
        <v>5657</v>
      </c>
      <c r="E2476" t="s">
        <v>5380</v>
      </c>
      <c r="F2476" t="s">
        <v>5746</v>
      </c>
      <c r="G2476" t="s">
        <v>414</v>
      </c>
      <c r="H2476" t="s">
        <v>414</v>
      </c>
      <c r="I2476" t="s">
        <v>414</v>
      </c>
      <c r="K2476" t="s">
        <v>414</v>
      </c>
    </row>
    <row r="2477" spans="1:13" ht="15">
      <c r="A2477" t="s">
        <v>4525</v>
      </c>
      <c r="B2477" s="81" t="s">
        <v>4524</v>
      </c>
      <c r="C2477" t="s">
        <v>5965</v>
      </c>
      <c r="D2477" s="83" t="s">
        <v>5633</v>
      </c>
      <c r="E2477" t="s">
        <v>5356</v>
      </c>
      <c r="F2477" t="s">
        <v>5734</v>
      </c>
      <c r="H2477" t="s">
        <v>414</v>
      </c>
      <c r="K2477" t="s">
        <v>414</v>
      </c>
      <c r="M2477" t="s">
        <v>414</v>
      </c>
    </row>
    <row r="2478" spans="1:13" ht="15">
      <c r="C2478" t="s">
        <v>6737</v>
      </c>
      <c r="D2478" s="83" t="s">
        <v>5520</v>
      </c>
      <c r="E2478" t="s">
        <v>5243</v>
      </c>
      <c r="F2478" t="s">
        <v>5772</v>
      </c>
      <c r="H2478" t="s">
        <v>414</v>
      </c>
      <c r="L2478" t="s">
        <v>414</v>
      </c>
      <c r="M2478" t="s">
        <v>414</v>
      </c>
    </row>
    <row r="2479" spans="1:13" ht="15">
      <c r="C2479" t="s">
        <v>6152</v>
      </c>
      <c r="D2479" s="83" t="s">
        <v>5657</v>
      </c>
      <c r="E2479" t="s">
        <v>5380</v>
      </c>
      <c r="F2479" t="s">
        <v>5746</v>
      </c>
      <c r="G2479" t="s">
        <v>414</v>
      </c>
      <c r="H2479" t="s">
        <v>414</v>
      </c>
      <c r="I2479" t="s">
        <v>414</v>
      </c>
      <c r="K2479" t="s">
        <v>414</v>
      </c>
    </row>
    <row r="2480" spans="1:13" ht="15">
      <c r="C2480" t="s">
        <v>6475</v>
      </c>
      <c r="D2480" s="83" t="s">
        <v>5662</v>
      </c>
      <c r="E2480" t="s">
        <v>5385</v>
      </c>
      <c r="F2480" t="s">
        <v>5772</v>
      </c>
      <c r="H2480" t="s">
        <v>414</v>
      </c>
      <c r="I2480" t="s">
        <v>414</v>
      </c>
      <c r="L2480" t="s">
        <v>414</v>
      </c>
      <c r="M2480" t="s">
        <v>414</v>
      </c>
    </row>
    <row r="2481" spans="1:13" ht="15">
      <c r="A2481" t="s">
        <v>4525</v>
      </c>
      <c r="B2481" s="81" t="s">
        <v>4524</v>
      </c>
      <c r="C2481" t="s">
        <v>6191</v>
      </c>
      <c r="D2481" s="83" t="s">
        <v>5677</v>
      </c>
      <c r="E2481" t="s">
        <v>5400</v>
      </c>
      <c r="F2481" t="s">
        <v>5832</v>
      </c>
      <c r="H2481" t="s">
        <v>414</v>
      </c>
    </row>
    <row r="2482" spans="1:13" ht="15">
      <c r="A2482" t="s">
        <v>3739</v>
      </c>
      <c r="B2482" s="12" t="s">
        <v>33</v>
      </c>
      <c r="C2482" t="s">
        <v>6297</v>
      </c>
      <c r="D2482" s="83" t="s">
        <v>5677</v>
      </c>
      <c r="E2482" t="s">
        <v>5400</v>
      </c>
      <c r="F2482" t="s">
        <v>5832</v>
      </c>
      <c r="H2482" t="s">
        <v>414</v>
      </c>
    </row>
    <row r="2483" spans="1:13" ht="15">
      <c r="A2483" t="s">
        <v>3770</v>
      </c>
      <c r="B2483" t="s">
        <v>42</v>
      </c>
      <c r="C2483" t="s">
        <v>6384</v>
      </c>
      <c r="D2483" s="83" t="s">
        <v>5677</v>
      </c>
      <c r="E2483" t="s">
        <v>5400</v>
      </c>
      <c r="F2483" t="s">
        <v>5832</v>
      </c>
      <c r="H2483" t="s">
        <v>414</v>
      </c>
    </row>
    <row r="2484" spans="1:13" ht="15">
      <c r="A2484" t="s">
        <v>4525</v>
      </c>
      <c r="B2484" s="81" t="s">
        <v>4524</v>
      </c>
      <c r="C2484" t="s">
        <v>6046</v>
      </c>
      <c r="D2484" s="83" t="s">
        <v>5683</v>
      </c>
      <c r="E2484" t="s">
        <v>5406</v>
      </c>
      <c r="F2484" t="s">
        <v>5734</v>
      </c>
      <c r="H2484" t="s">
        <v>414</v>
      </c>
      <c r="K2484" t="s">
        <v>414</v>
      </c>
    </row>
    <row r="2485" spans="1:13" ht="15">
      <c r="A2485" t="s">
        <v>3755</v>
      </c>
      <c r="B2485" t="s">
        <v>4533</v>
      </c>
      <c r="C2485" t="s">
        <v>6172</v>
      </c>
      <c r="D2485" s="83" t="s">
        <v>5683</v>
      </c>
      <c r="E2485" t="s">
        <v>5406</v>
      </c>
      <c r="F2485" t="s">
        <v>5734</v>
      </c>
      <c r="H2485" t="s">
        <v>414</v>
      </c>
      <c r="K2485" t="s">
        <v>414</v>
      </c>
    </row>
    <row r="2486" spans="1:13" ht="15">
      <c r="C2486" t="s">
        <v>6620</v>
      </c>
      <c r="D2486" s="83" t="s">
        <v>5520</v>
      </c>
      <c r="E2486" t="s">
        <v>5243</v>
      </c>
      <c r="F2486" t="s">
        <v>5772</v>
      </c>
      <c r="H2486" t="s">
        <v>414</v>
      </c>
      <c r="L2486" t="s">
        <v>414</v>
      </c>
      <c r="M2486" t="s">
        <v>414</v>
      </c>
    </row>
    <row r="2487" spans="1:13" ht="15">
      <c r="C2487" t="s">
        <v>6021</v>
      </c>
      <c r="D2487" s="83" t="s">
        <v>5657</v>
      </c>
      <c r="E2487" t="s">
        <v>5380</v>
      </c>
      <c r="F2487" t="s">
        <v>5746</v>
      </c>
      <c r="G2487" t="s">
        <v>414</v>
      </c>
      <c r="H2487" t="s">
        <v>414</v>
      </c>
      <c r="I2487" t="s">
        <v>414</v>
      </c>
      <c r="K2487" t="s">
        <v>414</v>
      </c>
    </row>
    <row r="2488" spans="1:13" ht="15">
      <c r="C2488" t="s">
        <v>6105</v>
      </c>
      <c r="D2488" s="83" t="s">
        <v>5662</v>
      </c>
      <c r="E2488" t="s">
        <v>5385</v>
      </c>
      <c r="F2488" t="s">
        <v>5772</v>
      </c>
      <c r="H2488" t="s">
        <v>414</v>
      </c>
      <c r="I2488" t="s">
        <v>414</v>
      </c>
      <c r="L2488" t="s">
        <v>414</v>
      </c>
      <c r="M2488" t="s">
        <v>414</v>
      </c>
    </row>
    <row r="2489" spans="1:13" ht="15">
      <c r="C2489" t="s">
        <v>6221</v>
      </c>
      <c r="D2489" s="83" t="s">
        <v>5662</v>
      </c>
      <c r="E2489" t="s">
        <v>5385</v>
      </c>
      <c r="F2489" t="s">
        <v>5772</v>
      </c>
      <c r="H2489" t="s">
        <v>414</v>
      </c>
      <c r="I2489" t="s">
        <v>414</v>
      </c>
      <c r="L2489" t="s">
        <v>414</v>
      </c>
      <c r="M2489" t="s">
        <v>414</v>
      </c>
    </row>
    <row r="2490" spans="1:13" ht="15">
      <c r="C2490" t="s">
        <v>6271</v>
      </c>
      <c r="D2490" s="83" t="s">
        <v>5657</v>
      </c>
      <c r="E2490" t="s">
        <v>5380</v>
      </c>
      <c r="F2490" t="s">
        <v>5746</v>
      </c>
      <c r="G2490" t="s">
        <v>414</v>
      </c>
      <c r="H2490" t="s">
        <v>414</v>
      </c>
      <c r="I2490" t="s">
        <v>414</v>
      </c>
      <c r="K2490" t="s">
        <v>414</v>
      </c>
    </row>
    <row r="2491" spans="1:13" ht="15">
      <c r="C2491" t="s">
        <v>6830</v>
      </c>
      <c r="D2491" s="83" t="s">
        <v>5520</v>
      </c>
      <c r="E2491" t="s">
        <v>5243</v>
      </c>
      <c r="F2491" t="s">
        <v>5772</v>
      </c>
      <c r="H2491" t="s">
        <v>414</v>
      </c>
      <c r="L2491" t="s">
        <v>414</v>
      </c>
      <c r="M2491" t="s">
        <v>414</v>
      </c>
    </row>
    <row r="2492" spans="1:13" ht="15">
      <c r="C2492" t="s">
        <v>5938</v>
      </c>
      <c r="D2492" s="83" t="s">
        <v>5662</v>
      </c>
      <c r="E2492" t="s">
        <v>5385</v>
      </c>
      <c r="F2492" t="s">
        <v>5772</v>
      </c>
      <c r="H2492" t="s">
        <v>414</v>
      </c>
      <c r="I2492" t="s">
        <v>414</v>
      </c>
      <c r="L2492" t="s">
        <v>414</v>
      </c>
      <c r="M2492" t="s">
        <v>414</v>
      </c>
    </row>
    <row r="2493" spans="1:13" ht="15">
      <c r="C2493" t="s">
        <v>6321</v>
      </c>
      <c r="D2493" s="83" t="s">
        <v>5520</v>
      </c>
      <c r="E2493" t="s">
        <v>5243</v>
      </c>
      <c r="F2493" t="s">
        <v>5772</v>
      </c>
      <c r="H2493" t="s">
        <v>414</v>
      </c>
      <c r="L2493" t="s">
        <v>414</v>
      </c>
      <c r="M2493" t="s">
        <v>414</v>
      </c>
    </row>
    <row r="2494" spans="1:13" ht="15">
      <c r="A2494" t="s">
        <v>4450</v>
      </c>
      <c r="B2494" t="s">
        <v>3356</v>
      </c>
      <c r="C2494" t="s">
        <v>6533</v>
      </c>
      <c r="D2494" s="83" t="s">
        <v>4136</v>
      </c>
      <c r="E2494" t="s">
        <v>5030</v>
      </c>
      <c r="F2494" t="s">
        <v>5725</v>
      </c>
      <c r="K2494" t="s">
        <v>414</v>
      </c>
      <c r="L2494" t="s">
        <v>414</v>
      </c>
      <c r="M2494" t="s">
        <v>414</v>
      </c>
    </row>
    <row r="2495" spans="1:13" ht="15">
      <c r="A2495" t="s">
        <v>4450</v>
      </c>
      <c r="B2495" t="s">
        <v>3356</v>
      </c>
      <c r="C2495" t="s">
        <v>6580</v>
      </c>
      <c r="D2495" s="83" t="s">
        <v>4136</v>
      </c>
      <c r="E2495" t="s">
        <v>5030</v>
      </c>
      <c r="F2495" t="s">
        <v>5725</v>
      </c>
      <c r="K2495" t="s">
        <v>414</v>
      </c>
      <c r="L2495" t="s">
        <v>414</v>
      </c>
      <c r="M2495" t="s">
        <v>414</v>
      </c>
    </row>
    <row r="2496" spans="1:13" ht="15">
      <c r="C2496" t="s">
        <v>6323</v>
      </c>
      <c r="D2496" s="83" t="s">
        <v>5662</v>
      </c>
      <c r="E2496" t="s">
        <v>5385</v>
      </c>
      <c r="F2496" t="s">
        <v>5772</v>
      </c>
      <c r="H2496" t="s">
        <v>414</v>
      </c>
      <c r="I2496" t="s">
        <v>414</v>
      </c>
      <c r="L2496" t="s">
        <v>414</v>
      </c>
      <c r="M2496" t="s">
        <v>414</v>
      </c>
    </row>
    <row r="2497" spans="1:13" ht="15">
      <c r="A2497" t="s">
        <v>4525</v>
      </c>
      <c r="B2497" s="81" t="s">
        <v>4524</v>
      </c>
      <c r="C2497" t="s">
        <v>6046</v>
      </c>
      <c r="D2497" s="83" t="s">
        <v>4136</v>
      </c>
      <c r="E2497" t="s">
        <v>5030</v>
      </c>
      <c r="F2497" t="s">
        <v>5725</v>
      </c>
      <c r="K2497" t="s">
        <v>414</v>
      </c>
      <c r="L2497" t="s">
        <v>414</v>
      </c>
      <c r="M2497" t="s">
        <v>414</v>
      </c>
    </row>
    <row r="2498" spans="1:13" ht="15">
      <c r="C2498" t="s">
        <v>6841</v>
      </c>
      <c r="D2498" s="83" t="s">
        <v>5520</v>
      </c>
      <c r="E2498" t="s">
        <v>5243</v>
      </c>
      <c r="F2498" t="s">
        <v>5772</v>
      </c>
      <c r="H2498" t="s">
        <v>414</v>
      </c>
      <c r="L2498" t="s">
        <v>414</v>
      </c>
      <c r="M2498" t="s">
        <v>414</v>
      </c>
    </row>
    <row r="2499" spans="1:13" ht="15">
      <c r="A2499" t="s">
        <v>3737</v>
      </c>
      <c r="B2499" s="74" t="s">
        <v>4421</v>
      </c>
      <c r="C2499" t="s">
        <v>6715</v>
      </c>
      <c r="D2499" s="83" t="s">
        <v>4136</v>
      </c>
      <c r="E2499" t="s">
        <v>5030</v>
      </c>
      <c r="F2499" t="s">
        <v>5725</v>
      </c>
      <c r="K2499" t="s">
        <v>414</v>
      </c>
      <c r="L2499" t="s">
        <v>414</v>
      </c>
      <c r="M2499" t="s">
        <v>414</v>
      </c>
    </row>
    <row r="2500" spans="1:13" ht="15">
      <c r="C2500" t="s">
        <v>5936</v>
      </c>
      <c r="D2500" s="83" t="s">
        <v>5520</v>
      </c>
      <c r="E2500" t="s">
        <v>5243</v>
      </c>
      <c r="F2500" t="s">
        <v>5772</v>
      </c>
      <c r="H2500" t="s">
        <v>414</v>
      </c>
      <c r="L2500" t="s">
        <v>414</v>
      </c>
      <c r="M2500" t="s">
        <v>414</v>
      </c>
    </row>
    <row r="2501" spans="1:13" ht="15">
      <c r="C2501" t="s">
        <v>6534</v>
      </c>
      <c r="D2501" s="83" t="s">
        <v>5520</v>
      </c>
      <c r="E2501" t="s">
        <v>5243</v>
      </c>
      <c r="F2501" t="s">
        <v>5772</v>
      </c>
      <c r="H2501" t="s">
        <v>414</v>
      </c>
      <c r="L2501" t="s">
        <v>414</v>
      </c>
      <c r="M2501" t="s">
        <v>414</v>
      </c>
    </row>
    <row r="2502" spans="1:13" ht="15">
      <c r="C2502" t="s">
        <v>6103</v>
      </c>
      <c r="D2502" s="83" t="s">
        <v>5520</v>
      </c>
      <c r="E2502" t="s">
        <v>5243</v>
      </c>
      <c r="F2502" t="s">
        <v>5772</v>
      </c>
      <c r="H2502" t="s">
        <v>414</v>
      </c>
      <c r="L2502" t="s">
        <v>414</v>
      </c>
      <c r="M2502" t="s">
        <v>414</v>
      </c>
    </row>
    <row r="2503" spans="1:13" ht="15">
      <c r="A2503" t="s">
        <v>3139</v>
      </c>
      <c r="B2503" t="s">
        <v>4285</v>
      </c>
      <c r="C2503" t="s">
        <v>6801</v>
      </c>
      <c r="D2503" s="83" t="s">
        <v>4136</v>
      </c>
      <c r="E2503" t="s">
        <v>5030</v>
      </c>
      <c r="F2503" t="s">
        <v>5725</v>
      </c>
      <c r="K2503" t="s">
        <v>414</v>
      </c>
      <c r="L2503" t="s">
        <v>414</v>
      </c>
      <c r="M2503" t="s">
        <v>414</v>
      </c>
    </row>
    <row r="2504" spans="1:13" ht="15">
      <c r="A2504" t="s">
        <v>4443</v>
      </c>
      <c r="B2504" t="s">
        <v>4287</v>
      </c>
      <c r="C2504" t="s">
        <v>6583</v>
      </c>
      <c r="D2504" s="83" t="s">
        <v>4136</v>
      </c>
      <c r="E2504" t="s">
        <v>5030</v>
      </c>
      <c r="F2504" t="s">
        <v>5725</v>
      </c>
      <c r="K2504" t="s">
        <v>414</v>
      </c>
      <c r="L2504" t="s">
        <v>414</v>
      </c>
      <c r="M2504" t="s">
        <v>414</v>
      </c>
    </row>
    <row r="2505" spans="1:13" ht="15">
      <c r="A2505" t="s">
        <v>3738</v>
      </c>
      <c r="B2505" s="74" t="s">
        <v>4300</v>
      </c>
      <c r="C2505" t="s">
        <v>6829</v>
      </c>
      <c r="D2505" s="83" t="s">
        <v>4136</v>
      </c>
      <c r="E2505" t="s">
        <v>5030</v>
      </c>
      <c r="F2505" t="s">
        <v>5725</v>
      </c>
      <c r="K2505" t="s">
        <v>414</v>
      </c>
      <c r="L2505" t="s">
        <v>414</v>
      </c>
      <c r="M2505" t="s">
        <v>414</v>
      </c>
    </row>
    <row r="2506" spans="1:13" ht="15">
      <c r="A2506" t="s">
        <v>3744</v>
      </c>
      <c r="B2506" t="s">
        <v>1243</v>
      </c>
      <c r="C2506" t="s">
        <v>6840</v>
      </c>
      <c r="D2506" s="83" t="s">
        <v>4136</v>
      </c>
      <c r="E2506" t="s">
        <v>5030</v>
      </c>
      <c r="F2506" t="s">
        <v>5725</v>
      </c>
      <c r="K2506" t="s">
        <v>414</v>
      </c>
      <c r="L2506" t="s">
        <v>414</v>
      </c>
      <c r="M2506" t="s">
        <v>414</v>
      </c>
    </row>
    <row r="2507" spans="1:13" ht="15">
      <c r="C2507" t="s">
        <v>6406</v>
      </c>
      <c r="D2507" s="83" t="s">
        <v>5520</v>
      </c>
      <c r="E2507" t="s">
        <v>5243</v>
      </c>
      <c r="F2507" t="s">
        <v>5772</v>
      </c>
      <c r="H2507" t="s">
        <v>414</v>
      </c>
      <c r="L2507" t="s">
        <v>414</v>
      </c>
      <c r="M2507" t="s">
        <v>414</v>
      </c>
    </row>
    <row r="2508" spans="1:13" ht="15">
      <c r="A2508" t="s">
        <v>3745</v>
      </c>
      <c r="B2508" t="s">
        <v>4292</v>
      </c>
      <c r="C2508" t="s">
        <v>6857</v>
      </c>
      <c r="D2508" s="83" t="s">
        <v>4136</v>
      </c>
      <c r="E2508" t="s">
        <v>5030</v>
      </c>
      <c r="F2508" t="s">
        <v>5725</v>
      </c>
      <c r="K2508" t="s">
        <v>414</v>
      </c>
      <c r="L2508" t="s">
        <v>414</v>
      </c>
      <c r="M2508" t="s">
        <v>414</v>
      </c>
    </row>
    <row r="2509" spans="1:13" ht="15">
      <c r="A2509" t="s">
        <v>3740</v>
      </c>
      <c r="B2509" t="s">
        <v>3444</v>
      </c>
      <c r="C2509" t="s">
        <v>6400</v>
      </c>
      <c r="D2509" s="83" t="s">
        <v>4136</v>
      </c>
      <c r="E2509" t="s">
        <v>5030</v>
      </c>
      <c r="F2509" t="s">
        <v>5725</v>
      </c>
      <c r="K2509" t="s">
        <v>414</v>
      </c>
      <c r="L2509" t="s">
        <v>414</v>
      </c>
      <c r="M2509" t="s">
        <v>414</v>
      </c>
    </row>
    <row r="2510" spans="1:13" ht="15">
      <c r="A2510" t="s">
        <v>3739</v>
      </c>
      <c r="B2510" s="12" t="s">
        <v>33</v>
      </c>
      <c r="C2510" t="s">
        <v>6875</v>
      </c>
      <c r="D2510" s="83" t="s">
        <v>4136</v>
      </c>
      <c r="E2510" t="s">
        <v>5030</v>
      </c>
      <c r="F2510" t="s">
        <v>5725</v>
      </c>
      <c r="K2510" t="s">
        <v>414</v>
      </c>
      <c r="L2510" t="s">
        <v>414</v>
      </c>
      <c r="M2510" t="s">
        <v>414</v>
      </c>
    </row>
    <row r="2511" spans="1:13" ht="15">
      <c r="C2511" t="s">
        <v>6664</v>
      </c>
      <c r="D2511" s="83" t="s">
        <v>5520</v>
      </c>
      <c r="E2511" t="s">
        <v>5243</v>
      </c>
      <c r="F2511" t="s">
        <v>5772</v>
      </c>
      <c r="H2511" t="s">
        <v>414</v>
      </c>
      <c r="L2511" t="s">
        <v>414</v>
      </c>
      <c r="M2511" t="s">
        <v>414</v>
      </c>
    </row>
    <row r="2512" spans="1:13" ht="15">
      <c r="C2512" t="s">
        <v>6816</v>
      </c>
      <c r="D2512" s="83" t="s">
        <v>5520</v>
      </c>
      <c r="E2512" t="s">
        <v>5243</v>
      </c>
      <c r="F2512" t="s">
        <v>5772</v>
      </c>
      <c r="H2512" t="s">
        <v>414</v>
      </c>
      <c r="L2512" t="s">
        <v>414</v>
      </c>
      <c r="M2512" t="s">
        <v>414</v>
      </c>
    </row>
    <row r="2513" spans="1:13" ht="15">
      <c r="C2513" t="s">
        <v>6219</v>
      </c>
      <c r="D2513" s="83" t="s">
        <v>5520</v>
      </c>
      <c r="E2513" t="s">
        <v>5243</v>
      </c>
      <c r="F2513" t="s">
        <v>5772</v>
      </c>
      <c r="H2513" t="s">
        <v>414</v>
      </c>
      <c r="L2513" t="s">
        <v>414</v>
      </c>
      <c r="M2513" t="s">
        <v>414</v>
      </c>
    </row>
    <row r="2514" spans="1:13" ht="15">
      <c r="C2514" t="s">
        <v>6474</v>
      </c>
      <c r="D2514" s="83" t="s">
        <v>5520</v>
      </c>
      <c r="E2514" t="s">
        <v>5243</v>
      </c>
      <c r="F2514" t="s">
        <v>5772</v>
      </c>
      <c r="H2514" t="s">
        <v>414</v>
      </c>
      <c r="L2514" t="s">
        <v>414</v>
      </c>
      <c r="M2514" t="s">
        <v>414</v>
      </c>
    </row>
    <row r="2515" spans="1:13" ht="15">
      <c r="A2515" t="s">
        <v>4525</v>
      </c>
      <c r="B2515" s="81" t="s">
        <v>4524</v>
      </c>
      <c r="C2515" t="s">
        <v>5881</v>
      </c>
      <c r="D2515" s="83" t="s">
        <v>5849</v>
      </c>
      <c r="E2515" t="s">
        <v>7765</v>
      </c>
      <c r="F2515" t="s">
        <v>5727</v>
      </c>
      <c r="L2515" t="s">
        <v>414</v>
      </c>
    </row>
    <row r="2516" spans="1:13" ht="15">
      <c r="A2516" t="s">
        <v>3739</v>
      </c>
      <c r="B2516" s="12" t="s">
        <v>33</v>
      </c>
      <c r="C2516" t="s">
        <v>7090</v>
      </c>
      <c r="D2516" s="83" t="s">
        <v>4151</v>
      </c>
      <c r="E2516" t="s">
        <v>5044</v>
      </c>
      <c r="F2516" t="s">
        <v>5780</v>
      </c>
      <c r="H2516" t="s">
        <v>414</v>
      </c>
    </row>
    <row r="2517" spans="1:13" ht="15">
      <c r="A2517" t="s">
        <v>3755</v>
      </c>
      <c r="B2517" t="s">
        <v>4533</v>
      </c>
      <c r="C2517" t="s">
        <v>6067</v>
      </c>
      <c r="D2517" s="83" t="s">
        <v>5714</v>
      </c>
      <c r="E2517" t="s">
        <v>5438</v>
      </c>
      <c r="F2517" t="s">
        <v>5844</v>
      </c>
    </row>
    <row r="2518" spans="1:13" ht="15">
      <c r="C2518" t="s">
        <v>6581</v>
      </c>
      <c r="D2518" s="83" t="s">
        <v>5520</v>
      </c>
      <c r="E2518" t="s">
        <v>5243</v>
      </c>
      <c r="F2518" t="s">
        <v>5772</v>
      </c>
      <c r="H2518" t="s">
        <v>414</v>
      </c>
      <c r="L2518" t="s">
        <v>414</v>
      </c>
      <c r="M2518" t="s">
        <v>414</v>
      </c>
    </row>
    <row r="2519" spans="1:13" ht="15">
      <c r="C2519" t="s">
        <v>6716</v>
      </c>
      <c r="D2519" s="83" t="s">
        <v>5520</v>
      </c>
      <c r="E2519" t="s">
        <v>5243</v>
      </c>
      <c r="F2519" t="s">
        <v>5772</v>
      </c>
      <c r="H2519" t="s">
        <v>414</v>
      </c>
      <c r="L2519" t="s">
        <v>414</v>
      </c>
      <c r="M2519" t="s">
        <v>414</v>
      </c>
    </row>
    <row r="2520" spans="1:13" ht="15">
      <c r="C2520" t="s">
        <v>6760</v>
      </c>
      <c r="D2520" s="83" t="s">
        <v>5520</v>
      </c>
      <c r="E2520" t="s">
        <v>5243</v>
      </c>
      <c r="F2520" t="s">
        <v>5772</v>
      </c>
      <c r="H2520" t="s">
        <v>414</v>
      </c>
      <c r="L2520" t="s">
        <v>414</v>
      </c>
      <c r="M2520" t="s">
        <v>414</v>
      </c>
    </row>
    <row r="2521" spans="1:13" ht="15">
      <c r="A2521" t="s">
        <v>3783</v>
      </c>
      <c r="B2521" t="s">
        <v>301</v>
      </c>
      <c r="C2521" t="s">
        <v>6151</v>
      </c>
      <c r="D2521" s="83" t="s">
        <v>5857</v>
      </c>
      <c r="E2521" t="s">
        <v>7776</v>
      </c>
      <c r="F2521" t="s">
        <v>5755</v>
      </c>
      <c r="L2521" t="s">
        <v>414</v>
      </c>
    </row>
    <row r="2522" spans="1:13" ht="15">
      <c r="C2522" t="s">
        <v>6781</v>
      </c>
      <c r="D2522" s="83" t="s">
        <v>5520</v>
      </c>
      <c r="E2522" t="s">
        <v>5243</v>
      </c>
      <c r="F2522" t="s">
        <v>5772</v>
      </c>
      <c r="H2522" t="s">
        <v>414</v>
      </c>
      <c r="L2522" t="s">
        <v>414</v>
      </c>
      <c r="M2522" t="s">
        <v>414</v>
      </c>
    </row>
    <row r="2523" spans="1:13" ht="15">
      <c r="A2523" t="s">
        <v>3139</v>
      </c>
      <c r="B2523" t="s">
        <v>4285</v>
      </c>
      <c r="C2523" t="s">
        <v>6085</v>
      </c>
      <c r="D2523" s="83" t="s">
        <v>5857</v>
      </c>
      <c r="E2523" t="s">
        <v>7776</v>
      </c>
      <c r="F2523" t="s">
        <v>5755</v>
      </c>
      <c r="L2523" t="s">
        <v>414</v>
      </c>
    </row>
    <row r="2524" spans="1:13" ht="15">
      <c r="C2524" t="s">
        <v>6802</v>
      </c>
      <c r="D2524" s="83" t="s">
        <v>5520</v>
      </c>
      <c r="E2524" t="s">
        <v>5243</v>
      </c>
      <c r="F2524" t="s">
        <v>5772</v>
      </c>
      <c r="H2524" t="s">
        <v>414</v>
      </c>
      <c r="L2524" t="s">
        <v>414</v>
      </c>
      <c r="M2524" t="s">
        <v>414</v>
      </c>
    </row>
    <row r="2525" spans="1:13" ht="15">
      <c r="C2525" t="s">
        <v>5894</v>
      </c>
      <c r="D2525" s="83" t="s">
        <v>5855</v>
      </c>
      <c r="E2525" t="s">
        <v>7774</v>
      </c>
      <c r="F2525" t="s">
        <v>5730</v>
      </c>
      <c r="L2525" t="s">
        <v>414</v>
      </c>
    </row>
    <row r="2526" spans="1:13" ht="15">
      <c r="C2526" t="s">
        <v>6657</v>
      </c>
      <c r="D2526" s="83" t="s">
        <v>5615</v>
      </c>
      <c r="E2526" t="s">
        <v>5338</v>
      </c>
      <c r="F2526" t="s">
        <v>5734</v>
      </c>
      <c r="H2526" t="s">
        <v>414</v>
      </c>
      <c r="M2526" t="s">
        <v>414</v>
      </c>
    </row>
    <row r="2527" spans="1:13" ht="15">
      <c r="A2527" t="s">
        <v>4450</v>
      </c>
      <c r="B2527" t="s">
        <v>3356</v>
      </c>
      <c r="C2527" t="s">
        <v>6658</v>
      </c>
      <c r="D2527" s="83" t="s">
        <v>5857</v>
      </c>
      <c r="E2527" t="s">
        <v>7776</v>
      </c>
      <c r="F2527" t="s">
        <v>5755</v>
      </c>
      <c r="L2527" t="s">
        <v>414</v>
      </c>
    </row>
    <row r="2528" spans="1:13" ht="15">
      <c r="A2528" t="s">
        <v>4525</v>
      </c>
      <c r="B2528" s="81" t="s">
        <v>4524</v>
      </c>
      <c r="C2528" t="s">
        <v>6046</v>
      </c>
      <c r="D2528" s="83" t="s">
        <v>5857</v>
      </c>
      <c r="E2528" t="s">
        <v>7776</v>
      </c>
      <c r="F2528" t="s">
        <v>5755</v>
      </c>
      <c r="L2528" t="s">
        <v>414</v>
      </c>
    </row>
    <row r="2529" spans="1:13" ht="15">
      <c r="C2529" t="s">
        <v>7467</v>
      </c>
      <c r="D2529" s="83" t="s">
        <v>5535</v>
      </c>
      <c r="E2529" t="s">
        <v>5258</v>
      </c>
      <c r="F2529" t="s">
        <v>5779</v>
      </c>
      <c r="H2529" t="s">
        <v>414</v>
      </c>
      <c r="M2529" t="s">
        <v>414</v>
      </c>
    </row>
    <row r="2530" spans="1:13" ht="15">
      <c r="C2530" t="s">
        <v>7032</v>
      </c>
      <c r="D2530" s="83" t="s">
        <v>5483</v>
      </c>
      <c r="E2530" t="s">
        <v>5206</v>
      </c>
      <c r="F2530" t="s">
        <v>5743</v>
      </c>
      <c r="H2530" t="s">
        <v>414</v>
      </c>
      <c r="I2530" t="s">
        <v>414</v>
      </c>
    </row>
    <row r="2531" spans="1:13" ht="15">
      <c r="C2531" t="s">
        <v>7443</v>
      </c>
      <c r="D2531" s="83" t="s">
        <v>5877</v>
      </c>
      <c r="E2531" t="s">
        <v>7801</v>
      </c>
      <c r="F2531" t="s">
        <v>27</v>
      </c>
      <c r="M2531" t="s">
        <v>414</v>
      </c>
    </row>
    <row r="2532" spans="1:13" ht="15">
      <c r="A2532" t="s">
        <v>3755</v>
      </c>
      <c r="B2532" t="s">
        <v>4533</v>
      </c>
      <c r="C2532" t="s">
        <v>6777</v>
      </c>
      <c r="D2532" s="83" t="s">
        <v>5857</v>
      </c>
      <c r="E2532" t="s">
        <v>7776</v>
      </c>
      <c r="F2532" t="s">
        <v>5755</v>
      </c>
      <c r="L2532" t="s">
        <v>414</v>
      </c>
    </row>
    <row r="2533" spans="1:13" ht="15">
      <c r="A2533" t="s">
        <v>4562</v>
      </c>
      <c r="B2533" s="81" t="s">
        <v>240</v>
      </c>
      <c r="C2533" t="s">
        <v>7316</v>
      </c>
      <c r="D2533" s="83" t="s">
        <v>5575</v>
      </c>
      <c r="E2533" t="s">
        <v>5298</v>
      </c>
      <c r="F2533" t="s">
        <v>5795</v>
      </c>
      <c r="I2533" t="s">
        <v>414</v>
      </c>
      <c r="M2533" t="s">
        <v>414</v>
      </c>
    </row>
    <row r="2534" spans="1:13" ht="15">
      <c r="A2534" t="s">
        <v>4448</v>
      </c>
      <c r="B2534" s="12" t="s">
        <v>1309</v>
      </c>
      <c r="C2534" t="s">
        <v>5923</v>
      </c>
      <c r="D2534" s="83" t="s">
        <v>5857</v>
      </c>
      <c r="E2534" t="s">
        <v>7776</v>
      </c>
      <c r="F2534" t="s">
        <v>5755</v>
      </c>
      <c r="L2534" t="s">
        <v>414</v>
      </c>
    </row>
    <row r="2535" spans="1:13" ht="15">
      <c r="C2535" t="s">
        <v>7036</v>
      </c>
      <c r="D2535" s="83" t="s">
        <v>5496</v>
      </c>
      <c r="E2535" t="s">
        <v>5219</v>
      </c>
      <c r="F2535" t="s">
        <v>5757</v>
      </c>
      <c r="M2535" t="s">
        <v>414</v>
      </c>
    </row>
    <row r="2536" spans="1:13" ht="15">
      <c r="A2536" t="s">
        <v>3737</v>
      </c>
      <c r="B2536" s="74" t="s">
        <v>4421</v>
      </c>
      <c r="C2536" t="s">
        <v>6838</v>
      </c>
      <c r="D2536" s="83" t="s">
        <v>5857</v>
      </c>
      <c r="E2536" t="s">
        <v>7776</v>
      </c>
      <c r="F2536" t="s">
        <v>5755</v>
      </c>
      <c r="L2536" t="s">
        <v>414</v>
      </c>
    </row>
    <row r="2537" spans="1:13" ht="15">
      <c r="C2537" t="s">
        <v>7371</v>
      </c>
      <c r="D2537" s="83" t="s">
        <v>5483</v>
      </c>
      <c r="E2537" t="s">
        <v>5206</v>
      </c>
      <c r="F2537" t="s">
        <v>5743</v>
      </c>
      <c r="H2537" t="s">
        <v>414</v>
      </c>
      <c r="I2537" t="s">
        <v>414</v>
      </c>
    </row>
    <row r="2538" spans="1:13" ht="15">
      <c r="A2538" t="s">
        <v>4565</v>
      </c>
      <c r="B2538" s="12" t="s">
        <v>395</v>
      </c>
      <c r="C2538" t="s">
        <v>6696</v>
      </c>
      <c r="D2538" s="83" t="s">
        <v>5857</v>
      </c>
      <c r="E2538" t="s">
        <v>7776</v>
      </c>
      <c r="F2538" t="s">
        <v>5755</v>
      </c>
      <c r="L2538" t="s">
        <v>414</v>
      </c>
    </row>
    <row r="2539" spans="1:13" ht="15">
      <c r="C2539" t="s">
        <v>5978</v>
      </c>
      <c r="D2539" s="83" t="s">
        <v>5595</v>
      </c>
      <c r="E2539" t="s">
        <v>5318</v>
      </c>
      <c r="F2539" t="s">
        <v>5736</v>
      </c>
      <c r="K2539" t="s">
        <v>414</v>
      </c>
      <c r="L2539" t="s">
        <v>414</v>
      </c>
    </row>
    <row r="2540" spans="1:13" ht="15">
      <c r="C2540" t="s">
        <v>7020</v>
      </c>
      <c r="D2540" s="83" t="s">
        <v>5466</v>
      </c>
      <c r="E2540" t="s">
        <v>5189</v>
      </c>
      <c r="F2540" t="s">
        <v>5736</v>
      </c>
      <c r="K2540" t="s">
        <v>414</v>
      </c>
      <c r="L2540" t="s">
        <v>414</v>
      </c>
      <c r="M2540" t="s">
        <v>414</v>
      </c>
    </row>
    <row r="2541" spans="1:13" ht="15">
      <c r="A2541" t="s">
        <v>3738</v>
      </c>
      <c r="B2541" s="74" t="s">
        <v>4300</v>
      </c>
      <c r="C2541" t="s">
        <v>6882</v>
      </c>
      <c r="D2541" s="83" t="s">
        <v>5857</v>
      </c>
      <c r="E2541" t="s">
        <v>7776</v>
      </c>
      <c r="F2541" t="s">
        <v>5755</v>
      </c>
      <c r="L2541" t="s">
        <v>414</v>
      </c>
    </row>
    <row r="2542" spans="1:13" ht="15">
      <c r="C2542" t="s">
        <v>6000</v>
      </c>
      <c r="D2542" s="83" t="s">
        <v>5570</v>
      </c>
      <c r="E2542" t="s">
        <v>5293</v>
      </c>
      <c r="F2542" t="s">
        <v>5764</v>
      </c>
      <c r="G2542" t="s">
        <v>414</v>
      </c>
      <c r="I2542" t="s">
        <v>414</v>
      </c>
      <c r="L2542" t="s">
        <v>414</v>
      </c>
      <c r="M2542" t="s">
        <v>414</v>
      </c>
    </row>
    <row r="2543" spans="1:13" ht="15">
      <c r="C2543" t="s">
        <v>6024</v>
      </c>
      <c r="D2543" s="83" t="s">
        <v>4209</v>
      </c>
      <c r="E2543" t="s">
        <v>5103</v>
      </c>
      <c r="F2543" t="s">
        <v>5736</v>
      </c>
      <c r="K2543" t="s">
        <v>414</v>
      </c>
      <c r="L2543" t="s">
        <v>414</v>
      </c>
      <c r="M2543" t="s">
        <v>414</v>
      </c>
    </row>
    <row r="2544" spans="1:13" ht="15">
      <c r="C2544" t="s">
        <v>6024</v>
      </c>
      <c r="D2544" s="83" t="s">
        <v>5543</v>
      </c>
      <c r="E2544" t="s">
        <v>5266</v>
      </c>
      <c r="F2544" t="s">
        <v>5736</v>
      </c>
    </row>
    <row r="2545" spans="1:13" ht="15">
      <c r="C2545" t="s">
        <v>6024</v>
      </c>
      <c r="D2545" s="83" t="s">
        <v>5721</v>
      </c>
      <c r="E2545" t="s">
        <v>5445</v>
      </c>
      <c r="F2545" t="s">
        <v>5736</v>
      </c>
    </row>
    <row r="2546" spans="1:13" ht="15">
      <c r="C2546" t="s">
        <v>6024</v>
      </c>
      <c r="D2546" s="83" t="s">
        <v>5497</v>
      </c>
      <c r="E2546" t="s">
        <v>5220</v>
      </c>
      <c r="F2546" t="s">
        <v>5736</v>
      </c>
      <c r="H2546" t="s">
        <v>414</v>
      </c>
      <c r="M2546" t="s">
        <v>414</v>
      </c>
    </row>
    <row r="2547" spans="1:13" ht="15">
      <c r="C2547" t="s">
        <v>7433</v>
      </c>
      <c r="D2547" s="83" t="s">
        <v>5564</v>
      </c>
      <c r="E2547" t="s">
        <v>5287</v>
      </c>
      <c r="F2547" t="s">
        <v>5734</v>
      </c>
    </row>
    <row r="2548" spans="1:13" ht="15">
      <c r="C2548" t="s">
        <v>7159</v>
      </c>
      <c r="D2548" s="83" t="s">
        <v>5548</v>
      </c>
      <c r="E2548" t="s">
        <v>5271</v>
      </c>
      <c r="F2548" t="s">
        <v>5786</v>
      </c>
      <c r="H2548" t="s">
        <v>414</v>
      </c>
      <c r="M2548" t="s">
        <v>414</v>
      </c>
    </row>
    <row r="2549" spans="1:13" ht="15">
      <c r="C2549" t="s">
        <v>7437</v>
      </c>
      <c r="D2549" s="83" t="s">
        <v>5609</v>
      </c>
      <c r="E2549" t="s">
        <v>5332</v>
      </c>
      <c r="F2549" t="s">
        <v>5726</v>
      </c>
      <c r="H2549" t="s">
        <v>414</v>
      </c>
      <c r="I2549" t="s">
        <v>414</v>
      </c>
    </row>
    <row r="2550" spans="1:13" ht="15">
      <c r="C2550" t="s">
        <v>5889</v>
      </c>
      <c r="D2550" s="83" t="s">
        <v>5603</v>
      </c>
      <c r="E2550" t="s">
        <v>5326</v>
      </c>
      <c r="F2550" t="s">
        <v>5778</v>
      </c>
      <c r="L2550" t="s">
        <v>414</v>
      </c>
    </row>
    <row r="2551" spans="1:13" ht="15">
      <c r="A2551" t="s">
        <v>3777</v>
      </c>
      <c r="B2551" s="90" t="s">
        <v>4849</v>
      </c>
      <c r="C2551" t="s">
        <v>6199</v>
      </c>
      <c r="D2551" s="83" t="s">
        <v>5603</v>
      </c>
      <c r="E2551" t="s">
        <v>5326</v>
      </c>
      <c r="F2551" t="s">
        <v>5778</v>
      </c>
      <c r="L2551" t="s">
        <v>414</v>
      </c>
    </row>
    <row r="2552" spans="1:13" ht="15">
      <c r="A2552" t="s">
        <v>3773</v>
      </c>
      <c r="B2552" t="s">
        <v>1289</v>
      </c>
      <c r="C2552" t="s">
        <v>7060</v>
      </c>
      <c r="D2552" s="83" t="s">
        <v>4185</v>
      </c>
      <c r="E2552" t="s">
        <v>5079</v>
      </c>
      <c r="F2552" t="s">
        <v>5765</v>
      </c>
      <c r="H2552" t="s">
        <v>414</v>
      </c>
      <c r="I2552" t="s">
        <v>414</v>
      </c>
      <c r="M2552" t="s">
        <v>414</v>
      </c>
    </row>
    <row r="2553" spans="1:13" ht="15">
      <c r="A2553" t="s">
        <v>4448</v>
      </c>
      <c r="B2553" s="12" t="s">
        <v>1309</v>
      </c>
      <c r="C2553" t="s">
        <v>5919</v>
      </c>
      <c r="D2553" s="83" t="s">
        <v>5863</v>
      </c>
      <c r="E2553" t="s">
        <v>7783</v>
      </c>
      <c r="F2553" t="s">
        <v>1309</v>
      </c>
      <c r="H2553" t="s">
        <v>414</v>
      </c>
      <c r="I2553" t="s">
        <v>414</v>
      </c>
      <c r="L2553" t="s">
        <v>414</v>
      </c>
    </row>
    <row r="2554" spans="1:13" ht="15">
      <c r="C2554" t="s">
        <v>6654</v>
      </c>
      <c r="D2554" s="83" t="s">
        <v>5603</v>
      </c>
      <c r="E2554" t="s">
        <v>5326</v>
      </c>
      <c r="F2554" t="s">
        <v>5778</v>
      </c>
      <c r="L2554" t="s">
        <v>414</v>
      </c>
    </row>
    <row r="2555" spans="1:13" ht="15">
      <c r="A2555" t="s">
        <v>4565</v>
      </c>
      <c r="B2555" s="12" t="s">
        <v>395</v>
      </c>
      <c r="C2555" t="s">
        <v>7055</v>
      </c>
      <c r="D2555" s="83" t="s">
        <v>5536</v>
      </c>
      <c r="E2555" t="s">
        <v>5259</v>
      </c>
      <c r="F2555" t="s">
        <v>5780</v>
      </c>
      <c r="M2555" t="s">
        <v>414</v>
      </c>
    </row>
    <row r="2556" spans="1:13" ht="15">
      <c r="C2556" t="s">
        <v>5911</v>
      </c>
      <c r="D2556" s="83" t="s">
        <v>5860</v>
      </c>
      <c r="E2556" t="s">
        <v>7780</v>
      </c>
      <c r="F2556" t="s">
        <v>5747</v>
      </c>
      <c r="H2556" t="s">
        <v>414</v>
      </c>
      <c r="K2556" t="s">
        <v>414</v>
      </c>
      <c r="L2556" t="s">
        <v>414</v>
      </c>
    </row>
    <row r="2557" spans="1:13" ht="15">
      <c r="A2557" t="s">
        <v>3753</v>
      </c>
      <c r="B2557" t="s">
        <v>4296</v>
      </c>
      <c r="C2557" t="s">
        <v>7351</v>
      </c>
      <c r="D2557" s="83" t="s">
        <v>5561</v>
      </c>
      <c r="E2557" t="s">
        <v>5284</v>
      </c>
      <c r="F2557" t="s">
        <v>5791</v>
      </c>
    </row>
    <row r="2558" spans="1:13" ht="15">
      <c r="A2558" t="s">
        <v>3777</v>
      </c>
      <c r="B2558" s="90" t="s">
        <v>4849</v>
      </c>
      <c r="C2558" t="s">
        <v>6305</v>
      </c>
      <c r="D2558" s="83" t="s">
        <v>5603</v>
      </c>
      <c r="E2558" t="s">
        <v>5326</v>
      </c>
      <c r="F2558" t="s">
        <v>5778</v>
      </c>
      <c r="L2558" t="s">
        <v>414</v>
      </c>
    </row>
    <row r="2559" spans="1:13" ht="15">
      <c r="A2559" t="s">
        <v>3745</v>
      </c>
      <c r="B2559" t="s">
        <v>4292</v>
      </c>
      <c r="C2559" t="s">
        <v>7306</v>
      </c>
      <c r="D2559" s="83" t="s">
        <v>5536</v>
      </c>
      <c r="E2559" t="s">
        <v>5259</v>
      </c>
      <c r="F2559" t="s">
        <v>5780</v>
      </c>
      <c r="M2559" t="s">
        <v>414</v>
      </c>
    </row>
    <row r="2560" spans="1:13" ht="15">
      <c r="A2560" t="s">
        <v>3139</v>
      </c>
      <c r="B2560" t="s">
        <v>4285</v>
      </c>
      <c r="C2560" t="s">
        <v>7344</v>
      </c>
      <c r="D2560" s="83" t="s">
        <v>5536</v>
      </c>
      <c r="E2560" t="s">
        <v>5259</v>
      </c>
      <c r="F2560" t="s">
        <v>5780</v>
      </c>
      <c r="M2560" t="s">
        <v>414</v>
      </c>
    </row>
    <row r="2561" spans="1:13" ht="15">
      <c r="C2561" t="s">
        <v>7049</v>
      </c>
      <c r="D2561" s="83" t="s">
        <v>5530</v>
      </c>
      <c r="E2561" t="s">
        <v>5253</v>
      </c>
      <c r="F2561" t="s">
        <v>5775</v>
      </c>
      <c r="M2561" t="s">
        <v>414</v>
      </c>
    </row>
    <row r="2562" spans="1:13" ht="15">
      <c r="A2562" t="s">
        <v>4508</v>
      </c>
      <c r="B2562" s="74" t="s">
        <v>4507</v>
      </c>
      <c r="C2562" t="s">
        <v>6684</v>
      </c>
      <c r="D2562" s="83" t="s">
        <v>5603</v>
      </c>
      <c r="E2562" t="s">
        <v>5326</v>
      </c>
      <c r="F2562" t="s">
        <v>5778</v>
      </c>
      <c r="L2562" t="s">
        <v>414</v>
      </c>
    </row>
    <row r="2563" spans="1:13" ht="15">
      <c r="C2563" t="s">
        <v>1189</v>
      </c>
      <c r="D2563" t="str">
        <f>_xlfn.XLOOKUP(E2563,HCP_evidence!H:H,HCP_evidence!I:I)</f>
        <v>https://www.sante.fr/essais-cliniques/2023-508356-19-00/etude-de-phase-ii-multicentrique-ouverte-randomisee-a-trois-bras-visant-a-evaluer-l-efficacite-et-la-securite-d-emploi-du-ttx-030-associe-a-une-chimiotherapie-avec-ou-sans-budigalimab-par-rapport-a-la-chimiotherapie-seule-dans-le-traitement-de-patients-n-ayant-jamais-recu-de-traitement-contre-un-adenocarcinome-pancreatique-metastatique</v>
      </c>
      <c r="E2563" t="s">
        <v>1187</v>
      </c>
      <c r="G2563" t="str" cm="1">
        <f t="array" ref="G2563">_xlfn.XLOOKUP(E2563,HCP_evidence!H:H,IF(HCP_evidence!M:M="Yes","Yes",""))</f>
        <v/>
      </c>
      <c r="H2563" t="str" cm="1">
        <f t="array" ref="H2563">_xlfn.XLOOKUP(E2563,HCP_evidence!H:H,IF(HCP_evidence!K:K="Yes","Yes",""))</f>
        <v>Yes</v>
      </c>
      <c r="I2563" t="str" cm="1">
        <f t="array" ref="I2563">_xlfn.XLOOKUP(E2563,HCP_evidence!H:H,IF(HCP_evidence!J:J="Yes","Yes",""))</f>
        <v/>
      </c>
      <c r="J2563" t="e">
        <f>IF(OR(K2563="Yes",L2563="Yes"),"Yes","")</f>
        <v>#REF!</v>
      </c>
      <c r="K2563" t="e" cm="1">
        <f t="array" ref="K2563">_xlfn.XLOOKUP(E2563,HCP_evidence!H:H,IF(HCP_evidence!#REF!="Yes","Yes",""))</f>
        <v>#REF!</v>
      </c>
      <c r="L2563" t="e" cm="1">
        <f t="array" ref="L2563">_xlfn.XLOOKUP(E2563,HCP_evidence!H:H,IF(HCP_evidence!#REF!="Yes","Yes",""))</f>
        <v>#REF!</v>
      </c>
      <c r="M2563" t="str" cm="1">
        <f t="array" ref="M2563">_xlfn.XLOOKUP(E2563,HCP_evidence!H:H,IF(HCP_evidence!N:N="Yes","Yes",""))</f>
        <v/>
      </c>
    </row>
    <row r="2564" spans="1:13" ht="15">
      <c r="C2564" t="s">
        <v>7154</v>
      </c>
      <c r="D2564" s="83" t="s">
        <v>5530</v>
      </c>
      <c r="E2564" t="s">
        <v>5253</v>
      </c>
      <c r="F2564" t="s">
        <v>5775</v>
      </c>
      <c r="M2564" t="s">
        <v>414</v>
      </c>
    </row>
    <row r="2565" spans="1:13" ht="15">
      <c r="C2565" t="s">
        <v>6775</v>
      </c>
      <c r="D2565" s="83" t="s">
        <v>5603</v>
      </c>
      <c r="E2565" t="s">
        <v>5326</v>
      </c>
      <c r="F2565" t="s">
        <v>5778</v>
      </c>
      <c r="L2565" t="s">
        <v>414</v>
      </c>
    </row>
    <row r="2566" spans="1:13" ht="15">
      <c r="C2566" t="s">
        <v>5934</v>
      </c>
      <c r="D2566" s="83" t="s">
        <v>5503</v>
      </c>
      <c r="E2566" t="s">
        <v>5226</v>
      </c>
      <c r="F2566" t="s">
        <v>5764</v>
      </c>
      <c r="L2566" t="s">
        <v>414</v>
      </c>
      <c r="M2566" t="s">
        <v>414</v>
      </c>
    </row>
    <row r="2567" spans="1:13" ht="15">
      <c r="C2567" t="s">
        <v>5969</v>
      </c>
      <c r="D2567" s="83" t="s">
        <v>5542</v>
      </c>
      <c r="E2567" t="s">
        <v>5265</v>
      </c>
      <c r="F2567" t="s">
        <v>5778</v>
      </c>
      <c r="M2567" t="s">
        <v>414</v>
      </c>
    </row>
    <row r="2568" spans="1:13" ht="15">
      <c r="A2568" t="s">
        <v>4453</v>
      </c>
      <c r="B2568" s="81" t="s">
        <v>3175</v>
      </c>
      <c r="C2568" t="s">
        <v>7519</v>
      </c>
      <c r="D2568" s="83" t="s">
        <v>5536</v>
      </c>
      <c r="E2568" t="s">
        <v>5259</v>
      </c>
      <c r="F2568" t="s">
        <v>5780</v>
      </c>
      <c r="M2568" t="s">
        <v>414</v>
      </c>
    </row>
    <row r="2569" spans="1:13" ht="15">
      <c r="A2569" t="s">
        <v>3739</v>
      </c>
      <c r="B2569" s="12" t="s">
        <v>33</v>
      </c>
      <c r="C2569" t="s">
        <v>6012</v>
      </c>
      <c r="D2569" s="83" t="s">
        <v>5536</v>
      </c>
      <c r="E2569" t="s">
        <v>5259</v>
      </c>
      <c r="F2569" t="s">
        <v>5780</v>
      </c>
      <c r="M2569" t="s">
        <v>414</v>
      </c>
    </row>
    <row r="2570" spans="1:13" ht="15">
      <c r="C2570" t="s">
        <v>7313</v>
      </c>
      <c r="D2570" s="83" t="s">
        <v>5561</v>
      </c>
      <c r="E2570" t="s">
        <v>5284</v>
      </c>
      <c r="F2570" t="s">
        <v>5791</v>
      </c>
    </row>
    <row r="2571" spans="1:13" ht="15">
      <c r="C2571" t="s">
        <v>7222</v>
      </c>
      <c r="D2571" s="83" t="s">
        <v>5875</v>
      </c>
      <c r="E2571" t="s">
        <v>7798</v>
      </c>
      <c r="F2571" t="s">
        <v>7799</v>
      </c>
      <c r="G2571" t="s">
        <v>414</v>
      </c>
    </row>
    <row r="2572" spans="1:13" ht="15">
      <c r="A2572" t="s">
        <v>4443</v>
      </c>
      <c r="B2572" t="s">
        <v>4287</v>
      </c>
      <c r="C2572" t="s">
        <v>5960</v>
      </c>
      <c r="D2572" s="83" t="s">
        <v>5536</v>
      </c>
      <c r="E2572" t="s">
        <v>5259</v>
      </c>
      <c r="F2572" t="s">
        <v>5780</v>
      </c>
      <c r="M2572" t="s">
        <v>414</v>
      </c>
    </row>
    <row r="2573" spans="1:13" ht="15">
      <c r="A2573" t="s">
        <v>4446</v>
      </c>
      <c r="B2573" t="s">
        <v>4445</v>
      </c>
      <c r="C2573" t="s">
        <v>6155</v>
      </c>
      <c r="D2573" s="83" t="s">
        <v>5536</v>
      </c>
      <c r="E2573" t="s">
        <v>5259</v>
      </c>
      <c r="F2573" t="s">
        <v>5780</v>
      </c>
      <c r="M2573" t="s">
        <v>414</v>
      </c>
    </row>
    <row r="2574" spans="1:13" ht="15">
      <c r="C2574" t="s">
        <v>6016</v>
      </c>
      <c r="D2574" s="83" t="s">
        <v>5669</v>
      </c>
      <c r="E2574" t="s">
        <v>5392</v>
      </c>
      <c r="F2574" t="s">
        <v>5793</v>
      </c>
      <c r="G2574" t="s">
        <v>414</v>
      </c>
      <c r="K2574" t="s">
        <v>414</v>
      </c>
    </row>
    <row r="2575" spans="1:13" ht="15">
      <c r="C2575" t="s">
        <v>6113</v>
      </c>
      <c r="D2575" s="83" t="s">
        <v>4157</v>
      </c>
      <c r="E2575" t="s">
        <v>5050</v>
      </c>
      <c r="F2575" t="s">
        <v>60</v>
      </c>
      <c r="K2575" t="s">
        <v>414</v>
      </c>
      <c r="L2575" t="s">
        <v>414</v>
      </c>
    </row>
    <row r="2576" spans="1:13" ht="15">
      <c r="A2576" t="s">
        <v>10295</v>
      </c>
      <c r="B2576" s="115" t="s">
        <v>1424</v>
      </c>
      <c r="D2576" s="9" t="s">
        <v>4191</v>
      </c>
      <c r="E2576" t="s">
        <v>5085</v>
      </c>
      <c r="F2576" t="s">
        <v>5725</v>
      </c>
      <c r="H2576" t="s">
        <v>414</v>
      </c>
      <c r="L2576" t="s">
        <v>414</v>
      </c>
      <c r="M2576" t="s">
        <v>414</v>
      </c>
    </row>
  </sheetData>
  <autoFilter ref="A2:M2576" xr:uid="{CC225338-8019-41EE-84EC-CAD333CF4C75}">
    <filterColumn colId="3">
      <filters>
        <filter val="https://clinicaltrials.gov/study/NCT00634725"/>
      </filters>
    </filterColumn>
  </autoFilter>
  <conditionalFormatting sqref="A48 A563">
    <cfRule type="duplicateValues" dxfId="1109" priority="82"/>
  </conditionalFormatting>
  <conditionalFormatting sqref="A76">
    <cfRule type="duplicateValues" dxfId="1108" priority="89"/>
  </conditionalFormatting>
  <conditionalFormatting sqref="A84">
    <cfRule type="duplicateValues" dxfId="1107" priority="99"/>
  </conditionalFormatting>
  <conditionalFormatting sqref="A97">
    <cfRule type="duplicateValues" dxfId="1106" priority="42"/>
  </conditionalFormatting>
  <conditionalFormatting sqref="A101:A102">
    <cfRule type="duplicateValues" dxfId="1105" priority="11"/>
    <cfRule type="duplicateValues" dxfId="1104" priority="12"/>
  </conditionalFormatting>
  <conditionalFormatting sqref="A116">
    <cfRule type="duplicateValues" dxfId="1103" priority="90"/>
  </conditionalFormatting>
  <conditionalFormatting sqref="A286">
    <cfRule type="duplicateValues" dxfId="1102" priority="29"/>
  </conditionalFormatting>
  <conditionalFormatting sqref="A394">
    <cfRule type="duplicateValues" dxfId="1101" priority="36"/>
  </conditionalFormatting>
  <conditionalFormatting sqref="A455 A421 A128">
    <cfRule type="duplicateValues" dxfId="1100" priority="144"/>
  </conditionalFormatting>
  <conditionalFormatting sqref="A469">
    <cfRule type="duplicateValues" dxfId="1099" priority="21"/>
    <cfRule type="duplicateValues" dxfId="1098" priority="22"/>
  </conditionalFormatting>
  <conditionalFormatting sqref="A495:A500 A489:A490 A487 A483:A484 A481 A479">
    <cfRule type="duplicateValues" dxfId="1097" priority="56"/>
  </conditionalFormatting>
  <conditionalFormatting sqref="A509 A502:A506">
    <cfRule type="duplicateValues" dxfId="1096" priority="98"/>
  </conditionalFormatting>
  <conditionalFormatting sqref="A510:A511 A176:A177 A173 A167:A171">
    <cfRule type="duplicateValues" dxfId="1095" priority="57"/>
  </conditionalFormatting>
  <conditionalFormatting sqref="A522:A524">
    <cfRule type="duplicateValues" dxfId="1094" priority="97"/>
  </conditionalFormatting>
  <conditionalFormatting sqref="A585 A575 A398 A324 A279:A280 A256 A53 A51">
    <cfRule type="duplicateValues" dxfId="1093" priority="132"/>
  </conditionalFormatting>
  <conditionalFormatting sqref="A634">
    <cfRule type="duplicateValues" dxfId="1092" priority="88"/>
  </conditionalFormatting>
  <conditionalFormatting sqref="A661 A570 A560 A251:A253 A248 A115 A112:A113">
    <cfRule type="duplicateValues" dxfId="1091" priority="81"/>
  </conditionalFormatting>
  <conditionalFormatting sqref="A731">
    <cfRule type="duplicateValues" dxfId="1090" priority="27"/>
    <cfRule type="duplicateValues" dxfId="1089" priority="28"/>
  </conditionalFormatting>
  <conditionalFormatting sqref="A767">
    <cfRule type="duplicateValues" dxfId="1088" priority="9"/>
    <cfRule type="duplicateValues" dxfId="1087" priority="10"/>
  </conditionalFormatting>
  <conditionalFormatting sqref="A790">
    <cfRule type="duplicateValues" dxfId="1086" priority="50"/>
  </conditionalFormatting>
  <conditionalFormatting sqref="A815">
    <cfRule type="duplicateValues" dxfId="1085" priority="19"/>
    <cfRule type="duplicateValues" dxfId="1084" priority="20"/>
  </conditionalFormatting>
  <conditionalFormatting sqref="A822">
    <cfRule type="duplicateValues" dxfId="1083" priority="25"/>
    <cfRule type="duplicateValues" dxfId="1082" priority="26"/>
  </conditionalFormatting>
  <conditionalFormatting sqref="A827 A701">
    <cfRule type="duplicateValues" dxfId="1081" priority="37"/>
  </conditionalFormatting>
  <conditionalFormatting sqref="A855">
    <cfRule type="duplicateValues" dxfId="1080" priority="17"/>
    <cfRule type="duplicateValues" dxfId="1079" priority="18"/>
  </conditionalFormatting>
  <conditionalFormatting sqref="A863:A866">
    <cfRule type="duplicateValues" dxfId="1078" priority="38"/>
  </conditionalFormatting>
  <conditionalFormatting sqref="A891">
    <cfRule type="duplicateValues" dxfId="1077" priority="15"/>
    <cfRule type="duplicateValues" dxfId="1076" priority="16"/>
  </conditionalFormatting>
  <conditionalFormatting sqref="A900">
    <cfRule type="duplicateValues" dxfId="1075" priority="100"/>
  </conditionalFormatting>
  <conditionalFormatting sqref="A915">
    <cfRule type="duplicateValues" dxfId="1074" priority="40"/>
  </conditionalFormatting>
  <conditionalFormatting sqref="A934">
    <cfRule type="duplicateValues" dxfId="1073" priority="46"/>
  </conditionalFormatting>
  <conditionalFormatting sqref="A935">
    <cfRule type="duplicateValues" dxfId="1072" priority="44"/>
  </conditionalFormatting>
  <conditionalFormatting sqref="A947 A870 A812">
    <cfRule type="duplicateValues" dxfId="1071" priority="140"/>
  </conditionalFormatting>
  <conditionalFormatting sqref="A995">
    <cfRule type="duplicateValues" dxfId="1070" priority="45"/>
  </conditionalFormatting>
  <conditionalFormatting sqref="A996">
    <cfRule type="duplicateValues" dxfId="1069" priority="68"/>
  </conditionalFormatting>
  <conditionalFormatting sqref="A997">
    <cfRule type="duplicateValues" dxfId="1068" priority="7"/>
    <cfRule type="duplicateValues" dxfId="1067" priority="8"/>
  </conditionalFormatting>
  <conditionalFormatting sqref="A1007">
    <cfRule type="duplicateValues" dxfId="1066" priority="59"/>
  </conditionalFormatting>
  <conditionalFormatting sqref="A1013:A1014 A894 A892 A752:A755 A750 A735 A452 A423:A424 A384:A386 A381">
    <cfRule type="duplicateValues" dxfId="1065" priority="77"/>
  </conditionalFormatting>
  <conditionalFormatting sqref="A1022:A1023 A1019:A1020 A816 A733:A734 A727:A729 A59">
    <cfRule type="duplicateValues" dxfId="1064" priority="13"/>
    <cfRule type="duplicateValues" dxfId="1063" priority="14"/>
  </conditionalFormatting>
  <conditionalFormatting sqref="A1056:A1057 A1053:A1054">
    <cfRule type="duplicateValues" dxfId="1062" priority="104"/>
  </conditionalFormatting>
  <conditionalFormatting sqref="A1075">
    <cfRule type="duplicateValues" dxfId="1061" priority="49"/>
  </conditionalFormatting>
  <conditionalFormatting sqref="A1084 A1080:A1082 A1077:A1078 A933 A926:A930 A768:A771">
    <cfRule type="duplicateValues" dxfId="1060" priority="33"/>
  </conditionalFormatting>
  <conditionalFormatting sqref="A1085">
    <cfRule type="duplicateValues" dxfId="1059" priority="115"/>
  </conditionalFormatting>
  <conditionalFormatting sqref="A1089 A1087">
    <cfRule type="duplicateValues" dxfId="1058" priority="43"/>
  </conditionalFormatting>
  <conditionalFormatting sqref="A1121">
    <cfRule type="duplicateValues" dxfId="1057" priority="55"/>
  </conditionalFormatting>
  <conditionalFormatting sqref="A1149">
    <cfRule type="duplicateValues" dxfId="1056" priority="54"/>
  </conditionalFormatting>
  <conditionalFormatting sqref="A1152">
    <cfRule type="duplicateValues" dxfId="1055" priority="23"/>
    <cfRule type="duplicateValues" dxfId="1054" priority="24"/>
  </conditionalFormatting>
  <conditionalFormatting sqref="A1172">
    <cfRule type="duplicateValues" dxfId="1053" priority="51"/>
  </conditionalFormatting>
  <conditionalFormatting sqref="A1189">
    <cfRule type="duplicateValues" dxfId="1052" priority="108"/>
  </conditionalFormatting>
  <conditionalFormatting sqref="A1191 A1183 A1181 A1179">
    <cfRule type="duplicateValues" dxfId="1051" priority="52"/>
  </conditionalFormatting>
  <conditionalFormatting sqref="A1209:A1211 A1196">
    <cfRule type="duplicateValues" dxfId="1050" priority="53"/>
  </conditionalFormatting>
  <conditionalFormatting sqref="A1220:A1225">
    <cfRule type="duplicateValues" dxfId="1049" priority="72"/>
  </conditionalFormatting>
  <conditionalFormatting sqref="A1226 A1228:A1230">
    <cfRule type="duplicateValues" dxfId="1048" priority="35"/>
  </conditionalFormatting>
  <conditionalFormatting sqref="A1256 A1252:A1253 A1244:A1245 A1242 A164 A162 A159 A157 A153:A154 A148:A151 A141:A142 A137:A139 A134 A132 A129:A130 A126 A122:A124">
    <cfRule type="duplicateValues" dxfId="1047" priority="80"/>
  </conditionalFormatting>
  <conditionalFormatting sqref="A1281 A1251 A1240:A1241 A1238 A1018 A1015 A901:A902">
    <cfRule type="duplicateValues" dxfId="1046" priority="96"/>
  </conditionalFormatting>
  <conditionalFormatting sqref="A1306">
    <cfRule type="duplicateValues" dxfId="1045" priority="69"/>
  </conditionalFormatting>
  <conditionalFormatting sqref="A1374">
    <cfRule type="duplicateValues" dxfId="1044" priority="109"/>
  </conditionalFormatting>
  <conditionalFormatting sqref="A1379">
    <cfRule type="duplicateValues" dxfId="1043" priority="76"/>
  </conditionalFormatting>
  <conditionalFormatting sqref="A1441 A1408 A978:A986 A440">
    <cfRule type="duplicateValues" dxfId="1042" priority="112"/>
  </conditionalFormatting>
  <conditionalFormatting sqref="A1442:A1451">
    <cfRule type="duplicateValues" dxfId="1041" priority="61"/>
  </conditionalFormatting>
  <conditionalFormatting sqref="A1487 A1471 A1424 A1333">
    <cfRule type="duplicateValues" dxfId="1040" priority="64"/>
  </conditionalFormatting>
  <conditionalFormatting sqref="A1532 A1509:A1511">
    <cfRule type="duplicateValues" dxfId="1039" priority="106"/>
  </conditionalFormatting>
  <conditionalFormatting sqref="A1534">
    <cfRule type="duplicateValues" dxfId="1038" priority="103"/>
  </conditionalFormatting>
  <conditionalFormatting sqref="A1543">
    <cfRule type="duplicateValues" dxfId="1037" priority="101"/>
  </conditionalFormatting>
  <conditionalFormatting sqref="A1549:A1550">
    <cfRule type="duplicateValues" dxfId="1036" priority="48"/>
  </conditionalFormatting>
  <conditionalFormatting sqref="A1593">
    <cfRule type="duplicateValues" dxfId="1035" priority="32"/>
  </conditionalFormatting>
  <conditionalFormatting sqref="A1613 A1602">
    <cfRule type="duplicateValues" dxfId="1034" priority="70"/>
  </conditionalFormatting>
  <conditionalFormatting sqref="A1668:A1669">
    <cfRule type="duplicateValues" dxfId="1033" priority="75"/>
  </conditionalFormatting>
  <conditionalFormatting sqref="A1673 A1670 A1611:A1612 A1603:A1605">
    <cfRule type="duplicateValues" dxfId="1032" priority="66"/>
  </conditionalFormatting>
  <conditionalFormatting sqref="A1674">
    <cfRule type="duplicateValues" dxfId="1031" priority="71"/>
  </conditionalFormatting>
  <conditionalFormatting sqref="A1686 A1651 A1647 A1644:A1645 A1642">
    <cfRule type="duplicateValues" dxfId="1030" priority="62"/>
  </conditionalFormatting>
  <conditionalFormatting sqref="A1746">
    <cfRule type="duplicateValues" dxfId="1029" priority="60"/>
  </conditionalFormatting>
  <conditionalFormatting sqref="A1761">
    <cfRule type="duplicateValues" dxfId="1028" priority="102"/>
  </conditionalFormatting>
  <conditionalFormatting sqref="A1765 A1514:A1515 A1512 A1339 A1117 A1003:A1006 A841 A792:A794 A749 A747 A743:A745 A732 A379:A380 A85">
    <cfRule type="duplicateValues" dxfId="1027" priority="58"/>
  </conditionalFormatting>
  <conditionalFormatting sqref="A1778">
    <cfRule type="duplicateValues" dxfId="1026" priority="30"/>
  </conditionalFormatting>
  <conditionalFormatting sqref="A1784 A1780:A1782">
    <cfRule type="duplicateValues" dxfId="1025" priority="95"/>
  </conditionalFormatting>
  <conditionalFormatting sqref="A1844 A1773 A1203 A804">
    <cfRule type="duplicateValues" dxfId="1024" priority="152"/>
  </conditionalFormatting>
  <conditionalFormatting sqref="A1845 A611">
    <cfRule type="duplicateValues" dxfId="1023" priority="2582"/>
  </conditionalFormatting>
  <conditionalFormatting sqref="A1852 A1843 A1792:A1793 A1786 A507:A508 A478 A474 A471:A472 A111">
    <cfRule type="duplicateValues" dxfId="1022" priority="111"/>
  </conditionalFormatting>
  <conditionalFormatting sqref="A1867">
    <cfRule type="duplicateValues" dxfId="1021" priority="5"/>
    <cfRule type="duplicateValues" dxfId="1020" priority="6"/>
  </conditionalFormatting>
  <conditionalFormatting sqref="A1895:A1896 A1890 A1882:A1886">
    <cfRule type="duplicateValues" dxfId="1019" priority="34"/>
  </conditionalFormatting>
  <conditionalFormatting sqref="A1914 A1585 A1542 A1429 A1370 A847 A669 A610 A345 A194">
    <cfRule type="duplicateValues" dxfId="1018" priority="155"/>
  </conditionalFormatting>
  <conditionalFormatting sqref="A1918:A1920 A1916">
    <cfRule type="duplicateValues" dxfId="1017" priority="63"/>
  </conditionalFormatting>
  <conditionalFormatting sqref="A1934 A1930:A1931 A1921:A1928 A1879:A1881 A1873:A1874">
    <cfRule type="duplicateValues" dxfId="1016" priority="94"/>
  </conditionalFormatting>
  <conditionalFormatting sqref="A1999">
    <cfRule type="duplicateValues" dxfId="1015" priority="93"/>
  </conditionalFormatting>
  <conditionalFormatting sqref="A2041 A2004 A1951 A1915 A1911:A1912 A1906:A1909 A1902:A1904 A1897:A1898">
    <cfRule type="duplicateValues" dxfId="1014" priority="78"/>
  </conditionalFormatting>
  <conditionalFormatting sqref="A2127 A1565">
    <cfRule type="duplicateValues" dxfId="1013" priority="120"/>
  </conditionalFormatting>
  <conditionalFormatting sqref="A2176">
    <cfRule type="duplicateValues" dxfId="1012" priority="86"/>
  </conditionalFormatting>
  <conditionalFormatting sqref="A2178">
    <cfRule type="duplicateValues" dxfId="1011" priority="87"/>
  </conditionalFormatting>
  <conditionalFormatting sqref="A2191 A2142 A2066 A2050 A1944 A1435">
    <cfRule type="duplicateValues" dxfId="1010" priority="136"/>
  </conditionalFormatting>
  <conditionalFormatting sqref="A2196 A2054:A2055 A2045 A1878 A868">
    <cfRule type="duplicateValues" dxfId="1009" priority="128"/>
  </conditionalFormatting>
  <conditionalFormatting sqref="A2223 A2220:A2221 A2214:A2218">
    <cfRule type="duplicateValues" dxfId="1008" priority="65"/>
  </conditionalFormatting>
  <conditionalFormatting sqref="A2229 A2224:A2227">
    <cfRule type="duplicateValues" dxfId="1007" priority="31"/>
  </conditionalFormatting>
  <conditionalFormatting sqref="A2246">
    <cfRule type="duplicateValues" dxfId="1006" priority="39"/>
  </conditionalFormatting>
  <conditionalFormatting sqref="A2254 A1987 A1577:A1579 A1567:A1575 A1559:A1564">
    <cfRule type="duplicateValues" dxfId="1005" priority="107"/>
  </conditionalFormatting>
  <conditionalFormatting sqref="A2256">
    <cfRule type="duplicateValues" dxfId="1004" priority="92"/>
  </conditionalFormatting>
  <conditionalFormatting sqref="A2261">
    <cfRule type="duplicateValues" dxfId="1003" priority="91"/>
  </conditionalFormatting>
  <conditionalFormatting sqref="A2296 A1910 A1762 A1483 A1164 A972 A860 A795 A746 A590 A236 A15">
    <cfRule type="duplicateValues" dxfId="1002" priority="200"/>
  </conditionalFormatting>
  <conditionalFormatting sqref="A2402 A2078 A850 A405 A160">
    <cfRule type="duplicateValues" dxfId="1001" priority="167"/>
  </conditionalFormatting>
  <conditionalFormatting sqref="A2412 A2407 A2378 A2350 A2313 A2228 A2219 A2072 A1888 A1802 A1176 A1055 A1029 A1016 A938 A897 A831 A719 A572 A547 A417 A357 A233 A188 A181 A90 A33">
    <cfRule type="duplicateValues" dxfId="1000" priority="206"/>
  </conditionalFormatting>
  <conditionalFormatting sqref="A2415 A2409 A2310 A2065 A1943 A1905 A1848 A1710 A1320 A1162 A1130 A1071 A559 A161">
    <cfRule type="duplicateValues" dxfId="999" priority="170"/>
  </conditionalFormatting>
  <conditionalFormatting sqref="A2441">
    <cfRule type="duplicateValues" dxfId="998" priority="73"/>
  </conditionalFormatting>
  <conditionalFormatting sqref="A2453 A2029 A1488:A1493 A1484:A1485 A1473:A1474 A1470 A1334 A1332 A853 A806 A801 A410">
    <cfRule type="duplicateValues" dxfId="997" priority="84"/>
  </conditionalFormatting>
  <conditionalFormatting sqref="A2459">
    <cfRule type="duplicateValues" dxfId="996" priority="47"/>
  </conditionalFormatting>
  <conditionalFormatting sqref="A2467">
    <cfRule type="duplicateValues" dxfId="995" priority="110"/>
  </conditionalFormatting>
  <conditionalFormatting sqref="A2469 A2465 A2463 A2449 A2446 A2439 A2433 A2428 A2025 A1531 A370:A373 A367 A362:A365 A360 A356">
    <cfRule type="duplicateValues" dxfId="994" priority="105"/>
  </conditionalFormatting>
  <conditionalFormatting sqref="A2473 A2422 A2356 A2275 A1771 A1663 A1185 A1028 A861 A748 A587 A465 A433 A401 A390 A240 A228">
    <cfRule type="duplicateValues" dxfId="993" priority="158"/>
  </conditionalFormatting>
  <conditionalFormatting sqref="A2481 A2420 A2379 A2307 A2269 A2264 A1868 A1769 A1676 A1609 A1527 A1466 A1027 A1017 A723 A581 A488 A475 A430 A411 A404 A389 A359 A320 A314 A308 A270 A238 A234 A174 A34 A4">
    <cfRule type="duplicateValues" dxfId="992" priority="214"/>
  </conditionalFormatting>
  <conditionalFormatting sqref="A2483 A1363 A1174 A987 A906 A896 A824 A709 A467 A348 A31">
    <cfRule type="duplicateValues" dxfId="991" priority="116"/>
  </conditionalFormatting>
  <conditionalFormatting sqref="A2506 A2141 A1652 A1552 A1481 A1322 A1239 A932 A789 A740 A184 A163">
    <cfRule type="duplicateValues" dxfId="990" priority="164"/>
  </conditionalFormatting>
  <conditionalFormatting sqref="A2509 A2312 A2292 A2241 A2239 A2193 A2106 A2067 A2053 A1965 A1822 A1764 A1654 A1375 A1276 A890 A414 A136">
    <cfRule type="duplicateValues" dxfId="989" priority="188"/>
  </conditionalFormatting>
  <conditionalFormatting sqref="A2521 A2475 A2419 A2376 A2348 A2332 A2272 A2257 A2115 A2110 A2098 A2082 A1797 A1662 A1499 A1190 A1171 A955 A819 A808 A799 A703 A641 A580 A568 A429 A418 A395 A368 A316 A242 A192 A185 A172 A144 A80 A22 A3">
    <cfRule type="duplicateValues" dxfId="988" priority="218"/>
  </conditionalFormatting>
  <conditionalFormatting sqref="A2527 A2494:A2495 A2306 A2248 A2167 A1745 A1671 A1646 A1576 A1302 A1033 A940 A931 A772 A480 A224 A20 A9">
    <cfRule type="duplicateValues" dxfId="987" priority="176"/>
  </conditionalFormatting>
  <conditionalFormatting sqref="A2528 A2515 A2497 A2484 A2477 A2404 A2273 A2183 A2177 A2111 A2073 A2068 A2059:A2060 A1932 A1827 A1749 A1720 A1697 A1421 A1167 A1155 A1140 A1123 A1041 A965 A941 A909 A898 A835 A603 A548 A392 A351 A344 A243 A225">
    <cfRule type="duplicateValues" dxfId="986" priority="210"/>
  </conditionalFormatting>
  <conditionalFormatting sqref="A2532 A2517 A2485 A2427 A2414 A2395 A2300 A2259 A2139 A2074 A1894 A1838 A1806 A1770 A1700 A1649 A1610 A1530 A1486 A1467 A1423 A1308 A1201 A1098 A1065 A1043 A910 A837 A776 A726 A626 A605 A582 A573 A551 A463 A352 A226 A193 A156 A95 A36 A24">
    <cfRule type="duplicateValues" dxfId="985" priority="124"/>
  </conditionalFormatting>
  <conditionalFormatting sqref="A2533 A1716 A1714 A1711:A1712 A1707:A1709 A1701:A1704 A1698:A1699 A1695:A1696 A19">
    <cfRule type="duplicateValues" dxfId="984" priority="79"/>
  </conditionalFormatting>
  <conditionalFormatting sqref="A2536 A2499 A2286 A1083 A887 A552 A482 A262 A140">
    <cfRule type="duplicateValues" dxfId="983" priority="197"/>
  </conditionalFormatting>
  <conditionalFormatting sqref="A2541 A2505 A2442 A2403 A2341 A2290 A2251 A2211 A2194 A2124 A2058 A2046 A1964 A1939 A1899 A1812 A1794 A1788 A1724 A1715 A1706 A1677 A1587 A1539 A1475 A1431 A1376 A1352 A1317 A1261 A1232 A1182 A1142 A1101 A1068 A1021 A971 A845 A690 A464 A441 A431 A273 A195 A189 A103 A60">
    <cfRule type="duplicateValues" dxfId="982" priority="194"/>
  </conditionalFormatting>
  <conditionalFormatting sqref="A2552 A2396 A2349 A2333 A2330 A2289 A2258 A2131 A2122 A2100 A1929 A1825 A1692 A1659 A1513 A1420 A1364 A1248 A1218 A1175 A1158 A1146 A1138 A1120 A1095 A1086 A937 A908 A765 A714 A616 A571 A468 A396 A369 A349 A223 A187 A145 A125 A72 A69 A50 A46">
    <cfRule type="duplicateValues" dxfId="981" priority="113"/>
  </conditionalFormatting>
  <conditionalFormatting sqref="A2553 A2534 A2334 A2284 A2265 A2238 A2230 A2207 A2123 A2112 A2109 A2104 A2084 A2064 A2057 A2039:A2040 A1957 A1917 A1876 A1865 A1807 A1796 A1672 A1665 A1643 A1597 A1529 A1426 A1388 A1227 A1188 A1177 A1168 A1088 A1079 A958 A954 A942 A911 A836 A805 A694 A619 A615 A592 A574 A550 A436 A309 A235 A146 A131 A119 A49 A11">
    <cfRule type="duplicateValues" dxfId="980" priority="179"/>
  </conditionalFormatting>
  <conditionalFormatting sqref="A2555 A2538 A2393 A2255 A2076 A1606 A1598 A1428 A1205 A1100 A1026 A946 A840 A628 A622 A494 A361 A292 A249 A244 A221 A99 A26">
    <cfRule type="duplicateValues" dxfId="979" priority="148"/>
  </conditionalFormatting>
  <conditionalFormatting sqref="A2557">
    <cfRule type="duplicateValues" dxfId="978" priority="67"/>
  </conditionalFormatting>
  <conditionalFormatting sqref="A2558 A2551">
    <cfRule type="duplicateValues" dxfId="977" priority="74"/>
  </conditionalFormatting>
  <conditionalFormatting sqref="A2559 A2508 A2430 A2417 A2399 A2038 A1849 A1713 A1653 A1608 A1024 A961 A920 A485 A165 A127 A117 A17">
    <cfRule type="duplicateValues" dxfId="976" priority="161"/>
  </conditionalFormatting>
  <conditionalFormatting sqref="A2560 A2523 A2503 A2411 A2406 A2320 A2316 A2294 A2288 A2201 A2180 A2148 A2135 A2090 A2061 A1962 A1877 A1833 A1799 A1768 A1736 A1717 A1690 A1566 A1506 A1454 A1393 A1340 A1137 A1118 A1062 A1034 A1012 A988 A956 A953 A886 A762 A645 A625 A600 A543 A492 A445 A366 A312 A274 A152 A27 A8">
    <cfRule type="duplicateValues" dxfId="975" priority="203"/>
  </conditionalFormatting>
  <conditionalFormatting sqref="A2562">
    <cfRule type="duplicateValues" dxfId="974" priority="41"/>
  </conditionalFormatting>
  <conditionalFormatting sqref="A2568 A2413 A2408 A2299 A2242 A2222 A2166 A2153 A2151 A1933 A1891:A1893 A1836 A1783 A1748 A1684 A1648 A1629 A1528 A1304 A1197 A1141 A1035 A774 A724 A591 A565 A549 A447 A358 A265 A247 A155 A92 A35">
    <cfRule type="duplicateValues" dxfId="973" priority="173"/>
  </conditionalFormatting>
  <conditionalFormatting sqref="A2569 A2516 A2510 A2482 A2474 A2454 A2423 A2405 A2357 A2347 A2331 A2328 A2314 A2295 A2276 A2271 A2260 A2236:A2237 A2119 A2107 A2083 A2081 A2069 A1913 A1772 A1664 A1658 A1655 A1607 A1596 A1440 A1331 A1275 A1192 A1052 A1037 A1031 A962 A921 A893 A867 A751 A695 A685 A623 A617 A614 A595 A588:A589 A564 A491 A486 A476:A477 A473 A458 A437 A434 A422 A420 A413 A402 A391 A322 A315 A311 A295:A296 A287:A290 A281 A275:A276 A266 A259 A237 A232 A230 A218 A190:A191 A186 A175 A166 A147 A143 A133 A118">
    <cfRule type="duplicateValues" dxfId="972" priority="191"/>
  </conditionalFormatting>
  <conditionalFormatting sqref="A2572 A2504 A2210 A2114 A1963 A1900:A1901 A1846 A1810 A1723 A1650 A1476 A1371 A1262 A1233 A1133 A1128 A883 A594 A555 A493 A450 A323 A158 A28">
    <cfRule type="duplicateValues" dxfId="971" priority="185"/>
  </conditionalFormatting>
  <conditionalFormatting sqref="A2573 A2452 A2352 A2266 A2185 A1847 A1785 A1705 A1678 A1666 A1620 A1582 A1540 A1472 A1315 A1235 A1180 A1067 A925 A783 A556 A257 A250 A135">
    <cfRule type="duplicateValues" dxfId="970" priority="182"/>
  </conditionalFormatting>
  <conditionalFormatting sqref="A2576">
    <cfRule type="duplicateValues" dxfId="969" priority="4"/>
  </conditionalFormatting>
  <conditionalFormatting sqref="A38:C38">
    <cfRule type="duplicateValues" dxfId="968" priority="225"/>
  </conditionalFormatting>
  <conditionalFormatting sqref="B455 B421 B128">
    <cfRule type="duplicateValues" dxfId="967" priority="145"/>
    <cfRule type="duplicateValues" dxfId="966" priority="146"/>
    <cfRule type="duplicateValues" dxfId="965" priority="147"/>
  </conditionalFormatting>
  <conditionalFormatting sqref="B585 B575 B398 B324 B279:B280 B256 B53 B51">
    <cfRule type="duplicateValues" dxfId="964" priority="133"/>
    <cfRule type="duplicateValues" dxfId="963" priority="134"/>
    <cfRule type="duplicateValues" dxfId="962" priority="135"/>
  </conditionalFormatting>
  <conditionalFormatting sqref="B947 B870 B812">
    <cfRule type="duplicateValues" dxfId="961" priority="141"/>
    <cfRule type="duplicateValues" dxfId="960" priority="142"/>
    <cfRule type="duplicateValues" dxfId="959" priority="143"/>
  </conditionalFormatting>
  <conditionalFormatting sqref="B1844 B1773 B1203 B804">
    <cfRule type="duplicateValues" dxfId="958" priority="153"/>
    <cfRule type="duplicateValues" dxfId="957" priority="154"/>
  </conditionalFormatting>
  <conditionalFormatting sqref="B1914 B1585 B1542 B1429 B1370 B847 B669 B610 B345 B194">
    <cfRule type="duplicateValues" dxfId="956" priority="156"/>
    <cfRule type="duplicateValues" dxfId="955" priority="157"/>
  </conditionalFormatting>
  <conditionalFormatting sqref="B2127 B1565">
    <cfRule type="duplicateValues" dxfId="954" priority="121"/>
    <cfRule type="duplicateValues" dxfId="953" priority="122"/>
    <cfRule type="duplicateValues" dxfId="952" priority="123"/>
  </conditionalFormatting>
  <conditionalFormatting sqref="B2191 B2142 B2066 B2050 B1944 B1435">
    <cfRule type="duplicateValues" dxfId="951" priority="137"/>
    <cfRule type="duplicateValues" dxfId="950" priority="138"/>
    <cfRule type="duplicateValues" dxfId="949" priority="139"/>
  </conditionalFormatting>
  <conditionalFormatting sqref="B2196 B2054:B2055 B2045 B1878 B868">
    <cfRule type="duplicateValues" dxfId="948" priority="129"/>
    <cfRule type="duplicateValues" dxfId="947" priority="130"/>
    <cfRule type="duplicateValues" dxfId="946" priority="131"/>
  </conditionalFormatting>
  <conditionalFormatting sqref="B2296 B1910 B1762 B1483 B1164 B972 B860 B795 B746 B590 B236 B15">
    <cfRule type="duplicateValues" dxfId="945" priority="201"/>
    <cfRule type="duplicateValues" dxfId="944" priority="202"/>
  </conditionalFormatting>
  <conditionalFormatting sqref="B2402 B2078 B850 B405 B160">
    <cfRule type="duplicateValues" dxfId="943" priority="168"/>
    <cfRule type="duplicateValues" dxfId="942" priority="169"/>
  </conditionalFormatting>
  <conditionalFormatting sqref="B2412 B2407 B2378 B2350 B2313 B2228 B2219 B2072 B1888 B1802 B1176 B1055 B1029 B1016 B938 B897 B831 B719 B572 B547 B417 B357 B233 B188 B181 B90 B33">
    <cfRule type="duplicateValues" dxfId="941" priority="207"/>
    <cfRule type="duplicateValues" dxfId="940" priority="208"/>
    <cfRule type="duplicateValues" dxfId="939" priority="209"/>
  </conditionalFormatting>
  <conditionalFormatting sqref="B2415 B2409 B2310 B2065 B1943 B1905 B1848 B1710 B1320 B1162 B1130 B1071 B559 B161">
    <cfRule type="duplicateValues" dxfId="938" priority="171"/>
    <cfRule type="duplicateValues" dxfId="937" priority="172"/>
  </conditionalFormatting>
  <conditionalFormatting sqref="B2473 B2422 B2356 B2275 B1771 B1663 B1185 B1028 B861 B748 B587 B465 B433 B401 B390 B240 B228">
    <cfRule type="duplicateValues" dxfId="936" priority="159"/>
    <cfRule type="duplicateValues" dxfId="935" priority="160"/>
  </conditionalFormatting>
  <conditionalFormatting sqref="B2481 B2420 B2379 B2307 B2269 B2264 B1868 B1769 B1676 B1609 B1527 B1466 B1027 B1017 B723 B581 B488 B475 B430 B411 B404 B389 B359 B320 B314 B308 B270 B238 B234 B174 B34 B4">
    <cfRule type="duplicateValues" dxfId="934" priority="215"/>
    <cfRule type="duplicateValues" dxfId="933" priority="216"/>
    <cfRule type="duplicateValues" dxfId="932" priority="217"/>
  </conditionalFormatting>
  <conditionalFormatting sqref="B2483 B1363 B1174 B987 B906 B896 B824 B709 B467 B348 B31">
    <cfRule type="duplicateValues" dxfId="931" priority="117"/>
    <cfRule type="duplicateValues" dxfId="930" priority="118"/>
    <cfRule type="duplicateValues" dxfId="929" priority="119"/>
  </conditionalFormatting>
  <conditionalFormatting sqref="B2506 B2141 B1652 B1552 B1481 B1322 B1239 B932 B789 B740 B184 B163">
    <cfRule type="duplicateValues" dxfId="928" priority="165"/>
    <cfRule type="duplicateValues" dxfId="927" priority="166"/>
  </conditionalFormatting>
  <conditionalFormatting sqref="B2509 B2312 B2292 B2241 B2239 B2193 B2106 B2067 B2053 B1965 B1822 B1764 B1654 B1375 B1276 B890 B414 B136">
    <cfRule type="duplicateValues" dxfId="926" priority="189"/>
    <cfRule type="duplicateValues" dxfId="925" priority="190"/>
  </conditionalFormatting>
  <conditionalFormatting sqref="B2521 B2475 B2419 B2376 B2348 B2332 B2272 B2257 B2115 B2110 B2098 B2082 B1797 B1662 B1499 B1190 B1171 B955 B819 B808 B799 B703 B641 B580 B568 B429 B418 B395 B368 B316 B242 B192 B185 B172 B144 B80 B22 B3">
    <cfRule type="duplicateValues" dxfId="924" priority="219"/>
    <cfRule type="duplicateValues" dxfId="923" priority="220"/>
    <cfRule type="duplicateValues" dxfId="922" priority="221"/>
  </conditionalFormatting>
  <conditionalFormatting sqref="B2527 B2494:B2495 B2306 B2248 B2167 B1745 B1671 B1646 B1576 B1302 B1033 B940 B931 B772 B480 B224 B20 B9">
    <cfRule type="duplicateValues" dxfId="921" priority="177"/>
    <cfRule type="duplicateValues" dxfId="920" priority="178"/>
  </conditionalFormatting>
  <conditionalFormatting sqref="B2528 B2515 B2497 B2484 B2477 B2404 B2273 B2183 B2177 B2111 B2073 B2068 B2059:B2060 B1932 B1827 B1749 B1720 B1697 B1421 B1167 B1155 B1140 B1123 B1041 B965 B941 B909 B898 B835 B603 B548 B392 B351 B344 B243 B225">
    <cfRule type="duplicateValues" dxfId="919" priority="211"/>
    <cfRule type="duplicateValues" dxfId="918" priority="212"/>
    <cfRule type="duplicateValues" dxfId="917" priority="213"/>
  </conditionalFormatting>
  <conditionalFormatting sqref="B2532 B2517 B2485 B2427 B2414 B2395 B2300 B2259 B2139 B2074 B1894 B1838 B1806 B1770 B1700 B1649 B1610 B1530 B1486 B1467 B1423 B1308 B1201 B1098 B1065 B1043 B910 B837 B776 B726 B626 B605 B582 B573 B551 B463 B352 B226 B193 B156 B95 B36 B24">
    <cfRule type="duplicateValues" dxfId="916" priority="125"/>
    <cfRule type="duplicateValues" dxfId="915" priority="126"/>
    <cfRule type="duplicateValues" dxfId="914" priority="127"/>
  </conditionalFormatting>
  <conditionalFormatting sqref="B2536 B2499 B2286 B1083 B887 B552 B482 B262 B140">
    <cfRule type="duplicateValues" dxfId="913" priority="198"/>
    <cfRule type="duplicateValues" dxfId="912" priority="199"/>
  </conditionalFormatting>
  <conditionalFormatting sqref="B2541 B2505 B2442 B2403 B2341 B2290 B2251 B2211 B2194 B2124 B2058 B2046 B1964 B1939 B1899 B1812 B1794 B1788 B1724 B1715 B1706 B1677 B1587 B1539 B1475 B1431 B1376 B1352 B1317 B1261 B1232 B1182 B1142 B1101 B1068 B1021 B971 B845 B690 B464 B441 B431 B273 B195 B189 B103 B60">
    <cfRule type="duplicateValues" dxfId="911" priority="195"/>
    <cfRule type="duplicateValues" dxfId="910" priority="196"/>
  </conditionalFormatting>
  <conditionalFormatting sqref="B2553 B2534 B2334 B2284 B2265 B2238 B2230 B2207 B2123 B2112 B2109 B2104 B2084 B2064 B2057 B2039:B2040 B1957 B1917 B1876 B1865 B1807 B1796 B1672 B1665 B1643 B1597 B1529 B1426 B1388 B1227 B1188 B1177 B1168 B1088 B1079 B958 B954 B942 B911 B836 B805 B694 B619 B615 B592 B574 B550 B436 B309 B235 B146 B131 B119 B49 B11">
    <cfRule type="duplicateValues" dxfId="909" priority="180"/>
    <cfRule type="duplicateValues" dxfId="908" priority="181"/>
  </conditionalFormatting>
  <conditionalFormatting sqref="B2555 B2538 B2393 B2255 B2076 B1606 B1598 B1428 B1205 B1100 B1026 B946 B840 B628 B622 B494 B361 B292 B249 B244 B221 B99 B26">
    <cfRule type="duplicateValues" dxfId="907" priority="149"/>
    <cfRule type="duplicateValues" dxfId="906" priority="150"/>
    <cfRule type="duplicateValues" dxfId="905" priority="151"/>
  </conditionalFormatting>
  <conditionalFormatting sqref="B2559 B2508 B2430 B2417 B2399 B2038 B1849 B1713 B1653 B1608 B1024 B961 B920 B485 B165 B127 B117 B17">
    <cfRule type="duplicateValues" dxfId="904" priority="162"/>
    <cfRule type="duplicateValues" dxfId="903" priority="163"/>
  </conditionalFormatting>
  <conditionalFormatting sqref="B2560 B2523 B2503 B2411 B2406 B2320 B2316 B2294 B2288 B2201 B2180 B2148 B2135 B2090 B2061 B1962 B1877 B1833 B1799 B1768 B1736 B1717 B1690 B1566 B1506 B1454 B1393 B1340 B1137 B1118 B1062 B1034 B1012 B988 B956 B953 B886 B762 B645 B625 B600 B543 B492 B445 B366 B312 B274 B152 B27 B8">
    <cfRule type="duplicateValues" dxfId="902" priority="204"/>
    <cfRule type="duplicateValues" dxfId="901" priority="205"/>
  </conditionalFormatting>
  <conditionalFormatting sqref="B2568 B2413 B2408 B2299 B2242 B2222 B2166 B2153 B2151 B1933 B1891:B1893 B1836 B1783 B1748 B1684 B1648 B1629 B1528 B1304 B1197 B1141 B1035 B774 B724 B591 B565 B549 B447 B358 B265 B247 B155 B92 B35">
    <cfRule type="duplicateValues" dxfId="900" priority="174"/>
    <cfRule type="duplicateValues" dxfId="899" priority="175"/>
  </conditionalFormatting>
  <conditionalFormatting sqref="B2569 B2516 B2510 B2482 B2474 B2454 B2423 B2405 B2357 B2347 B2331 B2328 B2314 B2295 B2276 B2271 B2260 B2236:B2237 B2119 B2107 B2083 B2081 B2069 B1913 B1772 B1664 B1658 B1655 B1607 B1596 B1440 B1331 B1275 B1192 B1052 B1037 B1031 B962 B921 B893 B867 B751 B695 B685 B623 B617 B614 B595 B588:B589 B564 B491 B486 B476:B477 B473 B458 B437 B434 B422 B420 B413 B402 B391 B322 B315 B311 B295:B296 B287:B290 B281 B275:B276 B266 B259 B237 B232 B230 B218 B190:B191 B186 B175 B166 B147 B143 B133 B118">
    <cfRule type="duplicateValues" dxfId="898" priority="192"/>
    <cfRule type="duplicateValues" dxfId="897" priority="193"/>
  </conditionalFormatting>
  <conditionalFormatting sqref="B2572 B2504 B2210 B2114 B1963 B1900:B1901 B1846 B1810 B1723 B1650 B1476 B1371 B1262 B1233 B1133 B1128 B883 B594 B555 B493 B450 B323 B158 B28">
    <cfRule type="duplicateValues" dxfId="896" priority="186"/>
    <cfRule type="duplicateValues" dxfId="895" priority="187"/>
  </conditionalFormatting>
  <conditionalFormatting sqref="B2573 B2452 B2352 B2266 B2185 B1847 B1785 B1705 B1678 B1666 B1620 B1582 B1540 B1472 B1315 B1235 B1180 B1067 B925 B783 B556 B257 B250 B135">
    <cfRule type="duplicateValues" dxfId="894" priority="183"/>
    <cfRule type="duplicateValues" dxfId="893" priority="184"/>
  </conditionalFormatting>
  <conditionalFormatting sqref="C11">
    <cfRule type="duplicateValues" dxfId="892" priority="226"/>
  </conditionalFormatting>
  <conditionalFormatting sqref="A277">
    <cfRule type="duplicateValues" dxfId="891" priority="3"/>
  </conditionalFormatting>
  <conditionalFormatting sqref="A241">
    <cfRule type="duplicateValues" dxfId="890" priority="1"/>
  </conditionalFormatting>
  <hyperlinks>
    <hyperlink ref="D758" r:id="rId1" xr:uid="{CCBFB1CC-7503-46C9-9D9B-F8F3105811D9}"/>
    <hyperlink ref="D1144" r:id="rId2" xr:uid="{6340ED71-338D-47BD-88DC-9E4DFABE79AD}"/>
    <hyperlink ref="D2515" r:id="rId3" xr:uid="{DB73C060-FA6A-45F1-A4A7-075717DA669F}"/>
    <hyperlink ref="D1485" r:id="rId4" xr:uid="{8BE4AC50-625C-41CF-B994-F744381CA02E}"/>
    <hyperlink ref="D805" r:id="rId5" xr:uid="{8E3715B7-1FE9-49C1-A281-FBBE795B6BB8}"/>
    <hyperlink ref="D839" r:id="rId6" xr:uid="{EF7BC5CD-7B35-43E6-A37F-CE19FB95937C}"/>
    <hyperlink ref="D811" r:id="rId7" xr:uid="{F66D10D9-72C4-4196-ADBD-3E4B509A8811}"/>
    <hyperlink ref="D1794" r:id="rId8" xr:uid="{2E64827C-A9B5-4B63-B7C1-7B4D44DFC9AE}"/>
    <hyperlink ref="D2432" r:id="rId9" xr:uid="{50C75BD2-6303-41E4-B28B-C335355F58DA}"/>
    <hyperlink ref="D2400" r:id="rId10" xr:uid="{FC570165-6BBE-4070-801D-23CD73348788}"/>
    <hyperlink ref="D2550" r:id="rId11" xr:uid="{9E3F657B-DF1D-41BA-B9C7-AB154A8163D9}"/>
    <hyperlink ref="D606" r:id="rId12" xr:uid="{D942C88D-09F5-4D33-89ED-CCBA8F18233D}"/>
    <hyperlink ref="D1608" r:id="rId13" xr:uid="{9F69019B-5346-4909-9A63-53678BB433FE}"/>
    <hyperlink ref="D1300" r:id="rId14" xr:uid="{BEA19F39-3091-46D7-8F83-E02EEE4E7419}"/>
    <hyperlink ref="D1376" r:id="rId15" xr:uid="{4C3FC657-C0C9-4C4A-A42C-A54550A19F1B}"/>
    <hyperlink ref="D2525" r:id="rId16" xr:uid="{46EC4E6D-C6D7-4767-A6A5-62E2C7BC8B1C}"/>
    <hyperlink ref="D956" r:id="rId17" xr:uid="{C3D56B89-4197-4542-AE45-C02F42E6F50D}"/>
    <hyperlink ref="D1006" r:id="rId18" xr:uid="{EDBB1E84-21B2-4001-83A7-3915D330F9D6}"/>
    <hyperlink ref="D615" r:id="rId19" xr:uid="{421FB82F-3E96-4799-8F09-95A0A9FD3975}"/>
    <hyperlink ref="D739" r:id="rId20" xr:uid="{6C139FEA-8967-4CF7-832B-4556270CA9B5}"/>
    <hyperlink ref="D1872" r:id="rId21" xr:uid="{2877D8DC-3AFC-4A73-A310-8F53F83F022C}"/>
    <hyperlink ref="D1033" r:id="rId22" xr:uid="{72CE00F0-CCC6-4170-9863-4D99C8FAD645}"/>
    <hyperlink ref="D1050" r:id="rId23" xr:uid="{9C7CD9DA-ED69-4133-88D1-99075714948F}"/>
    <hyperlink ref="D2007" r:id="rId24" xr:uid="{2787CE7D-6085-407C-8AE9-1443C95A7B10}"/>
    <hyperlink ref="D1097" r:id="rId25" xr:uid="{151069C8-1B16-4A6D-ADCE-DD2197157A4C}"/>
    <hyperlink ref="D562" r:id="rId26" xr:uid="{9EE0354E-1332-4018-BCA5-AF005C0CF425}"/>
    <hyperlink ref="D1671" r:id="rId27" xr:uid="{1C7A7C26-80B3-4E70-8386-B2FA95BC09C1}"/>
    <hyperlink ref="D882" r:id="rId28" xr:uid="{12095037-25FC-427F-AF23-83248CDCCC8A}"/>
    <hyperlink ref="D1270" r:id="rId29" xr:uid="{01E0ECE3-ACD6-4957-8792-6D2CA6D60677}"/>
    <hyperlink ref="D944" r:id="rId30" xr:uid="{4F8CE055-01F3-46A1-BF9D-D04ED12FEC13}"/>
    <hyperlink ref="D808" r:id="rId31" xr:uid="{4AB9D303-2B87-4467-9C68-2194B861C7B3}"/>
    <hyperlink ref="D251" r:id="rId32" xr:uid="{C19DE307-5A78-4D26-BC90-73B059BD54FA}"/>
    <hyperlink ref="D854" r:id="rId33" xr:uid="{4B23C14C-807A-42BC-AE4D-91C526A16984}"/>
    <hyperlink ref="D2556" r:id="rId34" xr:uid="{CA26F82C-4496-4084-B81F-10E40DEFA3CB}"/>
    <hyperlink ref="D813" r:id="rId35" xr:uid="{91FB446E-6A21-4434-88B6-B80A4AED05DB}"/>
    <hyperlink ref="D386" r:id="rId36" xr:uid="{A631A78C-1B50-40E6-B0DD-793B375CD6EF}"/>
    <hyperlink ref="D2060" r:id="rId37" xr:uid="{0BABD7D6-795F-41B3-BC71-5976FE3AA45A}"/>
    <hyperlink ref="D523" r:id="rId38" xr:uid="{FC8931CC-F95F-4B94-8885-FE3691E17913}"/>
    <hyperlink ref="D421" r:id="rId39" xr:uid="{09867530-8EB1-46D0-ABBF-C9EB1406ABAA}"/>
    <hyperlink ref="D1246" r:id="rId40" xr:uid="{A087AAFD-A228-44AE-89E9-9D0C39A2D466}"/>
    <hyperlink ref="D1921" r:id="rId41" xr:uid="{7643562F-DC85-4E3B-B5E5-5416E0E3257F}"/>
    <hyperlink ref="D411" r:id="rId42" xr:uid="{5FE7AAEC-18E7-4657-81EF-04E1E0FD3DFD}"/>
    <hyperlink ref="D2553" r:id="rId43" xr:uid="{F2BFAC8B-E595-4B9A-9BA9-8E3763E1621B}"/>
    <hyperlink ref="D368" r:id="rId44" xr:uid="{D26BC4EC-04DB-4BED-A253-A8207641FF95}"/>
    <hyperlink ref="D886" r:id="rId45" xr:uid="{AA506883-16EA-4A8C-8280-2DC80C6C439A}"/>
    <hyperlink ref="D2397" r:id="rId46" xr:uid="{FAAF72F3-51B5-4D50-A66E-3657DA2988B9}"/>
    <hyperlink ref="D1079" r:id="rId47" xr:uid="{CDA424B1-850B-480B-8092-0B88A624FD8F}"/>
    <hyperlink ref="D2393" r:id="rId48" xr:uid="{E5D04A97-5C68-4C52-9277-D5C95699847C}"/>
    <hyperlink ref="D967" r:id="rId49" xr:uid="{B89031F7-983E-4652-ACFC-C24599ABFA39}"/>
    <hyperlink ref="D1941" r:id="rId50" xr:uid="{D6F40A2A-9F04-4E72-8D9D-97DF03A5FCDE}"/>
    <hyperlink ref="D1645" r:id="rId51" xr:uid="{9F1CE88E-BAF4-4CE9-BA6D-F4D2C87B87B3}"/>
    <hyperlink ref="D1486" r:id="rId52" xr:uid="{139B7E8F-1915-4219-ACE4-DBB9C0E7CD1D}"/>
    <hyperlink ref="D781" r:id="rId53" xr:uid="{AA6F744B-4712-4C6F-AA61-9B011151CF65}"/>
    <hyperlink ref="D2321" r:id="rId54" xr:uid="{97DF19CB-F304-4C75-97E3-8ED738A80F7E}"/>
    <hyperlink ref="D316" r:id="rId55" xr:uid="{22B198F3-2C7B-4F91-A5A3-8A5ECC394C19}"/>
    <hyperlink ref="D955" r:id="rId56" xr:uid="{9BCE12CA-4A0C-429A-96A4-E87A2C69CC00}"/>
    <hyperlink ref="D1511" r:id="rId57" xr:uid="{1A5DAA46-19C0-42C7-81C4-FC8A7570B6C8}"/>
    <hyperlink ref="D2566" r:id="rId58" xr:uid="{F70A8893-FDAC-49D7-AAA8-1C19950D849A}"/>
    <hyperlink ref="D410" r:id="rId59" xr:uid="{6F066A1B-0D8D-4E9D-BAE7-BA5E9D1A4AAD}"/>
    <hyperlink ref="D2500" r:id="rId60" xr:uid="{873BEC67-87A2-4155-A2B7-565355899D3D}"/>
    <hyperlink ref="D2128" r:id="rId61" xr:uid="{4E33DC7C-B6D8-4315-A688-C52D5BFF5289}"/>
    <hyperlink ref="D2492" r:id="rId62" xr:uid="{416C63E3-C4F3-4487-88E4-01FB6533B2A8}"/>
    <hyperlink ref="D113" r:id="rId63" xr:uid="{5E7D4A98-A107-407D-A45F-FF93EDE6A000}"/>
    <hyperlink ref="D945" r:id="rId64" xr:uid="{21E2D3A5-AFA4-4F0E-AF28-9E0F03D45CC7}"/>
    <hyperlink ref="D2104" r:id="rId65" xr:uid="{98CD91A5-E80E-4369-822D-758EF2FB96AF}"/>
    <hyperlink ref="D1942" r:id="rId66" xr:uid="{A03B3AF2-3BCD-4B08-8546-0E91D5A81A9D}"/>
    <hyperlink ref="D870" r:id="rId67" xr:uid="{D19BFA26-C02D-4A49-9D1C-2B0E94938F37}"/>
    <hyperlink ref="D2391" r:id="rId68" xr:uid="{75DD1549-0C8C-4D53-BC20-7C2DEDED83FC}"/>
    <hyperlink ref="D1796" r:id="rId69" xr:uid="{CBA6FE0F-906D-4857-9814-9DE4439CB890}"/>
    <hyperlink ref="D48" r:id="rId70" xr:uid="{1B880263-1242-451E-9C97-951B1086A44C}"/>
    <hyperlink ref="D851" r:id="rId71" xr:uid="{BFED1108-CE3C-450E-95F4-19A853EEA926}"/>
    <hyperlink ref="D108" r:id="rId72" xr:uid="{80433C66-1A8F-4543-9F6D-0FE72E82CFDE}"/>
    <hyperlink ref="D2133" r:id="rId73" xr:uid="{6E9FBF7E-9741-48FF-826B-415E41C622CC}"/>
    <hyperlink ref="D844" r:id="rId74" xr:uid="{C4B6106E-7165-4B8D-8655-5CB58686C7AD}"/>
    <hyperlink ref="D1061" r:id="rId75" xr:uid="{83EF587B-F7F1-4340-9181-00A264A432B3}"/>
    <hyperlink ref="D1088" r:id="rId76" xr:uid="{B9916670-F080-4828-8163-106023E121A9}"/>
    <hyperlink ref="D2284" r:id="rId77" xr:uid="{86B4788B-10AC-490F-B90C-59247B62048C}"/>
    <hyperlink ref="D2461" r:id="rId78" xr:uid="{A843157C-D354-48FD-9E70-1EBD2B825878}"/>
    <hyperlink ref="D954" r:id="rId79" xr:uid="{98901311-44BA-4775-BBCE-C036792C4128}"/>
    <hyperlink ref="D695" r:id="rId80" xr:uid="{287B74EB-F808-4B32-ADDC-4A31B22A5137}"/>
    <hyperlink ref="D780" r:id="rId81" xr:uid="{0F3DC0A7-3474-4308-84D8-025504234C42}"/>
    <hyperlink ref="D1989" r:id="rId82" xr:uid="{7848AF83-D697-4CAB-B0D8-7E8C7A965D28}"/>
    <hyperlink ref="D1930" r:id="rId83" xr:uid="{C9EA84AF-D32E-4A33-AF24-4054BBBF7609}"/>
    <hyperlink ref="D2281" r:id="rId84" xr:uid="{9B5EAAD1-F915-4D89-BE1E-9F567D181E4B}"/>
    <hyperlink ref="D474" r:id="rId85" xr:uid="{2DAC9072-178E-4937-A833-7160502DE454}"/>
    <hyperlink ref="D1568" r:id="rId86" xr:uid="{1CA8463F-3219-4CF8-B9D8-CD8279164453}"/>
    <hyperlink ref="D2303" r:id="rId87" xr:uid="{1222AA98-E387-412F-91B8-61C30902AD7B}"/>
    <hyperlink ref="D2427" r:id="rId88" xr:uid="{6084DC92-371D-4D30-9062-BD4B689977A2}"/>
    <hyperlink ref="D1133" r:id="rId89" xr:uid="{13D307E3-EE21-414F-9969-DBC1B4190502}"/>
    <hyperlink ref="D785" r:id="rId90" xr:uid="{7562094B-A985-474F-AB4D-A2D0F575DADA}"/>
    <hyperlink ref="D1801" r:id="rId91" xr:uid="{CF9726ED-5EB9-43A1-B022-04B49B84AFD8}"/>
    <hyperlink ref="D438" r:id="rId92" xr:uid="{DBF0C7D9-145F-4FF1-867D-720C3EDF9FB9}"/>
    <hyperlink ref="D501" r:id="rId93" xr:uid="{229AC7AD-634D-46FB-BFE0-2C6E639FC4C6}"/>
    <hyperlink ref="D2477" r:id="rId94" xr:uid="{B4EBFFDC-2FDD-471F-ACFD-EB9B1A8FBED4}"/>
    <hyperlink ref="D2061" r:id="rId95" xr:uid="{537AF130-482B-424F-AFC0-A2B3EBEF1F7C}"/>
    <hyperlink ref="D508" r:id="rId96" xr:uid="{ADEA39B4-53A8-4154-8483-281F046A9C51}"/>
    <hyperlink ref="D1691" r:id="rId97" xr:uid="{07F63683-AB97-4F52-BD1B-86CA959F6ADA}"/>
    <hyperlink ref="D2567" r:id="rId98" xr:uid="{B15F028F-11FD-4FF7-87B1-F35AE78BBB04}"/>
    <hyperlink ref="D1015" r:id="rId99" xr:uid="{253B720A-A475-4D51-B029-9372B527C331}"/>
    <hyperlink ref="D477" r:id="rId100" xr:uid="{6009D97C-5210-435E-9D61-7196F98DEE8E}"/>
    <hyperlink ref="D1278" r:id="rId101" xr:uid="{99547EA9-5DE5-4F0F-9FC6-188C73C0D605}"/>
    <hyperlink ref="D2032" r:id="rId102" xr:uid="{9A46FF19-892A-4E1C-B2CE-ACD656E8F33E}"/>
    <hyperlink ref="D978" r:id="rId103" xr:uid="{CFB0A0D9-81B4-4FCC-9A50-187E9B5439A3}"/>
    <hyperlink ref="D1077" r:id="rId104" xr:uid="{F9A7E7E5-41C1-4679-B166-A0A18FE131EB}"/>
    <hyperlink ref="D727" r:id="rId105" xr:uid="{C3BEFBFD-7180-492C-B6DD-071464C84D13}"/>
    <hyperlink ref="D1150" r:id="rId106" xr:uid="{A89DF460-E6A6-4498-90C5-FB472C24DA67}"/>
    <hyperlink ref="D2539" r:id="rId107" xr:uid="{C337B950-7316-4988-8132-3F77CE8F6184}"/>
    <hyperlink ref="D56" r:id="rId108" xr:uid="{A65A3669-50CA-429A-BEE0-907CB69B15AE}"/>
    <hyperlink ref="D1976" r:id="rId109" xr:uid="{E5ACB2F8-8D2D-43E0-B555-511ED978A1BC}"/>
    <hyperlink ref="D1795" r:id="rId110" xr:uid="{DB83F2E0-AE44-42F9-A920-67B2DB7DB7C2}"/>
    <hyperlink ref="D2096" r:id="rId111" xr:uid="{3A434E11-DE93-4FF7-9875-8890F71DF307}"/>
    <hyperlink ref="D2127" r:id="rId112" xr:uid="{77FE6E47-E055-49CF-B5AA-AE5D0D07686E}"/>
    <hyperlink ref="D111" r:id="rId113" xr:uid="{E59B4257-63D0-48B8-B05F-9CFB5A0A7849}"/>
    <hyperlink ref="D902" r:id="rId114" xr:uid="{37B8F1B7-5CE8-4E5E-868B-C326E457080D}"/>
    <hyperlink ref="D1436" r:id="rId115" xr:uid="{0B0BD273-7B03-4E3E-8167-924483539113}"/>
    <hyperlink ref="D494" r:id="rId116" xr:uid="{775F555A-B051-469B-AF8E-BA48E89D3D3B}"/>
    <hyperlink ref="D2204" r:id="rId117" xr:uid="{9AA6CEAD-3B70-4876-B3E6-A256042855E9}"/>
    <hyperlink ref="D407" r:id="rId118" xr:uid="{3A54AD0F-2940-4FBC-8B8E-4700BB9D942B}"/>
    <hyperlink ref="D478" r:id="rId119" xr:uid="{F6D1AD8A-E178-4470-9A11-96943AC003AB}"/>
    <hyperlink ref="D984" r:id="rId120" xr:uid="{31775EE1-8C85-4962-9348-805EF179CE23}"/>
    <hyperlink ref="D150" r:id="rId121" xr:uid="{7AC9AB01-3C65-4B7C-8FBF-95D72C0871B0}"/>
    <hyperlink ref="D502" r:id="rId122" xr:uid="{BC34FB96-22E1-406E-AF64-D01B7CEB7925}"/>
    <hyperlink ref="D1712" r:id="rId123" xr:uid="{2D0DA9BE-AD4E-47C4-B6FD-35CD6BCCD376}"/>
    <hyperlink ref="D471" r:id="rId124" xr:uid="{E2E574B4-7818-430B-A142-D96ABD9E4EBE}"/>
    <hyperlink ref="D252" r:id="rId125" xr:uid="{9A725E92-B002-4385-B002-7AF32C60A347}"/>
    <hyperlink ref="D2383" r:id="rId126" xr:uid="{C269B2AF-B7EC-499C-9734-2A6133B224DE}"/>
    <hyperlink ref="D206" r:id="rId127" xr:uid="{4DEE00F6-171A-434D-A8FB-F32BFCDADDD0}"/>
    <hyperlink ref="D1598" r:id="rId128" xr:uid="{9F9857C0-22D2-49D3-ABCF-85E2AF89186C}"/>
    <hyperlink ref="D1936" r:id="rId129" xr:uid="{5EB3406F-C2A1-4F68-A9CA-7C6D97A65B99}"/>
    <hyperlink ref="D1597" r:id="rId130" xr:uid="{4916E8B2-32C5-4956-8913-ACC6514477A8}"/>
    <hyperlink ref="D2448" r:id="rId131" xr:uid="{2FB0036D-5D0C-4F0E-9B3F-935CECF83481}"/>
    <hyperlink ref="D2542" r:id="rId132" xr:uid="{F5E5CFBB-E81C-4EC0-8963-57DDC88996E1}"/>
    <hyperlink ref="D1609" r:id="rId133" xr:uid="{D537080E-DC2E-4ACB-897D-64110CA2A899}"/>
    <hyperlink ref="D773" r:id="rId134" xr:uid="{65737687-E439-4E93-A8E0-12A1AA7B82D0}"/>
    <hyperlink ref="D207" r:id="rId135" xr:uid="{74E8F891-9F1C-43FF-BE72-2BB6933232A1}"/>
    <hyperlink ref="D1151" r:id="rId136" xr:uid="{689A0D91-3735-42BD-AB28-93391B073140}"/>
    <hyperlink ref="D1792" r:id="rId137" xr:uid="{26E4BEF5-097D-4944-A065-F4FD38B0CC9B}"/>
    <hyperlink ref="D1768" r:id="rId138" xr:uid="{4D272F22-DC8C-4916-A104-E003D620E908}"/>
    <hyperlink ref="D1148" r:id="rId139" xr:uid="{8DB20F16-C359-400E-A158-F0525A6E32F7}"/>
    <hyperlink ref="D1507" r:id="rId140" xr:uid="{963B539E-CECD-4FEA-A2DE-429FDECD4CA0}"/>
    <hyperlink ref="D1858" r:id="rId141" xr:uid="{735DCBDA-DFFE-439D-AFF5-75C0120E70CF}"/>
    <hyperlink ref="D2181" r:id="rId142" xr:uid="{4AC22F7A-0641-4FDF-BC3E-CE879D179C3E}"/>
    <hyperlink ref="D2195" r:id="rId143" xr:uid="{AA400675-38AC-4124-9444-6E754FBB7220}"/>
    <hyperlink ref="D616" r:id="rId144" xr:uid="{5DED3733-0E01-43C3-B493-53FD08FB26EB}"/>
    <hyperlink ref="D486" r:id="rId145" xr:uid="{2B488493-700C-4C18-AFEF-1C3FAFD5E3F2}"/>
    <hyperlink ref="D1972" r:id="rId146" xr:uid="{4731262E-80CF-4927-AC31-BF42DE90C9AB}"/>
    <hyperlink ref="D1769" r:id="rId147" xr:uid="{3D042611-596B-4934-8589-C6B4AE5E6448}"/>
    <hyperlink ref="D2348" r:id="rId148" xr:uid="{181CDA00-6BAE-4108-A674-8A64C3B746D6}"/>
    <hyperlink ref="D980" r:id="rId149" xr:uid="{3BEB2C57-4273-4D31-8AF9-B181BB22193D}"/>
    <hyperlink ref="D2574" r:id="rId150" xr:uid="{56BB5EC0-5F35-499D-BE79-661DC20F4F55}"/>
    <hyperlink ref="D86" r:id="rId151" xr:uid="{40813757-0781-49E6-ACD1-918D298BC3C8}"/>
    <hyperlink ref="D269" r:id="rId152" xr:uid="{CB2826D3-0521-42BC-A515-2463970F253E}"/>
    <hyperlink ref="D1339" r:id="rId153" xr:uid="{320CF95B-44C3-4310-BF63-DD9DAB32CAD9}"/>
    <hyperlink ref="D2331" r:id="rId154" xr:uid="{BEEE9F70-D1FC-44A5-AF69-2791FA368F11}"/>
    <hyperlink ref="D2487" r:id="rId155" xr:uid="{EECFC617-FC23-4658-8860-6D19691BAE56}"/>
    <hyperlink ref="D288" r:id="rId156" xr:uid="{73A1D161-DD0C-45E8-98B0-81257FD56EE9}"/>
    <hyperlink ref="D820" r:id="rId157" xr:uid="{901B246C-61B1-432C-AC52-454EC5C75D5C}"/>
    <hyperlink ref="D2543" r:id="rId158" xr:uid="{12C8DDAD-3198-4F53-9C53-5A1245AA3789}"/>
    <hyperlink ref="D256" r:id="rId159" xr:uid="{6130A6CD-5633-4B35-AD45-EC2D3C6806D9}"/>
    <hyperlink ref="D344" r:id="rId160" xr:uid="{D5074C3A-4132-4BD6-9870-2C76EE7E0B8A}"/>
    <hyperlink ref="D589" r:id="rId161" xr:uid="{D5765B8E-A509-49AF-B40F-AA0FCE4137D9}"/>
    <hyperlink ref="D2079" r:id="rId162" xr:uid="{A302D62B-DD71-4E9E-93B2-585BE249C7A6}"/>
    <hyperlink ref="D1803" r:id="rId163" xr:uid="{F11CFF7C-9F81-4EAF-8250-8151719F4166}"/>
    <hyperlink ref="D314" r:id="rId164" xr:uid="{5E98C980-F36A-42E3-9BD1-8F6E86F10169}"/>
    <hyperlink ref="D2070" r:id="rId165" xr:uid="{82AFA9F0-99A1-4A64-AE36-406ADD8C1704}"/>
    <hyperlink ref="D799" r:id="rId166" xr:uid="{07230059-EC14-48BD-99AD-415D2772CE53}"/>
    <hyperlink ref="D2196" r:id="rId167" xr:uid="{A5E89057-4D8B-4270-B050-F85FFA461CE8}"/>
    <hyperlink ref="D2475" r:id="rId168" xr:uid="{C417BACA-CDA6-4343-912C-40E2EBE9FB92}"/>
    <hyperlink ref="D2075" r:id="rId169" xr:uid="{01CCFB8D-16FD-4BD5-A60F-A27080E6144F}"/>
    <hyperlink ref="D2148" r:id="rId170" xr:uid="{416BC8BB-0D7F-45DD-BEE3-4D4397C796DE}"/>
    <hyperlink ref="D287" r:id="rId171" xr:uid="{F1AB4902-272E-4F89-98E0-044B44106C31}"/>
    <hyperlink ref="D2022" r:id="rId172" xr:uid="{8C5147B9-4916-4070-87AD-C27EDBF304C1}"/>
    <hyperlink ref="D385" r:id="rId173" xr:uid="{66DD056B-0ED5-4514-9F6D-AB269EDD5C55}"/>
    <hyperlink ref="D290" r:id="rId174" xr:uid="{6FDFB580-78E3-4F9C-A8FB-D2DFAA5EBF42}"/>
    <hyperlink ref="D87" r:id="rId175" xr:uid="{152FE1DE-3819-48CB-B381-08BD1CFEF672}"/>
    <hyperlink ref="D85" r:id="rId176" xr:uid="{9C2AD747-E76D-449B-997B-8C26DD58E7CF}"/>
    <hyperlink ref="D863" r:id="rId177" xr:uid="{76AD435E-3378-4B1B-908A-0460E56BFC8A}"/>
    <hyperlink ref="D759" r:id="rId178" xr:uid="{E0D77675-58FC-4516-B9C4-293F267BD11B}"/>
    <hyperlink ref="D913" r:id="rId179" xr:uid="{E9A08D51-24BE-48DC-B842-5AE91286E3D5}"/>
    <hyperlink ref="D191" r:id="rId180" xr:uid="{BE6BAF75-2F1A-49CD-90C1-1AFC3C89B3A1}"/>
    <hyperlink ref="D796" r:id="rId181" xr:uid="{B66373DB-AD65-42B1-95A3-833B3B4D3DD9}"/>
    <hyperlink ref="D2263" r:id="rId182" xr:uid="{DCCD3E83-D1D0-40FD-A817-5CE8BC4D41BB}"/>
    <hyperlink ref="D2484" r:id="rId183" xr:uid="{743AE25D-B1E4-40BA-ACE1-7972157D66E7}"/>
    <hyperlink ref="D2156" r:id="rId184" xr:uid="{5FA938F1-6881-4DC1-AC77-515FB15830AD}"/>
    <hyperlink ref="D2456" r:id="rId185" xr:uid="{AA2712D6-2604-45C0-9270-89F70795DFBD}"/>
    <hyperlink ref="D415" r:id="rId186" xr:uid="{64B7BD53-928F-49B9-828D-2CA5AA1DDA17}"/>
    <hyperlink ref="D2255" r:id="rId187" xr:uid="{71711C61-5CF1-4136-9900-1B6A88396D27}"/>
    <hyperlink ref="D1314" r:id="rId188" xr:uid="{0A390B4F-10F6-48E9-AD77-7DE13E8C2ABB}"/>
    <hyperlink ref="D2068" r:id="rId189" xr:uid="{D5F37D84-27F2-4FBB-893A-A9A50927B15E}"/>
    <hyperlink ref="D451" r:id="rId190" xr:uid="{2E42D47E-919E-4835-801A-26B2EFF15BE3}"/>
    <hyperlink ref="D1602" r:id="rId191" xr:uid="{43438933-ACB5-448F-946C-D3AE870A7919}"/>
    <hyperlink ref="D1190" r:id="rId192" xr:uid="{20D0C30B-32EE-4D2F-8C6A-6A265754B93D}"/>
    <hyperlink ref="D1556" r:id="rId193" xr:uid="{1B20D8F2-3E73-400A-97E5-F53931434D49}"/>
    <hyperlink ref="D1676" r:id="rId194" xr:uid="{45F90AE0-F8BD-414E-9622-25CC10E7B0E1}"/>
    <hyperlink ref="D733" r:id="rId195" xr:uid="{5D714B63-B620-4C12-B379-715F6089D072}"/>
    <hyperlink ref="D475" r:id="rId196" xr:uid="{331E0C7F-84C7-45C4-B08C-001453E29CCC}"/>
    <hyperlink ref="D26" r:id="rId197" xr:uid="{DF64E311-D29C-483C-B6E6-89F74AB81196}"/>
    <hyperlink ref="D2157" r:id="rId198" xr:uid="{4DC8CF9E-5068-4FE4-90CE-B01F18706E9E}"/>
    <hyperlink ref="D389" r:id="rId199" xr:uid="{90B4959A-D192-4FA0-A4BE-3DB5A24A3293}"/>
    <hyperlink ref="D50" r:id="rId200" xr:uid="{C5F7842E-3626-4A36-961D-A6770DF170A5}"/>
    <hyperlink ref="D2005" r:id="rId201" xr:uid="{D27EFBAA-3FE6-4D0B-9763-2A81C173C3CC}"/>
    <hyperlink ref="D1662" r:id="rId202" xr:uid="{38EF1667-2D73-44F9-A531-8CD94003DD71}"/>
    <hyperlink ref="D2219" r:id="rId203" xr:uid="{8F58DF1A-66A3-47F3-9EAD-6587FDC45E40}"/>
    <hyperlink ref="D856" r:id="rId204" xr:uid="{3657EC47-9E0B-40F6-AD5E-DEAF61C256AE}"/>
    <hyperlink ref="D348" r:id="rId205" xr:uid="{B5FCA32B-C2A7-49FB-A662-23262F710A16}"/>
    <hyperlink ref="D2272" r:id="rId206" xr:uid="{C28F5254-8A5B-4729-B2F5-480DC8A1101F}"/>
    <hyperlink ref="D2473" r:id="rId207" xr:uid="{FB63F1B2-6959-418B-8281-C5EAA0180812}"/>
    <hyperlink ref="D2517" r:id="rId208" xr:uid="{5E56760B-B240-4B57-9498-4762784C3F10}"/>
    <hyperlink ref="D1512" r:id="rId209" xr:uid="{A38BF21C-2EDE-4AF1-A14F-BE6B1F6DAB79}"/>
    <hyperlink ref="D1823" r:id="rId210" xr:uid="{096848F6-4813-4EAC-8008-C0281E2BC66F}"/>
    <hyperlink ref="D172" r:id="rId211" xr:uid="{7002F771-ABCA-492E-A07A-0774D01FAE1A}"/>
    <hyperlink ref="D2257" r:id="rId212" xr:uid="{DA1523AA-DCF5-4B51-A13C-ED98C3C04BDD}"/>
    <hyperlink ref="D2105" r:id="rId213" xr:uid="{439F3C77-8AD4-4197-9C9B-A1E7B981C150}"/>
    <hyperlink ref="D1105" r:id="rId214" xr:uid="{F6E3F5C6-F8A6-4EB3-BF01-A802210B4B6F}"/>
    <hyperlink ref="D971" r:id="rId215" xr:uid="{27B9EA40-8D9C-462F-A2AB-D75A66CC6955}"/>
    <hyperlink ref="D187" r:id="rId216" xr:uid="{248CE4B6-5F53-485B-966E-C49B95DECC08}"/>
    <hyperlink ref="D429" r:id="rId217" xr:uid="{E0FC22D3-A06C-47E0-A9B2-752A5704486E}"/>
    <hyperlink ref="D881" r:id="rId218" xr:uid="{C445B5D7-6201-4203-8124-EE85A2DC29A1}"/>
    <hyperlink ref="D392" r:id="rId219" xr:uid="{322DCC58-ECD3-4DCB-BBAC-A749A51F2962}"/>
    <hyperlink ref="D1809" r:id="rId220" xr:uid="{2BE6ED65-7432-4275-9103-0454F0276DA2}"/>
    <hyperlink ref="D222" r:id="rId221" xr:uid="{B2A7962E-DD3D-482D-A95B-B0DACB3D37AB}"/>
    <hyperlink ref="D852" r:id="rId222" xr:uid="{B01E5D48-66BA-4E90-8C30-C746585FE0DB}"/>
    <hyperlink ref="D794" r:id="rId223" xr:uid="{4EBB1846-7B6A-4A4A-98AC-C22F14A5BC8E}"/>
    <hyperlink ref="D600" r:id="rId224" xr:uid="{2F1F27CD-4024-432B-80D6-ACA98D991975}"/>
    <hyperlink ref="D691" r:id="rId225" xr:uid="{706184A7-282E-4B9E-9630-B3E0AEA58DE4}"/>
    <hyperlink ref="D1563" r:id="rId226" xr:uid="{44BB58FB-55F7-46FD-806B-14DAF0F839CD}"/>
    <hyperlink ref="D2180" r:id="rId227" xr:uid="{A7EFA74F-E7F1-40F4-85B6-874C1294FD52}"/>
    <hyperlink ref="D357" r:id="rId228" xr:uid="{1C05924F-66A5-4A7D-8710-FFD5D568E36D}"/>
    <hyperlink ref="D1793" r:id="rId229" xr:uid="{54CA434C-832B-4E0A-8230-51F35AF362A5}"/>
    <hyperlink ref="D440" r:id="rId230" xr:uid="{3827D260-8F31-4400-8C4A-A8609A263579}"/>
    <hyperlink ref="D1815" r:id="rId231" xr:uid="{29B01EB4-02FA-44AB-9C36-7CC6E497F629}"/>
    <hyperlink ref="D650" r:id="rId232" xr:uid="{DF055D0D-64FE-4B1D-8A3E-49713B25334C}"/>
    <hyperlink ref="D848" r:id="rId233" xr:uid="{C469D395-1B6D-4B29-897F-451AC0466F67}"/>
    <hyperlink ref="D1273" r:id="rId234" xr:uid="{8B53D6B4-A7CE-489D-8EB5-4FA0D5082FBA}"/>
    <hyperlink ref="D1613" r:id="rId235" xr:uid="{AE2C0BDB-19B6-42DC-A3A4-45358638238C}"/>
    <hyperlink ref="D1538" r:id="rId236" xr:uid="{E5C78F6E-368E-41BB-B718-8E225822F4D6}"/>
    <hyperlink ref="D308" r:id="rId237" xr:uid="{71D3BCF5-2443-4AC2-9BD5-7CC17978D49F}"/>
    <hyperlink ref="D422" r:id="rId238" xr:uid="{7CC3E4F9-4295-4F62-BBD4-DDFCFC33F3F9}"/>
    <hyperlink ref="D1245" r:id="rId239" xr:uid="{029A9808-558A-4F6B-A516-0D0805DDF5E0}"/>
    <hyperlink ref="D369" r:id="rId240" xr:uid="{36D89CB0-3380-421C-A4CF-0C718B5DFDD6}"/>
    <hyperlink ref="D887" r:id="rId241" xr:uid="{CF0C24E2-6352-4E8C-92B2-0B75404E5B04}"/>
    <hyperlink ref="D1871" r:id="rId242" xr:uid="{6921AD3B-C990-4C96-AB09-8C4CC22D653F}"/>
    <hyperlink ref="D487" r:id="rId243" xr:uid="{8438D73A-2241-458D-88CC-DB8DE0AA9A32}"/>
    <hyperlink ref="D745" r:id="rId244" xr:uid="{C48D261F-2634-4198-B838-3336C78D696C}"/>
    <hyperlink ref="D787" r:id="rId245" xr:uid="{4C647E26-105D-46EF-ADC0-4F6F7CE0AD95}"/>
    <hyperlink ref="D2329" r:id="rId246" xr:uid="{ED3ABDF4-25D8-4DC6-9BE8-9D818654E146}"/>
    <hyperlink ref="D1254" r:id="rId247" xr:uid="{9F7E1E3D-7D08-4A1F-80DF-7F20FEDAD9F2}"/>
    <hyperlink ref="D2264" r:id="rId248" xr:uid="{3314E760-BE98-4D49-9898-ED08D34F1B1B}"/>
    <hyperlink ref="D2502" r:id="rId249" xr:uid="{5BB555EC-FDF4-40A1-A3C1-5A4CFAB876E2}"/>
    <hyperlink ref="D2056" r:id="rId250" xr:uid="{23C99CA8-EFF3-4009-B453-48221252698E}"/>
    <hyperlink ref="D2488" r:id="rId251" xr:uid="{E687F7C9-D4EF-4C6C-8615-8CD41C8C10E6}"/>
    <hyperlink ref="D1171" r:id="rId252" xr:uid="{957A780E-1AD6-4D4A-AEF8-90710813A04A}"/>
    <hyperlink ref="D126" r:id="rId253" xr:uid="{841FF936-BE03-42AF-8BAF-E92AB30B76DC}"/>
    <hyperlink ref="D1717" r:id="rId254" xr:uid="{B463D9DE-9512-4713-80FD-5AE7EEF8BC4E}"/>
    <hyperlink ref="D1332" r:id="rId255" xr:uid="{66312E40-B79D-481E-9931-C1F29516171B}"/>
    <hyperlink ref="D1249" r:id="rId256" xr:uid="{227B29C3-C8A3-47AB-B2D0-23765CFA7091}"/>
    <hyperlink ref="D2152" r:id="rId257" xr:uid="{F491B638-EE07-4727-9431-4D3CC4056D02}"/>
    <hyperlink ref="D888" r:id="rId258" xr:uid="{E45954C6-BA17-40C8-AC1D-D58ED4488547}"/>
    <hyperlink ref="D822" r:id="rId259" xr:uid="{BFCD24DF-AD62-428A-99F8-E5A0F3AB5C88}"/>
    <hyperlink ref="D798" r:id="rId260" xr:uid="{D61D80D6-9EAB-48FC-B485-FACCECC7A09D}"/>
    <hyperlink ref="D2575" r:id="rId261" xr:uid="{D70BE16A-566B-48B3-A996-F9672474E503}"/>
    <hyperlink ref="D2285" r:id="rId262" xr:uid="{D96DD116-DA8D-4A86-8250-73B8DEB126B9}"/>
    <hyperlink ref="D75" r:id="rId263" xr:uid="{CC338CE9-EEB1-4AAA-BA48-C545A09691A7}"/>
    <hyperlink ref="D2311" r:id="rId264" xr:uid="{3150B3F4-B101-4459-9FB9-175BB6C6AED2}"/>
    <hyperlink ref="D171" r:id="rId265" xr:uid="{F2927040-0F5B-48E8-9B51-BB17B7A19327}"/>
    <hyperlink ref="D722" r:id="rId266" xr:uid="{B7043362-B634-47C3-82D3-8F5CD7FBAB4B}"/>
    <hyperlink ref="D1816" r:id="rId267" xr:uid="{D749D462-5E4A-43EC-B7AF-00C1EEEBFFDE}"/>
    <hyperlink ref="D208" r:id="rId268" xr:uid="{A2E24158-A335-4FFC-9EE1-868240865361}"/>
    <hyperlink ref="D736" r:id="rId269" xr:uid="{DA8E224D-611F-4957-8E47-6B41ADE6B364}"/>
    <hyperlink ref="D1496" r:id="rId270" xr:uid="{F6191867-F242-4F41-B1E6-C4A060BE62D3}"/>
    <hyperlink ref="D1631" r:id="rId271" xr:uid="{11B741AC-E409-40D2-B25C-DAC4FA741E04}"/>
    <hyperlink ref="D1722" r:id="rId272" xr:uid="{078C433B-6DAE-425A-B13E-76FF8222A95A}"/>
    <hyperlink ref="D1279" r:id="rId273" xr:uid="{41259C49-8791-4078-AE21-088D5AACB5D7}"/>
    <hyperlink ref="D1001" r:id="rId274" xr:uid="{599F4866-E900-4E00-B472-60E166842438}"/>
    <hyperlink ref="D2320" r:id="rId275" xr:uid="{544FCEE1-9AFB-4AC3-83B8-023C3C9A6093}"/>
    <hyperlink ref="D453" r:id="rId276" xr:uid="{C8F99611-4A84-412B-9668-BD32A328EC33}"/>
    <hyperlink ref="D62" r:id="rId277" xr:uid="{E3C5B9D2-D7AD-4A42-82D0-423AA8001BBA}"/>
    <hyperlink ref="D1978" r:id="rId278" xr:uid="{2B3D984F-2B14-4539-89BC-E6BE7BD694B1}"/>
    <hyperlink ref="D2109" r:id="rId279" xr:uid="{39F22EEA-8118-4988-BEE4-8BD2A27102AC}"/>
    <hyperlink ref="D327" r:id="rId280" xr:uid="{424866AB-70CB-4FE9-8468-27B7B716C9E8}"/>
    <hyperlink ref="D2165" r:id="rId281" xr:uid="{6627CA36-FB72-4388-8BEF-AD93E1B3630F}"/>
    <hyperlink ref="D73" r:id="rId282" xr:uid="{4AC44F66-F1A8-4FA5-B8C1-C528438EF484}"/>
    <hyperlink ref="D1433" r:id="rId283" xr:uid="{09354625-B9DE-4E7C-98D6-16D7A1D162C6}"/>
    <hyperlink ref="D2228" r:id="rId284" xr:uid="{AD93783C-AD26-4600-97D9-59DF579DB178}"/>
    <hyperlink ref="D462" r:id="rId285" xr:uid="{06E6FD95-E5C5-4D31-96EC-F1CB9F24C83D}"/>
    <hyperlink ref="D1765" r:id="rId286" xr:uid="{5B6BD99A-8C7D-4DC4-BF7F-E85B947902F9}"/>
    <hyperlink ref="D454" r:id="rId287" xr:uid="{7F3834A0-476C-4E2E-8F8F-8D53BE7A3E19}"/>
    <hyperlink ref="D1363" r:id="rId288" xr:uid="{620A03B2-9EB2-466E-9205-EB8466D3B3E0}"/>
    <hyperlink ref="D2389" r:id="rId289" xr:uid="{57B73ED3-2FE3-48C8-8ABA-A79F21899C0E}"/>
    <hyperlink ref="D1434" r:id="rId290" xr:uid="{99C550BA-E8E8-4C70-8C2A-989671240443}"/>
    <hyperlink ref="D1605" r:id="rId291" xr:uid="{D65C6061-7A78-45DE-8056-3C449452413C}"/>
    <hyperlink ref="D1610" r:id="rId292" xr:uid="{6F2D5753-9FD5-45BB-BE44-08650368B37E}"/>
    <hyperlink ref="D91" r:id="rId293" xr:uid="{8B95DB47-0DB5-4E8D-87C1-DAB6A1907722}"/>
    <hyperlink ref="D210" r:id="rId294" xr:uid="{042DC818-7A31-4BDE-967E-333DAAC417E2}"/>
    <hyperlink ref="D1160" r:id="rId295" xr:uid="{3BC0A6D3-F40A-475C-95FA-1CB042E37A9D}"/>
    <hyperlink ref="D658" r:id="rId296" xr:uid="{4C958AC3-D84D-4508-83A6-794FE3AD16F0}"/>
    <hyperlink ref="D1693" r:id="rId297" xr:uid="{D7A52B79-D290-4749-8479-12D98422A81C}"/>
    <hyperlink ref="D1875" r:id="rId298" xr:uid="{26A892C5-5FFD-426E-9C06-41B5F572EF15}"/>
    <hyperlink ref="D2184" r:id="rId299" xr:uid="{4128DFFB-77DB-48E7-891E-DCB8778FDD35}"/>
    <hyperlink ref="D2197" r:id="rId300" xr:uid="{7E56DCEA-1214-4638-87D4-7871E6D77311}"/>
    <hyperlink ref="D617" r:id="rId301" xr:uid="{CA4B6F8A-420B-4387-9DE7-E64E6EC38168}"/>
    <hyperlink ref="D1971" r:id="rId302" xr:uid="{A48BADA4-8558-4436-AE5B-C84348ED93C5}"/>
    <hyperlink ref="D1770" r:id="rId303" xr:uid="{CE95DBA8-A51B-47EC-82D1-DAEA36A35EBC}"/>
    <hyperlink ref="D2349" r:id="rId304" xr:uid="{CFBD172F-AE45-431A-9FF3-0547CD9A0BBC}"/>
    <hyperlink ref="D1358" r:id="rId305" xr:uid="{6B11FD7D-C613-4DE2-8EB3-02E7B70EEF15}"/>
    <hyperlink ref="D2376" r:id="rId306" xr:uid="{0D84A742-709D-4D47-A659-0ADF86030282}"/>
    <hyperlink ref="D2015" r:id="rId307" xr:uid="{06A78A1A-0BFF-4606-AE14-7EEA8A130520}"/>
    <hyperlink ref="D342" r:id="rId308" xr:uid="{F5E7DC49-6EE1-4548-941F-80926E2BFF41}"/>
    <hyperlink ref="D404" r:id="rId309" xr:uid="{5AF6FE49-DA32-4F1E-A701-061964893C4F}"/>
    <hyperlink ref="D2332" r:id="rId310" xr:uid="{384DFB37-D0DF-4468-93CE-F9B59DE01C19}"/>
    <hyperlink ref="D2479" r:id="rId311" xr:uid="{B25C37E6-C4B8-414E-BE40-37D4E7002322}"/>
    <hyperlink ref="D289" r:id="rId312" xr:uid="{99FCE211-37AC-4CB8-B6AA-50C5B4AE3F25}"/>
    <hyperlink ref="D1455" r:id="rId313" xr:uid="{15CC0720-DC4D-4372-9D61-886120BCC4AF}"/>
    <hyperlink ref="D257" r:id="rId314" xr:uid="{7E304F48-4ACD-4DF1-9E10-1FA003B8CD4B}"/>
    <hyperlink ref="D345" r:id="rId315" xr:uid="{4109730E-9446-4B5D-907F-595725895286}"/>
    <hyperlink ref="D2158" r:id="rId316" xr:uid="{508BE85D-21DD-4ACC-905E-42A61BB47A67}"/>
    <hyperlink ref="D807" r:id="rId317" xr:uid="{E4549F7D-A9EF-4FE9-A052-2C1CCEE69744}"/>
    <hyperlink ref="D315" r:id="rId318" xr:uid="{DC99CE2D-C483-4BE9-9577-451A442FDF83}"/>
    <hyperlink ref="D2087" r:id="rId319" xr:uid="{E7113D65-4B99-4B3A-A043-19BA72C21E3E}"/>
    <hyperlink ref="D730" r:id="rId320" xr:uid="{B99891A9-D415-4953-B49F-E1064AD15EA9}"/>
    <hyperlink ref="D1883" r:id="rId321" xr:uid="{F822DE71-FA25-49FF-B0AE-90BF46516A89}"/>
    <hyperlink ref="D2077" r:id="rId322" xr:uid="{24700F1B-5475-46DC-B597-6B62DEACF24D}"/>
    <hyperlink ref="D2023" r:id="rId323" xr:uid="{AAAEEE34-EB04-49EE-A54B-A79FA08F4A75}"/>
    <hyperlink ref="D388" r:id="rId324" xr:uid="{EE852965-3CA2-4AD6-B2D9-E31974C154C3}"/>
    <hyperlink ref="D292" r:id="rId325" xr:uid="{D53C22D9-C01B-4643-B2C2-D1D734F86614}"/>
    <hyperlink ref="D729" r:id="rId326" xr:uid="{D2244A27-6569-4F41-9E40-4100CA1EEF4E}"/>
    <hyperlink ref="D964" r:id="rId327" xr:uid="{0EDF9804-F772-45BB-9BF3-AA5951F5C643}"/>
    <hyperlink ref="D625" r:id="rId328" xr:uid="{10C3B749-49D6-4289-A92A-6C0573028583}"/>
    <hyperlink ref="D2316" r:id="rId329" xr:uid="{64AE91E7-A335-4315-9B8D-3859EE2793B9}"/>
    <hyperlink ref="D192" r:id="rId330" xr:uid="{C5CD38BA-D636-437A-B795-87F6E08CF003}"/>
    <hyperlink ref="D1465" r:id="rId331" xr:uid="{52D4AE32-091F-4E0B-91AA-0E99786FB28A}"/>
    <hyperlink ref="D2267" r:id="rId332" xr:uid="{F73E5E09-CD74-47D9-AEFE-C73561036D79}"/>
    <hyperlink ref="D2485" r:id="rId333" xr:uid="{C6C59BF1-3EC2-43D9-A9F6-FDA2E2D40D62}"/>
    <hyperlink ref="D2458" r:id="rId334" xr:uid="{8EBB0A8D-EC0D-440B-8B32-7990312A702D}"/>
    <hyperlink ref="D1606" r:id="rId335" xr:uid="{8CF14739-9435-4F57-B6AE-D8158C9D21C7}"/>
    <hyperlink ref="D1318" r:id="rId336" xr:uid="{9654132B-E26D-4646-ABA7-040738A44F8D}"/>
    <hyperlink ref="D2069" r:id="rId337" xr:uid="{D23A8A1E-5688-44F2-A189-E6812D71441B}"/>
    <hyperlink ref="D452" r:id="rId338" xr:uid="{6C2C76B6-3D94-455C-9248-076292803B58}"/>
    <hyperlink ref="D1129" r:id="rId339" xr:uid="{C33AA722-3DE6-4924-8335-9E0CE945ACAC}"/>
    <hyperlink ref="D16" r:id="rId340" xr:uid="{00F3395D-0EDA-473A-9B36-611275FBFFE0}"/>
    <hyperlink ref="D1677" r:id="rId341" xr:uid="{0DBFF496-72B4-40FF-AAC5-B4F40B32FB0F}"/>
    <hyperlink ref="D488" r:id="rId342" xr:uid="{A3D35E1E-DF4A-4FC8-BC75-880C91DF0196}"/>
    <hyperlink ref="D476" r:id="rId343" xr:uid="{BAC72AEE-3DA0-4E68-A8DE-3E501F4AB1C9}"/>
    <hyperlink ref="D27" r:id="rId344" xr:uid="{B9BE6AB1-217A-4255-A431-C3BE5C9667EB}"/>
    <hyperlink ref="D390" r:id="rId345" xr:uid="{6295A809-8F84-4902-BDFC-C64AB453D3B5}"/>
    <hyperlink ref="D51" r:id="rId346" xr:uid="{1BC24863-396C-4E55-B0DB-4A8EAFC0EDF3}"/>
    <hyperlink ref="D1663" r:id="rId347" xr:uid="{F9910028-DF14-4821-A5EE-BC4F855FD60E}"/>
    <hyperlink ref="D1994" r:id="rId348" xr:uid="{7752E5C3-2FE5-40FC-8FCF-90628EED8BD5}"/>
    <hyperlink ref="D2269" r:id="rId349" xr:uid="{A931DCB3-7A71-4061-AAC8-4FC0F6BD1F58}"/>
    <hyperlink ref="D349" r:id="rId350" xr:uid="{45445D24-07EB-4AA7-87A6-E1F62A5FC84F}"/>
    <hyperlink ref="D2273" r:id="rId351" xr:uid="{5C914EAA-B7C0-4FCA-A14A-7FDE7AEEC7B2}"/>
    <hyperlink ref="D2474" r:id="rId352" xr:uid="{31490C81-3AFD-49D1-8917-1D0B6564772A}"/>
    <hyperlink ref="D1497" r:id="rId353" xr:uid="{A89D5C3E-1941-4C15-9273-7F610D0B94BC}"/>
    <hyperlink ref="D580" r:id="rId354" xr:uid="{9DC9461A-C49A-480C-8A39-831AE7FD618F}"/>
    <hyperlink ref="D1251" r:id="rId355" xr:uid="{ADD64B1E-6BFF-4448-89E2-CF090C31AEBD}"/>
    <hyperlink ref="D2258" r:id="rId356" xr:uid="{7DA272BF-011F-494C-A9E1-1FB08D61A312}"/>
    <hyperlink ref="D2481" r:id="rId357" xr:uid="{A5C15E2B-9D67-4836-9E8F-67F51E4C62D7}"/>
    <hyperlink ref="D972" r:id="rId358" xr:uid="{F9812927-A223-4319-95C2-8ABBF3719E85}"/>
    <hyperlink ref="D188" r:id="rId359" xr:uid="{C0FCF67F-8959-4CBF-8377-FD224079837A}"/>
    <hyperlink ref="D430" r:id="rId360" xr:uid="{BF310EF0-0ED7-4CEC-9E80-AA04221043AB}"/>
    <hyperlink ref="D2248" r:id="rId361" xr:uid="{7E7B3D74-72CA-4173-A1DF-FAB0BE3A9DA8}"/>
    <hyperlink ref="D792" r:id="rId362" xr:uid="{E43412B1-88CB-415F-A4C8-E37092E2EE61}"/>
    <hyperlink ref="D1159" r:id="rId363" xr:uid="{AAF2F69D-DCEE-445B-AD87-FD1472B77FAE}"/>
    <hyperlink ref="D965" r:id="rId364" xr:uid="{2AD85177-2B23-4DA3-975D-35D87B530F2E}"/>
    <hyperlink ref="D1343" r:id="rId365" xr:uid="{70BF1D57-98F4-4DB1-8A0E-FA99C57ECBCB}"/>
    <hyperlink ref="D816" r:id="rId366" xr:uid="{D0795359-7646-475A-BC10-2D6839DCC0C1}"/>
    <hyperlink ref="D2551" r:id="rId367" xr:uid="{592C3D9B-0841-4512-85A6-F1F5301BB3A2}"/>
    <hyperlink ref="D531" r:id="rId368" xr:uid="{DBDDB037-04F5-45B6-98BE-27A49ABD501B}"/>
    <hyperlink ref="D958" r:id="rId369" xr:uid="{5EF20046-3FF6-4EC1-A2D3-97738014E357}"/>
    <hyperlink ref="D763" r:id="rId370" xr:uid="{BE35891B-2B54-4A68-A102-8FA4ADAFFD06}"/>
    <hyperlink ref="D358" r:id="rId371" xr:uid="{7E2206D2-D36C-45BD-BAA8-62608F10BEB5}"/>
    <hyperlink ref="D1356" r:id="rId372" xr:uid="{7E0BAC24-227A-411B-840F-57FCA1DA05FF}"/>
    <hyperlink ref="D125" r:id="rId373" xr:uid="{E0420C71-2589-40CD-8498-A9F858E68261}"/>
    <hyperlink ref="D1005" r:id="rId374" xr:uid="{F8190379-D0F1-4A4F-A6CF-9E306D18E801}"/>
    <hyperlink ref="D752" r:id="rId375" xr:uid="{09D1E414-C7C1-491C-B139-22BB3B953EC1}"/>
    <hyperlink ref="D1277" r:id="rId376" xr:uid="{85609967-D61B-4643-935A-2BA45863A973}"/>
    <hyperlink ref="D1161" r:id="rId377" xr:uid="{463D3FA7-F6CF-41B7-A249-460A91ED89A0}"/>
    <hyperlink ref="D631" r:id="rId378" xr:uid="{3B872261-AC76-483B-AF84-EBA7CA6324E3}"/>
    <hyperlink ref="D309" r:id="rId379" xr:uid="{C9B33D35-6596-437A-88BD-7BE848B73EB2}"/>
    <hyperlink ref="D413" r:id="rId380" xr:uid="{55CD2448-1542-4CDA-8970-4BB8CD553A8A}"/>
    <hyperlink ref="D362" r:id="rId381" xr:uid="{094242F4-F4C4-4F6C-BCCC-3456371B3D84}"/>
    <hyperlink ref="D375" r:id="rId382" xr:uid="{1240545C-3F0B-4EE0-93CC-5174D83076EA}"/>
    <hyperlink ref="D1012" r:id="rId383" xr:uid="{C0477D96-0EFC-4C38-8AB4-32AB21D001EB}"/>
    <hyperlink ref="D2395" r:id="rId384" xr:uid="{69A69EA7-599B-45A7-A3C0-3C6304455C4E}"/>
    <hyperlink ref="D2217" r:id="rId385" xr:uid="{CB41DCB9-1944-4A39-AEC4-246F0AB34205}"/>
    <hyperlink ref="D800" r:id="rId386" xr:uid="{2ED6D274-4F59-4DE4-9144-D7FA83284203}"/>
    <hyperlink ref="D2338" r:id="rId387" xr:uid="{B69E6381-037C-4A32-BBDC-62753337447C}"/>
    <hyperlink ref="D1252" r:id="rId388" xr:uid="{2457C964-8EB4-4914-89BD-8BBC1AFE5920}"/>
    <hyperlink ref="D2265" r:id="rId389" xr:uid="{8F2AC580-F459-4C86-9FE8-884A8CFC75C1}"/>
    <hyperlink ref="D2513" r:id="rId390" xr:uid="{B868DC79-9916-4712-BF13-707146A715BD}"/>
    <hyperlink ref="D2063" r:id="rId391" xr:uid="{6F2978C0-1015-4C35-9E51-6667730C8677}"/>
    <hyperlink ref="D2489" r:id="rId392" xr:uid="{D4225450-D829-4A1C-A05B-4A82FE5326E8}"/>
    <hyperlink ref="D818" r:id="rId393" xr:uid="{9926DD6F-EC70-44C0-A79A-C380E83AC4E7}"/>
    <hyperlink ref="D2106" r:id="rId394" xr:uid="{F6C45510-978B-4EFA-8F8E-C9175184321C}"/>
    <hyperlink ref="D1504" r:id="rId395" xr:uid="{A50F4AAE-1FF7-4A9F-853D-94221AB2653B}"/>
    <hyperlink ref="D480" r:id="rId396" xr:uid="{4AB0AC6E-010C-4EC9-A00F-DD81F8E63EC8}"/>
    <hyperlink ref="D894" r:id="rId397" xr:uid="{3F3AF363-69A7-405C-8EB4-A0FA85364AEE}"/>
    <hyperlink ref="D2286" r:id="rId398" xr:uid="{0993C5B3-2633-4D35-B033-B1DF36F460AB}"/>
    <hyperlink ref="D810" r:id="rId399" xr:uid="{B2ECD4A4-4F29-4437-9BDA-BE71C5B15F9E}"/>
    <hyperlink ref="D39" r:id="rId400" xr:uid="{43B122F4-7565-41C4-B6D0-7B4A0B8F0E08}"/>
    <hyperlink ref="D2291" r:id="rId401" xr:uid="{4A46485B-DBB9-4F71-AFD1-674F16944C3D}"/>
    <hyperlink ref="D1612" r:id="rId402" xr:uid="{7B925AE4-3883-4D13-8DA5-A5B3256C1FAC}"/>
    <hyperlink ref="D2362" r:id="rId403" xr:uid="{B21EB2AE-7D1C-4C1C-A7D9-8EBA2AD11923}"/>
    <hyperlink ref="D1514" r:id="rId404" xr:uid="{7D95F9F2-E86B-4015-A63C-C453F1B30D1A}"/>
    <hyperlink ref="D1471" r:id="rId405" xr:uid="{31EAD5B2-7081-4846-B023-235DD9232B35}"/>
    <hyperlink ref="D424" r:id="rId406" xr:uid="{1F204D9C-503F-42A6-A063-5233ECE57288}"/>
    <hyperlink ref="D472" r:id="rId407" xr:uid="{0BD5EB18-0BF3-40DB-94C0-899F64B99CB8}"/>
    <hyperlink ref="D903" r:id="rId408" xr:uid="{948339A9-C16A-450C-ABEF-5F43CA3047F4}"/>
    <hyperlink ref="D1379" r:id="rId409" xr:uid="{70A79A34-43CF-4AC3-8A60-6FEC8516E0BB}"/>
    <hyperlink ref="D2135" r:id="rId410" xr:uid="{9D61BE58-35AC-4332-A1F3-BD703B067B7E}"/>
    <hyperlink ref="D247" r:id="rId411" xr:uid="{980262A5-DBC6-4540-B506-27A9B237B127}"/>
    <hyperlink ref="D1280" r:id="rId412" xr:uid="{9D9E6EEC-4DC5-46F5-9C7D-8CC6720BAF2A}"/>
    <hyperlink ref="D925" r:id="rId413" xr:uid="{85C3342E-4384-4BAF-AC5D-1A6A15608EBD}"/>
    <hyperlink ref="D307" r:id="rId414" xr:uid="{43E75C5D-582F-4002-B945-2FDFB2C7F822}"/>
    <hyperlink ref="D112" r:id="rId415" xr:uid="{9BCCAD7E-A4B8-487A-B30C-70E98E119485}"/>
    <hyperlink ref="D1250" r:id="rId416" xr:uid="{0DB67ED6-E62C-4534-A9B7-82FB14846DAA}"/>
    <hyperlink ref="D1979" r:id="rId417" xr:uid="{B81C825E-013F-464A-8D67-3ACB863FF5D9}"/>
    <hyperlink ref="D2110" r:id="rId418" xr:uid="{0558B36C-01AB-48A0-95E6-77A78418146E}"/>
    <hyperlink ref="D164" r:id="rId419" xr:uid="{81F25BF0-F9F1-4B64-A71E-5EF6274D76ED}"/>
    <hyperlink ref="D1338" r:id="rId420" xr:uid="{9512CAD7-C40A-45CA-B7D9-DB22D69C234D}"/>
    <hyperlink ref="D1414" r:id="rId421" xr:uid="{B2138137-9095-44AB-A335-924268C73673}"/>
    <hyperlink ref="D337" r:id="rId422" xr:uid="{E6677C48-EA76-4921-A287-D4BE4DF18E29}"/>
    <hyperlink ref="D2243" r:id="rId423" xr:uid="{7AD97AB6-982C-4C64-B259-4ABFA22E8B04}"/>
    <hyperlink ref="D181" r:id="rId424" xr:uid="{29691367-C463-45C8-984F-C6F8B1056203}"/>
    <hyperlink ref="D262" r:id="rId425" xr:uid="{99730AFC-A7E0-47AE-8BFC-BB1020F91ADE}"/>
    <hyperlink ref="D1393" r:id="rId426" xr:uid="{2FF0AB24-1087-4989-A432-7C6C2533699D}"/>
    <hyperlink ref="D1364" r:id="rId427" xr:uid="{094F4174-A210-496C-BB77-E1A4A17E8C28}"/>
    <hyperlink ref="D219" r:id="rId428" xr:uid="{20ACA57C-F422-4CC3-8ED7-0FD240EE146F}"/>
    <hyperlink ref="D1222" r:id="rId429" xr:uid="{F6DB46AA-447C-4DD1-9700-8DC7DABD499A}"/>
    <hyperlink ref="D149" r:id="rId430" xr:uid="{57ED7DFE-D085-4696-AC61-4A97F9E4B596}"/>
    <hyperlink ref="D893" r:id="rId431" xr:uid="{7A187A98-9303-4C9E-9B00-4A463537FAB7}"/>
    <hyperlink ref="D1937" r:id="rId432" xr:uid="{4051A13D-FE7C-470F-8504-F675F9E3EEA0}"/>
    <hyperlink ref="D1225" r:id="rId433" xr:uid="{6DBDCC35-435C-4BA0-B08B-344A45406165}"/>
    <hyperlink ref="D1055" r:id="rId434" xr:uid="{DF0D7ABC-0017-4B56-A93C-A19449AB9659}"/>
    <hyperlink ref="D537" r:id="rId435" xr:uid="{59E92CFB-CADC-40D2-95CA-70F2958690BD}"/>
    <hyperlink ref="D1004" r:id="rId436" xr:uid="{1E013F0D-142C-4486-BBEE-B636E03EB476}"/>
    <hyperlink ref="D2187" r:id="rId437" xr:uid="{DA5B1497-9B14-4FB9-8CBD-AA3167E6F5C2}"/>
    <hyperlink ref="D2182" r:id="rId438" xr:uid="{75D8B929-6EAC-48B1-9EE2-7E2E2697797F}"/>
    <hyperlink ref="D1973" r:id="rId439" xr:uid="{CE06B567-5259-4DA6-ABB2-BEDD8FBD3EA7}"/>
    <hyperlink ref="D1771" r:id="rId440" xr:uid="{984ED313-F60B-43AD-93D2-D84E3ED5FA8F}"/>
    <hyperlink ref="D2350" r:id="rId441" xr:uid="{09AB8FCA-6713-4183-8938-3265BA137CEB}"/>
    <hyperlink ref="D1646" r:id="rId442" xr:uid="{EF0DDDF0-D4B3-41DF-B9F3-453E1F470E9A}"/>
    <hyperlink ref="D1760" r:id="rId443" xr:uid="{AEE4901C-7E76-4339-A9E7-CD34BD2D9022}"/>
    <hyperlink ref="D1495" r:id="rId444" xr:uid="{8D3F0697-BEDC-415E-8154-33AD36BBB2FE}"/>
    <hyperlink ref="D1360" r:id="rId445" xr:uid="{E1CA6CBB-8B48-495E-91B4-C15A876D5916}"/>
    <hyperlink ref="D405" r:id="rId446" xr:uid="{CA1412F3-8296-42DE-A2B7-41F1E4F6D6CF}"/>
    <hyperlink ref="D2333" r:id="rId447" xr:uid="{99784C3E-A62A-4ACA-8442-AB85EF639ABF}"/>
    <hyperlink ref="D2490" r:id="rId448" xr:uid="{11258AE7-B481-48DE-9C6E-291C93DDC650}"/>
    <hyperlink ref="D1044" r:id="rId449" xr:uid="{EC8A034D-B869-4E85-89D7-88C182234B8F}"/>
    <hyperlink ref="D129" r:id="rId450" xr:uid="{B387389C-EE68-4284-BEB3-45CA15D1785B}"/>
    <hyperlink ref="D1854" r:id="rId451" xr:uid="{58BDEB41-7275-4DBC-9DE8-C6F527C96326}"/>
    <hyperlink ref="D896" r:id="rId452" xr:uid="{2E0DDD7E-8BA7-48FB-854F-EE4980DB7F9B}"/>
    <hyperlink ref="D2095" r:id="rId453" xr:uid="{2C30A797-638E-4A41-8D49-3341B16DDDBB}"/>
    <hyperlink ref="D1060" r:id="rId454" xr:uid="{2B1BD833-B76D-4C96-9B03-A59AE41C8407}"/>
    <hyperlink ref="D2136" r:id="rId455" xr:uid="{CAA26D9A-0D1E-48E0-ABD0-E484BE9F298E}"/>
    <hyperlink ref="D427" r:id="rId456" xr:uid="{C80838D6-0804-4B47-8D01-C399BFB822D0}"/>
    <hyperlink ref="D20" r:id="rId457" xr:uid="{25A4C39C-B112-44E9-B30E-DDCEB7C9E8EE}"/>
    <hyperlink ref="D1819" r:id="rId458" xr:uid="{ADA86D91-E794-4E9D-9571-C83439D1BEB2}"/>
    <hyperlink ref="D626" r:id="rId459" xr:uid="{1FCADC3D-7CFD-4C95-975D-F1196A411003}"/>
    <hyperlink ref="D193" r:id="rId460" xr:uid="{721A115E-645E-496C-8104-F754DA3A576C}"/>
    <hyperlink ref="D1917" r:id="rId461" xr:uid="{4985B67B-ADA8-4D37-80B8-AEF58CA4178B}"/>
    <hyperlink ref="D2268" r:id="rId462" xr:uid="{01A4B130-452F-45E2-B42D-B9566960F152}"/>
    <hyperlink ref="D1002" r:id="rId463" xr:uid="{5AA3BD45-B0EB-4DF1-AB69-FCB2DC1B2269}"/>
    <hyperlink ref="D2464" r:id="rId464" xr:uid="{F5A5925E-E6EA-4630-9B0D-1AC66FC57043}"/>
    <hyperlink ref="D1607" r:id="rId465" xr:uid="{96AB9B5D-00E7-4FF7-B65B-80CBC7751B30}"/>
    <hyperlink ref="D1328" r:id="rId466" xr:uid="{00CA7F9D-1E38-42A8-8AB5-FB2C68A5CEA4}"/>
    <hyperlink ref="D1753" r:id="rId467" xr:uid="{C0F33653-0F14-4173-9E3F-E36B7C25DDC2}"/>
    <hyperlink ref="D279" r:id="rId468" xr:uid="{1A346270-BCF7-48D8-8F61-568F4E63F4F3}"/>
    <hyperlink ref="D1192" r:id="rId469" xr:uid="{375A280D-4760-4908-AC09-4BC0D6E7490E}"/>
    <hyperlink ref="D1678" r:id="rId470" xr:uid="{7867019E-7980-4CDC-ADDB-AFDF82CE0867}"/>
    <hyperlink ref="D110" r:id="rId471" xr:uid="{C987E05C-3828-49CD-B415-E4CD2D88D110}"/>
    <hyperlink ref="D28" r:id="rId472" xr:uid="{A2AE517E-1602-4255-B721-85DC65747AD5}"/>
    <hyperlink ref="D391" r:id="rId473" xr:uid="{F16501BD-0E79-49C6-A26F-B711EEB8C5DD}"/>
    <hyperlink ref="D1664" r:id="rId474" xr:uid="{05CCE1D9-40BF-4095-9FF1-1A438089624A}"/>
    <hyperlink ref="D1842" r:id="rId475" xr:uid="{5663D65D-9CCF-4842-B33D-4DF733E05E0B}"/>
    <hyperlink ref="D889" r:id="rId476" xr:uid="{EB075668-015E-443F-95A0-36D00BD1059A}"/>
    <hyperlink ref="D1255" r:id="rId477" xr:uid="{3CA22668-A9EF-4BE9-A4E4-1266B4EDA5E8}"/>
    <hyperlink ref="D2072" r:id="rId478" xr:uid="{BA988B83-1148-4121-887D-D9A7DA6D5919}"/>
    <hyperlink ref="D581" r:id="rId479" xr:uid="{61486DF9-9101-406D-90DE-72DBFCCA0A8F}"/>
    <hyperlink ref="D174" r:id="rId480" xr:uid="{F9B0201A-48A9-4914-9248-2E8566E45F70}"/>
    <hyperlink ref="D2259" r:id="rId481" xr:uid="{793722D0-6910-446B-9D6A-538803171BE4}"/>
    <hyperlink ref="D2482" r:id="rId482" xr:uid="{C6E863DB-7C8F-4761-B4A4-53103AC9AA51}"/>
    <hyperlink ref="D189" r:id="rId483" xr:uid="{8A110D8F-2BDE-4A9D-8DF3-9CB0E89086B8}"/>
    <hyperlink ref="D431" r:id="rId484" xr:uid="{B88EB3BC-BC82-4E01-97F7-B7EFEA5E331C}"/>
    <hyperlink ref="D1206" r:id="rId485" xr:uid="{6828FCFA-B8F8-40BC-8420-217D48C21AC6}"/>
    <hyperlink ref="D1603" r:id="rId486" xr:uid="{BFA59BE8-9214-4DF3-9235-EAA43E9A1BD9}"/>
    <hyperlink ref="D1295" r:id="rId487" xr:uid="{AF358255-F32F-4D3D-B33F-FF71AD8BB5E0}"/>
    <hyperlink ref="D2466" r:id="rId488" xr:uid="{1209CC53-A8DF-4948-B735-CA3A11F88BF5}"/>
    <hyperlink ref="D872" r:id="rId489" xr:uid="{A9683149-5C99-4B25-BBD6-065123E63B45}"/>
    <hyperlink ref="D2306" r:id="rId490" xr:uid="{858BDC50-961A-45FA-B128-2AE0A295C256}"/>
    <hyperlink ref="D2558" r:id="rId491" xr:uid="{20A34DCC-979A-4911-B9B0-4C4472D2F9CD}"/>
    <hyperlink ref="D561" r:id="rId492" xr:uid="{71D7D75D-A084-4AF7-AA3A-3D38AA400F61}"/>
    <hyperlink ref="D900" r:id="rId493" xr:uid="{4DF3B0D4-7267-40FE-9392-17169FD84D3C}"/>
    <hyperlink ref="D1014" r:id="rId494" xr:uid="{FE8DD40F-7F8E-4D7C-B4FD-0B3BE326DD41}"/>
    <hyperlink ref="D359" r:id="rId495" xr:uid="{FE132108-AE53-4DE0-A408-BD76E9AAD06C}"/>
    <hyperlink ref="D2521" r:id="rId496" xr:uid="{28C02255-5236-44F9-8C38-D026F2C3D013}"/>
    <hyperlink ref="D1003" r:id="rId497" xr:uid="{366450AE-C74C-47D8-84C9-C484BA1C18A1}"/>
    <hyperlink ref="D1432" r:id="rId498" xr:uid="{5961241D-A64D-4B96-84B8-0CC8E25C8B36}"/>
    <hyperlink ref="D1567" r:id="rId499" xr:uid="{F522F09D-7895-4BBE-A856-834F1CCD3BC5}"/>
    <hyperlink ref="D140" r:id="rId500" xr:uid="{A4AAE2ED-938F-45BA-9E82-DBF87BAF7820}"/>
    <hyperlink ref="D1030" r:id="rId501" xr:uid="{FCBDBE4B-8651-4844-A1AE-6366F26A83E5}"/>
    <hyperlink ref="D1835" r:id="rId502" xr:uid="{44BEEF3E-C4A5-4B35-A520-604544D60A52}"/>
    <hyperlink ref="D1010" r:id="rId503" xr:uid="{2999F854-8CC2-4A3B-9BEF-82B187C19085}"/>
    <hyperlink ref="D1904" r:id="rId504" xr:uid="{3950B13E-8AFE-4CE2-8D31-42917E95F5BA}"/>
    <hyperlink ref="D1758" r:id="rId505" xr:uid="{F42EB4A0-9954-4296-AFF3-EBC0A60D7161}"/>
    <hyperlink ref="D2396" r:id="rId506" xr:uid="{DFC593A7-DE65-484A-A82C-D3B25F228F51}"/>
    <hyperlink ref="D177" r:id="rId507" xr:uid="{2D4530AC-2B84-49F5-A028-0263EAF54609}"/>
    <hyperlink ref="D1473" r:id="rId508" xr:uid="{108ECA0C-C547-4CC6-902F-2304E84F5D52}"/>
    <hyperlink ref="D2364" r:id="rId509" xr:uid="{F076CE79-D474-40CE-A43F-E909F635A069}"/>
    <hyperlink ref="D1860" r:id="rId510" xr:uid="{202B4B74-427B-446C-AE55-1AFFEA7562D2}"/>
    <hyperlink ref="D2266" r:id="rId511" xr:uid="{68F33E44-C1AA-42F7-B47E-7EAC7D888EA6}"/>
    <hyperlink ref="D2493" r:id="rId512" xr:uid="{3631C4B6-CC15-45F0-8D52-6841433B8A45}"/>
    <hyperlink ref="D2088" r:id="rId513" xr:uid="{EEE044D1-709A-4072-9D4C-F1BF24135468}"/>
    <hyperlink ref="D2496" r:id="rId514" xr:uid="{370CF8F5-F240-4D50-BB45-4101D9F964AF}"/>
    <hyperlink ref="D202" r:id="rId515" xr:uid="{34B0A6C7-D96B-4675-AA7A-E6351F0D8A97}"/>
    <hyperlink ref="D2107" r:id="rId516" xr:uid="{37013C2D-E02C-4A38-9A60-DADDD4255329}"/>
    <hyperlink ref="D1889" r:id="rId517" xr:uid="{E3521CE0-12BC-4CD4-A7A6-243E9D75D82F}"/>
    <hyperlink ref="D1987" r:id="rId518" xr:uid="{F8EB3C66-C80C-44B7-A059-2A934E56D1D4}"/>
    <hyperlink ref="D2045" r:id="rId519" xr:uid="{645E4BE1-B5DB-42C0-956A-4B9C0B6B2B33}"/>
    <hyperlink ref="D1928" r:id="rId520" xr:uid="{E727078C-1199-41FC-B808-E9E6FDF311A4}"/>
    <hyperlink ref="D825" r:id="rId521" xr:uid="{1F8433CE-A60D-45F1-A21F-0F6628BA0507}"/>
    <hyperlink ref="D1988" r:id="rId522" xr:uid="{14E9A0E1-C83A-4F6E-B135-C35CEF8658FA}"/>
    <hyperlink ref="D2302" r:id="rId523" xr:uid="{9D400651-5F87-42EF-A481-8A33A51C1C02}"/>
    <hyperlink ref="D775" r:id="rId524" xr:uid="{2B9645C7-6B91-4FEE-BEA5-A32B90A7FFE8}"/>
    <hyperlink ref="D2430" r:id="rId525" xr:uid="{2E091C75-56FC-4E14-958C-032C4D1A1E7E}"/>
    <hyperlink ref="D728" r:id="rId526" xr:uid="{A078ABFB-F888-42AA-BDB5-2DCE86F992A9}"/>
    <hyperlink ref="D2139" r:id="rId527" xr:uid="{EF6D3FCB-0D91-49CC-ADF8-A83556293547}"/>
    <hyperlink ref="D2253" r:id="rId528" xr:uid="{9C993537-6AD9-4C2F-B667-1C8832C98EB5}"/>
    <hyperlink ref="D2064" r:id="rId529" xr:uid="{1E637D09-EFF4-47B8-85A9-8C8A305C96F0}"/>
    <hyperlink ref="D1119" r:id="rId530" xr:uid="{DAD059F3-B23E-4893-AC56-13E549304BC9}"/>
    <hyperlink ref="D1281" r:id="rId531" xr:uid="{22E6C71C-D9A1-46DB-A0DC-A23BE387B5E3}"/>
    <hyperlink ref="D1633" r:id="rId532" xr:uid="{70D2F8C6-6CCB-4594-B295-4269059E72E3}"/>
    <hyperlink ref="D1999" r:id="rId533" xr:uid="{89933756-4A41-4A20-8F3D-0781DBC32548}"/>
    <hyperlink ref="D71" r:id="rId534" xr:uid="{A31C4ADC-C7B9-43B5-8EE3-A61D7ED44D84}"/>
    <hyperlink ref="D2028" r:id="rId535" xr:uid="{842C2BA4-C8C4-4C86-B55E-4AC8EB9796F0}"/>
    <hyperlink ref="D1980" r:id="rId536" xr:uid="{2BB2A567-B7FC-4566-9AD2-797AFD63BE88}"/>
    <hyperlink ref="D2111" r:id="rId537" xr:uid="{F9C195B2-B335-43FF-BBBD-62BE48E3CBBA}"/>
    <hyperlink ref="D2441" r:id="rId538" xr:uid="{9807BC34-F927-42B8-B6BE-2FBFD77CFB9B}"/>
    <hyperlink ref="D245" r:id="rId539" xr:uid="{9D2510CA-675F-4E01-9125-35542FD3DC84}"/>
    <hyperlink ref="D379" r:id="rId540" xr:uid="{2348688D-9209-4925-9B38-97D77505B757}"/>
    <hyperlink ref="D2230" r:id="rId541" xr:uid="{13B9D866-7842-47A6-A406-3EF351D0CC98}"/>
    <hyperlink ref="D1425" r:id="rId542" xr:uid="{205801F8-4838-4126-AED4-9E75F93C7072}"/>
    <hyperlink ref="D1789" r:id="rId543" xr:uid="{5D74CE19-3E77-422F-BD1C-5F23FCBC8E2A}"/>
    <hyperlink ref="D1413" r:id="rId544" xr:uid="{C0F80A9D-3CBD-4284-911B-CBE12BD98209}"/>
    <hyperlink ref="D1548" r:id="rId545" xr:uid="{88B50A93-870C-4E75-B659-138456C6D448}"/>
    <hyperlink ref="D400" r:id="rId546" xr:uid="{4E0D5148-C046-4F82-8092-BFB2FF4FB73F}"/>
    <hyperlink ref="D1412" r:id="rId547" xr:uid="{88A29D38-A72A-4CDF-A9D2-BA35EC3F85C5}"/>
    <hyperlink ref="D180" r:id="rId548" xr:uid="{758A1833-92CA-4F0A-ABBC-8E2E15F962B8}"/>
    <hyperlink ref="D1437" r:id="rId549" xr:uid="{7CB3A087-0CCE-4176-9588-97AB828E9474}"/>
    <hyperlink ref="D511" r:id="rId550" xr:uid="{1B3D466F-4893-420F-A26E-90CBBF4D1C54}"/>
    <hyperlink ref="D1781" r:id="rId551" xr:uid="{274E6E8F-0B6F-46F2-9770-3DA8F48CDD6C}"/>
    <hyperlink ref="D749" r:id="rId552" xr:uid="{7D51CFBB-7A6D-4928-B6A3-573C23EA1122}"/>
    <hyperlink ref="D1020" r:id="rId553" xr:uid="{47A186B2-2AF8-4F53-BBAA-D723C82C6B53}"/>
    <hyperlink ref="D2189" r:id="rId554" xr:uid="{E9F63272-4376-46E5-99F2-C2AEB447E3D6}"/>
    <hyperlink ref="D2179" r:id="rId555" xr:uid="{399A9FC8-4FEF-4EA5-8616-1B03196CC3E5}"/>
    <hyperlink ref="D1956" r:id="rId556" xr:uid="{6D28334F-C9CE-41C9-9E4D-800AF0229034}"/>
    <hyperlink ref="D1772" r:id="rId557" xr:uid="{F9C4B7E3-854B-44AF-A4AE-DA94736203D4}"/>
    <hyperlink ref="D1342" r:id="rId558" xr:uid="{B5082118-E4E2-41D7-9F57-F5EF3CDB4FC2}"/>
    <hyperlink ref="D1381" r:id="rId559" xr:uid="{B97C594B-769C-4E96-9FA5-DCF720BA7706}"/>
    <hyperlink ref="D2378" r:id="rId560" xr:uid="{AEA4A5BB-3242-4EAE-B500-AC1CEAA5B1AF}"/>
    <hyperlink ref="D735" r:id="rId561" xr:uid="{051A6D29-46BB-45FB-9479-797E304FB66A}"/>
    <hyperlink ref="D1617" r:id="rId562" xr:uid="{C164E52C-5A7F-4563-AC84-ADA5DAB79BD5}"/>
    <hyperlink ref="D1244" r:id="rId563" xr:uid="{162BB25C-BFBB-4740-BBA7-CF93F2CA932C}"/>
    <hyperlink ref="D2334" r:id="rId564" xr:uid="{966B9EA7-2683-4F59-9326-8E98729D2A37}"/>
    <hyperlink ref="D2476" r:id="rId565" xr:uid="{97DBB9C1-F0D4-4255-BE9A-8D5433BE5910}"/>
    <hyperlink ref="D259" r:id="rId566" xr:uid="{5D4340F7-31E5-42D3-8C19-8EA96CE803F7}"/>
    <hyperlink ref="D1804" r:id="rId567" xr:uid="{FD650769-1A9C-4ECF-A67F-31D744E4B1EE}"/>
    <hyperlink ref="D897" r:id="rId568" xr:uid="{7DF0D860-31E0-414A-B1AE-F250F0967F07}"/>
    <hyperlink ref="D2144" r:id="rId569" xr:uid="{632D6C32-0B6C-44A3-AD8E-A213AF17092E}"/>
    <hyperlink ref="D2162" r:id="rId570" xr:uid="{F7F1734B-E169-441C-A87D-BFFF3A6B6E75}"/>
    <hyperlink ref="D1834" r:id="rId571" xr:uid="{2A5BF60E-2D31-4BB7-9234-F5CD23F50638}"/>
    <hyperlink ref="D1950" r:id="rId572" xr:uid="{DE53CA9D-0435-4694-991A-7CFC6951D45F}"/>
    <hyperlink ref="D895" r:id="rId573" xr:uid="{A9F41AB8-9774-4CD3-BCD5-CF6C828EFC9F}"/>
    <hyperlink ref="D448" r:id="rId574" xr:uid="{30EC7927-9083-41F1-BD53-F752BFCC43C5}"/>
    <hyperlink ref="D194" r:id="rId575" xr:uid="{A7F2520D-FAE4-48DC-A7EF-40EEC9B02138}"/>
    <hyperlink ref="D6" r:id="rId576" xr:uid="{2D6490A4-0DB6-44C0-BFCB-33CA466F5D25}"/>
    <hyperlink ref="D2270" r:id="rId577" xr:uid="{4EF4BE91-5888-4475-B752-28FCCE30EDE0}"/>
    <hyperlink ref="D2434" r:id="rId578" xr:uid="{36577BA3-94FF-42C5-AA2D-97CADFBF050C}"/>
    <hyperlink ref="D116" r:id="rId579" xr:uid="{1FF7C47A-E431-4BCF-8214-253D40A8C85A}"/>
    <hyperlink ref="D280" r:id="rId580" xr:uid="{AD0D4D72-D069-43B8-A9D0-A7D74A2C563E}"/>
    <hyperlink ref="D1947" r:id="rId581" xr:uid="{AC3A45CC-E772-44D8-BEB3-83D5B5B0FBAF}"/>
    <hyperlink ref="D1359" r:id="rId582" xr:uid="{46C1D703-0EBA-47B8-9B62-4B24DAD32360}"/>
    <hyperlink ref="D1117" r:id="rId583" xr:uid="{B725777F-2F90-4B02-BA1C-AAFBEBFB3B32}"/>
    <hyperlink ref="D2271" r:id="rId584" xr:uid="{A66934AC-E14C-43C2-996B-A1D90B4B0DB6}"/>
    <hyperlink ref="D351" r:id="rId585" xr:uid="{532B08C2-9407-4E05-B56A-062EC470D37B}"/>
    <hyperlink ref="D2275" r:id="rId586" xr:uid="{EC63F891-1E93-4D90-82F0-2752C36AA9B4}"/>
    <hyperlink ref="D2073" r:id="rId587" xr:uid="{C6D806FE-6C47-41FA-B487-32768D232DC3}"/>
    <hyperlink ref="D582" r:id="rId588" xr:uid="{AC600FC2-0BEF-41CC-A944-EF40772FB0D2}"/>
    <hyperlink ref="D175" r:id="rId589" xr:uid="{B3F8F55E-AE56-4005-8575-32BCA10B5450}"/>
    <hyperlink ref="D2260" r:id="rId590" xr:uid="{641BDBE4-DC92-430A-BF73-A9A6AE6A381C}"/>
    <hyperlink ref="D2483" r:id="rId591" xr:uid="{44458690-D63D-4150-ADDD-F974D8F2C952}"/>
    <hyperlink ref="D190" r:id="rId592" xr:uid="{BA8A8C85-C517-4EF7-90BF-44747B5BF7BB}"/>
    <hyperlink ref="D1870" r:id="rId593" xr:uid="{5285F62C-7564-46BA-B47F-025293090A2E}"/>
    <hyperlink ref="D1627" r:id="rId594" xr:uid="{D7E9C52F-9B12-4810-B8FC-61C731D61007}"/>
    <hyperlink ref="D395" r:id="rId595" xr:uid="{04BBBD22-0BF8-4DCA-95AD-551EB1F4B3EB}"/>
    <hyperlink ref="D109" r:id="rId596" xr:uid="{6F6257D7-5EB4-4F98-96E8-3770B11525DE}"/>
    <hyperlink ref="D1554" r:id="rId597" xr:uid="{329CF306-5992-4E00-8888-9D25AEB311C6}"/>
    <hyperlink ref="D2201" r:id="rId598" xr:uid="{7CAFD0B9-1543-4505-B92A-360770100124}"/>
    <hyperlink ref="D2307" r:id="rId599" xr:uid="{E9AC8BB1-037A-4D7A-AFDD-7CC721C9B8E2}"/>
    <hyperlink ref="D603" r:id="rId600" xr:uid="{D6D62A13-64A5-40C3-8AA4-194910063699}"/>
    <hyperlink ref="D533" r:id="rId601" xr:uid="{16DC238B-DF8B-4068-BC83-507CF07E61B3}"/>
    <hyperlink ref="D1931" r:id="rId602" xr:uid="{43B01D01-8EED-4AE3-81C9-ED656CA3EACF}"/>
    <hyperlink ref="D2183" r:id="rId603" xr:uid="{C71F20B2-EA19-4C64-90B1-3FFB98EECD26}"/>
    <hyperlink ref="D1560" r:id="rId604" xr:uid="{1491FBB8-CE95-4F3D-BA50-FA487CD5B604}"/>
    <hyperlink ref="D830" r:id="rId605" xr:uid="{0198CA36-36E4-40BF-B6A9-2752F6375B1B}"/>
    <hyperlink ref="D127" r:id="rId606" xr:uid="{4557368F-8854-4BC7-9AE2-56D78A05013A}"/>
    <hyperlink ref="D596" r:id="rId607" xr:uid="{B94BCCCF-33A8-4959-915A-3FCC7BC08F78}"/>
    <hyperlink ref="D2341" r:id="rId608" xr:uid="{ADDE71AC-4705-46DD-B8D6-E6204CADA056}"/>
    <hyperlink ref="D509" r:id="rId609" xr:uid="{BB979B9B-FFD5-4510-B237-F0FCAE2289C0}"/>
    <hyperlink ref="D1080" r:id="rId610" xr:uid="{4C64C018-2079-487C-B3C8-5FAF965C1DE0}"/>
    <hyperlink ref="D311" r:id="rId611" xr:uid="{8D5C120C-72FB-4E85-8655-56F15475DA69}"/>
    <hyperlink ref="D489" r:id="rId612" xr:uid="{639DF3B9-C865-4C30-95CE-4FB6ADFF65FD}"/>
    <hyperlink ref="D890" r:id="rId613" xr:uid="{796FAF6C-9BCE-41E7-BC33-490E3ADDB7E6}"/>
    <hyperlink ref="D1296" r:id="rId614" xr:uid="{2529A96F-B77C-42FF-BA79-116B7C16BBE9}"/>
    <hyperlink ref="D793" r:id="rId615" xr:uid="{B86D70D4-E1CD-49F8-8E26-BE5040476FDD}"/>
    <hyperlink ref="D1690" r:id="rId616" xr:uid="{B74C8E42-0D6E-488D-8D14-5AB6A7814AEB}"/>
    <hyperlink ref="D1441" r:id="rId617" xr:uid="{8B0E64B1-ECC2-4C8E-A887-DA1A63725A89}"/>
    <hyperlink ref="D2390" r:id="rId618" xr:uid="{99E791A9-6F54-47FB-A04C-02B4B31C48BB}"/>
    <hyperlink ref="D1949" r:id="rId619" xr:uid="{2C514C21-ED56-4B8C-8FE0-4DD0E0809D15}"/>
    <hyperlink ref="D2507" r:id="rId620" xr:uid="{F7C45783-8086-4918-8DBC-C0FAF1382B72}"/>
    <hyperlink ref="D2094" r:id="rId621" xr:uid="{BC997C5C-62AE-4E3B-BA2B-55CAB373435B}"/>
    <hyperlink ref="D2472" r:id="rId622" xr:uid="{0B6E0728-D16C-473C-AF71-68F364D263C8}"/>
    <hyperlink ref="D1174" r:id="rId623" xr:uid="{1620C6DA-6F91-4944-B425-CCE22A8CEBF4}"/>
    <hyperlink ref="D1720" r:id="rId624" xr:uid="{87D3CBA4-BB0B-4312-8ECC-D138D8C37199}"/>
    <hyperlink ref="D482" r:id="rId625" xr:uid="{BF74F8C3-4A65-431E-ACDE-DB9E2396431E}"/>
    <hyperlink ref="D2046" r:id="rId626" xr:uid="{64957A39-A47E-4E29-96DD-F6D12574593C}"/>
    <hyperlink ref="D2288" r:id="rId627" xr:uid="{94EE9C99-8735-4F7D-85AC-413F82B7220B}"/>
    <hyperlink ref="D973" r:id="rId628" xr:uid="{FC22E077-F469-4F7A-ABD1-C2F7303E9F1B}"/>
    <hyperlink ref="D2317" r:id="rId629" xr:uid="{FE9B0760-A082-4CCE-BE7B-8E11CB7C1751}"/>
    <hyperlink ref="D1236" r:id="rId630" xr:uid="{C3B8046B-CFA4-4265-8A34-C384E21F7A8C}"/>
    <hyperlink ref="D1253" r:id="rId631" xr:uid="{9D9BC610-266C-49F1-BD92-8084CD08F3AC}"/>
    <hyperlink ref="D229" r:id="rId632" xr:uid="{F87FBC47-153B-464F-89B1-9D868774E3A4}"/>
    <hyperlink ref="D930" r:id="rId633" xr:uid="{D47165D8-F291-4DCB-B531-38DEC564007F}"/>
    <hyperlink ref="D211" r:id="rId634" xr:uid="{EE782A20-4EA2-40CF-B767-2A9ED61496B1}"/>
    <hyperlink ref="D2065" r:id="rId635" xr:uid="{1928CB9F-43F2-4140-AD65-E506DB5A0A5E}"/>
    <hyperlink ref="D249" r:id="rId636" xr:uid="{7A2CB9BC-D0D3-4B26-B964-D67E88A28873}"/>
    <hyperlink ref="D1282" r:id="rId637" xr:uid="{5EDCADF4-117B-4BC6-B36F-FBAB5F486BB5}"/>
    <hyperlink ref="D1459" r:id="rId638" xr:uid="{08465CB2-45AA-4CFD-B2C7-C04316436535}"/>
    <hyperlink ref="D904" r:id="rId639" xr:uid="{EED75C77-20F5-4E90-A084-D145B8D80C2A}"/>
    <hyperlink ref="D641" r:id="rId640" xr:uid="{3DB52805-F39E-4FEA-9632-B1BC77BB7D38}"/>
    <hyperlink ref="D2042" r:id="rId641" xr:uid="{4547ACB7-FA0F-4268-9F8A-471B37167EBB}"/>
    <hyperlink ref="D1981" r:id="rId642" xr:uid="{36DF07A3-BB08-4C96-8872-80391BE745A8}"/>
    <hyperlink ref="D2112" r:id="rId643" xr:uid="{618F803E-59A0-4901-9264-1635BD100754}"/>
    <hyperlink ref="D2169" r:id="rId644" xr:uid="{E332EC74-DD26-48F4-96A6-7B18969A0339}"/>
    <hyperlink ref="D318" r:id="rId645" xr:uid="{5C9FD1F5-F98B-48FC-B7B4-C97CB8B60EDA}"/>
    <hyperlink ref="D1353" r:id="rId646" xr:uid="{6C18471A-2FDD-4D91-A56B-4554B5FA0726}"/>
    <hyperlink ref="D506" r:id="rId647" xr:uid="{FEE82655-9FF6-425D-9C56-662F05FACFA7}"/>
    <hyperlink ref="D428" r:id="rId648" xr:uid="{1764C9B3-5E8C-4E60-8FB6-086F32185B5F}"/>
    <hyperlink ref="D986" r:id="rId649" xr:uid="{CA6685A4-2C42-4731-BC01-E482E1B31F49}"/>
    <hyperlink ref="D1199" r:id="rId650" xr:uid="{09DB57FA-56C1-4DEB-B2EE-CBA493BE61AC}"/>
    <hyperlink ref="D183" r:id="rId651" xr:uid="{26B88EE4-5EA0-4035-8DFE-1194D01F6052}"/>
    <hyperlink ref="D329" r:id="rId652" xr:uid="{32A6F677-1F9A-4AD5-B2F7-E8EBCA82570C}"/>
    <hyperlink ref="D880" r:id="rId653" xr:uid="{8B4A234D-1E70-41C2-879A-EC9FC7BF7308}"/>
    <hyperlink ref="D74" r:id="rId654" xr:uid="{1C97A3AA-BEF6-4C63-8B47-21BAB1D10A4E}"/>
    <hyperlink ref="D1195" r:id="rId655" xr:uid="{531B8600-ED53-4F9B-BC16-EB7A266EBFBB}"/>
    <hyperlink ref="D134" r:id="rId656" xr:uid="{6F49DEAA-60FD-486B-8CD2-92BF4349CC4C}"/>
    <hyperlink ref="D1221" r:id="rId657" xr:uid="{2120620A-39E6-431B-953C-CAB810899779}"/>
    <hyperlink ref="D173" r:id="rId658" xr:uid="{52330103-C026-4A73-A828-61C4F424D7CA}"/>
    <hyperlink ref="D2190" r:id="rId659" xr:uid="{1D2FA61D-1CF4-4316-9E8F-93FA85C81142}"/>
    <hyperlink ref="D2186" r:id="rId660" xr:uid="{62FA2157-86F5-4FB0-A0C2-16977E15F1CB}"/>
    <hyperlink ref="D1970" r:id="rId661" xr:uid="{4089B6AB-CB7B-419D-9A78-51892047EF6F}"/>
    <hyperlink ref="D2352" r:id="rId662" xr:uid="{1D1CAD6E-FE58-4EB1-955D-30049E8230A5}"/>
    <hyperlink ref="D1648" r:id="rId663" xr:uid="{652A6EC6-9616-4832-9323-B42710CCD516}"/>
    <hyperlink ref="D2379" r:id="rId664" xr:uid="{E1629DCD-B3DE-4278-8C16-6D01AB66CBAE}"/>
    <hyperlink ref="D2017" r:id="rId665" xr:uid="{BD56525C-BDD1-491E-AB8F-F9B0BEEE515A}"/>
    <hyperlink ref="D690" r:id="rId666" xr:uid="{3068B6BA-ECE2-464E-AF1D-916211005B38}"/>
    <hyperlink ref="D1866" r:id="rId667" xr:uid="{0E07BAF8-2927-4102-A710-59A857490782}"/>
    <hyperlink ref="D898" r:id="rId668" xr:uid="{58102EA3-FF3B-4CBE-8537-5422EC5F9D18}"/>
    <hyperlink ref="D2155" r:id="rId669" xr:uid="{E31F3FD3-0034-4B8B-8999-C0362D3F67C3}"/>
    <hyperlink ref="D295" r:id="rId670" xr:uid="{BE2CBA73-335D-4277-A7F8-31CBE772A90B}"/>
    <hyperlink ref="D22" r:id="rId671" xr:uid="{434C2461-7B14-419B-B4ED-078473A06136}"/>
    <hyperlink ref="D293" r:id="rId672" xr:uid="{54DE6CE6-C202-40C9-B264-11E1FAD8DAAB}"/>
    <hyperlink ref="D628" r:id="rId673" xr:uid="{031E5B8B-8C11-41B6-BD8A-DF3C7FAF2D37}"/>
    <hyperlink ref="D195" r:id="rId674" xr:uid="{69990669-3494-400A-8C10-148A67E8484A}"/>
    <hyperlink ref="D19" r:id="rId675" xr:uid="{94F47E56-8CDB-4BFC-87A0-D67B3FCAEB4E}"/>
    <hyperlink ref="D2274" r:id="rId676" xr:uid="{CA249A5F-AC7F-4AE5-BEC9-8BF188E3758C}"/>
    <hyperlink ref="D543" r:id="rId677" xr:uid="{FA276B98-74B1-4BA4-9F88-55682E3DDF1A}"/>
    <hyperlink ref="D281" r:id="rId678" xr:uid="{A6B2C936-65BD-415C-9B6B-3EDF511F1E30}"/>
    <hyperlink ref="D491" r:id="rId679" xr:uid="{0DB3A35A-8845-4D9B-AFBA-CFA33C23736C}"/>
    <hyperlink ref="D1673" r:id="rId680" xr:uid="{12B0971E-7292-44D5-8ABF-7F1E1C9F25B4}"/>
    <hyperlink ref="D352" r:id="rId681" xr:uid="{33931208-478B-4812-A8F9-0E8BA2151228}"/>
    <hyperlink ref="D2276" r:id="rId682" xr:uid="{7B4A8CD0-6752-4795-99E8-E9711AD96AF7}"/>
    <hyperlink ref="D2074" r:id="rId683" xr:uid="{D0F75E3A-9087-425A-86CA-B1F0C569CA3F}"/>
    <hyperlink ref="D1534" r:id="rId684" xr:uid="{5F85EFB0-90D2-4C08-925F-6FCA505BA50F}"/>
    <hyperlink ref="D433" r:id="rId685" xr:uid="{9D717138-1D8C-4A6D-B6FA-83FF79F6277E}"/>
    <hyperlink ref="D2251" r:id="rId686" xr:uid="{2364A780-3014-4958-ABD5-9F35E0155DEC}"/>
    <hyperlink ref="D396" r:id="rId687" xr:uid="{9286C3E8-D0E2-4595-90AC-C9E7D53DE1F6}"/>
    <hyperlink ref="D393" r:id="rId688" xr:uid="{B3B8005D-5F35-4506-B026-1E0304D4A277}"/>
    <hyperlink ref="D1861" r:id="rId689" xr:uid="{E45DCC74-3411-4B7A-A6F7-7928973A74C7}"/>
    <hyperlink ref="D1498" r:id="rId690" xr:uid="{A94CED4E-6622-42A3-9857-436353C360C3}"/>
    <hyperlink ref="D801" r:id="rId691" xr:uid="{1B6E1D02-EA36-4CBC-946B-BEDB75268BA6}"/>
    <hyperlink ref="D2254" r:id="rId692" xr:uid="{31B0FDF7-48B6-4DF2-9030-BCCB256822C1}"/>
    <hyperlink ref="D640" r:id="rId693" xr:uid="{2CA3607D-D578-4DAC-B161-2FEE49DB4B6D}"/>
    <hyperlink ref="D961" r:id="rId694" xr:uid="{03D85EBE-CD7B-444F-94A8-7A46990674D6}"/>
    <hyperlink ref="D1776" r:id="rId695" xr:uid="{67FD20E2-7938-4608-A2D5-1F46C4D42080}"/>
    <hyperlink ref="D361" r:id="rId696" xr:uid="{6F1EB578-483F-4281-9B3D-B0AE587CFFC6}"/>
    <hyperlink ref="D2523" r:id="rId697" xr:uid="{36EDAD1E-72A9-4B09-A439-584466F174AC}"/>
    <hyperlink ref="D128" r:id="rId698" xr:uid="{080D9AFC-7060-401F-B071-14A838C914D1}"/>
    <hyperlink ref="D1420" r:id="rId699" xr:uid="{2F716052-4199-45A4-AA22-859A0A08EDC7}"/>
    <hyperlink ref="D1063" r:id="rId700" xr:uid="{D7786091-E89E-45F7-B68E-FF443DB150B5}"/>
    <hyperlink ref="D516" r:id="rId701" xr:uid="{4F43EF4F-24C3-4EA3-8F77-A3CE14B84880}"/>
    <hyperlink ref="D310" r:id="rId702" xr:uid="{73CCB298-0A4B-4BED-97FD-F582BE27D4CE}"/>
    <hyperlink ref="D1306" r:id="rId703" xr:uid="{007410DD-EC98-463F-820E-4D22EB5294E3}"/>
    <hyperlink ref="D1288" r:id="rId704" xr:uid="{76F12565-0F5A-4F9E-8A2E-A71076FEB834}"/>
    <hyperlink ref="D1469" r:id="rId705" xr:uid="{A56E795D-317A-4073-96BF-680EE879860E}"/>
    <hyperlink ref="D2514" r:id="rId706" xr:uid="{280A2F33-72E3-4DA2-AC83-342B13B3F4FD}"/>
    <hyperlink ref="D2108" r:id="rId707" xr:uid="{E04B8C71-9033-40B2-8C3B-FE18C8C0FA76}"/>
    <hyperlink ref="D2480" r:id="rId708" xr:uid="{512B8E11-01A8-41D4-BC00-DB11620E48EE}"/>
    <hyperlink ref="D1175" r:id="rId709" xr:uid="{E3483BDF-1966-43D4-81C4-41CA9D886B5F}"/>
    <hyperlink ref="D613" r:id="rId710" xr:uid="{540B4B5F-8D4D-4168-BE11-4AB41074C6F5}"/>
    <hyperlink ref="D2256" r:id="rId711" xr:uid="{016EB08A-5E7E-4317-B6F1-C5C1CC9D4382}"/>
    <hyperlink ref="D2398" r:id="rId712" xr:uid="{F76F6450-E81D-466A-B6B4-026485B1BEE1}"/>
    <hyperlink ref="D2289" r:id="rId713" xr:uid="{4FD8B330-8B53-40D2-94CF-5E12124B188A}"/>
    <hyperlink ref="D1013" r:id="rId714" xr:uid="{6960D458-BA51-4FDC-AB50-D3B3B51C7C8A}"/>
    <hyperlink ref="D2323" r:id="rId715" xr:uid="{FB402FF6-FE9C-4F92-B128-935B2F96D0FD}"/>
    <hyperlink ref="D1523" r:id="rId716" xr:uid="{6DB3AE30-88A5-4C10-A9D1-D2BE562DCBA0}"/>
    <hyperlink ref="D1095" r:id="rId717" xr:uid="{D2F5D80D-A206-4D8F-A248-DB1322D06C60}"/>
    <hyperlink ref="D2141" r:id="rId718" xr:uid="{E766BECB-06E7-4E61-B844-D75469963EB5}"/>
    <hyperlink ref="D1935" r:id="rId719" xr:uid="{C719272A-5C88-47CE-9EAD-9C6041D35E6E}"/>
    <hyperlink ref="D2066" r:id="rId720" xr:uid="{A9CDAC74-EC09-44CA-8E6F-C66F81CFE652}"/>
    <hyperlink ref="D250" r:id="rId721" xr:uid="{8E2EB477-4751-4EB3-A273-AB025FA9130A}"/>
    <hyperlink ref="D1283" r:id="rId722" xr:uid="{2B3F1DCB-6889-4059-9E5B-7E4565424049}"/>
    <hyperlink ref="D996" r:id="rId723" xr:uid="{CC452706-EC39-4D28-8244-E32D498D789B}"/>
    <hyperlink ref="D1234" r:id="rId724" xr:uid="{54540F69-A1EE-4E52-8550-29E083824C10}"/>
    <hyperlink ref="D1241" r:id="rId725" xr:uid="{CDD88DB9-641C-464F-9E17-95854D930080}"/>
    <hyperlink ref="D1398" r:id="rId726" xr:uid="{55CCB8A0-AAF8-4AD3-91E7-54D4CB4453AC}"/>
    <hyperlink ref="D1600" r:id="rId727" xr:uid="{93DC048B-B99B-4D65-8806-A2B444D8392E}"/>
    <hyperlink ref="D1604" r:id="rId728" xr:uid="{3FA6C636-36E0-41B4-B448-BA6176B1B12E}"/>
    <hyperlink ref="D513" r:id="rId729" xr:uid="{6B1F93F4-D631-4C51-A7B9-EBE7CB602953}"/>
    <hyperlink ref="D184" r:id="rId730" xr:uid="{F20C8A0C-A0B6-4319-BEE9-563CED532B03}"/>
    <hyperlink ref="D265" r:id="rId731" xr:uid="{0B482782-57AC-4ADD-94B2-C64D1F701F9A}"/>
    <hyperlink ref="D10" r:id="rId732" xr:uid="{89D58302-8D27-4312-9758-5080729D5D74}"/>
    <hyperlink ref="D1545" r:id="rId733" xr:uid="{7D93F01D-9DB5-4262-B1A8-706812748296}"/>
    <hyperlink ref="D65" r:id="rId734" xr:uid="{8E97C7ED-6492-4DD7-8BCF-6CBCE5EF03B7}"/>
    <hyperlink ref="D1599" r:id="rId735" xr:uid="{2C08DB7A-D1B0-4384-99E9-DAD9DE80C556}"/>
    <hyperlink ref="D220" r:id="rId736" xr:uid="{40D7B8E5-B860-4FC3-83CC-628C73E90603}"/>
    <hyperlink ref="D2252" r:id="rId737" xr:uid="{5AF40BA9-6FA7-4D04-BF55-BA15147D90C0}"/>
    <hyperlink ref="D1798" r:id="rId738" xr:uid="{2CEBF097-0423-431F-9F2B-F98A24C03EA2}"/>
    <hyperlink ref="D1023" r:id="rId739" xr:uid="{EC930D69-AD28-4ACA-9470-CD71F33A9DB6}"/>
    <hyperlink ref="D906" r:id="rId740" xr:uid="{E53A3AD1-2454-4253-B773-E84B8374C5A4}"/>
    <hyperlink ref="D2192" r:id="rId741" xr:uid="{82A7B9FB-2A19-4118-9E07-BCDD7F7A4DD8}"/>
    <hyperlink ref="D2188" r:id="rId742" xr:uid="{48659F4B-4CCB-4B74-84CE-F7511DD08A6F}"/>
    <hyperlink ref="D1975" r:id="rId743" xr:uid="{7F68B86E-67AB-4814-8B1E-337C06B54595}"/>
    <hyperlink ref="D1675" r:id="rId744" xr:uid="{DD5B6FBE-07E4-46B2-B2EA-E3069EF334D5}"/>
    <hyperlink ref="D1649" r:id="rId745" xr:uid="{FCD092F6-5A76-45F6-984C-07C4BF02384E}"/>
    <hyperlink ref="D84" r:id="rId746" xr:uid="{22ECED9E-7991-42F0-9336-3704DF19AF42}"/>
    <hyperlink ref="D1562" r:id="rId747" xr:uid="{0BF7DEC9-E033-4855-AA92-8272AB58D57E}"/>
    <hyperlink ref="D1461" r:id="rId748" xr:uid="{340A056F-A260-498B-AC5A-C8A23E28B69E}"/>
    <hyperlink ref="D1840" r:id="rId749" xr:uid="{19ED1510-06BC-4455-BBBD-28DD1F53486F}"/>
    <hyperlink ref="D1040" r:id="rId750" xr:uid="{25D694D8-2332-4B8F-8BD0-E577728EBC13}"/>
    <hyperlink ref="D2163" r:id="rId751" xr:uid="{A27E197F-C6E4-4A78-BAA9-5CE113FE1647}"/>
    <hyperlink ref="D296" r:id="rId752" xr:uid="{2D308CB4-BB18-4564-AE80-123CD80B328A}"/>
    <hyperlink ref="D1813" r:id="rId753" xr:uid="{3A2B3466-E8E7-463D-B8FA-535586DFDA83}"/>
    <hyperlink ref="D579" r:id="rId754" xr:uid="{3A16022D-FCC9-4FF1-B330-E569C9319ABA}"/>
    <hyperlink ref="D802" r:id="rId755" xr:uid="{D448F322-9F6A-4062-80D4-BAEE32E0502C}"/>
    <hyperlink ref="D2277" r:id="rId756" xr:uid="{30CACD22-1F2E-48CE-B842-27BC0F6FF3B6}"/>
    <hyperlink ref="D2436" r:id="rId757" xr:uid="{4F5242B0-DA00-4369-B7D7-1487FFE599DF}"/>
    <hyperlink ref="D31" r:id="rId758" xr:uid="{D318F1D1-AC20-4B19-BA12-855BB80482E1}"/>
    <hyperlink ref="D912" r:id="rId759" xr:uid="{65AE792A-1E7E-4508-9628-B1B936CF7B39}"/>
    <hyperlink ref="D515" r:id="rId760" xr:uid="{C438003A-8979-4055-A56E-6F50799761CA}"/>
    <hyperlink ref="D1874" r:id="rId761" xr:uid="{2DB5BDED-CC0B-42F7-84F1-58E8064B194A}"/>
    <hyperlink ref="D434" r:id="rId762" xr:uid="{5FD9F493-A5B7-4DDF-8633-88FD13687346}"/>
    <hyperlink ref="D1711" r:id="rId763" xr:uid="{FBB68C7A-3B9B-4A33-941D-EBC2726E3D1A}"/>
    <hyperlink ref="D1924" r:id="rId764" xr:uid="{D66BA0DC-0BFD-43C9-AF2D-A0159AFE3F69}"/>
    <hyperlink ref="D1564" r:id="rId765" xr:uid="{C1AB1352-B341-4C10-8762-347D8D767968}"/>
    <hyperlink ref="D107" r:id="rId766" xr:uid="{4A7C4CFE-C8AF-450A-AE1E-EBBAA0AF4B8B}"/>
    <hyperlink ref="D1405" r:id="rId767" xr:uid="{99EA42F9-8359-446D-80B4-39E06234E08D}"/>
    <hyperlink ref="D1074" r:id="rId768" xr:uid="{3CC4AF07-F993-4D5C-AB64-2757F604A485}"/>
    <hyperlink ref="D605" r:id="rId769" xr:uid="{4FCBFED1-221A-4FF0-B5FA-81EFD1FD8D30}"/>
    <hyperlink ref="D534" r:id="rId770" xr:uid="{94EB6ACA-84B1-4650-BA2E-DFE342E726F7}"/>
    <hyperlink ref="D962" r:id="rId771" xr:uid="{5AAF392A-E6CC-4D35-9470-C3C76308921C}"/>
    <hyperlink ref="D2185" r:id="rId772" xr:uid="{7384B182-8F32-4669-8880-F38BCF9E2B60}"/>
    <hyperlink ref="D1661" r:id="rId773" xr:uid="{FD9C64B4-218A-4AE1-974A-6C6350315A76}"/>
    <hyperlink ref="D1526" r:id="rId774" xr:uid="{09AEB6CA-3DBD-4111-ADD1-037EA6785E9B}"/>
    <hyperlink ref="D2006" r:id="rId775" xr:uid="{AF281438-2CBF-42D4-AD7D-40255C16E63A}"/>
    <hyperlink ref="D1421" r:id="rId776" xr:uid="{F524D5A1-B293-4EAA-B798-4BF3A32BC981}"/>
    <hyperlink ref="D927" r:id="rId777" xr:uid="{5AC5CE48-A989-4A45-8DE6-AEB3814C2CB9}"/>
    <hyperlink ref="D143" r:id="rId778" xr:uid="{4EF42F3D-ADB8-4434-8702-4970237B2E3D}"/>
    <hyperlink ref="D1016" r:id="rId779" xr:uid="{0D09422F-1D82-4D33-9407-7B4CEA1655B0}"/>
    <hyperlink ref="D2399" r:id="rId780" xr:uid="{2922FB53-C284-41BA-BD45-9E63C02F6D1D}"/>
    <hyperlink ref="D1692" r:id="rId781" xr:uid="{D9A0F6B0-A6D5-4CF3-99C4-305E8EC15DAD}"/>
    <hyperlink ref="D2494" r:id="rId782" xr:uid="{973CC02C-6F05-4D76-A1F9-0D6A84FACFED}"/>
    <hyperlink ref="D2501" r:id="rId783" xr:uid="{7593C892-C05A-4371-A6F6-0E1E35B02B55}"/>
    <hyperlink ref="D2120" r:id="rId784" xr:uid="{36DE44B3-9093-4770-89FE-0EEE5D2ED878}"/>
    <hyperlink ref="D1176" r:id="rId785" xr:uid="{218DD416-4C4F-4F56-B541-0939932C4EA6}"/>
    <hyperlink ref="D1291" r:id="rId786" xr:uid="{221688D3-730A-49A2-9B92-17B8EBE00BEB}"/>
    <hyperlink ref="D2176" r:id="rId787" xr:uid="{4D8ED513-E22F-4FE6-8C78-D55C5AF0521A}"/>
    <hyperlink ref="D923" r:id="rId788" xr:uid="{DC55D5C1-B859-4A6C-84DA-C70CFC15DAB7}"/>
    <hyperlink ref="D2290" r:id="rId789" xr:uid="{6289D7F4-C049-47F1-93D7-6216C7ED50BA}"/>
    <hyperlink ref="D1754" r:id="rId790" xr:uid="{70898D61-5DDB-449C-8617-99D6CB8A671A}"/>
    <hyperlink ref="D2326" r:id="rId791" xr:uid="{CCF60A37-A8B2-4C28-BF07-EACBD91EAD6B}"/>
    <hyperlink ref="D1565" r:id="rId792" xr:uid="{4E5015D9-4B40-496A-BB80-1F1E2A9897E6}"/>
    <hyperlink ref="D326" r:id="rId793" xr:uid="{5B9FB8B9-E719-4D66-8664-BD82E52CDD19}"/>
    <hyperlink ref="D2142" r:id="rId794" xr:uid="{A4376FC4-BAC8-472F-BF5F-2E2A5BC87FA0}"/>
    <hyperlink ref="D1438" r:id="rId795" xr:uid="{72BDB3C4-5376-44B0-B9DC-8C4D2BCA9E0C}"/>
    <hyperlink ref="D2067" r:id="rId796" xr:uid="{C3FA4609-CB6D-426A-B899-CDAADB0AC813}"/>
    <hyperlink ref="D2206" r:id="rId797" xr:uid="{DADF957F-26A1-4029-9770-75EE1A1BACDF}"/>
    <hyperlink ref="D919" r:id="rId798" xr:uid="{BF5D74F5-B263-48C8-8AEE-637BFB6963C9}"/>
    <hyperlink ref="D1213" r:id="rId799" xr:uid="{C998C263-9474-4711-A46A-DDDA20B24672}"/>
    <hyperlink ref="D2114" r:id="rId800" xr:uid="{64C85E10-4B6E-4205-8BF3-B6580CB4F52A}"/>
    <hyperlink ref="D2164" r:id="rId801" xr:uid="{2C8EE1E2-1F2E-49BA-B68E-75620916BA43}"/>
    <hyperlink ref="D1521" r:id="rId802" xr:uid="{FBCB368C-1C9C-40BF-A6A8-4EA9B3EFD977}"/>
    <hyperlink ref="D703" r:id="rId803" xr:uid="{DD2795CB-4362-4BFF-A19A-B918D72C8FCF}"/>
    <hyperlink ref="D373" r:id="rId804" xr:uid="{00078F43-EC0C-4251-9BFE-A783F797A0AD}"/>
    <hyperlink ref="D266" r:id="rId805" xr:uid="{94DD54A0-4485-44E8-9A77-553D60E193A1}"/>
    <hyperlink ref="D1621" r:id="rId806" xr:uid="{8897ABE9-74A1-4499-A2A3-634FF5F7DF7C}"/>
    <hyperlink ref="D277" r:id="rId807" xr:uid="{E373A7EF-2487-476D-815D-2F7B00736DEC}"/>
    <hyperlink ref="D376" r:id="rId808" xr:uid="{DB5054A7-FE08-4773-B8E3-24F1B80F1156}"/>
    <hyperlink ref="D1226" r:id="rId809" xr:uid="{8BC64F89-C97C-46AF-B831-5B72AC05C5D2}"/>
    <hyperlink ref="D1223" r:id="rId810" xr:uid="{54795D01-6A53-4E18-A012-C60E7A016B43}"/>
    <hyperlink ref="D1464" r:id="rId811" xr:uid="{C8050788-02C4-4094-988E-BFD0ABBCA8DC}"/>
    <hyperlink ref="D1289" r:id="rId812" xr:uid="{40196657-BC16-4D51-8450-65D420173AF6}"/>
    <hyperlink ref="D761" r:id="rId813" xr:uid="{83E12B32-3FEF-41DB-93F0-F7C29B946F8B}"/>
    <hyperlink ref="D2198" r:id="rId814" xr:uid="{FA41A213-DF89-4081-A147-C95E5287B064}"/>
    <hyperlink ref="D2199" r:id="rId815" xr:uid="{BC2306CB-FA51-4150-A571-925A8EEFC297}"/>
    <hyperlink ref="D1961" r:id="rId816" xr:uid="{739F3358-E009-4FD1-A8A0-0845CFED3098}"/>
    <hyperlink ref="D1790" r:id="rId817" xr:uid="{872E2875-F8F3-4C62-BC27-F398CF55B215}"/>
    <hyperlink ref="D1650" r:id="rId818" xr:uid="{4464F579-B16F-4440-8DE8-0C14453C8255}"/>
    <hyperlink ref="D1042" r:id="rId819" xr:uid="{B87C8A3F-3EE4-4468-BAC4-6F81E0A68497}"/>
    <hyperlink ref="D2014" r:id="rId820" xr:uid="{D789B30E-6C8F-4C4F-8363-6854ACDCB0DE}"/>
    <hyperlink ref="D1777" r:id="rId821" xr:uid="{44C64CC1-8BBF-4FEF-91B3-51479CE42D02}"/>
    <hyperlink ref="D24" r:id="rId822" xr:uid="{A77FBF1D-1652-49C2-818E-675465F6FBCE}"/>
    <hyperlink ref="D2455" r:id="rId823" xr:uid="{0E900ED5-3173-4604-AB08-908FB842DF53}"/>
    <hyperlink ref="D2244" r:id="rId824" xr:uid="{1478FBC6-B0B4-45AF-BC61-0A9FE47CFC7A}"/>
    <hyperlink ref="D1982" r:id="rId825" xr:uid="{1DA157DC-BC46-4039-82F1-1CC01F8F4EAA}"/>
    <hyperlink ref="D2076" r:id="rId826" xr:uid="{77F07DE9-C3D4-4388-B677-69E07B75FA56}"/>
    <hyperlink ref="D585" r:id="rId827" xr:uid="{7329A42F-D50B-4A25-9509-BE839B2547CF}"/>
    <hyperlink ref="D398" r:id="rId828" xr:uid="{7568E93E-9FBD-4C19-BFED-D37FD9BE259B}"/>
    <hyperlink ref="D1153" r:id="rId829" xr:uid="{46C844F6-FA3B-4929-8CDC-92A80429E4FC}"/>
    <hyperlink ref="D1209" r:id="rId830" xr:uid="{736766BD-9EFD-4978-8EE1-496DAC092FC1}"/>
    <hyperlink ref="D1395" r:id="rId831" xr:uid="{64FFD40D-C478-419B-8CB2-63F7AC7B5A72}"/>
    <hyperlink ref="D2310" r:id="rId832" xr:uid="{BA4DB889-BDDE-4B47-BBAE-1ED188711E13}"/>
    <hyperlink ref="D1761" r:id="rId833" xr:uid="{3B21E289-9FD5-459F-BA89-BCA8CDF46234}"/>
    <hyperlink ref="D535" r:id="rId834" xr:uid="{30201513-6FDB-4F46-A3FE-5C2AC12FA3D2}"/>
    <hyperlink ref="D1638" r:id="rId835" xr:uid="{7834549A-12E2-4A5B-8BC5-FCB96A75F192}"/>
    <hyperlink ref="D803" r:id="rId836" xr:uid="{D067D55F-00F2-46D4-B518-DCB6D77293E3}"/>
    <hyperlink ref="D873" r:id="rId837" xr:uid="{8EF4C64B-057F-4D04-AEA7-464ECF379826}"/>
    <hyperlink ref="D387" r:id="rId838" xr:uid="{25B9D64C-ABCF-4F0D-AA7A-B2DB0119D6EC}"/>
    <hyperlink ref="D1752" r:id="rId839" xr:uid="{4A6BF928-FF15-4928-9E50-F7B3E0EF0860}"/>
    <hyperlink ref="D1087" r:id="rId840" xr:uid="{3DBC3822-08F1-4300-9FA9-E2B48621E251}"/>
    <hyperlink ref="D1017" r:id="rId841" xr:uid="{079EEB9E-0A94-40DC-9E72-284261EECC87}"/>
    <hyperlink ref="D1535" r:id="rId842" xr:uid="{D5D7C94F-43FF-4CE1-8BF5-2CC5E10AF765}"/>
    <hyperlink ref="D969" r:id="rId843" xr:uid="{EB091B5E-0816-4DB2-B0BE-D8122E0CDF4A}"/>
    <hyperlink ref="D2495" r:id="rId844" xr:uid="{0A621B89-9F36-421A-9BB3-CC29D7D2A682}"/>
    <hyperlink ref="D2518" r:id="rId845" xr:uid="{CC5B3583-771F-4DF3-AEA1-F644A0637081}"/>
    <hyperlink ref="D2126" r:id="rId846" xr:uid="{DE7F7F09-0550-4A73-B689-CB58FE977BF7}"/>
    <hyperlink ref="D1177" r:id="rId847" xr:uid="{83F43C8E-29A8-46A6-B5FF-5B6A3DCEA715}"/>
    <hyperlink ref="D1723" r:id="rId848" xr:uid="{75928684-A1B0-4B1D-9972-BADE8B1509DE}"/>
    <hyperlink ref="D485" r:id="rId849" xr:uid="{F640AA0C-5F96-4B68-8F17-18AE7239C362}"/>
    <hyperlink ref="D929" r:id="rId850" xr:uid="{C83729E5-3388-4EDC-88DF-0EEFAC4F4E40}"/>
    <hyperlink ref="D139" r:id="rId851" xr:uid="{8DBF379F-881C-4C21-87B3-62A3D1A4F906}"/>
    <hyperlink ref="D18" r:id="rId852" xr:uid="{8699DA61-6DE6-414C-B8EE-229207A108C5}"/>
    <hyperlink ref="D2337" r:id="rId853" xr:uid="{C53DC5D1-8F16-46F1-98E6-C80F193D01D5}"/>
    <hyperlink ref="D1566" r:id="rId854" xr:uid="{96F65997-4756-47D7-AF87-016BDDE21DA0}"/>
    <hyperlink ref="D1573" r:id="rId855" xr:uid="{7A128C49-1883-4AAC-A04E-092728673EB1}"/>
    <hyperlink ref="D1856" r:id="rId856" xr:uid="{AF84DF61-4872-41E1-A726-A9FABEB7D2AC}"/>
    <hyperlink ref="D248" r:id="rId857" xr:uid="{3FF8EB41-F3A3-4B8B-A850-494A65D20366}"/>
    <hyperlink ref="D124" r:id="rId858" xr:uid="{243CC974-BDFB-4A8E-A53C-71897680F9AB}"/>
    <hyperlink ref="D141" r:id="rId859" xr:uid="{DD2533C9-BFE9-44B9-9701-FB7812D4F871}"/>
    <hyperlink ref="D1463" r:id="rId860" xr:uid="{6D61CAFA-1188-4EE9-A8BB-B9613E8248C5}"/>
    <hyperlink ref="D1620" r:id="rId861" xr:uid="{DC7FF2F9-43B4-4178-985C-82F8F3BFE2D9}"/>
    <hyperlink ref="D1228" r:id="rId862" xr:uid="{EEBAD471-7EF4-434F-930D-89308C52CE4C}"/>
    <hyperlink ref="D2214" r:id="rId863" xr:uid="{26AD46D8-E510-4F6B-ADC0-0A90F4F4E415}"/>
    <hyperlink ref="D519" r:id="rId864" xr:uid="{D57400CB-6AE5-41F3-A24D-87C6330CEDB7}"/>
    <hyperlink ref="D1852" r:id="rId865" xr:uid="{0FE4E741-E721-4124-88C4-743201FFBEE6}"/>
    <hyperlink ref="D1703" r:id="rId866" xr:uid="{97484183-D205-48E9-96AB-D5971E557EF3}"/>
    <hyperlink ref="D1165" r:id="rId867" xr:uid="{DB02F691-3AAC-458A-8C43-29E3C2D51707}"/>
    <hyperlink ref="D408" r:id="rId868" xr:uid="{18C40E8D-4F0B-464F-978F-934772C409EB}"/>
    <hyperlink ref="D1198" r:id="rId869" xr:uid="{4C7AF841-AFF5-449B-85DE-1AB27F6F4E20}"/>
    <hyperlink ref="D2218" r:id="rId870" xr:uid="{868F6D62-A971-4E4B-B443-DCF41C0AFA05}"/>
    <hyperlink ref="D1340" r:id="rId871" xr:uid="{65C795AD-7B20-40FD-B049-64586CC136A5}"/>
    <hyperlink ref="D1505" r:id="rId872" xr:uid="{54F4F03A-C649-4636-B1D5-46767D1074A1}"/>
    <hyperlink ref="D908" r:id="rId873" xr:uid="{6E322F3F-5270-4B1C-9BBA-5CF38FF9171E}"/>
    <hyperlink ref="D2200" r:id="rId874" xr:uid="{EADDBFE0-3197-48E5-9A5A-0F9310BC16A3}"/>
    <hyperlink ref="D1974" r:id="rId875" xr:uid="{42E018E2-5344-4272-A7D1-655E3D75110C}"/>
    <hyperlink ref="D1453" r:id="rId876" xr:uid="{982E3230-2902-417F-8906-4B9981B324D3}"/>
    <hyperlink ref="D1898" r:id="rId877" xr:uid="{784F1CB1-2E13-4335-9490-A55B90C84982}"/>
    <hyperlink ref="D1952" r:id="rId878" xr:uid="{B9999935-550E-495C-B4B2-6DC80F2B3E3E}"/>
    <hyperlink ref="D1783" r:id="rId879" xr:uid="{69C640BE-50E5-4F44-AFE7-CDCF3614BD45}"/>
    <hyperlink ref="D2451" r:id="rId880" xr:uid="{A60DFDC0-C8ED-46AF-9674-9DF9D5B1F7C1}"/>
    <hyperlink ref="D33" r:id="rId881" xr:uid="{2360891E-2186-4994-A777-56724EC09FB8}"/>
    <hyperlink ref="D737" r:id="rId882" xr:uid="{AA8F980A-DAE5-4621-9CFD-DE2046D6B970}"/>
    <hyperlink ref="D372" r:id="rId883" xr:uid="{E0BDC447-50AE-4DBD-B314-4D1D077C46A2}"/>
    <hyperlink ref="D1850" r:id="rId884" xr:uid="{EB7CD85B-D1E9-482D-B1EF-54D6BAD866B0}"/>
    <hyperlink ref="D1242" r:id="rId885" xr:uid="{7EF3B7B5-31AF-45E6-BB22-D114C517A44B}"/>
    <hyperlink ref="D1406" r:id="rId886" xr:uid="{A6085B9E-DF20-49CE-A2E2-B6AD61304DF6}"/>
    <hyperlink ref="D1755" r:id="rId887" xr:uid="{40C63B4E-9689-4A4A-83AD-316B25BBDE78}"/>
    <hyperlink ref="D1107" r:id="rId888" xr:uid="{F19F2EB6-AC07-4252-99C8-731095095C19}"/>
    <hyperlink ref="D1922" r:id="rId889" xr:uid="{351410BB-D387-49A4-80EF-C6BEADBB47D2}"/>
    <hyperlink ref="D536" r:id="rId890" xr:uid="{CF07CFD0-20A8-4381-B56B-EF88DC21992B}"/>
    <hyperlink ref="D1915" r:id="rId891" xr:uid="{277C8477-6A0E-4E66-8DC2-53603DC3699D}"/>
    <hyperlink ref="D426" r:id="rId892" xr:uid="{842680A9-A1E7-409A-A1A0-1EFADDBF17C1}"/>
    <hyperlink ref="D680" r:id="rId893" xr:uid="{09EABA91-844E-48B5-A262-CF17DC796F0E}"/>
    <hyperlink ref="D131" r:id="rId894" xr:uid="{4CC1E81A-9FBF-44A2-B8E3-15501B6F26DE}"/>
    <hyperlink ref="D1423" r:id="rId895" xr:uid="{EBF5C09B-29D0-4753-BEAC-7856B0729C98}"/>
    <hyperlink ref="D1099" r:id="rId896" xr:uid="{31E5C42D-1D2D-4A73-89E7-1C3766A60A9E}"/>
    <hyperlink ref="D1934" r:id="rId897" xr:uid="{4F165675-9C8A-4F69-8E26-D8A2B55F9D94}"/>
    <hyperlink ref="D1683" r:id="rId898" xr:uid="{A9EF51A5-35A7-4A7B-9A1A-8F07153D32CC}"/>
    <hyperlink ref="D989" r:id="rId899" xr:uid="{AFC81300-873E-4BA4-AC06-91A6212C10FA}"/>
    <hyperlink ref="D974" r:id="rId900" xr:uid="{3EF34168-6E81-4D80-9133-1506442836A3}"/>
    <hyperlink ref="D2486" r:id="rId901" xr:uid="{B7042F74-CCD1-41B6-A57E-0A2559A93F82}"/>
    <hyperlink ref="D2132" r:id="rId902" xr:uid="{BF2A70DC-916E-497C-8B97-BF6B99718459}"/>
    <hyperlink ref="D1925" r:id="rId903" xr:uid="{1F8DAA6A-7BEB-42AA-BEC8-15E464A8B177}"/>
    <hyperlink ref="D1724" r:id="rId904" xr:uid="{B300F147-ABF6-451A-8E2A-57CA60F76124}"/>
    <hyperlink ref="D2050" r:id="rId905" xr:uid="{EEBED142-CE0A-41A2-A06F-BED76DC0CFBB}"/>
    <hyperlink ref="D2292" r:id="rId906" xr:uid="{8F33E939-63F9-4258-BE4D-E1B65EF7A155}"/>
    <hyperlink ref="D1957" r:id="rId907" xr:uid="{D3DC96BA-49BE-4B27-B0E6-E2BF741EDEE1}"/>
    <hyperlink ref="D2346" r:id="rId908" xr:uid="{2C3AD810-0976-4330-9F4D-73EE9EC5953E}"/>
    <hyperlink ref="D1519" r:id="rId909" xr:uid="{A23164C5-AD31-487B-B588-3ADFAF95939B}"/>
    <hyperlink ref="D1098" r:id="rId910" xr:uid="{406DEB08-D59D-4506-BD5D-75F05E722695}"/>
    <hyperlink ref="D1305" r:id="rId911" xr:uid="{5CB95EBD-4A0C-4EED-9B89-45B34FC4D790}"/>
    <hyperlink ref="D215" r:id="rId912" xr:uid="{81EC9B7E-954D-4599-8E18-28DC58F646F5}"/>
    <hyperlink ref="D1196" r:id="rId913" xr:uid="{66B4E0C3-0BBA-4914-9F51-3F516E297031}"/>
    <hyperlink ref="D1832" r:id="rId914" xr:uid="{99F6094A-A5BF-43F6-A4B7-D54873F158DE}"/>
    <hyperlink ref="D645" r:id="rId915" xr:uid="{4A20C9BB-4029-48AE-8FAF-22952A334BEC}"/>
    <hyperlink ref="D2037" r:id="rId916" xr:uid="{06D6C022-608C-4144-ACE6-51FAC32310A8}"/>
    <hyperlink ref="D2235" r:id="rId917" xr:uid="{30426B85-007F-427A-867D-BE7D4EF741EA}"/>
    <hyperlink ref="D1344" r:id="rId918" xr:uid="{15F2DBFB-02B8-45A4-A0C2-1F3A0632AB08}"/>
    <hyperlink ref="D94" r:id="rId919" xr:uid="{858A22E6-67C6-45DC-92B8-492A4A709078}"/>
    <hyperlink ref="D1487" r:id="rId920" xr:uid="{A63713B8-1612-4698-804C-258D6135C635}"/>
    <hyperlink ref="D2226" r:id="rId921" xr:uid="{4FF8123C-9446-4E06-8347-215A91078B24}"/>
    <hyperlink ref="D1370" r:id="rId922" xr:uid="{DA4F585B-7601-40C2-8DC1-2D2528BD07DE}"/>
    <hyperlink ref="D227" r:id="rId923" xr:uid="{5904545B-C2EE-49CA-9B11-8A30F9857DD0}"/>
    <hyperlink ref="D1388" r:id="rId924" xr:uid="{C9BCE1EB-9A14-4D65-8918-3C0614EF3702}"/>
    <hyperlink ref="D403" r:id="rId925" xr:uid="{43CF6BD7-C6BA-41B9-91C2-AE6DAD398ED1}"/>
    <hyperlink ref="D1520" r:id="rId926" xr:uid="{49C87477-7C4A-41EC-BC05-F09AB507BB9C}"/>
    <hyperlink ref="D1929" r:id="rId927" xr:uid="{EB2DACEC-529F-463B-B1B3-D3FB97F0D33A}"/>
    <hyperlink ref="D909" r:id="rId928" xr:uid="{DEC07AC0-D7F7-4D2B-A57C-5CFD8776E81F}"/>
    <hyperlink ref="D2203" r:id="rId929" xr:uid="{4809A3C2-4D85-4AEF-9E1A-EDE49022FA70}"/>
    <hyperlink ref="D1958" r:id="rId930" xr:uid="{8715CC53-660A-400F-82E9-6C09B802EBEA}"/>
    <hyperlink ref="D2356" r:id="rId931" xr:uid="{053A526B-D876-4E21-97F7-7881387D58BA}"/>
    <hyperlink ref="D1652" r:id="rId932" xr:uid="{15B0E640-6A85-439D-AD33-A99AF9A5EB10}"/>
    <hyperlink ref="D2018" r:id="rId933" xr:uid="{8D4DB06D-3837-4657-9572-FAFDDE24DE33}"/>
    <hyperlink ref="D547" r:id="rId934" xr:uid="{9EBFC0BA-3E24-4CDA-9B2D-AF17D2417FAB}"/>
    <hyperlink ref="D34" r:id="rId935" xr:uid="{22FD77C8-1014-44A7-B619-54A37B934A30}"/>
    <hyperlink ref="D2078" r:id="rId936" xr:uid="{36E078B0-C089-4379-BD49-FF0AB7A08233}"/>
    <hyperlink ref="D587" r:id="rId937" xr:uid="{7F9E6AC3-F0F4-4B78-89EA-6EA02E2D12FE}"/>
    <hyperlink ref="D1791" r:id="rId938" xr:uid="{0E1E71D0-777A-4170-8F58-E7453FEBBF04}"/>
    <hyperlink ref="D1007" r:id="rId939" xr:uid="{E888B42E-9C6E-40F2-AB59-D1C58798C965}"/>
    <hyperlink ref="D2312" r:id="rId940" xr:uid="{A3165DE4-20B4-402D-9AA2-5C1D0D98ADCB}"/>
    <hyperlink ref="D2554" r:id="rId941" xr:uid="{FCD8515F-C9F9-49F2-8860-DE01FF083A62}"/>
    <hyperlink ref="D538" r:id="rId942" xr:uid="{0D09B6A5-681E-41F8-86F3-0D0451788266}"/>
    <hyperlink ref="D1073" r:id="rId943" xr:uid="{35D7AE96-95D2-4101-9D77-50228E7F8D49}"/>
    <hyperlink ref="D2526" r:id="rId944" xr:uid="{EA984EE9-5E4A-48D7-9E56-374F5C33718F}"/>
    <hyperlink ref="D2527" r:id="rId945" xr:uid="{96AC88B7-CD87-45DB-A849-AF215840B032}"/>
    <hyperlink ref="D253" r:id="rId946" xr:uid="{C66BBB57-F189-46D7-BD20-14A86BC806F3}"/>
    <hyperlink ref="D1443" r:id="rId947" xr:uid="{EDC5325A-12E4-4114-B13A-D16CBDA07731}"/>
    <hyperlink ref="D1951" r:id="rId948" xr:uid="{BBF69860-0CB1-41AD-BC03-A2B066A6DF4A}"/>
    <hyperlink ref="D2402" r:id="rId949" xr:uid="{6ED4626D-E62F-4AD7-B18D-F833CBE2045D}"/>
    <hyperlink ref="D1468" r:id="rId950" xr:uid="{232DF4FC-083A-4375-BF51-ACABFD8256C4}"/>
    <hyperlink ref="D2497" r:id="rId951" xr:uid="{CD1B3D8E-9C2A-4238-A9DB-CF59D30463C0}"/>
    <hyperlink ref="D2511" r:id="rId952" xr:uid="{AD915BFC-574A-4ED2-A685-E0EAA81FB0E9}"/>
    <hyperlink ref="D1049" r:id="rId953" xr:uid="{47C46418-F11D-4F57-86DF-FDC218867C7A}"/>
    <hyperlink ref="D1909" r:id="rId954" xr:uid="{FC273939-DB1D-4395-9B2B-9206E9351AB3}"/>
    <hyperlink ref="D948" r:id="rId955" xr:uid="{A9DA5327-6E9A-4398-9515-4FAACD46B1C5}"/>
    <hyperlink ref="D1018" r:id="rId956" xr:uid="{59F07683-F9D8-4EC2-A2AD-4DFC404DFDA7}"/>
    <hyperlink ref="D2354" r:id="rId957" xr:uid="{8A586477-AE7A-4244-90B9-A1F666593AE7}"/>
    <hyperlink ref="D1415" r:id="rId958" xr:uid="{4D9BA427-9221-44EE-9726-8EAE55BD08BC}"/>
    <hyperlink ref="D1828" r:id="rId959" xr:uid="{E010EB2B-C3B0-44CB-AFBE-0E69C74B7748}"/>
    <hyperlink ref="D449" r:id="rId960" xr:uid="{BEAE3771-12EC-449C-B726-22C1BC497A87}"/>
    <hyperlink ref="D380" r:id="rId961" xr:uid="{4F7B283D-DE08-4592-B720-E324564F01F5}"/>
    <hyperlink ref="D1374" r:id="rId962" xr:uid="{60B72DE0-88D1-4B38-B131-0057D9FF1B2B}"/>
    <hyperlink ref="D2328" r:id="rId963" xr:uid="{B36829B8-C293-448A-8AF9-371BE80B2581}"/>
    <hyperlink ref="D1410" r:id="rId964" xr:uid="{BFB5B3CD-19DA-4A04-94CF-90F64C2F4AA0}"/>
    <hyperlink ref="D1127" r:id="rId965" xr:uid="{E9351D6C-165F-442E-AFDF-4E19EE589DD7}"/>
    <hyperlink ref="D1200" r:id="rId966" xr:uid="{F686E4F9-6AEC-49E3-A569-48062F66DDAA}"/>
    <hyperlink ref="D328" r:id="rId967" xr:uid="{1504CF85-5405-4DA7-80A9-381080DEDC9B}"/>
    <hyperlink ref="D2236" r:id="rId968" xr:uid="{FFE011A2-D310-4CFE-A1DF-A3E7AC82A0F3}"/>
    <hyperlink ref="D1337" r:id="rId969" xr:uid="{CB33016C-2FBF-4B95-932E-AD1A1E141A7E}"/>
    <hyperlink ref="D1371" r:id="rId970" xr:uid="{7640BAC2-CCDD-4080-BC33-423E18E92CC1}"/>
    <hyperlink ref="D698" r:id="rId971" xr:uid="{DE9A52C3-009D-4664-9D40-F4B7B18DAD99}"/>
    <hyperlink ref="D1619" r:id="rId972" xr:uid="{C9B81265-8189-4C87-A618-1C0E5D1FFC25}"/>
    <hyperlink ref="D330" r:id="rId973" xr:uid="{449941E9-37DF-4742-AECD-09C7190BADB0}"/>
    <hyperlink ref="D1411" r:id="rId974" xr:uid="{9088B847-429D-4290-AA49-5D725B4D2DD0}"/>
    <hyperlink ref="D970" r:id="rId975" xr:uid="{65714F76-2132-4A63-A93B-CE9ACDB31B6F}"/>
    <hyperlink ref="D910" r:id="rId976" xr:uid="{ACEDE581-F4B4-4332-BAAE-492BF748872A}"/>
    <hyperlink ref="D1968" r:id="rId977" xr:uid="{3B814F72-3DE8-47CA-9134-AD120885864D}"/>
    <hyperlink ref="D2357" r:id="rId978" xr:uid="{C234930E-8EF6-4279-854F-AF4B37F8AD30}"/>
    <hyperlink ref="D1653" r:id="rId979" xr:uid="{8FC05A36-AF7F-4D27-8816-8DD594247A66}"/>
    <hyperlink ref="D1785" r:id="rId980" xr:uid="{3C693868-69CA-4EE0-B5E7-4834202096F5}"/>
    <hyperlink ref="D548" r:id="rId981" xr:uid="{854128DB-28AA-447F-8112-2C36BEE73299}"/>
    <hyperlink ref="D35" r:id="rId982" xr:uid="{956D5E29-8FEF-4388-A534-AEBAB418A3F2}"/>
    <hyperlink ref="D1549" r:id="rId983" xr:uid="{980F33E0-1B23-4C94-AE46-495AB4792410}"/>
    <hyperlink ref="D588" r:id="rId984" xr:uid="{DF612DD6-B837-4C01-A551-BCB071AD4A7B}"/>
    <hyperlink ref="D401" r:id="rId985" xr:uid="{BBC2F863-3586-4172-8722-AD175CA6809E}"/>
    <hyperlink ref="D2207" r:id="rId986" xr:uid="{E446A5A6-CCBA-451F-B83A-75FBA813D485}"/>
    <hyperlink ref="D2562" r:id="rId987" xr:uid="{2B242B1B-598A-469D-870D-33BFBF509D34}"/>
    <hyperlink ref="D539" r:id="rId988" xr:uid="{9CCBACAE-D349-4E25-AF0D-1E521E8D82BF}"/>
    <hyperlink ref="D1084" r:id="rId989" xr:uid="{D186B9FC-39C3-4D6E-BBF9-EC5D0B46E4F2}"/>
    <hyperlink ref="D2528" r:id="rId990" xr:uid="{1F073D89-F96C-4AF8-AD84-7AB7AD7D86AC}"/>
    <hyperlink ref="D133" r:id="rId991" xr:uid="{20C92CCA-4B3C-403E-8706-45FFF4B16E07}"/>
    <hyperlink ref="D1686" r:id="rId992" xr:uid="{E64BCA55-65FF-4663-B602-B133EC3D9939}"/>
    <hyperlink ref="D1763" r:id="rId993" xr:uid="{4417C986-D8D9-421D-9ED9-52270DFD0BEB}"/>
    <hyperlink ref="D2403" r:id="rId994" xr:uid="{11015414-AC47-4900-BD7C-75A59F7D4B26}"/>
    <hyperlink ref="D753" r:id="rId995" xr:uid="{65E9A8C2-D0AF-4DC0-B7DE-7287AC204791}"/>
    <hyperlink ref="D1396" r:id="rId996" xr:uid="{C4EC6442-FCB4-4BE7-9918-1BCD30B62841}"/>
    <hyperlink ref="D2471" r:id="rId997" xr:uid="{E45488AC-EDED-481A-9859-B696C26575D4}"/>
    <hyperlink ref="D1180" r:id="rId998" xr:uid="{9B7DDDBF-B077-400B-9387-8466C00E5D90}"/>
    <hyperlink ref="D1738" r:id="rId999" xr:uid="{953E7264-66C2-480B-B3D9-B892611A74DE}"/>
    <hyperlink ref="D1409" r:id="rId1000" xr:uid="{2BEEBA81-1156-47A8-86CE-9955EE30350E}"/>
    <hyperlink ref="D1032" r:id="rId1001" xr:uid="{7A1C2735-5109-421A-8170-9DB675D96802}"/>
    <hyperlink ref="D2358" r:id="rId1002" xr:uid="{46C1C10C-85DF-40E6-9C34-F8F027116763}"/>
    <hyperlink ref="D325" r:id="rId1003" xr:uid="{15E22C0F-A2DC-465D-A517-67EA7208CCE7}"/>
    <hyperlink ref="D1100" r:id="rId1004" xr:uid="{BA0222E7-B61A-45F1-ADE9-D247D618E9CC}"/>
    <hyperlink ref="D1383" r:id="rId1005" xr:uid="{A8E65342-EFD6-4A86-B852-B6FC931CF7AC}"/>
    <hyperlink ref="D1948" r:id="rId1006" xr:uid="{F64C66F5-436F-4E76-91B0-2A0FDC22990D}"/>
    <hyperlink ref="D114" r:id="rId1007" xr:uid="{0FC46D54-8ABE-4DDA-84CB-4C281BBEAC97}"/>
    <hyperlink ref="D1622" r:id="rId1008" xr:uid="{89066C76-58E5-4C3E-BDF5-BF6F2D86F2D6}"/>
    <hyperlink ref="D864" r:id="rId1009" xr:uid="{A7331A3C-431D-48BD-99E3-D32F3FAAE6D0}"/>
    <hyperlink ref="D270" r:id="rId1010" xr:uid="{6D1C27AF-295E-48CF-9877-9B50FF0558D4}"/>
    <hyperlink ref="D520" r:id="rId1011" xr:uid="{01ADCEA8-E7BA-4D46-8474-E86A12E5BE37}"/>
    <hyperlink ref="D762" r:id="rId1012" xr:uid="{1B9461AD-B2CD-49A7-B1AB-00766D069418}"/>
    <hyperlink ref="D1702" r:id="rId1013" xr:uid="{9ED0DDD3-C29C-4CAB-84C1-E0574E04694A}"/>
    <hyperlink ref="D377" r:id="rId1014" xr:uid="{D389AC75-4E84-4719-931C-35487D505F8F}"/>
    <hyperlink ref="D1143" r:id="rId1015" xr:uid="{F6B2B85E-B33F-40FE-89AA-943C72BFFC86}"/>
    <hyperlink ref="D755" r:id="rId1016" xr:uid="{CD51CD23-632A-4EF2-9468-1703AECE68BB}"/>
    <hyperlink ref="D911" r:id="rId1017" xr:uid="{1C3C5646-1E41-4C30-96DC-A92150C62FC2}"/>
    <hyperlink ref="D1959" r:id="rId1018" xr:uid="{F07BA948-7A1C-4A69-A92C-72E66FDBC5DA}"/>
    <hyperlink ref="D1654" r:id="rId1019" xr:uid="{A17D34B8-27D3-47A1-8EC6-01005741DE5E}"/>
    <hyperlink ref="D2012" r:id="rId1020" xr:uid="{34D6DA92-2E6C-4500-A068-7A5E3A4DD85B}"/>
    <hyperlink ref="D549" r:id="rId1021" xr:uid="{44CE54D7-869A-4901-A4AD-080193FD91A4}"/>
    <hyperlink ref="D36" r:id="rId1022" xr:uid="{C1A1B741-EED8-4B12-9E3A-49FD963248F6}"/>
    <hyperlink ref="D122" r:id="rId1023" xr:uid="{64F98078-1182-4F38-B16A-0FBAC78E9FC9}"/>
    <hyperlink ref="D402" r:id="rId1024" xr:uid="{ED2B5C95-FB3F-416E-A0FD-2EBE10B99948}"/>
    <hyperlink ref="D522" r:id="rId1025" xr:uid="{E019246E-9D47-40CB-988E-D977B08605D1}"/>
    <hyperlink ref="D610" r:id="rId1026" xr:uid="{ADEE5677-CE24-4FF7-932D-90D1F3E1A34B}"/>
    <hyperlink ref="D541" r:id="rId1027" xr:uid="{D7217FA9-6411-49AB-8AAC-2891AA6A095F}"/>
    <hyperlink ref="D1075" r:id="rId1028" xr:uid="{ED8F6B03-6D08-4F7A-83AC-2D4961ADDCD6}"/>
    <hyperlink ref="D1397" r:id="rId1029" xr:uid="{6F72486B-D19E-4EFE-9913-48A72C6EE065}"/>
    <hyperlink ref="D432" r:id="rId1030" xr:uid="{0FB15641-E094-4368-B817-B71365AA1C52}"/>
    <hyperlink ref="D1426" r:id="rId1031" xr:uid="{1774CC7F-461D-4F44-AD71-BC6E51EE1981}"/>
    <hyperlink ref="D1021" r:id="rId1032" xr:uid="{E1B4B42B-EF19-4AD1-A73E-14E747E81B84}"/>
    <hyperlink ref="D1697" r:id="rId1033" xr:uid="{9876F8B9-AD6B-4D78-B8C1-C0CF00E0F509}"/>
    <hyperlink ref="D2499" r:id="rId1034" xr:uid="{13B14A84-FFA8-449F-BDDD-6394B43AAD94}"/>
    <hyperlink ref="D2519" r:id="rId1035" xr:uid="{88F20C96-89C0-4999-89A7-5EC98203864F}"/>
    <hyperlink ref="D1695" r:id="rId1036" xr:uid="{D18282E8-8CED-4649-A2E0-FCC9706EFD63}"/>
    <hyperlink ref="D1108" r:id="rId1037" xr:uid="{7C3D6C2D-FE99-424B-BB62-537092D5F04A}"/>
    <hyperlink ref="D2053" r:id="rId1038" xr:uid="{C585BC48-6C46-4C6E-BFA3-61E371A6A29D}"/>
    <hyperlink ref="D1046" r:id="rId1039" xr:uid="{7212155E-BC5D-4A12-AA6A-B99012EF6C0F}"/>
    <hyperlink ref="D2363" r:id="rId1040" xr:uid="{F9A460DB-8006-4777-93BE-FD24EC8EBF65}"/>
    <hyperlink ref="D1601" r:id="rId1041" xr:uid="{8D1D0C46-8A66-4CD0-8AE9-9D8ABD7F7900}"/>
    <hyperlink ref="D1101" r:id="rId1042" xr:uid="{242B08DF-F08E-41AB-BE33-EAA1F35C81CD}"/>
    <hyperlink ref="D1611" r:id="rId1043" xr:uid="{D20F57CA-C1ED-44CE-9AA0-2FAFDA66B585}"/>
    <hyperlink ref="D2231" r:id="rId1044" xr:uid="{957E1798-6AA3-4D67-AAF4-88C995D42DDD}"/>
    <hyperlink ref="D1704" r:id="rId1045" xr:uid="{0AA97438-85E5-41D3-8ED5-CCB973A8997C}"/>
    <hyperlink ref="D510" r:id="rId1046" xr:uid="{C388D738-05CA-4471-A9FF-358043081DD1}"/>
    <hyperlink ref="D1569" r:id="rId1047" xr:uid="{88692EBD-17D5-480A-B452-CE37182D4647}"/>
    <hyperlink ref="D1357" r:id="rId1048" xr:uid="{43C7D08C-D927-4747-8ACE-C25B65B436EF}"/>
    <hyperlink ref="D1524" r:id="rId1049" xr:uid="{0E1A7014-4500-4A79-91D9-F7AAB42A4328}"/>
    <hyperlink ref="D865" r:id="rId1050" xr:uid="{3EB4B4AF-4C39-4BAE-981A-BC4418FD3FED}"/>
    <hyperlink ref="D1173" r:id="rId1051" xr:uid="{B0F8B93C-7DB5-45F2-99DF-ADBDA828C577}"/>
    <hyperlink ref="D1932" r:id="rId1052" xr:uid="{07AE90D0-DC2C-4DF8-9680-E9B87526B994}"/>
    <hyperlink ref="D1826" r:id="rId1053" xr:uid="{2675FCFE-ABB3-4672-B354-E6B6F35DD59E}"/>
    <hyperlink ref="D1967" r:id="rId1054" xr:uid="{7289769F-E524-4E87-AA8C-ACB82BD03B29}"/>
    <hyperlink ref="D1655" r:id="rId1055" xr:uid="{CCEF081B-7979-4F73-B326-4AA10F059F68}"/>
    <hyperlink ref="D1626" r:id="rId1056" xr:uid="{BFCD5EAD-70E6-402C-A52D-58EEAC87094E}"/>
    <hyperlink ref="D550" r:id="rId1057" xr:uid="{A1C5E7A7-CD4E-430B-8080-052A839CAB17}"/>
    <hyperlink ref="D1163" r:id="rId1058" xr:uid="{02B51263-7E13-48F0-9493-63088F7F51CA}"/>
    <hyperlink ref="D2081" r:id="rId1059" xr:uid="{3E8C23AE-2061-401E-9D82-6A958197EDCE}"/>
    <hyperlink ref="D1774" r:id="rId1060" xr:uid="{71889130-CA52-4845-8C3C-AF9EEA19558F}"/>
    <hyperlink ref="D611" r:id="rId1061" xr:uid="{D1DD8077-C0E4-4CFB-805D-CF0BB5AD4134}"/>
    <hyperlink ref="D566" r:id="rId1062" xr:uid="{821A4B40-E3D0-4D37-BEB7-F497DE4ABC4A}"/>
    <hyperlink ref="D2191" r:id="rId1063" xr:uid="{BE1F59A2-9A9E-46F0-BCD3-411DC2E5387B}"/>
    <hyperlink ref="D1578" r:id="rId1064" xr:uid="{29BBC219-43AC-4177-A58B-668E30384819}"/>
    <hyperlink ref="D135" r:id="rId1065" xr:uid="{06E02005-E9A3-4970-AFBC-685FEB47C909}"/>
    <hyperlink ref="D1536" r:id="rId1066" xr:uid="{F6F83051-C2FD-4BE7-BBC6-65E145FECEF3}"/>
    <hyperlink ref="D917" r:id="rId1067" xr:uid="{FF9F36B6-5922-4FFA-B2B0-8A525DA1B601}"/>
    <hyperlink ref="D1575" r:id="rId1068" xr:uid="{615621FB-95B8-4C0D-A700-0098BC2475AF}"/>
    <hyperlink ref="D1734" r:id="rId1069" xr:uid="{A8E4333E-F564-4C30-8059-37155C64CEA3}"/>
    <hyperlink ref="D2478" r:id="rId1070" xr:uid="{2B7AB24A-9467-46F3-B1EC-2DCCD31AFAF6}"/>
    <hyperlink ref="D1182" r:id="rId1071" xr:uid="{7A7C6F63-85FF-4B00-86A5-9720BC8D4620}"/>
    <hyperlink ref="D1048" r:id="rId1072" xr:uid="{2A97FD73-E8D4-43D3-B872-F334385F749C}"/>
    <hyperlink ref="D2381" r:id="rId1073" xr:uid="{1A492095-ACB2-40C5-B830-1C90A7C20898}"/>
    <hyperlink ref="D258" r:id="rId1074" xr:uid="{CE550934-CDFB-4D8B-B637-F436E1F00CAD}"/>
    <hyperlink ref="D646" r:id="rId1075" xr:uid="{50A8A5B6-3C0D-4CA3-BA39-8BB47C3FAA42}"/>
    <hyperlink ref="D1499" r:id="rId1076" xr:uid="{06C2E5F0-38E7-4F1B-B858-FEACE84B6476}"/>
    <hyperlink ref="D704" r:id="rId1077" xr:uid="{A7181A0A-9CF0-433C-83B9-553E78F4C0CC}"/>
    <hyperlink ref="D364" r:id="rId1078" xr:uid="{3B93A560-77CF-475F-B20A-F3A419EEADC8}"/>
    <hyperlink ref="D709" r:id="rId1079" xr:uid="{08B9E15A-C537-4215-9EC8-AA6B92848B7F}"/>
    <hyperlink ref="D1902" r:id="rId1080" xr:uid="{C17E119B-4FFB-4EDD-A32D-993CEA8C6333}"/>
    <hyperlink ref="D1149" r:id="rId1081" xr:uid="{AB08592B-4AE5-4337-B4EE-CD010370DEB8}"/>
    <hyperlink ref="D1417" r:id="rId1082" xr:uid="{04C38F87-9E3F-48B4-A2A4-18BE24C1E9ED}"/>
    <hyperlink ref="D699" r:id="rId1083" xr:uid="{D68EA622-5340-41D0-B85B-BF13240D30E8}"/>
    <hyperlink ref="D2250" r:id="rId1084" xr:uid="{D00AEE45-ACDF-49A4-8E1A-1F573FC891AA}"/>
    <hyperlink ref="D1933" r:id="rId1085" xr:uid="{2D73F808-7330-4E26-8B0D-4E6049DACFA2}"/>
    <hyperlink ref="D1906" r:id="rId1086" xr:uid="{84051DD8-C4A4-4187-B284-1905CC59E305}"/>
    <hyperlink ref="D1969" r:id="rId1087" xr:uid="{B6F552F6-D0F5-407D-96B6-A96F4BCB91DC}"/>
    <hyperlink ref="D1788" r:id="rId1088" xr:uid="{A8FB71AF-FABA-4C72-BF79-58275F4891D2}"/>
    <hyperlink ref="D551" r:id="rId1089" xr:uid="{6155AE86-FED1-47EA-917D-5D3CA634DB68}"/>
    <hyperlink ref="D1679" r:id="rId1090" xr:uid="{F5F39C4C-5B11-4085-B009-81EDE4AC69A4}"/>
    <hyperlink ref="D2210" r:id="rId1091" xr:uid="{E25F4BAB-59C9-43C6-A021-D5956A95E967}"/>
    <hyperlink ref="D2178" r:id="rId1092" xr:uid="{757763FD-5E87-42CD-9471-1F025C989CA3}"/>
    <hyperlink ref="D633" r:id="rId1093" xr:uid="{67C9F7FA-0029-49F3-984A-C51878F6895F}"/>
    <hyperlink ref="D1805" r:id="rId1094" xr:uid="{42C8D388-849E-4062-B6EC-91F094706409}"/>
    <hyperlink ref="D1056" r:id="rId1095" xr:uid="{42AC9E3E-BE87-420C-BA16-35E47C9D8FF4}"/>
    <hyperlink ref="D136" r:id="rId1096" xr:uid="{2341FFFB-1BA1-40B2-81C5-1C6B8578B7B7}"/>
    <hyperlink ref="D1428" r:id="rId1097" xr:uid="{FFB2E2E8-B173-4131-9AF9-EE2460AF67C1}"/>
    <hyperlink ref="D1078" r:id="rId1098" xr:uid="{E4E03899-6796-4EBE-8DBF-CCADFB3915A0}"/>
    <hyperlink ref="D1641" r:id="rId1099" xr:uid="{B4BBC480-195A-47D6-9B5A-29BD3AC06793}"/>
    <hyperlink ref="D1047" r:id="rId1100" xr:uid="{6645C480-D3DE-4738-A4C3-F3D4A0072EFE}"/>
    <hyperlink ref="D2520" r:id="rId1101" xr:uid="{03B0010C-66C1-48BC-B7EE-8045D0233B37}"/>
    <hyperlink ref="D806" r:id="rId1102" xr:uid="{E1CA942A-4A59-4EEE-97CD-C9F054B63EB9}"/>
    <hyperlink ref="D1962" r:id="rId1103" xr:uid="{56441DD7-B380-4B09-95C2-D728F7F8DDC2}"/>
    <hyperlink ref="D2382" r:id="rId1104" xr:uid="{91A4FB2F-354F-45D8-AC9E-36F85E834585}"/>
    <hyperlink ref="D1350" r:id="rId1105" xr:uid="{88BBB40C-D6D9-4ACC-A76C-C0C09F2ABEE8}"/>
    <hyperlink ref="D153" r:id="rId1106" xr:uid="{4EC9EDE2-C9EA-49AC-AD44-A37ACAAB47A1}"/>
    <hyperlink ref="D2215" r:id="rId1107" xr:uid="{E9ECABC5-43DB-45AF-B1D3-6DCD32117DC0}"/>
    <hyperlink ref="D106" r:id="rId1108" xr:uid="{8157EA87-C1D6-486E-98C5-1FF01116C530}"/>
    <hyperlink ref="D2227" r:id="rId1109" xr:uid="{E437589E-8C15-46CF-AD54-FEC9ADAC51F2}"/>
    <hyperlink ref="D700" r:id="rId1110" xr:uid="{ADD3C307-25EB-4D89-88DD-A18A2BEF62B9}"/>
    <hyperlink ref="D273" r:id="rId1111" xr:uid="{ACA7FB16-B8AB-40A1-8469-0E963D18DD8D}"/>
    <hyperlink ref="D1375" r:id="rId1112" xr:uid="{84FEFE16-3801-4D88-A8BB-EAE378803E92}"/>
    <hyperlink ref="D765" r:id="rId1113" xr:uid="{4699D7E3-9483-44E7-ACBA-6FF2920F14AF}"/>
    <hyperlink ref="D1454" r:id="rId1114" xr:uid="{77C8015C-DB2C-4636-AEC4-C6E37B88C7F3}"/>
    <hyperlink ref="D705" r:id="rId1115" xr:uid="{2ABCEFCB-42E2-43DD-B6A2-4BD527BF4321}"/>
    <hyperlink ref="D1516" r:id="rId1116" xr:uid="{6384332F-4A23-4A56-9E63-2561B2362AFE}"/>
    <hyperlink ref="D846" r:id="rId1117" xr:uid="{431C1E2A-48FD-4AAF-A2BB-FD735CC9D1EC}"/>
    <hyperlink ref="D1960" r:id="rId1118" xr:uid="{7C5A34DB-5303-4BBD-9168-92542F1023A1}"/>
    <hyperlink ref="D2019" r:id="rId1119" xr:uid="{496DF2D0-99D8-4964-9217-494B584B750A}"/>
    <hyperlink ref="D552" r:id="rId1120" xr:uid="{AB17BEE8-F7DF-4086-AAF2-9FCB6A671957}"/>
    <hyperlink ref="D123" r:id="rId1121" xr:uid="{3E90C7A9-38AB-44DE-8AB9-6AE186180BB1}"/>
    <hyperlink ref="D2211" r:id="rId1122" xr:uid="{C8DD0084-74B5-4DAE-92AB-882AADEBCAE7}"/>
    <hyperlink ref="D2565" r:id="rId1123" xr:uid="{1ED74F6F-5FE2-44F5-9F45-CC8B33A8BBBD}"/>
    <hyperlink ref="D643" r:id="rId1124" xr:uid="{1EE888C6-D363-4D83-AAC2-E50978A211F9}"/>
    <hyperlink ref="D2193" r:id="rId1125" xr:uid="{C15C7EF1-4D3B-4095-B915-F3A0339D0FCF}"/>
    <hyperlink ref="D2532" r:id="rId1126" xr:uid="{E631D342-5877-4879-9DD3-24DC0EF90718}"/>
    <hyperlink ref="D1429" r:id="rId1127" xr:uid="{5F5089C3-AB2A-4678-AA2E-20921347048A}"/>
    <hyperlink ref="D1024" r:id="rId1128" xr:uid="{E5CA9962-0908-453F-97AA-C26EEA1319E9}"/>
    <hyperlink ref="D1700" r:id="rId1129" xr:uid="{9E8816DA-0165-4332-8C58-22006650743F}"/>
    <hyperlink ref="D1347" r:id="rId1130" xr:uid="{A138FDA1-485B-4168-AAD9-1CD81D8781EE}"/>
    <hyperlink ref="D2522" r:id="rId1131" xr:uid="{E5DA71F1-12D3-4B2B-B780-20CF837FA907}"/>
    <hyperlink ref="D137" r:id="rId1132" xr:uid="{94A221A7-C8C1-428F-A799-AFA536FD998A}"/>
    <hyperlink ref="D1963" r:id="rId1133" xr:uid="{9D8D7F22-897C-4003-B8A6-BD3E4BB64B35}"/>
    <hyperlink ref="D2386" r:id="rId1134" xr:uid="{60D096CA-8822-4DE5-9184-460ED0344CBC}"/>
    <hyperlink ref="D461" r:id="rId1135" xr:uid="{5D03A276-E562-42F1-A9F3-42574A103E95}"/>
    <hyperlink ref="D1211" r:id="rId1136" xr:uid="{2C4FCB09-368D-4015-A62F-6925E3DE1274}"/>
    <hyperlink ref="D1224" r:id="rId1137" xr:uid="{7CFDDDDD-26B2-41F1-8E9C-750F42E5A67F}"/>
    <hyperlink ref="D1154" r:id="rId1138" xr:uid="{006A5D1A-8619-4D43-9E82-3F5A98CA7404}"/>
    <hyperlink ref="D68" r:id="rId1139" xr:uid="{CE8F68E8-EEFC-4AF2-8217-329C965C369B}"/>
    <hyperlink ref="D1730" r:id="rId1140" xr:uid="{A78641CA-13E6-4CD4-84BA-B70FA0AFB7E7}"/>
    <hyperlink ref="D274" r:id="rId1141" xr:uid="{CB833203-3A16-4EBD-9F10-1EC9F5D9187B}"/>
    <hyperlink ref="D331" r:id="rId1142" xr:uid="{20D7E191-67F8-4B5D-AF29-BDD0DC4AD918}"/>
    <hyperlink ref="D2024" r:id="rId1143" xr:uid="{AD4306BE-8ED6-41D0-BA2E-37712C4B1932}"/>
    <hyperlink ref="D1595" r:id="rId1144" xr:uid="{2BD7D3AC-1996-4C38-A445-185BF8AC61E8}"/>
    <hyperlink ref="D1531" r:id="rId1145" xr:uid="{20F831BC-1D04-4A6D-9EFE-55686E00AA84}"/>
    <hyperlink ref="D922" r:id="rId1146" xr:uid="{D47205CB-97C3-44C9-AF7C-85BDB4592DEC}"/>
    <hyperlink ref="D1966" r:id="rId1147" xr:uid="{4B55F6FB-6087-4A2E-BF41-3F402EA94700}"/>
    <hyperlink ref="D1008" r:id="rId1148" xr:uid="{B2FB597B-8B03-4B1F-8C10-2488ECD0E365}"/>
    <hyperlink ref="D2457" r:id="rId1149" xr:uid="{E927DACB-9ADE-4A43-93B9-FAEBFAA51213}"/>
    <hyperlink ref="D1716" r:id="rId1150" xr:uid="{DF34A941-F909-4DFE-9866-DAE0B920687C}"/>
    <hyperlink ref="D614" r:id="rId1151" xr:uid="{FF708F26-4B72-483A-9353-23A7242C4F46}"/>
    <hyperlink ref="D1775" r:id="rId1152" xr:uid="{490DC2AD-FFD6-49DC-850B-F9CC092063CC}"/>
    <hyperlink ref="D1267" r:id="rId1153" xr:uid="{3FF22D75-5B55-468D-9D7A-A0FB7DF6F7C3}"/>
    <hyperlink ref="D1897" r:id="rId1154" xr:uid="{08E9AC38-D025-4EB9-9539-CD9ADECA68A9}"/>
    <hyperlink ref="D963" r:id="rId1155" xr:uid="{B183B312-4CED-44C6-A7CE-F60902F3BD76}"/>
    <hyperlink ref="D1450" r:id="rId1156" xr:uid="{CCDD5212-CE5B-448F-92DF-CD2866666349}"/>
    <hyperlink ref="D2503" r:id="rId1157" xr:uid="{92540314-E394-4333-9CC6-555E4257E3A4}"/>
    <hyperlink ref="D2524" r:id="rId1158" xr:uid="{9E313CCE-6050-410C-A19D-82211F92391E}"/>
    <hyperlink ref="D1185" r:id="rId1159" xr:uid="{88CB5130-34D3-4A31-B93D-03A129628A30}"/>
    <hyperlink ref="D1964" r:id="rId1160" xr:uid="{B2CDA6F7-CEE7-4F38-9BB5-FFD39B0AA2BC}"/>
    <hyperlink ref="D64" r:id="rId1161" xr:uid="{94B3E81C-71AD-41A7-A4B3-7F8C35C9620D}"/>
    <hyperlink ref="D1345" r:id="rId1162" xr:uid="{753F59D2-F7E7-43D5-8C0B-274EBA8705BE}"/>
    <hyperlink ref="D1349" r:id="rId1163" xr:uid="{385954D9-91F7-44FE-A071-AB3DAB28328A}"/>
    <hyperlink ref="D443" r:id="rId1164" xr:uid="{CE8F107D-331D-4585-B767-5D511A93EE9E}"/>
    <hyperlink ref="D246" r:id="rId1165" xr:uid="{DA73F54E-39B8-4E25-A612-60F85549D5BE}"/>
    <hyperlink ref="D446" r:id="rId1166" xr:uid="{B82BC18B-7F5D-48E2-BA07-02DE5525FDA5}"/>
    <hyperlink ref="D460" r:id="rId1167" xr:uid="{FFE321B2-E153-449D-96A0-A44EF5238B91}"/>
    <hyperlink ref="D1577" r:id="rId1168" xr:uid="{5F0155C0-44AC-42F3-8E67-FF9448C0C9B2}"/>
    <hyperlink ref="D1896" r:id="rId1169" xr:uid="{A99394CF-3541-4A86-9A54-D19A9FBE7CAB}"/>
    <hyperlink ref="D1955" r:id="rId1170" xr:uid="{B9952771-C30F-446E-8915-933D6B1EC4A2}"/>
    <hyperlink ref="D2013" r:id="rId1171" xr:uid="{73D9E9D9-2B35-4602-B9BD-C7EEFB2F87EF}"/>
    <hyperlink ref="D1247" r:id="rId1172" xr:uid="{C8C758FF-DF70-48A8-8013-77991769E98C}"/>
    <hyperlink ref="D1743" r:id="rId1173" xr:uid="{AD0E79B6-0F3D-4509-97E0-B23B85E5FC86}"/>
    <hyperlink ref="D545" r:id="rId1174" xr:uid="{9291E96A-C554-4B73-96C7-27A226BEC39E}"/>
    <hyperlink ref="D2534" r:id="rId1175" xr:uid="{D0C6EDEE-F3BE-489F-B4AD-B347DE1B10F5}"/>
    <hyperlink ref="D1431" r:id="rId1176" xr:uid="{DE49471D-319B-4E4B-B09C-44F275FEA526}"/>
    <hyperlink ref="D1918" r:id="rId1177" xr:uid="{6B843AA7-B322-4826-8CBF-7BAC649B94D5}"/>
    <hyperlink ref="D2504" r:id="rId1178" xr:uid="{B1C974D2-56C3-4EB9-BA3E-346796CE1276}"/>
    <hyperlink ref="D2512" r:id="rId1179" xr:uid="{37639772-47E1-4BD1-A100-921E339577C4}"/>
    <hyperlink ref="D2170" r:id="rId1180" xr:uid="{A5789516-C57E-483B-B696-A0FF7E57394E}"/>
    <hyperlink ref="D1965" r:id="rId1181" xr:uid="{CFD79A22-AE66-4D12-9C1A-02A8D5523B31}"/>
    <hyperlink ref="D1591" r:id="rId1182" xr:uid="{8F455F01-5957-4104-B4A0-6C3D05F18674}"/>
    <hyperlink ref="D378" r:id="rId1183" xr:uid="{D64EF854-9C94-4124-B284-8013ECBE69A7}"/>
    <hyperlink ref="D1386" r:id="rId1184" xr:uid="{DE651F7C-DBC9-4211-8B7B-01F5890FFEEB}"/>
    <hyperlink ref="D1416" r:id="rId1185" xr:uid="{D5DD7C4E-7AD5-4BDF-B157-13F708D4AD67}"/>
    <hyperlink ref="D347" r:id="rId1186" xr:uid="{C9D13EE6-A731-4DA0-AA8D-85116FF49A12}"/>
    <hyperlink ref="D239" r:id="rId1187" xr:uid="{5659106B-83E0-415F-BEA0-FFF4385512BB}"/>
    <hyperlink ref="D182" r:id="rId1188" xr:uid="{1BB0289A-B374-4D8B-AC02-C239CAC04256}"/>
    <hyperlink ref="D1451" r:id="rId1189" xr:uid="{C215B456-9E05-4E83-87CF-2DAC319E7520}"/>
    <hyperlink ref="D151" r:id="rId1190" xr:uid="{259E9FB9-7FBB-4E94-9788-27D71CCA5609}"/>
    <hyperlink ref="D2016" r:id="rId1191" xr:uid="{B519B2ED-65F0-4DF9-9533-58789AB19ADC}"/>
    <hyperlink ref="D555" r:id="rId1192" xr:uid="{6A1DEC07-4126-415D-89F3-324E4A1E07E3}"/>
    <hyperlink ref="D1550" r:id="rId1193" xr:uid="{45C2428D-5FE6-4F79-8674-BFD0FFEB356B}"/>
    <hyperlink ref="D546" r:id="rId1194" xr:uid="{777AF26C-6957-4785-A3C9-374D689EB1EB}"/>
    <hyperlink ref="D618" r:id="rId1195" xr:uid="{7E1E612C-A8AC-4148-A9CD-EAB4114321B3}"/>
    <hyperlink ref="D1884" r:id="rId1196" xr:uid="{2A43C837-C1E6-4186-8CA7-4908CEA17AF0}"/>
    <hyperlink ref="D1537" r:id="rId1197" xr:uid="{93F37CBC-9060-435B-907F-3F41C1225021}"/>
    <hyperlink ref="D2505" r:id="rId1198" xr:uid="{EA915540-2B1D-4677-A964-FD4FFE91E53A}"/>
    <hyperlink ref="D2491" r:id="rId1199" xr:uid="{9CC9AFAA-5AC3-4DBE-8A95-2EAF292D161E}"/>
    <hyperlink ref="D1082" r:id="rId1200" xr:uid="{AF60AD2F-DA63-460F-999A-1DF30AEA32F7}"/>
    <hyperlink ref="D1576" r:id="rId1201" xr:uid="{DC1C5412-B2F5-451B-8012-87DE3AD5B7D2}"/>
    <hyperlink ref="D866" r:id="rId1202" xr:uid="{AE771C7F-4FB8-421A-8ECC-B4AF6D8D78DD}"/>
    <hyperlink ref="D37" r:id="rId1203" xr:uid="{59BE2EC5-460D-4DB1-A5BB-D2E7B51C163D}"/>
    <hyperlink ref="D714" r:id="rId1204" xr:uid="{B97D9F13-A46F-4E5B-A2ED-FBF6490F10C3}"/>
    <hyperlink ref="D877" r:id="rId1205" xr:uid="{800B17FE-A500-45CB-89C4-EDD02E651560}"/>
    <hyperlink ref="D1418" r:id="rId1206" xr:uid="{025478D8-0380-44F9-874A-39F50D4F3637}"/>
    <hyperlink ref="D1518" r:id="rId1207" xr:uid="{7E03214E-146B-4BAF-A895-68566D250041}"/>
    <hyperlink ref="D1920" r:id="rId1208" xr:uid="{1E45BB40-58B4-462B-8C8F-D60200438C47}"/>
    <hyperlink ref="D943" r:id="rId1209" xr:uid="{144DC617-D682-4616-84E3-251E154BE3AD}"/>
    <hyperlink ref="D2208" r:id="rId1210" xr:uid="{0F4BFEE9-BFB6-418B-8963-F8D926B42CBB}"/>
    <hyperlink ref="D556" r:id="rId1211" xr:uid="{5958F636-5A80-4BA0-8DF2-D080A802FEE8}"/>
    <hyperlink ref="D1740" r:id="rId1212" xr:uid="{C4479A6C-A605-4023-9A08-751E5BDEE476}"/>
    <hyperlink ref="D544" r:id="rId1213" xr:uid="{DBD1706D-2C68-4ADD-820E-930E45DAF480}"/>
    <hyperlink ref="D2536" r:id="rId1214" xr:uid="{CCA46DDB-43B8-4200-B199-3622E72DB586}"/>
    <hyperlink ref="D157" r:id="rId1215" xr:uid="{FBDF8A3A-A6FE-42A5-9A02-A5E2522953A0}"/>
    <hyperlink ref="D1287" r:id="rId1216" xr:uid="{DF77F198-E573-4622-ABEB-41804685D673}"/>
    <hyperlink ref="D2506" r:id="rId1217" xr:uid="{15B1D5E4-BC09-4286-AE96-C6C967CBEEC6}"/>
    <hyperlink ref="D2498" r:id="rId1218" xr:uid="{8B464347-F488-4B93-9434-D8A5C5F98528}"/>
    <hyperlink ref="D1089" r:id="rId1219" xr:uid="{CA74B91C-521B-44FB-8FA9-75D1DD33C2A2}"/>
    <hyperlink ref="D1204" r:id="rId1220" xr:uid="{72A9B46D-AE1C-4DF0-BDBD-DEFA95C54D06}"/>
    <hyperlink ref="D2246" r:id="rId1221" xr:uid="{D333A77A-D817-4C9B-B768-B9B60182A2BA}"/>
    <hyperlink ref="D1544" r:id="rId1222" xr:uid="{19E97029-30A6-4822-AE0D-CEC9525D296F}"/>
    <hyperlink ref="D346" r:id="rId1223" xr:uid="{8D21DA82-AECF-4BA4-A540-668E869D61CA}"/>
    <hyperlink ref="D1178" r:id="rId1224" xr:uid="{D5539C03-298B-415C-8024-BC74B3C22B14}"/>
    <hyperlink ref="D350" r:id="rId1225" xr:uid="{CF7874A3-C8F5-4AE5-BECD-81C681637BFD}"/>
    <hyperlink ref="D1618" r:id="rId1226" xr:uid="{3E56D6A2-A350-420D-8F01-C866D9D8BB20}"/>
    <hyperlink ref="D1939" r:id="rId1227" xr:uid="{55E48F66-EBBF-4021-A63B-810E6EFB5E42}"/>
    <hyperlink ref="D1862" r:id="rId1228" xr:uid="{21BECC1C-88F0-459D-933A-1E28FF7DB35F}"/>
    <hyperlink ref="D2453" r:id="rId1229" xr:uid="{9C92013B-B532-41C5-B2EF-2EBA58161EB7}"/>
    <hyperlink ref="D1076" r:id="rId1230" xr:uid="{7A9195E9-A2B2-42FD-8643-1BF3A26E1886}"/>
    <hyperlink ref="D608" r:id="rId1231" xr:uid="{9A14F193-C89B-4411-85C1-9D7716A5EEEF}"/>
    <hyperlink ref="D1238" r:id="rId1232" xr:uid="{E7620E72-9934-40E0-8E20-9CC41E8A6422}"/>
    <hyperlink ref="D1091" r:id="rId1233" xr:uid="{D1D19D3E-1AEA-439B-9637-25331DA671E0}"/>
    <hyperlink ref="D1705" r:id="rId1234" xr:uid="{FA2897E0-FE2C-41B3-B2AF-DCBF82DA7716}"/>
    <hyperlink ref="D1104" r:id="rId1235" xr:uid="{F58A3A17-E926-43C8-A6ED-7437FFCD6495}"/>
    <hyperlink ref="D1093" r:id="rId1236" xr:uid="{BCBDDC2B-DC3B-4330-AD56-FC535E1FC4AF}"/>
    <hyperlink ref="D1390" r:id="rId1237" xr:uid="{218B16DD-7E71-45AD-80CF-D9930086D35C}"/>
    <hyperlink ref="D1506" r:id="rId1238" xr:uid="{CFEAAF23-BC87-4367-B747-D03E032E3E1B}"/>
    <hyperlink ref="D1380" r:id="rId1239" xr:uid="{D4EC211F-8A17-47F5-886A-8EFD7E3A7C9D}"/>
    <hyperlink ref="D1207" r:id="rId1240" xr:uid="{AD329E98-8158-420D-AAD4-CEDAE0A9BDDE}"/>
    <hyperlink ref="D1588" r:id="rId1241" xr:uid="{A9898ECA-E47A-4127-A283-A6F04DC399D2}"/>
    <hyperlink ref="D878" r:id="rId1242" xr:uid="{90B724D2-676A-4F08-8E87-23E328A97D1B}"/>
    <hyperlink ref="D1352" r:id="rId1243" xr:uid="{C26C9B55-F9C5-4757-A99A-3B8154EFE0C7}"/>
    <hyperlink ref="D1637" r:id="rId1244" xr:uid="{06001DA7-59BA-444B-A380-53D155D944C7}"/>
    <hyperlink ref="D920" r:id="rId1245" xr:uid="{571B7B5B-BE18-4721-8083-A0E2556EAA6A}"/>
    <hyperlink ref="D2213" r:id="rId1246" xr:uid="{DB6F1F3F-6F2B-4E6F-8995-631979AE77F8}"/>
    <hyperlink ref="D553" r:id="rId1247" xr:uid="{ABB9DDD1-EAC6-4113-B9E0-0DD14B55BFE1}"/>
    <hyperlink ref="D2538" r:id="rId1248" xr:uid="{23B948B9-0454-41CB-A692-187F2062267C}"/>
    <hyperlink ref="D1435" r:id="rId1249" xr:uid="{1939F8E4-1358-46F8-891A-9EDB09165484}"/>
    <hyperlink ref="D1706" r:id="rId1250" xr:uid="{75E6F604-055E-47BD-A605-D3F62D9A5666}"/>
    <hyperlink ref="D2508" r:id="rId1251" xr:uid="{0A467B1F-AE32-440B-8FA0-91B85F5E3929}"/>
    <hyperlink ref="D1103" r:id="rId1252" xr:uid="{A9774925-B666-4235-BB3C-0AFE7ED99FD5}"/>
    <hyperlink ref="D1547" r:id="rId1253" xr:uid="{EEB4F993-AA3F-432D-850D-04E3B2133FAC}"/>
    <hyperlink ref="D1525" r:id="rId1254" xr:uid="{0072D735-509A-4FDA-8FE1-5555532567BA}"/>
    <hyperlink ref="D1953" r:id="rId1255" xr:uid="{38094D90-964D-406C-A21F-89CE0CF83803}"/>
    <hyperlink ref="D317" r:id="rId1256" xr:uid="{AA4DE9EC-C463-4CD1-84D7-148A533B4881}"/>
    <hyperlink ref="D772" r:id="rId1257" xr:uid="{26593E23-0A08-43C3-9393-960E8BE41324}"/>
    <hyperlink ref="D319" r:id="rId1258" xr:uid="{7064BC12-4EDD-4B99-AD9C-A642F5062D6E}"/>
    <hyperlink ref="D1701" r:id="rId1259" xr:uid="{5A9B5BF8-5B56-439F-80A6-059E9F7C1C82}"/>
    <hyperlink ref="D1912" r:id="rId1260" xr:uid="{790EFB83-CC18-40A4-A26E-9EBC7F9CE41E}"/>
    <hyperlink ref="D921" r:id="rId1261" xr:uid="{3445BDAA-9B88-4ADF-B544-6357B28D2D92}"/>
    <hyperlink ref="D559" r:id="rId1262" xr:uid="{594E1FE7-A9A6-4A8F-8196-487456A28C98}"/>
    <hyperlink ref="D554" r:id="rId1263" xr:uid="{DB8C2BF0-AFCA-411E-BA32-DDFD26216D7B}"/>
    <hyperlink ref="D718" r:id="rId1264" xr:uid="{690A1709-E756-4A9B-8163-28CB5E44C0AA}"/>
    <hyperlink ref="D951" r:id="rId1265" xr:uid="{87E2FC3B-C4AE-4ED5-94C2-1C16856DACB0}"/>
    <hyperlink ref="D1636" r:id="rId1266" xr:uid="{CEBA1BC8-3E08-4948-95A4-331FC318A567}"/>
    <hyperlink ref="D2509" r:id="rId1267" xr:uid="{F36F2ADD-BCB8-4090-AE4A-D7913223B7FC}"/>
    <hyperlink ref="D1106" r:id="rId1268" xr:uid="{6FD31950-00DB-47C2-AFF7-7A8255C6A698}"/>
    <hyperlink ref="D1954" r:id="rId1269" xr:uid="{D971F6AE-740B-4E3D-95DE-0DC2B82A6CC0}"/>
    <hyperlink ref="D204" r:id="rId1270" xr:uid="{3D993D0E-B5FF-4BEF-8EF9-7250FEAB4A06}"/>
    <hyperlink ref="D278" r:id="rId1271" xr:uid="{6F5C23BD-3624-4F24-8B6E-2AA46D41FD6D}"/>
    <hyperlink ref="D1237" r:id="rId1272" xr:uid="{4429314B-C7C7-47AD-BF03-01CC5D11E986}"/>
    <hyperlink ref="D381" r:id="rId1273" xr:uid="{AB471089-0D4B-4181-A33B-080F5F79C064}"/>
    <hyperlink ref="D1229" r:id="rId1274" xr:uid="{173A7E97-2058-4E6F-849A-9C6B534792EB}"/>
    <hyperlink ref="D1217" r:id="rId1275" xr:uid="{994943A1-34CE-4C9A-B98D-5CA9370905D4}"/>
    <hyperlink ref="D1072" r:id="rId1276" xr:uid="{2435C40D-EB19-405F-85FD-672B16403D74}"/>
    <hyperlink ref="D1682" r:id="rId1277" xr:uid="{44BB662D-3AAB-47AA-9A70-CEB789141A03}"/>
    <hyperlink ref="D2459" r:id="rId1278" xr:uid="{10349E39-C51A-4146-A49C-70423C811599}"/>
    <hyperlink ref="D557" r:id="rId1279" xr:uid="{0E2526EF-6B6F-4EE1-BE39-A569EDAAC285}"/>
    <hyperlink ref="D1298" r:id="rId1280" xr:uid="{1E1047B0-5D63-428F-B0B2-5B978E60D7F2}"/>
    <hyperlink ref="D1863" r:id="rId1281" xr:uid="{CEB18019-EC1F-48CE-B6B9-2EE3B80A8A1B}"/>
    <hyperlink ref="D1908" r:id="rId1282" xr:uid="{80A2A76A-F412-4B92-AB8F-D9A846AA357E}"/>
    <hyperlink ref="D2510" r:id="rId1283" xr:uid="{8BE4E730-F43C-4CD3-8522-8500FA4AE987}"/>
    <hyperlink ref="D1109" r:id="rId1284" xr:uid="{C9BCD37B-D4FA-4EEB-91A7-C71AA5576B08}"/>
    <hyperlink ref="D12" r:id="rId1285" xr:uid="{590CA410-397A-425F-9E31-70ED44B483CD}"/>
    <hyperlink ref="D444" r:id="rId1286" xr:uid="{B3F9C9E5-CB67-4CFE-943F-00D4D70A1EAD}"/>
    <hyperlink ref="D282" r:id="rId1287" xr:uid="{8647AA23-00CE-4529-B249-C585B5D06D80}"/>
    <hyperlink ref="D719" r:id="rId1288" xr:uid="{55BCAD05-7A9C-4BFC-BB00-6C40815C0923}"/>
    <hyperlink ref="D774" r:id="rId1289" xr:uid="{6DC7749E-A2A6-405E-B627-72D9A9F2DB61}"/>
    <hyperlink ref="D1589" r:id="rId1290" xr:uid="{0E1355B7-46C1-448B-8B58-62C361951475}"/>
    <hyperlink ref="D1378" r:id="rId1291" xr:uid="{AD26456B-6968-4C75-A52A-33B4F86D6CC4}"/>
    <hyperlink ref="D1943" r:id="rId1292" xr:uid="{8C6932FB-8FA1-4644-ACDE-2013A55513AA}"/>
    <hyperlink ref="D2435" r:id="rId1293" xr:uid="{3E248732-17CE-4A46-8932-563DAE020BF4}"/>
    <hyperlink ref="D655" r:id="rId1294" xr:uid="{CD15E3BD-489C-4AC8-8DCC-E96AF51011BE}"/>
    <hyperlink ref="D2541" r:id="rId1295" xr:uid="{EDD3D230-0DB6-4905-B6F1-E3E58F2CC35C}"/>
    <hyperlink ref="D1372" r:id="rId1296" xr:uid="{6B3F95EF-C7BF-4485-B03E-A65437BB26E3}"/>
    <hyperlink ref="D1070" r:id="rId1297" xr:uid="{92DB6669-30F4-4F33-A6D2-793E5BCFDAD3}"/>
    <hyperlink ref="D1582" r:id="rId1298" xr:uid="{6C1AD27D-8883-4FF6-8991-5CE1FF230ED2}"/>
    <hyperlink ref="D231" r:id="rId1299" xr:uid="{89E5C827-FBD8-44DB-81C4-33F42537AB92}"/>
    <hyperlink ref="D716" r:id="rId1300" xr:uid="{02C940F7-3B97-48D5-94EE-D08963E6E243}"/>
    <hyperlink ref="D1669" r:id="rId1301" xr:uid="{991FBB3E-F63C-40AA-BA8D-58D5E977B661}"/>
    <hyperlink ref="D1644" r:id="rId1302" xr:uid="{D08D83A2-43D5-4BCF-A093-74951899194E}"/>
    <hyperlink ref="D196" r:id="rId1303" xr:uid="{EC4247E3-2082-4700-9F0D-AB1ACF1389A5}"/>
    <hyperlink ref="D2225" r:id="rId1304" xr:uid="{BC3F5361-F0F6-4B04-B8A0-4953A5FC04F2}"/>
    <hyperlink ref="D1944" r:id="rId1305" xr:uid="{423DB083-3CE4-4BED-9CDE-0C8070C73BCD}"/>
    <hyperlink ref="D2437" r:id="rId1306" xr:uid="{464A8CEC-D689-4B6F-B360-F61EE2FEC1A6}"/>
    <hyperlink ref="D567" r:id="rId1307" xr:uid="{285789B3-E33A-492A-B9C4-51415E7D65C8}"/>
    <hyperlink ref="D1685" r:id="rId1308" xr:uid="{951F2CFA-FC3F-4B8F-9B2F-0AB280C75C59}"/>
    <hyperlink ref="D1725" r:id="rId1309" xr:uid="{BEB29850-81F3-4449-B001-93C27010E73D}"/>
    <hyperlink ref="D1710" r:id="rId1310" xr:uid="{942D85FF-7A3C-49F1-A279-21CC13CE3B6A}"/>
    <hyperlink ref="D1367" r:id="rId1311" xr:uid="{EBFA5650-2D58-4E1C-8CDD-B831F17E5404}"/>
    <hyperlink ref="D241" r:id="rId1312" xr:uid="{0E292D3A-1861-4C0E-8652-22E56008BB81}"/>
    <hyperlink ref="D7" r:id="rId1313" xr:uid="{11259FFD-7CF6-43A3-BE42-592ED62507D1}"/>
    <hyperlink ref="D2234" r:id="rId1314" xr:uid="{D62DBDBB-DCA3-4C39-ADC1-4F5CCBA59C1E}"/>
    <hyperlink ref="D776" r:id="rId1315" xr:uid="{E35C3616-A7A3-46D1-98AC-039801EE78AD}"/>
    <hyperlink ref="D1202" r:id="rId1316" xr:uid="{17F9E963-AF67-4D54-948D-7E5E5C1217DD}"/>
    <hyperlink ref="D1208" r:id="rId1317" xr:uid="{CEA158DC-43D9-4AD3-A09E-33B927BB48D4}"/>
    <hyperlink ref="D498" r:id="rId1318" xr:uid="{F6F2711C-03B6-4762-A05D-DB50BBD52863}"/>
    <hyperlink ref="D2467" r:id="rId1319" xr:uid="{91F32A79-6CA8-4014-BC3D-4276200879ED}"/>
    <hyperlink ref="D684" r:id="rId1320" xr:uid="{7127E500-4AE6-4EA4-A58C-0C990CBFBCED}"/>
    <hyperlink ref="D1491" r:id="rId1321" xr:uid="{55558DEC-C471-4F96-9F44-41173F5C97C8}"/>
    <hyperlink ref="D1440" r:id="rId1322" xr:uid="{FCFC87EE-05A3-4B4F-A2A4-D203D30ACCC9}"/>
    <hyperlink ref="D1800" r:id="rId1323" xr:uid="{602ACDD6-ADDC-4372-9B56-AB1F09226666}"/>
    <hyperlink ref="D1392" r:id="rId1324" xr:uid="{6A794CDB-3F47-4817-8941-816D640D6D5E}"/>
    <hyperlink ref="D1419" r:id="rId1325" xr:uid="{F1CAE685-C023-404A-96A1-3D7E5DC1DC82}"/>
    <hyperlink ref="D707" r:id="rId1326" xr:uid="{A0567C4B-6ADB-408B-AD18-64ED0876BC03}"/>
    <hyperlink ref="D1387" r:id="rId1327" xr:uid="{B4CE9D98-1831-4BBC-9C66-BCD32BCC3D0D}"/>
    <hyperlink ref="D1054" r:id="rId1328" xr:uid="{19788C06-07D7-4F9D-89E4-A8C14C9677F4}"/>
    <hyperlink ref="D1466" r:id="rId1329" xr:uid="{33611A9A-0B87-4ED3-A814-6A170982ABF2}"/>
    <hyperlink ref="D121" r:id="rId1330" xr:uid="{E0A16C92-1600-4ECB-B33D-E24ED54EE293}"/>
    <hyperlink ref="D1183" r:id="rId1331" xr:uid="{B3A691AF-B17C-4D31-8C3A-A9B308F0BC31}"/>
    <hyperlink ref="D564" r:id="rId1332" xr:uid="{BA4B1D0A-4F75-407B-B85F-92F524BE690C}"/>
    <hyperlink ref="D584" r:id="rId1333" xr:uid="{28535988-48C5-4183-865D-1203A8C9F345}"/>
    <hyperlink ref="D286" r:id="rId1334" xr:uid="{29AB010D-2EF5-4793-BFED-1B20CC5C90DA}"/>
    <hyperlink ref="D497" r:id="rId1335" xr:uid="{9F6629C3-8B81-410C-823A-31EB9E928F04}"/>
    <hyperlink ref="D1585" r:id="rId1336" xr:uid="{54E00801-5C7A-4678-8C7A-AE4ACAE8C77C}"/>
    <hyperlink ref="D1513" r:id="rId1337" xr:uid="{E1E284AE-9EAD-400B-848C-4284047024CB}"/>
    <hyperlink ref="D1517" r:id="rId1338" xr:uid="{12C33654-DCF5-4CE8-B3F3-2A89D81D66F3}"/>
    <hyperlink ref="D723" r:id="rId1339" xr:uid="{5EC5C796-0431-45B8-A7B3-AEC1A869D56B}"/>
    <hyperlink ref="D264" r:id="rId1340" xr:uid="{098CB170-43E2-4057-A3DD-D64096CCC33A}"/>
    <hyperlink ref="D1467" r:id="rId1341" xr:uid="{F7D7883F-481E-4E05-A8D7-95278297E4CB}"/>
    <hyperlink ref="D67" r:id="rId1342" xr:uid="{39CD9DFF-9048-4491-B912-43F6DE26BC7C}"/>
    <hyperlink ref="D1727" r:id="rId1343" xr:uid="{A6DDB4AC-43E6-44D0-B4AD-A26AFE118EDC}"/>
    <hyperlink ref="D586" r:id="rId1344" xr:uid="{58700912-1A72-4F30-AAED-79C920738F38}"/>
    <hyperlink ref="D1094" r:id="rId1345" xr:uid="{658785FC-F22B-473F-94E1-E0BB2FA80619}"/>
    <hyperlink ref="D1713" r:id="rId1346" xr:uid="{608020DC-6CDB-49A1-A550-434A72B9D77D}"/>
    <hyperlink ref="D1625" r:id="rId1347" xr:uid="{EF4EC854-928C-4028-9714-5B7F0A5101E3}"/>
    <hyperlink ref="D332" r:id="rId1348" xr:uid="{176FFCDB-C604-4013-8C22-EC2C8ED3BA8A}"/>
    <hyperlink ref="D1156" r:id="rId1349" xr:uid="{95E8096B-BB60-44B8-B2E0-67738ACA1115}"/>
    <hyperlink ref="D724" r:id="rId1350" xr:uid="{9262F1E5-D006-47A6-A8A7-B5D47986CD33}"/>
    <hyperlink ref="D334" r:id="rId1351" xr:uid="{A8B17E6E-5A26-4E59-9159-49E14C631ACB}"/>
    <hyperlink ref="D335" r:id="rId1352" xr:uid="{64392542-8EC2-4FF2-AF11-00351F7CF3C1}"/>
    <hyperlink ref="D470" r:id="rId1353" xr:uid="{7D28D808-81C7-4CDC-A7DE-05A3FA6CA5E5}"/>
    <hyperlink ref="D1811" r:id="rId1354" xr:uid="{725DF2A8-1674-43F8-A71A-ED32870F7271}"/>
    <hyperlink ref="D593" r:id="rId1355" xr:uid="{DB41FF92-6C5F-4F09-936D-8465DCB0B088}"/>
    <hyperlink ref="D517" r:id="rId1356" xr:uid="{1F3D7651-3197-4CB3-BBAE-8E8C8413E0B8}"/>
    <hyperlink ref="D1726" r:id="rId1357" xr:uid="{9F6FFA08-8C24-41B2-A43D-CE1AC15FAFFE}"/>
    <hyperlink ref="D1587" r:id="rId1358" xr:uid="{985FA412-89F2-48F2-8A84-B76079D17AC5}"/>
    <hyperlink ref="D879" r:id="rId1359" xr:uid="{7CA7C5F9-ACA9-41B4-9110-A8D2D0217A7F}"/>
    <hyperlink ref="D1594" r:id="rId1360" xr:uid="{0922AFFB-EE85-42D4-A8FF-7AB5ACC65A83}"/>
    <hyperlink ref="D1346" r:id="rId1361" xr:uid="{E1E3239A-4A28-49AC-BD3F-D8AB51DB1D0C}"/>
    <hyperlink ref="D504" r:id="rId1362" xr:uid="{248692DB-2751-4C63-9A96-C8F517F2402B}"/>
    <hyperlink ref="D505" r:id="rId1363" xr:uid="{763E05E9-441D-4770-88ED-B49A6A8973B5}"/>
    <hyperlink ref="D1181" r:id="rId1364" xr:uid="{7EE648CC-54CC-4CEE-9228-8AB8BDA433C2}"/>
    <hyperlink ref="D651" r:id="rId1365" xr:uid="{08117A2C-F531-452F-8387-24B6E56D6DF9}"/>
    <hyperlink ref="D499" r:id="rId1366" xr:uid="{9CEC9A5A-0832-45D1-A958-7F49B1AFCA1D}"/>
    <hyperlink ref="D1709" r:id="rId1367" xr:uid="{553337CC-D194-4CC6-A35F-59CF8EFC7921}"/>
    <hyperlink ref="D321" r:id="rId1368" xr:uid="{0E00BEF3-EAE5-45D7-A608-5D0AFF8F4DCB}"/>
    <hyperlink ref="D1656" r:id="rId1369" xr:uid="{65D8B3F6-9CDF-4AEB-AA1E-FDD33F9EC563}"/>
    <hyperlink ref="D726" r:id="rId1370" xr:uid="{AFF55423-6B5A-401B-8A79-255038E27603}"/>
    <hyperlink ref="D717" r:id="rId1371" xr:uid="{336FDC7B-8B1E-4E6A-A9E1-F06C1C294C6E}"/>
    <hyperlink ref="D283" r:id="rId1372" xr:uid="{2B35F2B3-2C9E-4104-B5AC-06772E864965}"/>
    <hyperlink ref="D602" r:id="rId1373" xr:uid="{70D65D5D-2187-47AC-A46B-C3B7C8C30227}"/>
    <hyperlink ref="D1728" r:id="rId1374" xr:uid="{CFF09076-CD69-4D60-9C53-B9431495230C}"/>
    <hyperlink ref="D2030" r:id="rId1375" xr:uid="{7EBA86AD-07F7-4B0C-87A3-A487CB79CE34}"/>
    <hyperlink ref="D255" r:id="rId1376" xr:uid="{137AD063-DC6B-47DE-BA5E-7D95A8A2E5D9}"/>
    <hyperlink ref="D2004" r:id="rId1377" xr:uid="{0FC80554-FB5D-4AE8-9D4D-BC01BDE13EF5}"/>
    <hyperlink ref="D1053" r:id="rId1378" xr:uid="{DDBE5730-1FEF-41CD-A3DD-7F4F53AFC603}"/>
    <hyperlink ref="D711" r:id="rId1379" xr:uid="{A45867C8-B22C-4843-91D0-D225733D86FF}"/>
    <hyperlink ref="D77" r:id="rId1380" xr:uid="{9B0F09C4-F9A8-491B-99F4-8B80F11DE0BC}"/>
    <hyperlink ref="D692" r:id="rId1381" xr:uid="{EB45E3BE-49C0-4D53-BB9A-0306EF144064}"/>
    <hyperlink ref="D96" r:id="rId1382" xr:uid="{F4132D80-3866-4E2C-8891-4674EED0510A}"/>
    <hyperlink ref="D1480" r:id="rId1383" xr:uid="{4688DECA-3878-43C2-BE63-047FF38D0BA1}"/>
    <hyperlink ref="D1522" r:id="rId1384" xr:uid="{31579120-C382-494C-BBB4-82BECA3C53ED}"/>
    <hyperlink ref="D1369" r:id="rId1385" xr:uid="{42ECC2B0-FC74-4CF6-A0BC-6D310A39E522}"/>
    <hyperlink ref="D1546" r:id="rId1386" xr:uid="{85C1EB03-3F7C-4564-B99B-6B82A89D74AB}"/>
    <hyperlink ref="D783" r:id="rId1387" xr:uid="{E0CFDD59-7083-489C-89D5-5155C3D527DF}"/>
    <hyperlink ref="D1472" r:id="rId1388" xr:uid="{42395A44-EEC2-4031-8C05-98FE3EF71B4A}"/>
    <hyperlink ref="D607" r:id="rId1389" xr:uid="{A6E715EF-85F8-4277-98E1-065A955F675D}"/>
    <hyperlink ref="D1384" r:id="rId1390" xr:uid="{9A98E7C6-6946-4981-9BB2-E594ACC245AE}"/>
    <hyperlink ref="D370" r:id="rId1391" xr:uid="{0509CF43-BA11-404D-AD16-E9D66364C924}"/>
    <hyperlink ref="D409" r:id="rId1392" xr:uid="{C3B31D8D-6DEF-45A4-B409-3C3AE9F62920}"/>
    <hyperlink ref="D669" r:id="rId1393" xr:uid="{89BA9339-4C67-4D97-ADDF-512997D50F60}"/>
    <hyperlink ref="D333" r:id="rId1394" xr:uid="{3EC95C57-058D-41CC-9AA5-4D82EAADA7CC}"/>
    <hyperlink ref="D1362" r:id="rId1395" xr:uid="{D2ACC503-838B-4AC1-A5D9-4CD765C0F28A}"/>
    <hyperlink ref="D1365" r:id="rId1396" xr:uid="{668138F6-5FB6-4C44-88B4-3606A6A9EAB2}"/>
    <hyperlink ref="D313" r:id="rId1397" xr:uid="{F47855C5-A1C3-49CF-A3CD-2E9098CD3433}"/>
    <hyperlink ref="D1215" r:id="rId1398" xr:uid="{AAAAD80C-1D33-48AD-8FC7-8D0D5E0D8537}"/>
    <hyperlink ref="D1230" r:id="rId1399" xr:uid="{4B8A65BE-4E69-4372-B24D-FEC17FDA997F}"/>
    <hyperlink ref="D1616" r:id="rId1400" xr:uid="{05D80267-EFA1-4577-8FD4-51CAE5DC0748}"/>
    <hyperlink ref="D503" r:id="rId1401" xr:uid="{7AC39749-F10E-4E5B-99C1-830F51AE02BD}"/>
    <hyperlink ref="D1478" r:id="rId1402" xr:uid="{56F47ED6-1EFE-489D-BF27-364270B68518}"/>
    <hyperlink ref="D1623" r:id="rId1403" xr:uid="{D33119F8-E450-4D28-B7ED-8F1A045EF843}"/>
    <hyperlink ref="D254" r:id="rId1404" xr:uid="{C192BE0C-4D70-44F8-B348-1438D00999D3}"/>
    <hyperlink ref="D2229" r:id="rId1405" xr:uid="{36E78BD6-E474-47A3-8DB0-A417EF604DFD}"/>
    <hyperlink ref="D1590" r:id="rId1406" xr:uid="{8EC217C0-703C-48C8-A42B-4CF449E32FF3}"/>
    <hyperlink ref="D1699" r:id="rId1407" xr:uid="{79C4688B-C423-4A2A-9360-5C7A77C7A49B}"/>
    <hyperlink ref="D512" r:id="rId1408" xr:uid="{7BFE690E-CABA-48EA-AF04-2650F44F4AED}"/>
    <hyperlink ref="D1216" r:id="rId1409" xr:uid="{8C8B55A0-7728-4FFC-97C5-BDB68A18AA56}"/>
    <hyperlink ref="D1475" r:id="rId1410" xr:uid="{13A4051E-8329-44CF-A324-65CDA77B8EB6}"/>
    <hyperlink ref="D597" r:id="rId1411" xr:uid="{3334E4C2-2BF3-4FDE-81DA-A1A49D73FA91}"/>
    <hyperlink ref="D63" r:id="rId1412" xr:uid="{C41CD78F-03E6-4877-9960-8DF07165ED39}"/>
    <hyperlink ref="D2245" r:id="rId1413" xr:uid="{CE21F6B2-C5A3-4BDE-B06E-CF490A5AEC80}"/>
    <hyperlink ref="D1394" r:id="rId1414" xr:uid="{0191234A-B86C-4B50-941E-6EF71EE74CC0}"/>
    <hyperlink ref="D708" r:id="rId1415" xr:uid="{AD2EACA6-D85A-4826-ADE9-71EDEFB033A1}"/>
    <hyperlink ref="D770" r:id="rId1416" xr:uid="{CAF98A9D-5F91-4140-8FA1-59BE21DD6C14}"/>
    <hyperlink ref="D1476" r:id="rId1417" xr:uid="{384B8408-D78B-439D-BF27-C8528AD7DF9C}"/>
    <hyperlink ref="D1997" r:id="rId1418" xr:uid="{B4850499-5C5E-4ADA-B2AD-97D979B5821E}"/>
    <hyperlink ref="D70" r:id="rId1419" xr:uid="{630AEA92-DF3F-4DAB-A138-37495AC96910}"/>
    <hyperlink ref="D2240" r:id="rId1420" xr:uid="{D127B3F0-8762-42D5-A1EB-D6B2B84A30D4}"/>
    <hyperlink ref="D1135" r:id="rId1421" xr:uid="{AB252097-AE2C-4D28-BDE6-01A7222C5EB5}"/>
    <hyperlink ref="D1361" r:id="rId1422" xr:uid="{E9803E80-6447-46C4-926A-8DD94CDAA09F}"/>
    <hyperlink ref="D148" r:id="rId1423" xr:uid="{EDD4CFE3-23FE-4211-9098-27BF9E398680}"/>
    <hyperlink ref="D1707" r:id="rId1424" xr:uid="{9C027C1F-0092-43EB-8924-6F97CCAF0D8B}"/>
    <hyperlink ref="D205" r:id="rId1425" xr:uid="{C7D06FDE-01FC-46A6-B9CE-95F254CB8F74}"/>
    <hyperlink ref="D1596" r:id="rId1426" xr:uid="{B4F18A93-2911-41F2-8751-6BDAA723CAAC}"/>
    <hyperlink ref="D397" r:id="rId1427" xr:uid="{19A9E00A-0FD1-4A4B-91F0-F4FFCD135381}"/>
    <hyperlink ref="D1477" r:id="rId1428" xr:uid="{49AEC793-FDC0-445F-B94A-6D8D10B9C733}"/>
    <hyperlink ref="D1667" r:id="rId1429" xr:uid="{687A5D96-5B89-482F-BA9A-B43813973B94}"/>
    <hyperlink ref="D789" r:id="rId1430" xr:uid="{E39B3917-1015-40E1-A0B5-75761FFA6758}"/>
    <hyperlink ref="D76" r:id="rId1431" xr:uid="{E4F5C1AD-D1A0-4050-B926-E68883BF3246}"/>
    <hyperlink ref="D1407" r:id="rId1432" xr:uid="{C4681806-7AD6-4B20-924D-DE7FDA37958C}"/>
    <hyperlink ref="D1561" r:id="rId1433" xr:uid="{484AA019-F153-4198-846C-D36AB157C600}"/>
    <hyperlink ref="D1219" r:id="rId1434" xr:uid="{579A2883-9BAE-4F5A-AAB8-3A81765DC1B3}"/>
    <hyperlink ref="D284" r:id="rId1435" xr:uid="{BE33A792-6CE3-4942-8849-625CF97A1A0A}"/>
    <hyperlink ref="D1132" r:id="rId1436" xr:uid="{A6647A09-A8D2-4BC1-B168-6B8300496980}"/>
    <hyperlink ref="D365" r:id="rId1437" xr:uid="{85DA0BB0-EB76-4484-A993-61DA531BF325}"/>
    <hyperlink ref="D268" r:id="rId1438" xr:uid="{EDA503B1-7124-468B-A790-99637439A313}"/>
    <hyperlink ref="D1389" r:id="rId1439" xr:uid="{8ABD82E2-B582-4632-AC1B-C04DCBBD09F9}"/>
    <hyperlink ref="D1377" r:id="rId1440" xr:uid="{8013FF11-41AB-43DD-95A9-7403F2BB7568}"/>
    <hyperlink ref="D363" r:id="rId1441" xr:uid="{07B5B547-2695-46BC-8EDD-03C04FB6BE55}"/>
    <hyperlink ref="D466" r:id="rId1442" xr:uid="{298BF892-22D4-4653-8D88-819A19F4B9D9}"/>
    <hyperlink ref="D1064" r:id="rId1443" xr:uid="{7FE61D25-410E-4D86-911B-EE0E2374B85C}"/>
    <hyperlink ref="D624" r:id="rId1444" xr:uid="{7BD6984C-C7FD-45E1-AC57-52492FEA699B}"/>
    <hyperlink ref="D1527" r:id="rId1445" xr:uid="{5BE4AA40-DFFA-409F-A7DC-A624D9E4353B}"/>
    <hyperlink ref="D2224" r:id="rId1446" xr:uid="{432A0E3D-6C9E-4D03-B292-C37AB61D447E}"/>
    <hyperlink ref="D1890" r:id="rId1447" xr:uid="{C4A204A0-860F-4CFB-B310-9D311D2AE54B}"/>
    <hyperlink ref="D294" r:id="rId1448" xr:uid="{26C49B1A-1A2F-4C7A-B7FC-43F6C11179F2}"/>
    <hyperlink ref="D1481" r:id="rId1449" xr:uid="{204CAADC-FCFC-4645-A592-CE23522D4741}"/>
    <hyperlink ref="D706" r:id="rId1450" xr:uid="{D2096997-1721-46B7-B205-1E180BB93219}"/>
    <hyperlink ref="D1528" r:id="rId1451" xr:uid="{24EFD969-50B9-42EA-8C9D-AA67E8EC2EC1}"/>
    <hyperlink ref="D2168" r:id="rId1452" xr:uid="{73F3AA67-65D1-400D-B8AB-F6A11E711238}"/>
    <hyperlink ref="D769" r:id="rId1453" xr:uid="{74F0DC92-B677-4BE8-9C56-9CABD89D43E0}"/>
    <hyperlink ref="D298" r:id="rId1454" xr:uid="{2DFB7A51-AA43-4086-BDE1-5746B0D5357B}"/>
    <hyperlink ref="D483" r:id="rId1455" xr:uid="{3BFD33CE-AD26-42E2-A7B8-8158654B6916}"/>
    <hyperlink ref="D674" r:id="rId1456" xr:uid="{B937D76F-A3C9-44EA-B466-475ED6D6F985}"/>
    <hyperlink ref="D1529" r:id="rId1457" xr:uid="{D1B38489-F7BA-44E0-ACA2-9C9AD4BCE215}"/>
    <hyperlink ref="D120" r:id="rId1458" xr:uid="{E7F1DD55-3C4A-4255-B7D8-9EDEB1C2F48A}"/>
    <hyperlink ref="D142" r:id="rId1459" xr:uid="{863B99E8-6E6D-4D98-AAA7-2EF83F52A7A1}"/>
    <hyperlink ref="D300" r:id="rId1460" xr:uid="{C7BA61D0-F46F-465E-ACAB-0674DC73DE92}"/>
    <hyperlink ref="D1483" r:id="rId1461" xr:uid="{03FA2D4B-1AD4-4E52-8600-99A0411C52AE}"/>
    <hyperlink ref="D629" r:id="rId1462" xr:uid="{39B865FC-59A2-4EA1-8FA8-038D414CF53B}"/>
    <hyperlink ref="D1530" r:id="rId1463" xr:uid="{E433796B-325C-46D5-A355-2E4938105064}"/>
    <hyperlink ref="D66" r:id="rId1464" xr:uid="{7FD7648F-250A-4A14-945B-2FBADC603CA7}"/>
    <hyperlink ref="D740" r:id="rId1465" xr:uid="{B54A7D7D-B222-4BAD-8652-B62F0404DF77}"/>
    <hyperlink ref="D795" r:id="rId1466" xr:uid="{10F1F189-5C56-4CA7-8336-A5BC505A96DC}"/>
    <hyperlink ref="D406" r:id="rId1467" xr:uid="{3D04855F-05A8-4082-B972-5B68D8264131}"/>
    <hyperlink ref="D374" r:id="rId1468" xr:uid="{87D535C5-FB9C-40FA-9ACD-98238431CF56}"/>
    <hyperlink ref="D179" r:id="rId1469" xr:uid="{DE8F473B-5023-41F5-B2BC-AB4F11BF4400}"/>
    <hyperlink ref="D353" r:id="rId1470" xr:uid="{1AF68F86-9A02-499E-A7EE-59934C588ECE}"/>
    <hyperlink ref="D1131" r:id="rId1471" xr:uid="{72134D7A-1702-41A9-B4A0-2D5417C3BAEC}"/>
    <hyperlink ref="D302" r:id="rId1472" xr:uid="{DB6E99F3-A096-402C-8ABF-ABCAB9AAC41E}"/>
    <hyperlink ref="D93" r:id="rId1473" xr:uid="{316C8CE5-DB67-46D7-B3D7-F76A3CD6FBD6}"/>
    <hyperlink ref="D630" r:id="rId1474" xr:uid="{7F3CA35C-DE9D-41E3-B354-FF884B5510A1}"/>
    <hyperlink ref="D203" r:id="rId1475" xr:uid="{CD0E88BB-E957-491F-9A75-A3EB6C12DCC4}"/>
    <hyperlink ref="D1179" r:id="rId1476" xr:uid="{D22EB424-F0E6-45E2-B150-006C9FB20B4E}"/>
    <hyperlink ref="D518" r:id="rId1477" xr:uid="{29BAE535-4143-44B6-B8AC-2AE37B715835}"/>
    <hyperlink ref="D2049" r:id="rId1478" xr:uid="{7CDF9C47-7503-495E-9981-CF21564E1FC1}"/>
    <hyperlink ref="D632" r:id="rId1479" xr:uid="{6FCFBFD3-2BE3-4A38-93D2-3AB805BFE01C}"/>
    <hyperlink ref="D271" r:id="rId1480" xr:uid="{25B0A9C4-C117-4B00-B094-62A3E40194C1}"/>
    <hyperlink ref="D2247" r:id="rId1481" xr:uid="{0A2F8AAB-E029-44D0-AB04-E44620C21525}"/>
    <hyperlink ref="D1136" r:id="rId1482" xr:uid="{DC8948FC-F31A-4050-A612-DDF090A10FF9}"/>
    <hyperlink ref="D682" r:id="rId1483" xr:uid="{9E607191-B4A0-4F26-AF93-35B115714975}"/>
    <hyperlink ref="D336" r:id="rId1484" xr:uid="{13AA1BC1-3444-40B7-9539-0CE4B2D4168C}"/>
    <hyperlink ref="D521" r:id="rId1485" xr:uid="{0A3977AA-4897-4C08-A57A-E350FBAF04E9}"/>
    <hyperlink ref="D297" r:id="rId1486" xr:uid="{C1DFEF22-183C-4EF6-AC19-6BD80AB2D6C3}"/>
    <hyperlink ref="D720" r:id="rId1487" xr:uid="{3DDFF806-FCEF-4162-BB4A-73AFD26A42F8}"/>
    <hyperlink ref="D272" r:id="rId1488" xr:uid="{CF45E89E-01EA-4F4B-A4A0-4EDCBAB4E6EC}"/>
    <hyperlink ref="D685" r:id="rId1489" xr:uid="{9CBD70F2-60E5-42EA-BAEE-ACC23435B23E}"/>
    <hyperlink ref="D481" r:id="rId1490" xr:uid="{ECECD8D9-7DBF-44AC-AD27-67A3EA5EED4A}"/>
    <hyperlink ref="D604" r:id="rId1491" xr:uid="{8CFA35FC-B924-4B66-BDAB-DC5397B9317A}"/>
    <hyperlink ref="D78" r:id="rId1492" xr:uid="{E10BFBD3-DD54-4F18-BF89-739E4C01728A}"/>
    <hyperlink ref="D746" r:id="rId1493" xr:uid="{CF8B6F1E-A94D-4CBD-9E69-199D3869CF37}"/>
    <hyperlink ref="D285" r:id="rId1494" xr:uid="{3B921D4D-FB33-4F19-8E33-DBCC75D8C968}"/>
    <hyperlink ref="D1152" r:id="rId1495" xr:uid="{50BF2907-0BA4-4F18-A67E-BEC88E3BA458}"/>
    <hyperlink ref="D301" r:id="rId1496" xr:uid="{E1032CAB-6AC3-441D-A30B-FFE6EC845EBB}"/>
    <hyperlink ref="D688" r:id="rId1497" xr:uid="{D5E14966-23D9-4367-93E7-E3F5E5925464}"/>
    <hyperlink ref="D710" r:id="rId1498" xr:uid="{E539E94A-C833-432F-96C1-3773D118EBEC}"/>
    <hyperlink ref="D748" r:id="rId1499" xr:uid="{1ABAB7DC-C8EB-4020-BC7D-2B7B0D2A1B9D}"/>
    <hyperlink ref="D637" r:id="rId1500" xr:uid="{C51D1F7F-92C1-48F9-A3C2-9AC63E5E63F1}"/>
    <hyperlink ref="D1539" r:id="rId1501" xr:uid="{22D26C28-ACA8-4755-8A6E-7032CB1B9539}"/>
    <hyperlink ref="D960" r:id="rId1502" xr:uid="{3738A1CF-FA02-42BA-8A82-C6E20F0869F5}"/>
    <hyperlink ref="D578" r:id="rId1503" xr:uid="{35404273-31C2-442F-8BD3-E5F3876D6088}"/>
    <hyperlink ref="D1540" r:id="rId1504" xr:uid="{5FE9636C-7650-40F7-A713-2AE6B6FB4669}"/>
    <hyperlink ref="D88" r:id="rId1505" xr:uid="{31886308-C451-47A5-AAA6-47EB92EAACB5}"/>
    <hyperlink ref="D639" r:id="rId1506" xr:uid="{C9E1532F-D71D-41D6-BC66-E1A3A4E6ACFB}"/>
    <hyperlink ref="D1366" r:id="rId1507" xr:uid="{39C7CB01-A920-4A55-8165-780719F47C41}"/>
    <hyperlink ref="D751" r:id="rId1508" xr:uid="{D4EE29DB-9220-4EF1-99AF-FA27DF926840}"/>
    <hyperlink ref="D642" r:id="rId1509" xr:uid="{5C020F39-700C-403E-BE89-301221176CD7}"/>
    <hyperlink ref="D1542" r:id="rId1510" xr:uid="{3AEC4872-2593-4EF3-82CF-81F96FEE3502}"/>
    <hyperlink ref="D456" r:id="rId1511" xr:uid="{671AEF7A-416A-472E-9574-969F8D50830E}"/>
    <hyperlink ref="D1624" r:id="rId1512" xr:uid="{129A317D-051E-4A23-9395-A2B97C0097BB}"/>
    <hyperlink ref="D577" r:id="rId1513" xr:uid="{1FB6AB25-22E4-4AC0-A534-BE580397C303}"/>
    <hyperlink ref="D1660" r:id="rId1514" xr:uid="{139DB2C7-850C-4CC4-A4C6-8628E9345CE7}"/>
    <hyperlink ref="D648" r:id="rId1515" xr:uid="{B5FE94D5-E84D-4C43-A474-F807A6E075E6}"/>
    <hyperlink ref="D1708" r:id="rId1516" xr:uid="{3E95AAEE-1990-45FE-912B-29C99217B289}"/>
    <hyperlink ref="D217" r:id="rId1517" xr:uid="{F49733C2-6CBB-403E-909F-0CE308A551F4}"/>
    <hyperlink ref="D101" r:id="rId1518" xr:uid="{60568924-2550-4F1D-A416-D8B7DC04B75F}"/>
    <hyperlink ref="D649" r:id="rId1519" xr:uid="{BCF93640-9CA1-4DDA-8F22-044F85F3CD24}"/>
    <hyperlink ref="D1479" r:id="rId1520" xr:uid="{EB834588-3BF1-4CC3-9966-694FF3A07545}"/>
    <hyperlink ref="D656" r:id="rId1521" xr:uid="{54AC64FE-C9AA-4ECF-87D9-18913FC7B018}"/>
    <hyperlink ref="D367" r:id="rId1522" xr:uid="{E77735B8-1A47-4694-B048-4C108806FE7F}"/>
    <hyperlink ref="D657" r:id="rId1523" xr:uid="{29ED64AF-FC1E-400E-BF5D-A9FB66EE12E3}"/>
    <hyperlink ref="D1066" r:id="rId1524" xr:uid="{771A24E0-6B2A-4DA4-8B85-D412261D30D3}"/>
    <hyperlink ref="D675" r:id="rId1525" xr:uid="{C3ACE237-C182-4FFE-A437-6EF1ED39C50E}"/>
    <hyperlink ref="D1586" r:id="rId1526" xr:uid="{536855D0-C1C0-4A4C-AA97-F802C7622CC8}"/>
    <hyperlink ref="D693" r:id="rId1527" xr:uid="{B9474EE5-FED4-43FD-B22C-4A02EF4D7397}"/>
    <hyperlink ref="D771" r:id="rId1528" xr:uid="{2776D408-E4B8-41CC-9581-EB4B5C0F4E40}"/>
    <hyperlink ref="D1552" r:id="rId1529" xr:uid="{5C027261-6402-4E0D-8E81-E685D6312A4E}"/>
    <hyperlink ref="D457" r:id="rId1530" xr:uid="{5B30B63A-4635-4732-ABA7-024ABB88E01F}"/>
    <hyperlink ref="D303" r:id="rId1531" xr:uid="{04134C50-4D96-4842-A252-3870343EE39E}"/>
    <hyperlink ref="D382" r:id="rId1532" xr:uid="{FCDD016A-3EB2-4263-82CC-6D7B7ACC18F2}"/>
    <hyperlink ref="D742" r:id="rId1533" xr:uid="{51026777-7C19-4C72-B923-4A5CF4E142C8}"/>
    <hyperlink ref="D2051" r:id="rId1534" xr:uid="{3441445F-2D81-45DF-8912-6F46F09A5654}"/>
    <hyperlink ref="D201" r:id="rId1535" xr:uid="{42BCE13E-5923-4474-8F9E-C8ABB3BB8E7B}"/>
    <hyperlink ref="D2431" r:id="rId1536" xr:uid="{F5B28B58-7BF5-416E-8011-4CC1F168DD44}"/>
    <hyperlink ref="D2031" r:id="rId1537" xr:uid="{61FF0DC3-4FF7-46BA-88D0-B80817D03819}"/>
    <hyperlink ref="D689" r:id="rId1538" xr:uid="{70ECC1F1-ED98-4217-B8B7-8B88F9740CC8}"/>
    <hyperlink ref="D982" r:id="rId1539" xr:uid="{60641421-3F36-4234-88B5-BD689877BFB2}"/>
    <hyperlink ref="D38" r:id="rId1540" xr:uid="{5B273B21-B180-45E9-A797-28FE51A54C98}"/>
    <hyperlink ref="D2460" r:id="rId1541" xr:uid="{AD909AF9-5245-44E8-B28A-35F591F79938}"/>
    <hyperlink ref="D1170" r:id="rId1542" xr:uid="{A79F1233-FA1A-45AD-B728-FF664C808150}"/>
    <hyperlink ref="D1299" r:id="rId1543" xr:uid="{DDB4F03E-F5A5-48F7-A4EE-8BD2FD7D094D}"/>
    <hyperlink ref="D914" r:id="rId1544" xr:uid="{60775BB3-D7AE-4078-A0B7-1E086389FA9E}"/>
    <hyperlink ref="D2421" r:id="rId1545" xr:uid="{7DEFCE39-73A6-4935-804A-FBCB0476FA07}"/>
    <hyperlink ref="D1034" r:id="rId1546" xr:uid="{F6A91348-C073-417B-9FD3-953C202DAB69}"/>
    <hyperlink ref="D1797" r:id="rId1547" xr:uid="{5D9DDC91-DBA9-4413-8AAD-5E38A277AB7C}"/>
    <hyperlink ref="D1665" r:id="rId1548" xr:uid="{27968486-ADE2-426A-89E8-7A24B4BB83C1}"/>
    <hyperlink ref="D1509" r:id="rId1549" xr:uid="{6666F9B1-AFD6-42D8-AA7F-67150776D6D2}"/>
    <hyperlink ref="D2166" r:id="rId1550" xr:uid="{1C39E6E7-066B-44F2-AA60-7C26823D66D7}"/>
    <hyperlink ref="D144" r:id="rId1551" xr:uid="{10BD1FF2-39E2-450B-989B-8167993EE61F}"/>
    <hyperlink ref="D2425" r:id="rId1552" xr:uid="{6355F3EA-5034-43DE-AB52-C59D68A06E63}"/>
    <hyperlink ref="D1188" r:id="rId1553" xr:uid="{5FCCF8B5-7BEE-499B-A2CC-1F77FF6D3C24}"/>
    <hyperlink ref="D2540" r:id="rId1554" xr:uid="{56406A11-F8DB-4796-85A8-DB55D8F574F8}"/>
    <hyperlink ref="D507" r:id="rId1555" xr:uid="{25CC874B-07B2-4E3E-8B0A-E6255B828951}"/>
    <hyperlink ref="D2406" r:id="rId1556" xr:uid="{DA8E41E7-6392-4F1D-9E7C-352CA0064E89}"/>
    <hyperlink ref="D2048" r:id="rId1557" xr:uid="{3DE6A36D-4426-4F05-82B0-54A0F1BADA27}"/>
    <hyperlink ref="D1865" r:id="rId1558" xr:uid="{93443C34-9A90-4160-9D52-9F7AB1B33AC2}"/>
    <hyperlink ref="D2040" r:id="rId1559" xr:uid="{63EB43FD-2909-49CF-AA85-6BF9827C6872}"/>
    <hyperlink ref="D1122" r:id="rId1560" xr:uid="{375FF706-8759-4EB6-AEB3-E3185EBFAD5C}"/>
    <hyperlink ref="D1157" r:id="rId1561" xr:uid="{ECB9F8E2-EE1A-4BFF-905C-4994FA1AE24C}"/>
    <hyperlink ref="D2470" r:id="rId1562" xr:uid="{6DFC4C1F-27ED-40CD-A2E0-FA64563F3302}"/>
    <hyperlink ref="D2424" r:id="rId1563" xr:uid="{024997D2-42CC-4728-9B8B-4770AF99F688}"/>
    <hyperlink ref="D1643" r:id="rId1564" xr:uid="{57D8A737-03A0-4718-BD4D-F5B976002B4C}"/>
    <hyperlink ref="D2039" r:id="rId1565" xr:uid="{08E3C6F5-1F9C-41B1-96FA-7EBE3AFE52A1}"/>
    <hyperlink ref="D458" r:id="rId1566" xr:uid="{82DBE298-23F9-41AC-B893-50C2704E7A6D}"/>
    <hyperlink ref="D40" r:id="rId1567" xr:uid="{8478B188-D3E8-4C0A-87CA-5F0F00D4508E}"/>
    <hyperlink ref="D782" r:id="rId1568" xr:uid="{EA69B42E-B046-4D17-B170-373E46D9D9D0}"/>
    <hyperlink ref="D842" r:id="rId1569" xr:uid="{A56B8013-E0DC-48B4-B0BC-28D11AE0214E}"/>
    <hyperlink ref="D2167" r:id="rId1570" xr:uid="{DCEBC7F6-6686-4755-8BEF-35A9607BE999}"/>
    <hyperlink ref="D2530" r:id="rId1571" xr:uid="{6AA3DB39-4A92-487C-8A9A-5AADD1A341B6}"/>
    <hyperlink ref="D2450" r:id="rId1572" xr:uid="{B00C2647-210B-4F09-B12A-490145FD5CED}"/>
    <hyperlink ref="D804" r:id="rId1573" xr:uid="{1A264424-2F8B-400E-8A50-DEC0350EEC25}"/>
    <hyperlink ref="D2429" r:id="rId1574" xr:uid="{20FDCB8B-BB9C-47AF-8ACD-0B8EC3125582}"/>
    <hyperlink ref="D2535" r:id="rId1575" xr:uid="{512B27F1-40BF-440B-BC62-58B584F0C8BE}"/>
    <hyperlink ref="D2546" r:id="rId1576" xr:uid="{E6CA49D5-AD0F-44CD-A4A5-D696FE8C84F4}"/>
    <hyperlink ref="D1168" r:id="rId1577" xr:uid="{FCA0112D-E029-4CA3-954B-F892778BF737}"/>
    <hyperlink ref="D849" r:id="rId1578" xr:uid="{CF327CA3-3ABF-4151-85DF-7E0D7E3B3ABC}"/>
    <hyperlink ref="D2099" r:id="rId1579" xr:uid="{F05E1857-6D11-416B-8B6D-706655B010EF}"/>
    <hyperlink ref="D492" r:id="rId1580" xr:uid="{BEA36E0E-6B9D-4F11-A855-472B632B154F}"/>
    <hyperlink ref="D1672" r:id="rId1581" xr:uid="{EB6F38D5-D481-40D9-A7F9-0466B31DBD56}"/>
    <hyperlink ref="D1146" r:id="rId1582" xr:uid="{5C46E0B8-68AA-49A0-BEF1-041DBC2FA98F}"/>
    <hyperlink ref="D1124" r:id="rId1583" xr:uid="{44C220C0-23FC-4D4B-BEFF-EB15433949B9}"/>
    <hyperlink ref="D953" r:id="rId1584" xr:uid="{1FF020ED-08A9-45E4-965B-FE18ECD5BEB2}"/>
    <hyperlink ref="D2359" r:id="rId1585" xr:uid="{2EC32539-2F74-41F6-8D3F-9C42C7DBB52A}"/>
    <hyperlink ref="D2177" r:id="rId1586" xr:uid="{910821EF-84F2-4CF1-AFD1-CD8D872CDCF1}"/>
    <hyperlink ref="D1268" r:id="rId1587" xr:uid="{4A659B11-CD6C-45C8-99E2-72A8A3DD3E16}"/>
    <hyperlink ref="D2097" r:id="rId1588" xr:uid="{732E66B3-F94E-41D5-9F7B-5E1AFF109698}"/>
    <hyperlink ref="D383" r:id="rId1589" xr:uid="{745C2D5F-73DE-4917-821A-AA39A2856474}"/>
    <hyperlink ref="D779" r:id="rId1590" xr:uid="{3D1E983C-4C70-4452-87F1-CC7002A4EEC2}"/>
    <hyperlink ref="D525" r:id="rId1591" xr:uid="{AFAFCB1E-E19B-412F-B58D-DCB1F6E170B5}"/>
    <hyperlink ref="D841" r:id="rId1592" xr:uid="{1BED7429-AC22-4811-807A-9609071A9EBE}"/>
    <hyperlink ref="D2561" r:id="rId1593" xr:uid="{778F5850-76C5-4309-B7D3-8F42CBF7EE5B}"/>
    <hyperlink ref="D2426" r:id="rId1594" xr:uid="{89D1D782-908B-4EA9-8D63-0A04040FB02D}"/>
    <hyperlink ref="D1284" r:id="rId1595" xr:uid="{B84B54A7-41B2-435B-8379-2B2A91558F74}"/>
    <hyperlink ref="D1688" r:id="rId1596" xr:uid="{6B4D24DC-42CE-4EC1-8272-AADEB43FDE8E}"/>
    <hyperlink ref="D952" r:id="rId1597" xr:uid="{2EF92BA0-81F7-436D-B20E-6E0DB4AD3FC3}"/>
    <hyperlink ref="D45" r:id="rId1598" xr:uid="{5A1B4FEB-6952-4336-8C26-05311AA4B21E}"/>
    <hyperlink ref="D2555" r:id="rId1599" xr:uid="{5C5BB58B-9FE8-4A09-86E9-DB59061BCF74}"/>
    <hyperlink ref="D833" r:id="rId1600" xr:uid="{CFBF5133-DC51-4D77-B716-9ABB0292286C}"/>
    <hyperlink ref="D13" r:id="rId1601" xr:uid="{52467A0D-1777-4CEA-B097-1C0C48178F27}"/>
    <hyperlink ref="D2059" r:id="rId1602" xr:uid="{9F844134-4F1D-4FA7-931E-DF8196307ACD}"/>
    <hyperlink ref="D1694" r:id="rId1603" xr:uid="{8C818059-E120-498B-A119-2EF24C139E21}"/>
    <hyperlink ref="D366" r:id="rId1604" xr:uid="{B33A740B-4299-4EAC-AE9A-77EFA08CD6AE}"/>
    <hyperlink ref="D2544" r:id="rId1605" xr:uid="{1AE97CEF-491B-4CDD-94A5-17EB039D9425}"/>
    <hyperlink ref="D1285" r:id="rId1606" xr:uid="{92D6BCFA-3FEC-4821-93B8-AEAD104281E7}"/>
    <hyperlink ref="D2552" r:id="rId1607" xr:uid="{7EB03D71-47F4-4C11-B85C-71BF2CAEF2FF}"/>
    <hyperlink ref="D992" r:id="rId1608" xr:uid="{250580E2-00BA-4607-B54B-EABCC6CCF477}"/>
    <hyperlink ref="D312" r:id="rId1609" xr:uid="{EAF28BFC-E270-4BF0-B67D-AB5B6FB4F258}"/>
    <hyperlink ref="D1824" r:id="rId1610" xr:uid="{0A6FAC84-CB50-434D-92BB-5BF0DB6D9846}"/>
    <hyperlink ref="D767" r:id="rId1611" xr:uid="{01549AD5-8E85-4274-A5D0-CD8E891D40E0}"/>
    <hyperlink ref="D1825" r:id="rId1612" xr:uid="{716FE991-18B2-4001-8E94-81F03DCFB2C4}"/>
    <hyperlink ref="D1058" r:id="rId1613" xr:uid="{2DB6E146-159D-4861-810C-872EA57B097B}"/>
    <hyperlink ref="D1186" r:id="rId1614" xr:uid="{D5CCE9A0-4A26-4325-AF0C-5483A2C01FD7}"/>
    <hyperlink ref="D2147" r:id="rId1615" xr:uid="{41AA9349-2815-46CC-A346-6F7EA92B2E44}"/>
    <hyperlink ref="D1051" r:id="rId1616" xr:uid="{096E47C5-9E10-4C24-AD01-2842C4526383}"/>
    <hyperlink ref="D341" r:id="rId1617" xr:uid="{97644273-FD75-4E58-A59A-94B90E4BCBE3}"/>
    <hyperlink ref="D1843" r:id="rId1618" xr:uid="{D60990A6-CD33-4CCE-BF94-79A571D023AB}"/>
    <hyperlink ref="D138" r:id="rId1619" xr:uid="{FDCF9DA0-56EF-4FF9-9B55-2BD22A5DE65B}"/>
    <hyperlink ref="D57" r:id="rId1620" xr:uid="{6BE9F6FB-6E10-47AE-AFF2-F0E689D49E34}"/>
    <hyperlink ref="D59" r:id="rId1621" xr:uid="{5A4EAA3B-812B-49B4-A522-F7CA28AE1DF1}"/>
    <hyperlink ref="D1187" r:id="rId1622" xr:uid="{2064FC53-ADA1-4B0D-A1DE-DC7297FE041C}"/>
    <hyperlink ref="D218" r:id="rId1623" xr:uid="{38B6C050-E0BD-4929-BF3F-994A02990F53}"/>
    <hyperlink ref="D1341" r:id="rId1624" xr:uid="{852030C6-7C4A-4C64-8689-0649F70A5C4A}"/>
    <hyperlink ref="D2038" r:id="rId1625" xr:uid="{AFB0E167-45A9-4B14-A32D-B3FCA9D86318}"/>
    <hyperlink ref="D83" r:id="rId1626" xr:uid="{80AD103D-926C-4B44-A728-DD46A12EF05C}"/>
    <hyperlink ref="D2222" r:id="rId1627" xr:uid="{65BF3B79-501C-4597-BA57-3762A83EEAC8}"/>
    <hyperlink ref="D2098" r:id="rId1628" xr:uid="{942244CF-CCEF-4A0A-AFE3-CEFD112DF88E}"/>
    <hyperlink ref="D916" r:id="rId1629" xr:uid="{18CAE885-74D5-432F-B019-D68AB6484CB2}"/>
    <hyperlink ref="D2146" r:id="rId1630" xr:uid="{DA89279E-1E02-4664-AC9C-08CBC609D896}"/>
    <hyperlink ref="D1036" r:id="rId1631" xr:uid="{3803005C-7DF9-410B-BBBE-230D6F6159B3}"/>
    <hyperlink ref="D1773" r:id="rId1632" xr:uid="{4E347BB8-E227-48BD-B8D2-0E91830E2FF3}"/>
    <hyperlink ref="D119" r:id="rId1633" xr:uid="{34ADC98F-2FF0-420A-A0AA-15849D3BD473}"/>
    <hyperlink ref="D5" r:id="rId1634" xr:uid="{EF5A7DE0-D491-4629-8581-6E41533A87C9}"/>
    <hyperlink ref="D459" r:id="rId1635" xr:uid="{0C70F66D-4D41-469E-B2A6-12B1C4F5553E}"/>
    <hyperlink ref="D242" r:id="rId1636" xr:uid="{209855E7-73E4-4A70-856E-19324152F6E7}"/>
    <hyperlink ref="D2347" r:id="rId1637" xr:uid="{93A48027-6EAC-4F7C-BA39-5602214A1276}"/>
    <hyperlink ref="D2010" r:id="rId1638" xr:uid="{777563AC-9350-4178-A993-8CA3AEB15956}"/>
    <hyperlink ref="D933" r:id="rId1639" xr:uid="{5D973B01-FBD0-4F7B-9CB0-AD51D8DD92A7}"/>
    <hyperlink ref="D2145" r:id="rId1640" xr:uid="{3ED3D368-43FE-48F3-8E00-F913D4A15441}"/>
    <hyperlink ref="D1145" r:id="rId1641" xr:uid="{84B3A330-A97F-49C3-B231-C594AB6E3544}"/>
    <hyperlink ref="D1977" r:id="rId1642" xr:uid="{3383B2A8-11EF-4200-820D-BE4E5CD2CF33}"/>
    <hyperlink ref="D744" r:id="rId1643" xr:uid="{066C0689-151C-47DD-8730-CD41BB10834B}"/>
    <hyperlink ref="D2419" r:id="rId1644" xr:uid="{02DF98DD-9825-4D37-9D94-2B6786EE0F54}"/>
    <hyperlink ref="D1155" r:id="rId1645" xr:uid="{BA18E462-A554-480F-BCF9-A2645041D6C6}"/>
    <hyperlink ref="D743" r:id="rId1646" xr:uid="{BE421357-8429-4ADE-85EF-8C86D1FF77B6}"/>
    <hyperlink ref="D1867" r:id="rId1647" xr:uid="{355C2546-FC56-4BA9-8ABA-801F579CAE9A}"/>
    <hyperlink ref="D2516" r:id="rId1648" xr:uid="{38208510-1BDF-4C7A-9779-1B2E8C9A860C}"/>
    <hyperlink ref="D3" r:id="rId1649" xr:uid="{BCBFB7C7-C395-4548-BDAA-33D4328EF254}"/>
    <hyperlink ref="D2209" r:id="rId1650" xr:uid="{6A65356E-29E2-477A-ACE0-E654DA1C5539}"/>
    <hyperlink ref="D832" r:id="rId1651" xr:uid="{405BC756-F91E-4387-B917-90CBFC6792FE}"/>
    <hyperlink ref="D275" r:id="rId1652" xr:uid="{79921D61-EEFF-4BDC-B5DC-2F41D665286F}"/>
    <hyperlink ref="D238" r:id="rId1653" xr:uid="{F8A45258-84B6-47EB-AEDF-A82ACEAF0EB8}"/>
    <hyperlink ref="D2216" r:id="rId1654" xr:uid="{3AFB51A7-4AFD-4FA8-9231-5C3B6509583E}"/>
    <hyperlink ref="D1333" r:id="rId1655" xr:uid="{93A5433D-E3E9-47F9-954B-005CB16BF361}"/>
    <hyperlink ref="D1666" r:id="rId1656" xr:uid="{5B3C656E-8B2B-4411-8A1A-3A8BB8221062}"/>
    <hyperlink ref="D2232" r:id="rId1657" xr:uid="{0FF2C6F5-29A6-4F4B-AE79-957EC9746F8A}"/>
    <hyperlink ref="D320" r:id="rId1658" xr:uid="{17F1E80F-0AEF-44D6-B0BF-2E5DDDC0817B}"/>
    <hyperlink ref="D1750" r:id="rId1659" xr:uid="{55CD2712-D00B-416A-A2DF-ECA21E68E012}"/>
    <hyperlink ref="D1715" r:id="rId1660" xr:uid="{290622AF-10C8-4661-9B79-5CE00CB080C2}"/>
    <hyperlink ref="D2071" r:id="rId1661" xr:uid="{BB465258-9FEC-4DA9-8CFF-4E9A19B82254}"/>
    <hyperlink ref="D414" r:id="rId1662" xr:uid="{64251AA7-34A2-4D08-ABEE-F80B72B647EE}"/>
    <hyperlink ref="D54" r:id="rId1663" xr:uid="{C9EBF7E4-18DF-4DBD-B819-0B3F75056509}"/>
    <hyperlink ref="D590" r:id="rId1664" xr:uid="{864870CE-BB79-4C65-B350-2FBA0F32C892}"/>
    <hyperlink ref="D2205" r:id="rId1665" xr:uid="{53F40A9A-DEC3-4FEF-8DD1-9EB9A4DADAA2}"/>
    <hyperlink ref="D1926" r:id="rId1666" xr:uid="{7E67EEC2-7771-4584-A818-590BEB54D0B6}"/>
    <hyperlink ref="D560" r:id="rId1667" xr:uid="{AB96103B-D903-40B7-B64A-39B44A24E68C}"/>
    <hyperlink ref="D2115" r:id="rId1668" xr:uid="{CA8D8238-9942-4825-96E7-9DFA4F595FD1}"/>
    <hyperlink ref="D1309" r:id="rId1669" xr:uid="{62152340-B63A-43E8-9DAC-BD933800B2EC}"/>
    <hyperlink ref="D1324" r:id="rId1670" xr:uid="{B31A2F34-D61A-4BDA-AF62-7A11F988E51F}"/>
    <hyperlink ref="D1914" r:id="rId1671" xr:uid="{A6BBB05D-B4B3-4B87-942A-D37776E6FB6E}"/>
    <hyperlink ref="D2305" r:id="rId1672" xr:uid="{8BA5B702-53DE-486D-96F2-C34D5068534B}"/>
    <hyperlink ref="D1938" r:id="rId1673" xr:uid="{75A0CDCB-A91D-4378-9913-184786E77FE1}"/>
    <hyperlink ref="D1231" r:id="rId1674" xr:uid="{8D809A42-0C93-4636-8590-1D30B131520E}"/>
    <hyperlink ref="D1868" r:id="rId1675" xr:uid="{D45BD9F5-C14A-44D1-86D5-DAC211AC8607}"/>
    <hyperlink ref="D565" r:id="rId1676" xr:uid="{C084D8D5-F3A7-4657-9ECE-269A0EE1F946}"/>
    <hyperlink ref="D968" r:id="rId1677" xr:uid="{559C9C4D-3FB0-4A98-93BC-F20071E6DDF2}"/>
    <hyperlink ref="D79" r:id="rId1678" xr:uid="{96CF0EAC-3FA2-414A-9A91-1C3794824D24}"/>
    <hyperlink ref="D1026" r:id="rId1679" xr:uid="{5ABC498C-AD72-4D7F-AEED-1B392CA31A1B}"/>
    <hyperlink ref="D185" r:id="rId1680" xr:uid="{B4808C86-2F0E-4539-A3F4-108F1A10BAB5}"/>
    <hyperlink ref="D2020" r:id="rId1681" xr:uid="{DB53DAC4-74F7-4031-836F-17DA6C7CDA9C}"/>
    <hyperlink ref="D1445" r:id="rId1682" xr:uid="{C7DB1018-FC63-49F9-87A4-176A7D3B7F9F}"/>
    <hyperlink ref="D49" r:id="rId1683" xr:uid="{3CB66AC0-C8EA-4C39-936E-856E996AE1DA}"/>
    <hyperlink ref="D2278" r:id="rId1684" xr:uid="{162F760B-85A4-4DFE-9D96-A994A06E8B76}"/>
    <hyperlink ref="D2313" r:id="rId1685" xr:uid="{36D94D60-991A-4E1A-BADF-9CBB10728AF2}"/>
    <hyperlink ref="D2293" r:id="rId1686" xr:uid="{689B452F-58AA-4453-A4DD-88408CF8797E}"/>
    <hyperlink ref="D356" r:id="rId1687" xr:uid="{2121C083-406C-4855-AC88-DD1C73229F71}"/>
    <hyperlink ref="D568" r:id="rId1688" xr:uid="{2F218A0D-36B9-4346-A8BC-EF63E0A98708}"/>
    <hyperlink ref="D809" r:id="rId1689" xr:uid="{7E36C6C3-C72F-42FD-B33D-3590AD75FBDE}"/>
    <hyperlink ref="D2443" r:id="rId1690" xr:uid="{129090BF-FDB5-4FD0-9216-517141D0D51D}"/>
    <hyperlink ref="D732" r:id="rId1691" xr:uid="{64C1E63D-5BAC-4021-9878-CE4F8A6F78D5}"/>
    <hyperlink ref="D2404" r:id="rId1692" xr:uid="{7FD899EE-64C1-49EE-91D3-B54CAE49E638}"/>
    <hyperlink ref="D721" r:id="rId1693" xr:uid="{AD463082-E6CF-4AFA-8967-7AE0571EAF90}"/>
    <hyperlink ref="D2103" r:id="rId1694" xr:uid="{0ACB7A5A-58EB-4798-A262-5181DEF31A65}"/>
    <hyperlink ref="D1286" r:id="rId1695" xr:uid="{594E073A-9D7D-4928-B42C-9855B241B367}"/>
    <hyperlink ref="D232" r:id="rId1696" xr:uid="{99E7D8D2-8C16-46CA-8909-FEB5E7F6A320}"/>
    <hyperlink ref="D233" r:id="rId1697" xr:uid="{38BBB2B5-41D9-47EF-B97A-754FE93677DA}"/>
    <hyperlink ref="D1265" r:id="rId1698" xr:uid="{B6F2511A-7E38-4D7E-89D7-E67960E60FB7}"/>
    <hyperlink ref="D2041" r:id="rId1699" xr:uid="{0C3234FA-6D67-47B2-8DE4-525171CC424F}"/>
    <hyperlink ref="D756" r:id="rId1700" xr:uid="{29EB610D-AC6E-4A02-A299-70D2ED94CA51}"/>
    <hyperlink ref="D2202" r:id="rId1701" xr:uid="{5A557222-B59A-4401-A910-8BC860A633FD}"/>
    <hyperlink ref="D784" r:id="rId1702" xr:uid="{980BADFE-E16D-475F-815E-CCC77A541D86}"/>
    <hyperlink ref="D2194" r:id="rId1703" xr:uid="{E593628A-AF26-491B-81BE-4E3DE359C6E8}"/>
    <hyperlink ref="D213" r:id="rId1704" xr:uid="{CA28629F-2CB9-42B4-83A8-D6784EE9E12E}"/>
    <hyperlink ref="D1659" r:id="rId1705" xr:uid="{58220E6C-5F9A-4ED2-ACC9-9170C1846DB0}"/>
    <hyperlink ref="D412" r:id="rId1706" xr:uid="{44011347-AB39-4F87-8659-D0CC17400A21}"/>
    <hyperlink ref="D2444" r:id="rId1707" xr:uid="{8FFA8641-CEFF-4CAB-A317-68A4EEB6C654}"/>
    <hyperlink ref="D2545" r:id="rId1708" xr:uid="{26445192-EB94-4291-BF64-86FFAFB29236}"/>
    <hyperlink ref="D883" r:id="rId1709" xr:uid="{850E4349-4FC6-4D2A-8553-D2C6FB29127E}"/>
    <hyperlink ref="D1167" r:id="rId1710" xr:uid="{83572496-55FF-4E41-BF3F-E19AE7C7C294}"/>
    <hyperlink ref="D1035" r:id="rId1711" xr:uid="{4BCC288C-19C5-43B7-8D2C-FB4DE72B03C1}"/>
    <hyperlink ref="D2223" r:id="rId1712" xr:uid="{90BCF1C7-A13C-4D6C-9E5D-4F8746162CD7}"/>
    <hyperlink ref="D145" r:id="rId1713" xr:uid="{03ADA5C8-665A-4C4A-8332-6DCB90B8D51A}"/>
    <hyperlink ref="D725" r:id="rId1714" xr:uid="{C68F79C3-BDB2-4D07-9FB5-7994DBBB2287}"/>
    <hyperlink ref="D2407" r:id="rId1715" xr:uid="{C10EE2A9-7393-4392-B9F9-6904224DB6D9}"/>
    <hyperlink ref="D29" r:id="rId1716" xr:uid="{A70E425F-66AA-478F-A0B7-D37B67677963}"/>
    <hyperlink ref="D463" r:id="rId1717" xr:uid="{CB68E683-3B3D-4293-BF52-45E695157BD1}"/>
    <hyperlink ref="D214" r:id="rId1718" xr:uid="{F84225CA-72ED-4BE5-9454-9D7E195D9A18}"/>
    <hyperlink ref="D857" r:id="rId1719" xr:uid="{421BA0E3-7FCF-40CB-AD14-69146514DD05}"/>
    <hyperlink ref="D2001" r:id="rId1720" xr:uid="{6245ADA1-0276-4D70-9BF7-0B7E72CFA7FA}"/>
    <hyperlink ref="D2121" r:id="rId1721" xr:uid="{7DC4A3B6-50B8-4528-A0F1-B3792906F06F}"/>
    <hyperlink ref="D493" r:id="rId1722" xr:uid="{686C5168-C0C4-4B16-B362-6CAF32BE44E9}"/>
    <hyperlink ref="D2174" r:id="rId1723" xr:uid="{39C31729-6206-484A-BC8E-E20032BA0B54}"/>
    <hyperlink ref="D1269" r:id="rId1724" xr:uid="{50D31850-7F03-4B7F-AB9D-9DF9A4737A29}"/>
    <hyperlink ref="D2159" r:id="rId1725" xr:uid="{BCAE3C3A-2EFA-4CBB-89FB-83F502A22674}"/>
    <hyperlink ref="D1158" r:id="rId1726" xr:uid="{04415831-E3FD-4A55-A1F0-04133A98B9AF}"/>
    <hyperlink ref="D1551" r:id="rId1727" xr:uid="{BA887CE2-E58F-4A06-A0A7-E0131E3546A4}"/>
    <hyperlink ref="D436" r:id="rId1728" xr:uid="{2748D470-6BF9-45BC-BDA4-AB9DCB59CEF6}"/>
    <hyperlink ref="D2442" r:id="rId1729" xr:uid="{7933C5C1-B6E6-4483-981B-BF681F271194}"/>
    <hyperlink ref="D2564" r:id="rId1730" xr:uid="{27A7B7EA-2068-4E8D-AFF6-07F3C5CAA807}"/>
    <hyperlink ref="D1510" r:id="rId1731" xr:uid="{8FA119D5-BAF7-4E76-AE25-B23A7FB0EA98}"/>
    <hyperlink ref="D55" r:id="rId1732" xr:uid="{AC5B7CA1-54CE-43D9-BB48-54CFCE36A600}"/>
    <hyperlink ref="D869" r:id="rId1733" xr:uid="{3337EF1B-73F8-4F79-B8E2-852DCE575BB9}"/>
    <hyperlink ref="D764" r:id="rId1734" xr:uid="{B1B734B3-FFA4-40EC-A768-3F1F20557661}"/>
    <hyperlink ref="D44" r:id="rId1735" xr:uid="{D4E77529-4A7A-45C5-93CF-06F5368AE9FA}"/>
    <hyperlink ref="D786" r:id="rId1736" xr:uid="{F9983981-6C26-4557-BE2B-F0D787BD3836}"/>
    <hyperlink ref="D1630" r:id="rId1737" xr:uid="{03EAF80F-315F-4FE2-81C0-AEF38C391BE2}"/>
    <hyperlink ref="D1102" r:id="rId1738" xr:uid="{7427BD75-00CB-4298-AE9F-0116488BB588}"/>
    <hyperlink ref="D2548" r:id="rId1739" xr:uid="{D64D5DF6-2AAE-4976-BE32-4785E5FBD692}"/>
    <hyperlink ref="D660" r:id="rId1740" xr:uid="{AFD3D081-0EE7-4227-A545-9A31A390B38E}"/>
    <hyperlink ref="D442" r:id="rId1741" xr:uid="{1AB82BD2-8CE4-44AD-B205-B8A5D072B98C}"/>
    <hyperlink ref="D662" r:id="rId1742" xr:uid="{D88AA09B-6725-4962-B7D8-AE739B7D5CCA}"/>
    <hyperlink ref="D2052" r:id="rId1743" xr:uid="{F5E6761D-218C-4446-A65D-AE2FB5BC33DC}"/>
    <hyperlink ref="D2029" r:id="rId1744" xr:uid="{BCF847DB-3CD2-4AAE-8B32-08B1A06401C5}"/>
    <hyperlink ref="D778" r:id="rId1745" xr:uid="{49180C04-01CE-4BF5-8B2B-4091727C5830}"/>
    <hyperlink ref="D1940" r:id="rId1746" xr:uid="{1917AC2D-CC19-47AA-AAEC-1FFB140F918B}"/>
    <hyperlink ref="D2002" r:id="rId1747" xr:uid="{F7E4A436-D764-4FF5-88B4-35842B67804D}"/>
    <hyperlink ref="D2294" r:id="rId1748" xr:uid="{BE59C8EC-1F32-4748-88D0-C978695BFF82}"/>
    <hyperlink ref="D997" r:id="rId1749" xr:uid="{9EDF7A62-5087-4551-A44D-DC47E1EED75B}"/>
    <hyperlink ref="D2411" r:id="rId1750" xr:uid="{0981B4E9-549F-4F23-A306-110A36466E99}"/>
    <hyperlink ref="D2027" r:id="rId1751" xr:uid="{2A4ABBD1-FE51-4C9A-B67F-0E687AB7ECB7}"/>
    <hyperlink ref="D734" r:id="rId1752" xr:uid="{0E8786F4-35D6-4D47-A4D8-72294BC7FCA9}"/>
    <hyperlink ref="D2062" r:id="rId1753" xr:uid="{B7A6283C-167E-4C31-A865-138FA196D674}"/>
    <hyperlink ref="D1500" r:id="rId1754" xr:uid="{87152697-B6E1-40C0-8CF5-9D0858B1AE4D}"/>
    <hyperlink ref="D243" r:id="rId1755" xr:uid="{FFA10C02-C1D9-4308-8305-5A0253833373}"/>
    <hyperlink ref="D2009" r:id="rId1756" xr:uid="{3D841746-569F-4F7B-8EFF-362C1914F745}"/>
    <hyperlink ref="D439" r:id="rId1757" xr:uid="{B1007B97-381B-4631-A60F-3953EB07080C}"/>
    <hyperlink ref="D981" r:id="rId1758" xr:uid="{C2322E10-0339-4837-8AD4-7AF03D3A08EB}"/>
    <hyperlink ref="D2420" r:id="rId1759" xr:uid="{7D81D504-E5FC-4DB7-AE40-B21FFF49AC7E}"/>
    <hyperlink ref="D1986" r:id="rId1760" xr:uid="{A2B50992-3B60-4B92-A720-25CBE9256579}"/>
    <hyperlink ref="D2330" r:id="rId1761" xr:uid="{D9D04F50-696C-464D-9DAC-9D8BE3144D59}"/>
    <hyperlink ref="D563" r:id="rId1762" xr:uid="{BB254012-C3A9-4D8E-BD8A-C0DEF54D7D93}"/>
    <hyperlink ref="D4" r:id="rId1763" xr:uid="{3A6AD867-BAE2-41B1-A838-1BF78824AAC7}"/>
    <hyperlink ref="D834" r:id="rId1764" xr:uid="{D59249A7-90FD-48D9-B039-EBB0990244FC}"/>
    <hyperlink ref="D276" r:id="rId1765" xr:uid="{43CD552C-0186-407E-BFAB-A20343BEDFF3}"/>
    <hyperlink ref="D1853" r:id="rId1766" xr:uid="{244760BF-E8E9-4B43-8ED8-D6D4AEAE2B29}"/>
    <hyperlink ref="D1022" r:id="rId1767" xr:uid="{07C8ACED-AE8B-4FA2-8314-8600A8C8E8B7}"/>
    <hyperlink ref="D2047" r:id="rId1768" xr:uid="{5A4E4E3E-44B6-4D05-A346-0FA831DC2A88}"/>
    <hyperlink ref="D261" r:id="rId1769" xr:uid="{647BB4FF-D490-4AA6-8FDC-14C2E163FAAC}"/>
    <hyperlink ref="D1759" r:id="rId1770" xr:uid="{5B99C214-D914-4941-9689-47F648284A6E}"/>
    <hyperlink ref="D987" r:id="rId1771" xr:uid="{62693AC6-4144-4F45-8827-EDF990E0ABF2}"/>
    <hyperlink ref="D2086" r:id="rId1772" xr:uid="{F0A89D8A-CBE6-4DC5-8084-4424CEB8CE98}"/>
    <hyperlink ref="D591" r:id="rId1773" xr:uid="{155380CA-C930-4538-AE71-4969241A2B45}"/>
    <hyperlink ref="D1310" r:id="rId1774" xr:uid="{FFD1B1BA-C891-46D7-9278-DD093927FEF7}"/>
    <hyperlink ref="D2327" r:id="rId1775" xr:uid="{2713B6EC-8078-4F67-9576-B81E3D887616}"/>
    <hyperlink ref="D1256" r:id="rId1776" xr:uid="{D11B430B-802A-46BB-A314-ED0526A1D5D3}"/>
    <hyperlink ref="D1184" r:id="rId1777" xr:uid="{7EDD8406-4A2B-44E7-A32A-91F3952BB7A1}"/>
    <hyperlink ref="D843" r:id="rId1778" xr:uid="{D2FB918D-4498-4042-87C4-DB93E398AFDD}"/>
    <hyperlink ref="D1243" r:id="rId1779" xr:uid="{CFFE24AA-7175-4017-9F7A-50969976E510}"/>
    <hyperlink ref="D1027" r:id="rId1780" xr:uid="{2C10EA2D-0867-4AA6-9C69-66AF1E87DDEC}"/>
    <hyperlink ref="D186" r:id="rId1781" xr:uid="{544641AC-5384-4964-8DEA-0F0461D45C11}"/>
    <hyperlink ref="D2021" r:id="rId1782" xr:uid="{0CC3E058-7884-4CAA-BFE5-422A9E8478EA}"/>
    <hyperlink ref="D2279" r:id="rId1783" xr:uid="{9D3BD524-A986-4AA6-B185-986E67807F02}"/>
    <hyperlink ref="D2314" r:id="rId1784" xr:uid="{6C945C5D-B961-4CAD-B7F8-4D75D6CAA91F}"/>
    <hyperlink ref="D2336" r:id="rId1785" xr:uid="{D7C8EE14-8828-40B5-99CD-D7AF16B9F94F}"/>
    <hyperlink ref="D815" r:id="rId1786" xr:uid="{FED39912-450D-405C-8549-1778E4FAC4D7}"/>
    <hyperlink ref="D817" r:id="rId1787" xr:uid="{CDDECEE1-021A-4266-ADBE-67161582E3BA}"/>
    <hyperlink ref="D223" r:id="rId1788" xr:uid="{3266518D-90C9-4280-8516-0080C4A680EF}"/>
    <hyperlink ref="D2462" r:id="rId1789" xr:uid="{AEAEB534-EFF2-4DF8-8AD7-79AF11E6B2B4}"/>
    <hyperlink ref="D1991" r:id="rId1790" xr:uid="{D68ECC68-EEE1-430F-9BCF-C8DC92B6D99A}"/>
    <hyperlink ref="D2405" r:id="rId1791" xr:uid="{D43CE98A-A219-4620-AD90-2D4319A0C112}"/>
    <hyperlink ref="D416" r:id="rId1792" xr:uid="{509B00B4-5CCD-4F78-BB96-F25259C7849A}"/>
    <hyperlink ref="D2113" r:id="rId1793" xr:uid="{2B5EC4A9-245F-4E00-9DEA-5AB39CBBE568}"/>
    <hyperlink ref="D234" r:id="rId1794" xr:uid="{88D74C62-F0DB-4BE9-840B-22268250C187}"/>
    <hyperlink ref="D1258" r:id="rId1795" xr:uid="{7CD8D567-E908-4C0E-A942-A3C8C0926BBF}"/>
    <hyperlink ref="D1301" r:id="rId1796" xr:uid="{AB66F3C5-59AA-493C-8B3A-F957A0730769}"/>
    <hyperlink ref="D812" r:id="rId1797" xr:uid="{E411B5FD-D05A-40E1-BB9D-23EE089096F1}"/>
    <hyperlink ref="D384" r:id="rId1798" xr:uid="{619E1B29-1129-4AD8-9299-4688FE415D89}"/>
    <hyperlink ref="D1916" r:id="rId1799" xr:uid="{7DD66EE6-C1BF-4021-B0AD-D00D11119020}"/>
    <hyperlink ref="D1799" r:id="rId1800" xr:uid="{A7C0B199-851B-47EA-A603-E31282DCE45F}"/>
    <hyperlink ref="D146" r:id="rId1801" xr:uid="{09845714-F83F-4CBB-82CE-1B31225B3DBA}"/>
    <hyperlink ref="D199" r:id="rId1802" xr:uid="{B8D6CAC1-70F3-437E-A5E7-5812E6918D53}"/>
    <hyperlink ref="D2408" r:id="rId1803" xr:uid="{8827D68F-AF80-45B2-B702-63AF47DFE827}"/>
    <hyperlink ref="D464" r:id="rId1804" xr:uid="{D2D57819-8E13-4D82-A360-EA53BE9F623A}"/>
    <hyperlink ref="D394" r:id="rId1805" xr:uid="{F9FF1412-3919-4432-95BF-7C55E60C901A}"/>
    <hyperlink ref="D445" r:id="rId1806" xr:uid="{762C0F14-5A6D-4137-8F0D-5E3D9FD4BA49}"/>
    <hyperlink ref="D2034" r:id="rId1807" xr:uid="{E6D0D8D4-8FAE-4496-B9BF-D1E06F3092C1}"/>
    <hyperlink ref="D467" r:id="rId1808" xr:uid="{33A22C95-9B01-45B1-BF61-FB5E792980AD}"/>
    <hyperlink ref="D2129" r:id="rId1809" xr:uid="{B49F2BD8-8F8B-4421-9959-080F088D90B4}"/>
    <hyperlink ref="D14" r:id="rId1810" xr:uid="{79E2974B-A582-413C-A793-60338C413CE7}"/>
    <hyperlink ref="D1271" r:id="rId1811" xr:uid="{1228CB9C-3CA7-47F1-986A-D96A991C1175}"/>
    <hyperlink ref="D419" r:id="rId1812" xr:uid="{1D468A20-A6F0-413B-A088-9DF27560333B}"/>
    <hyperlink ref="D1945" r:id="rId1813" xr:uid="{BC363A0C-5DD9-4B39-B34B-BA9B05300EF5}"/>
    <hyperlink ref="D437" r:id="rId1814" xr:uid="{29E2B1A6-3E47-49D6-9D08-959A06D7B98A}"/>
    <hyperlink ref="D1009" r:id="rId1815" xr:uid="{00957758-34E8-40EA-859E-231C5E803186}"/>
    <hyperlink ref="D694" r:id="rId1816" xr:uid="{DED7265E-112C-4EC8-AEE6-5927D8CD3A03}"/>
    <hyperlink ref="D58" r:id="rId1817" xr:uid="{7BB42C17-907F-4B58-95DC-B7D7DD18CCB5}"/>
    <hyperlink ref="D875" r:id="rId1818" xr:uid="{C1349C0B-CB46-4C7E-82DA-D070586BF5BB}"/>
    <hyperlink ref="D828" r:id="rId1819" xr:uid="{A81EF1B0-8551-4049-865F-FEAFE4097494}"/>
    <hyperlink ref="D61" r:id="rId1820" xr:uid="{D52A31FC-41FB-43D5-9D36-06DC8324A681}"/>
    <hyperlink ref="D747" r:id="rId1821" xr:uid="{FA05A857-8C2A-462D-9589-14940E00726E}"/>
    <hyperlink ref="D1885" r:id="rId1822" xr:uid="{35B83E3A-A0A8-458C-A955-75B3757490FC}"/>
    <hyperlink ref="D221" r:id="rId1823" xr:uid="{5BEDA206-32A7-4606-ABD0-9588477A9465}"/>
    <hyperlink ref="D530" r:id="rId1824" xr:uid="{259B8902-D414-4802-B76B-FFE4A7A95D20}"/>
    <hyperlink ref="D1827" r:id="rId1825" xr:uid="{62B9B41B-A231-44F4-8572-1BDC9FBB791E}"/>
    <hyperlink ref="D1220" r:id="rId1826" xr:uid="{0ADCE390-CF06-46FA-AE77-01EDEF770CB8}"/>
    <hyperlink ref="D2080" r:id="rId1827" xr:uid="{C0194C1C-B780-4FEE-983A-B1F91D5FE5CF}"/>
    <hyperlink ref="D8" r:id="rId1828" xr:uid="{3A79166B-9643-4B14-B369-3E2C82C7B513}"/>
    <hyperlink ref="D838" r:id="rId1829" xr:uid="{535AD987-ACFB-4B48-95F7-4AE789007B66}"/>
    <hyperlink ref="D1354" r:id="rId1830" xr:uid="{ADEF45B7-27E2-468D-9A61-F6BB002CB1EF}"/>
    <hyperlink ref="D2035" r:id="rId1831" xr:uid="{70D68040-BAB0-4D87-B80E-573842C2EDCF}"/>
    <hyperlink ref="D2295" r:id="rId1832" xr:uid="{EB749E56-AB08-4183-8CA4-A7356DA79E7A}"/>
    <hyperlink ref="D1583" r:id="rId1833" xr:uid="{2D53379C-8E2C-4F88-835E-C74B539854B6}"/>
    <hyperlink ref="D2412" r:id="rId1834" xr:uid="{D53B7713-8ED1-40C7-8BAE-7CF1A36C54FF}"/>
    <hyperlink ref="D2571" r:id="rId1835" xr:uid="{2C4A7968-6064-4F38-8293-F75028DE0806}"/>
    <hyperlink ref="D2100" r:id="rId1836" xr:uid="{D6584A46-0759-417D-A11F-DA10B7CDA21D}"/>
    <hyperlink ref="D2085" r:id="rId1837" xr:uid="{BA790C35-1BED-4995-9452-A77EA9D94340}"/>
    <hyperlink ref="D1814" r:id="rId1838" xr:uid="{FF8F28C5-0AD4-4968-8DB3-BFAC9C684C7A}"/>
    <hyperlink ref="D244" r:id="rId1839" xr:uid="{9EC39D27-5AD5-4761-A67D-F60F0E63E2A6}"/>
    <hyperlink ref="D2011" r:id="rId1840" xr:uid="{AF386DE2-F2DF-4D16-AE98-545E2F7578AD}"/>
    <hyperlink ref="D1197" r:id="rId1841" xr:uid="{3AA84FE8-C0B8-4136-A669-AB0F3F0EA94D}"/>
    <hyperlink ref="D1137" r:id="rId1842" xr:uid="{9DB30403-BF63-482A-97B4-14DC47AB9D2E}"/>
    <hyperlink ref="D1879" r:id="rId1843" xr:uid="{0972A52B-B4AC-4BFD-844C-5992E9AA28E0}"/>
    <hyperlink ref="D200" r:id="rId1844" xr:uid="{0A72C158-F324-45CD-9205-C90319171EF2}"/>
    <hyperlink ref="D1782" r:id="rId1845" xr:uid="{7B08DD6C-5249-4AF0-82B8-CD9E041DFA6C}"/>
    <hyperlink ref="D1670" r:id="rId1846" xr:uid="{8EBDF7AA-8405-4615-A454-2DD1210C8C89}"/>
    <hyperlink ref="D240" r:id="rId1847" xr:uid="{EE356B0B-98CF-48F3-927E-BC3A30B0CCAF}"/>
    <hyperlink ref="D1118" r:id="rId1848" xr:uid="{95F44941-104D-4EE0-BE4F-72FB83BC2439}"/>
    <hyperlink ref="D1684" r:id="rId1849" xr:uid="{0409DFF0-B4C4-4E39-BAE7-753D553FDD75}"/>
    <hyperlink ref="D322" r:id="rId1850" xr:uid="{CAFC9DE7-5784-49D3-B237-20AA863DAE5D}"/>
    <hyperlink ref="D988" r:id="rId1851" xr:uid="{EB601B2D-F504-4D09-9BC3-E65CAD0DA672}"/>
    <hyperlink ref="D2102" r:id="rId1852" xr:uid="{AF5844BA-3C0B-4B89-B3B7-048DC39BB42C}"/>
    <hyperlink ref="D592" r:id="rId1853" xr:uid="{304C282A-59C0-46DD-B0DE-DC91F0B84A87}"/>
    <hyperlink ref="D1311" r:id="rId1854" xr:uid="{1CD701ED-71ED-4ABC-B8A4-C7DC305D4B93}"/>
    <hyperlink ref="D2342" r:id="rId1855" xr:uid="{F150F28D-FC50-4154-9E9D-51F92E3469E8}"/>
    <hyperlink ref="D1658" r:id="rId1856" xr:uid="{A54F1EB9-B601-48CF-979E-534C9A1A13CE}"/>
    <hyperlink ref="D526" r:id="rId1857" xr:uid="{B711EBE6-6592-4475-AB34-D436C5E90DF8}"/>
    <hyperlink ref="D2025" r:id="rId1858" xr:uid="{C1E349A6-2D44-421D-9005-A13904D067AC}"/>
    <hyperlink ref="D1028" r:id="rId1859" xr:uid="{E719F748-B976-4662-BC1E-EDAD86AB1917}"/>
    <hyperlink ref="D484" r:id="rId1860" xr:uid="{4A17E094-D0D9-47BA-B632-0F74F30C9883}"/>
    <hyperlink ref="D2280" r:id="rId1861" xr:uid="{68E69A8A-F79C-4866-BA70-403DF0BBDAAA}"/>
    <hyperlink ref="D2388" r:id="rId1862" xr:uid="{BBD5FD73-7486-4224-9132-F28356922390}"/>
    <hyperlink ref="D417" r:id="rId1863" xr:uid="{5AA81BB8-343F-4BB6-AD4F-B5E18D8BB5EF}"/>
    <hyperlink ref="D168" r:id="rId1864" xr:uid="{71996CFA-5795-482C-BADC-B37EA8427AB5}"/>
    <hyperlink ref="D224" r:id="rId1865" xr:uid="{F5A1AE74-B487-4E4F-AA74-2785E64DD44B}"/>
    <hyperlink ref="D2151" r:id="rId1866" xr:uid="{FB32F014-9C14-4239-924C-C4CB98C6458D}"/>
    <hyperlink ref="D1992" r:id="rId1867" xr:uid="{202E578C-5532-4E6E-9B6B-C6A6F87A4A49}"/>
    <hyperlink ref="D2452" r:id="rId1868" xr:uid="{19CC18E7-D785-4E2F-9F00-116DD8327A42}"/>
    <hyperlink ref="D2154" r:id="rId1869" xr:uid="{00E2C837-04F6-4ACF-9DC2-FB437D446065}"/>
    <hyperlink ref="D235" r:id="rId1870" xr:uid="{74C6053C-C612-4191-93BE-11513361F883}"/>
    <hyperlink ref="D1257" r:id="rId1871" xr:uid="{9942B1CC-BD5B-47B6-AFEF-189A025045BF}"/>
    <hyperlink ref="D855" r:id="rId1872" xr:uid="{74E313F8-A2EE-4F5D-AD2C-5B7B31D67019}"/>
    <hyperlink ref="D777" r:id="rId1873" xr:uid="{2A62532A-33C9-4A14-BB27-6A6C672AFAC6}"/>
    <hyperlink ref="D1533" r:id="rId1874" xr:uid="{460E16E9-DB9A-4003-B932-E8770B3C2488}"/>
    <hyperlink ref="D1037" r:id="rId1875" xr:uid="{BCA24A5A-7CD5-4D59-ACDC-A3E9808363A6}"/>
    <hyperlink ref="D826" r:id="rId1876" xr:uid="{0E4FA623-E978-4794-A684-9C4815607D6B}"/>
    <hyperlink ref="D147" r:id="rId1877" xr:uid="{5B78EC4B-A63A-4B46-B609-A26056DA4908}"/>
    <hyperlink ref="D2090" r:id="rId1878" xr:uid="{D3E2C8F1-7E41-48ED-98A9-D2ED01EFF037}"/>
    <hyperlink ref="D2409" r:id="rId1879" xr:uid="{D233C442-7716-4256-8AB1-B5AEF28CDAA1}"/>
    <hyperlink ref="D465" r:id="rId1880" xr:uid="{2182D79D-064C-429A-BD1C-10CD4EA81787}"/>
    <hyperlink ref="D931" r:id="rId1881" xr:uid="{CE649587-5103-4AB4-B966-9E555CD3B180}"/>
    <hyperlink ref="D1501" r:id="rId1882" xr:uid="{E2B1A901-FE7F-4D0B-A536-9FFC18E924B8}"/>
    <hyperlink ref="D2175" r:id="rId1883" xr:uid="{5ACB040C-B0FA-4C7C-8781-0D0EB36AC2A4}"/>
    <hyperlink ref="D468" r:id="rId1884" xr:uid="{D1015766-8922-43E2-A6B7-7CC2078DBB7C}"/>
    <hyperlink ref="D2138" r:id="rId1885" xr:uid="{B6B48A22-2905-4DC4-A3EB-DB417992D31A}"/>
    <hyperlink ref="D2418" r:id="rId1886" xr:uid="{3EFEDE73-F443-4BEC-B8EF-8853A74E284B}"/>
    <hyperlink ref="D1272" r:id="rId1887" xr:uid="{8982AC3F-5332-44BB-A745-EE199FC0184D}"/>
    <hyperlink ref="D425" r:id="rId1888" xr:uid="{AA122733-262C-40F1-AF62-306F945B69E3}"/>
    <hyperlink ref="D1515" r:id="rId1889" xr:uid="{ACEA5147-46AF-4B26-9B38-6781CF385446}"/>
    <hyperlink ref="D1541" r:id="rId1890" xr:uid="{42D512C6-E433-4CA3-9AF8-BD7635FF1DA4}"/>
    <hyperlink ref="D1126" r:id="rId1891" xr:uid="{50F48027-5C24-4071-A523-FF2E32DDBF5D}"/>
    <hyperlink ref="D1492" r:id="rId1892" xr:uid="{B35CAAF6-28CC-4DD6-ADE2-2460CA884DC0}"/>
    <hyperlink ref="D983" r:id="rId1893" xr:uid="{C4860C78-46C4-44BA-B7F4-DE9F47006905}"/>
    <hyperlink ref="D2172" r:id="rId1894" xr:uid="{804140E6-E623-4711-9521-4F8176D6AF8E}"/>
    <hyperlink ref="D1424" r:id="rId1895" xr:uid="{5F651801-934B-459A-839E-2FEFB79B7417}"/>
    <hyperlink ref="D1083" r:id="rId1896" xr:uid="{EE88BC06-9FC0-46AB-8404-FAC5D0F1D962}"/>
    <hyperlink ref="D115" r:id="rId1897" xr:uid="{C7976A54-345B-42E8-87A4-423F058CC8AC}"/>
    <hyperlink ref="D371" r:id="rId1898" xr:uid="{3C5BD27C-B71E-459F-9CFD-73C0BE649AE2}"/>
    <hyperlink ref="D1430" r:id="rId1899" xr:uid="{77453139-86C5-490E-8825-C0B388E40FBA}"/>
    <hyperlink ref="D2091" r:id="rId1900" xr:uid="{A3B1C9A1-81CC-4ABB-9E83-A6F67C779CFA}"/>
    <hyperlink ref="D9" r:id="rId1901" xr:uid="{EB00AF50-22AB-41B6-BD5C-5968448096B1}"/>
    <hyperlink ref="D212" r:id="rId1902" xr:uid="{62CC2968-39D6-4C20-B190-F5F2CA85C953}"/>
    <hyperlink ref="D1062" r:id="rId1903" xr:uid="{09EC4055-E9DE-49B9-92EB-E06E1A2CDD0D}"/>
    <hyperlink ref="D2296" r:id="rId1904" xr:uid="{5508429A-ED77-4A9D-8200-0328579DD7F7}"/>
    <hyperlink ref="D659" r:id="rId1905" xr:uid="{5178A2D9-D6A0-4546-B7E4-4B8824A4E581}"/>
    <hyperlink ref="D2413" r:id="rId1906" xr:uid="{40BE368C-FA16-4109-B408-6C8DF2102176}"/>
    <hyperlink ref="D1923" r:id="rId1907" xr:uid="{AF16681D-B705-4345-AB5D-6E9E5FF8A1DE}"/>
    <hyperlink ref="D2089" r:id="rId1908" xr:uid="{40A2AC2F-28FA-4DD5-934D-9B354F84742E}"/>
    <hyperlink ref="D441" r:id="rId1909" xr:uid="{CBA6D1D6-3842-4A2F-987C-DB1877754E29}"/>
    <hyperlink ref="D2008" r:id="rId1910" xr:uid="{7215C99D-3EBE-414E-8E66-1CFE486B71DF}"/>
    <hyperlink ref="D1532" r:id="rId1911" xr:uid="{AC056E0A-705A-4A59-A806-6609A571A902}"/>
    <hyperlink ref="D1138" r:id="rId1912" xr:uid="{A4434173-8C87-4CE0-8480-9438A800530D}"/>
    <hyperlink ref="D2422" r:id="rId1913" xr:uid="{861C001F-D354-47DD-8A5D-C910703B43BE}"/>
    <hyperlink ref="D170" r:id="rId1914" xr:uid="{C64E0E75-1B54-4B12-904D-DF9E15E71DDB}"/>
    <hyperlink ref="D862" r:id="rId1915" xr:uid="{BE4E5287-07CB-4F1E-A67A-210964215F34}"/>
    <hyperlink ref="D1503" r:id="rId1916" xr:uid="{15640FCB-7F2B-4D7F-9681-8B8017157E72}"/>
    <hyperlink ref="D1983" r:id="rId1917" xr:uid="{664BA985-8DE4-4626-B539-42A5EBFBB5BA}"/>
    <hyperlink ref="D323" r:id="rId1918" xr:uid="{EBF8B0A0-DAFF-4CFD-B73E-B2C293083FFE}"/>
    <hyperlink ref="D1873" r:id="rId1919" xr:uid="{8AE186BD-0268-488F-8966-B42E73C71190}"/>
    <hyperlink ref="D2117" r:id="rId1920" xr:uid="{9CF5381D-7A01-4D59-8A57-D1A2B110AA72}"/>
    <hyperlink ref="D1742" r:id="rId1921" xr:uid="{25F2390D-7BF2-4872-BFDB-7904169E7DDB}"/>
    <hyperlink ref="D1312" r:id="rId1922" xr:uid="{C6ED55C4-EAA5-4BD6-8950-BDE1713914F0}"/>
    <hyperlink ref="D2351" r:id="rId1923" xr:uid="{FF078E77-EED6-4BD9-A193-66C3EDACBE69}"/>
    <hyperlink ref="D966" r:id="rId1924" xr:uid="{BC7D719A-FF8E-4E35-AE8A-A330E3C8D291}"/>
    <hyperlink ref="D1029" r:id="rId1925" xr:uid="{EF6CADDD-1F2C-4B9A-AAC3-C220DE84B750}"/>
    <hyperlink ref="D2282" r:id="rId1926" xr:uid="{20124EDF-55C5-4039-B468-F006BD17E8CF}"/>
    <hyperlink ref="D418" r:id="rId1927" xr:uid="{0B1A8F96-EC01-4CE3-8D6C-7AEC3F1788FD}"/>
    <hyperlink ref="D571" r:id="rId1928" xr:uid="{CEAEF5DE-9D3A-41FD-A4E1-B184BB2A9949}"/>
    <hyperlink ref="D225" r:id="rId1929" xr:uid="{96C8C96C-D755-47A6-84F8-83D69D44C957}"/>
    <hyperlink ref="D2468" r:id="rId1930" xr:uid="{89747CFF-7C7F-4410-9EAD-C99EDFAC3EAB}"/>
    <hyperlink ref="D1041" r:id="rId1931" xr:uid="{8D6387F3-B595-446D-B20A-9535C598B484}"/>
    <hyperlink ref="D1458" r:id="rId1932" xr:uid="{EB28DE0C-4BF2-4E23-9F0C-A1F1C3EEA2D2}"/>
    <hyperlink ref="D236" r:id="rId1933" xr:uid="{D3B836CF-4531-4A70-8D77-DD2917338CEC}"/>
    <hyperlink ref="D1264" r:id="rId1934" xr:uid="{C7F32A96-D04C-4BAD-B5EE-78C4A7D23092}"/>
    <hyperlink ref="D858" r:id="rId1935" xr:uid="{5E5AADDC-00D0-4528-BF17-3CCA0391EBA9}"/>
    <hyperlink ref="D1786" r:id="rId1936" xr:uid="{AFD391A8-7B1C-4304-9402-F59E8F41B6DC}"/>
    <hyperlink ref="D1614" r:id="rId1937" xr:uid="{FE00B661-E6BD-40F5-9852-A9CAEC5A0B9E}"/>
    <hyperlink ref="D1494" r:id="rId1938" xr:uid="{3FB1E300-FE15-4A1E-9851-597004EA53DD}"/>
    <hyperlink ref="D1615" r:id="rId1939" xr:uid="{729357B4-B0E6-4593-BDFF-0E9F71459C53}"/>
    <hyperlink ref="D932" r:id="rId1940" xr:uid="{786C6057-29F6-436C-827A-2CC627D0C7F5}"/>
    <hyperlink ref="D447" r:id="rId1941" xr:uid="{38B0C119-61C1-4E05-AC4B-630A492929D4}"/>
    <hyperlink ref="D2262" r:id="rId1942" xr:uid="{2E764BD7-A9AF-44B8-8EA3-C612F17CE0EC}"/>
    <hyperlink ref="D2149" r:id="rId1943" xr:uid="{1AA72DB1-DEBF-41C3-BD24-1FF12884EE31}"/>
    <hyperlink ref="D47" r:id="rId1944" xr:uid="{257CB906-1768-4CD9-94F8-9D594A12D326}"/>
    <hyperlink ref="D1274" r:id="rId1945" xr:uid="{2FEE6EC9-8025-414A-B061-A8D6373AFD86}"/>
    <hyperlink ref="D1829" r:id="rId1946" xr:uid="{EE3B9BF9-4B6B-47E0-9938-7AAF47AD3866}"/>
    <hyperlink ref="D1674" r:id="rId1947" xr:uid="{9FC42F8F-6B9D-49BB-904D-2F63CD0636F0}"/>
    <hyperlink ref="D2003" r:id="rId1948" xr:uid="{81F904BC-B669-41F7-A103-9F55566FFC9A}"/>
    <hyperlink ref="D2559" r:id="rId1949" xr:uid="{D8D748E6-676C-47F4-9752-661E1840225D}"/>
    <hyperlink ref="D152" r:id="rId1950" xr:uid="{F7828E35-B95F-404A-A392-055F09D716AD}"/>
    <hyperlink ref="D2410" r:id="rId1951" xr:uid="{6E74F53B-F9A3-4B84-9C8B-1A13614C1322}"/>
    <hyperlink ref="D1833" r:id="rId1952" xr:uid="{F749CA77-0313-4A34-B372-4BF92A43C5EC}"/>
    <hyperlink ref="D1927" r:id="rId1953" xr:uid="{9EF5B56C-6905-4A8E-B36B-76B752D50BD5}"/>
    <hyperlink ref="D661" r:id="rId1954" xr:uid="{80A9D323-11F2-4B43-BFB9-49592640A7EC}"/>
    <hyperlink ref="D636" r:id="rId1955" xr:uid="{9A7D8F8D-083F-443C-A2B3-FA77DB6A0A21}"/>
    <hyperlink ref="D2093" r:id="rId1956" xr:uid="{6CD7495D-0405-4A7A-81A2-9F9B27755082}"/>
    <hyperlink ref="D1756" r:id="rId1957" xr:uid="{8742D17B-0591-4D96-9236-E0F203C43E8F}"/>
    <hyperlink ref="D339" r:id="rId1958" xr:uid="{9ACC15B9-94FC-4595-857F-166F6CEEC1FA}"/>
    <hyperlink ref="D1502" r:id="rId1959" xr:uid="{5E2006D2-F0CD-4495-B359-60B27C1C0C50}"/>
    <hyperlink ref="D2570" r:id="rId1960" xr:uid="{5DF23DED-C55A-49CD-8E5C-AAEDA790F900}"/>
    <hyperlink ref="D570" r:id="rId1961" xr:uid="{46CE425A-9B7F-4D46-B25D-2AEF6B55188D}"/>
    <hyperlink ref="D2414" r:id="rId1962" xr:uid="{55E96E8B-0F3D-4512-BFF3-A7CDDD72C6EE}"/>
    <hyperlink ref="D2533" r:id="rId1963" xr:uid="{F1405EC5-9697-481F-9AAC-5A6AC8431849}"/>
    <hyperlink ref="D2092" r:id="rId1964" xr:uid="{B8062AED-09BA-419A-A6EE-7D4B47F939E2}"/>
    <hyperlink ref="D1632" r:id="rId1965" xr:uid="{95CAB370-5A3A-412A-93F7-B86FD2E3618A}"/>
    <hyperlink ref="D1448" r:id="rId1966" xr:uid="{4CDB1F0F-52A0-4312-895C-C6F657C14BCB}"/>
    <hyperlink ref="D991" r:id="rId1967" xr:uid="{534CEA7A-3D9C-44C3-AA1B-709E06F4AC8E}"/>
    <hyperlink ref="D2423" r:id="rId1968" xr:uid="{29484A29-00F1-449B-9EC7-B8D13B57F77E}"/>
    <hyperlink ref="D937" r:id="rId1969" xr:uid="{707F3A71-66F3-4F5C-9A27-E10884C18858}"/>
    <hyperlink ref="D81" r:id="rId1970" xr:uid="{5509DF16-E202-4EA3-8846-53751CF3928C}"/>
    <hyperlink ref="D1120" r:id="rId1971" xr:uid="{38A1F3D4-EB81-4322-B8C2-1CFFB8C6EC59}"/>
    <hyperlink ref="D324" r:id="rId1972" xr:uid="{CCBD0EFE-7A41-4393-BC63-79238F348636}"/>
    <hyperlink ref="D905" r:id="rId1973" xr:uid="{E0C3C1A9-8977-4CCB-AB33-8FEA5C90E7B4}"/>
    <hyperlink ref="D2161" r:id="rId1974" xr:uid="{5BC2FB73-0958-4033-AB1E-FF2A94A3CDD3}"/>
    <hyperlink ref="D594" r:id="rId1975" xr:uid="{7A24A18A-2331-4F60-89E6-A26030DA4CE0}"/>
    <hyperlink ref="D1313" r:id="rId1976" xr:uid="{C7761D8F-3624-4FCB-8F29-B36A17732FBA}"/>
    <hyperlink ref="D2360" r:id="rId1977" xr:uid="{067633A3-BE51-4D3A-B3F2-1A047292C2AD}"/>
    <hyperlink ref="D1830" r:id="rId1978" xr:uid="{866B7714-65D4-4B12-A648-042A69157948}"/>
    <hyperlink ref="D1821" r:id="rId1979" xr:uid="{549063DB-006E-47EC-B5DC-7B92B7475751}"/>
    <hyperlink ref="D2283" r:id="rId1980" xr:uid="{7B69FB26-B826-4818-A676-ADF89AC10C11}"/>
    <hyperlink ref="D1780" r:id="rId1981" xr:uid="{BCDA7402-C276-4248-A12F-62091A413B00}"/>
    <hyperlink ref="D572" r:id="rId1982" xr:uid="{D5C9F023-6554-4E1F-AB98-75DFD58EE294}"/>
    <hyperlink ref="D226" r:id="rId1983" xr:uid="{AC878F1A-D3EE-47EA-80EF-06A77CE146E1}"/>
    <hyperlink ref="D2153" r:id="rId1984" xr:uid="{0BEC845D-2D29-4D92-8FD4-C8272E4BE785}"/>
    <hyperlink ref="D1996" r:id="rId1985" xr:uid="{3DB5FE37-398C-43CA-97A9-1475C658B701}"/>
    <hyperlink ref="D2454" r:id="rId1986" xr:uid="{1ECA25C6-43ED-4388-B3D0-545035F3EEB9}"/>
    <hyperlink ref="D237" r:id="rId1987" xr:uid="{A0B8BC42-1E6D-435B-9183-2081F5BC3461}"/>
    <hyperlink ref="D1259" r:id="rId1988" xr:uid="{63B8851A-84F9-461D-BD38-651F01E21A04}"/>
    <hyperlink ref="D871" r:id="rId1989" xr:uid="{9E3D0437-CF3B-45CE-9CEA-618FFE338E9A}"/>
    <hyperlink ref="D209" r:id="rId1990" xr:uid="{489CA6A3-2CF7-4142-B9F0-292F24D57E33}"/>
    <hyperlink ref="D60" r:id="rId1991" xr:uid="{21CAFF5D-122D-4515-8662-9342CFF91D4A}"/>
    <hyperlink ref="D1802" r:id="rId1992" xr:uid="{96717AEB-3DCA-4AB7-9723-8105591B7564}"/>
    <hyperlink ref="D1482" r:id="rId1993" xr:uid="{EFA6F831-13D6-4B4B-9B10-F0094AD6DCD7}"/>
    <hyperlink ref="D1571" r:id="rId1994" xr:uid="{65892C1B-C0B4-4652-AA7B-B8E405D819A6}"/>
    <hyperlink ref="D2394" r:id="rId1995" xr:uid="{B4B5FA03-5C62-4C0E-AB51-F4D39943DEE1}"/>
    <hyperlink ref="D1125" r:id="rId1996" xr:uid="{D65B6DAC-82BA-4DDB-A6C5-B289508D6DDE}"/>
    <hyperlink ref="D1162" r:id="rId1997" xr:uid="{DE0400C2-A0DE-4668-B3CC-995F876059D6}"/>
    <hyperlink ref="D891" r:id="rId1998" xr:uid="{287E0DD1-F7E2-4C86-B102-FF8A8244FF92}"/>
    <hyperlink ref="D2033" r:id="rId1999" xr:uid="{331123FB-7193-4C92-B8B0-9BE7019DC8B1}"/>
    <hyperlink ref="D2560" r:id="rId2000" xr:uid="{617801BD-D240-4F6B-9AF2-7C4F23CE7BB5}"/>
    <hyperlink ref="D1011" r:id="rId2001" xr:uid="{25793AD2-3363-496D-9EEC-46318EE0F97C}"/>
    <hyperlink ref="D1368" r:id="rId2002" xr:uid="{F906C1E4-EB2D-4B47-8900-F04D9C318D4E}"/>
    <hyperlink ref="D102" r:id="rId2003" xr:uid="{6235AFA8-D737-4496-8DDD-6A5B72F7D964}"/>
    <hyperlink ref="D529" r:id="rId2004" xr:uid="{9EFED405-11E8-4891-87DB-9E815A2B701F}"/>
    <hyperlink ref="D176" r:id="rId2005" xr:uid="{868F150E-7C20-4C0B-B266-BCF4CA2EFE99}"/>
    <hyperlink ref="D2118" r:id="rId2006" xr:uid="{87EB61BF-0B54-404F-9007-3E1C2E838CE1}"/>
    <hyperlink ref="D11" r:id="rId2007" xr:uid="{817FDA89-F1FF-4F3B-B879-B1C572595AF2}"/>
    <hyperlink ref="D1351" r:id="rId2008" xr:uid="{7FC08110-894D-4269-A823-63005DBAF417}"/>
    <hyperlink ref="D1572" r:id="rId2009" xr:uid="{87116B9A-2F9E-4D84-A5CF-CBA0218EF308}"/>
    <hyperlink ref="D2557" r:id="rId2010" xr:uid="{641F7F6E-5E87-4D7D-903B-8DB3283F9BEF}"/>
    <hyperlink ref="D791" r:id="rId2011" xr:uid="{AC7DD1E8-8261-4F6A-8373-3BC36D66AD73}"/>
    <hyperlink ref="D2415" r:id="rId2012" xr:uid="{C96669F2-4BFC-463A-BB03-C30C123D8FFF}"/>
    <hyperlink ref="D853" r:id="rId2013" xr:uid="{3B21673A-C0EC-4498-95F4-389439CE7F6F}"/>
    <hyperlink ref="D2101" r:id="rId2014" xr:uid="{B1AC782F-D3DA-4C74-B4BB-AD9BAA016DE3}"/>
    <hyperlink ref="D1647" r:id="rId2015" xr:uid="{AE29481C-1396-43FE-AA2B-1FCF116292D0}"/>
    <hyperlink ref="D1140" r:id="rId2016" xr:uid="{83589490-7CE1-4C24-98FF-8A5CB8B8F363}"/>
    <hyperlink ref="D938" r:id="rId2017" xr:uid="{347C40D4-7FB6-4206-8B9A-6115A11C6F1C}"/>
    <hyperlink ref="D741" r:id="rId2018" xr:uid="{FEF5EE61-9D39-416B-9A4E-D5BEA685932F}"/>
    <hyperlink ref="D679" r:id="rId2019" xr:uid="{01B400F5-BE8E-437F-9C3F-A48FBA97A10C}"/>
    <hyperlink ref="D1985" r:id="rId2020" xr:uid="{4D3D425B-D22D-44F7-86DB-9B22D8F52FB8}"/>
    <hyperlink ref="D595" r:id="rId2021" xr:uid="{ABBD31D2-B1BF-4F2C-92CE-6F9B04F1CB7B}"/>
    <hyperlink ref="D1316" r:id="rId2022" xr:uid="{50EE79C3-8DD9-462C-9CB0-EE661AD2F9FB}"/>
    <hyperlink ref="D2373" r:id="rId2023" xr:uid="{AA4757F8-4A4E-43D5-A711-451DE6DCD873}"/>
    <hyperlink ref="D1886" r:id="rId2024" xr:uid="{3D62353C-C99A-444B-BB74-6DBA5BBBDB44}"/>
    <hyperlink ref="D1031" r:id="rId2025" xr:uid="{D21AE77F-BEBA-4E0F-AD01-CC88C21F752D}"/>
    <hyperlink ref="D2287" r:id="rId2026" xr:uid="{0A88CD95-4F33-4E00-8CD8-5481A63E43F3}"/>
    <hyperlink ref="D420" r:id="rId2027" xr:uid="{FD09C082-1837-4FB7-AB04-05CB2066A313}"/>
    <hyperlink ref="D573" r:id="rId2028" xr:uid="{2A8534A9-282B-4022-8DC5-8C1FF2D360AA}"/>
    <hyperlink ref="D1038" r:id="rId2029" xr:uid="{977077E8-6BF1-4E14-90E3-251E9A2DDB25}"/>
    <hyperlink ref="D2438" r:id="rId2030" xr:uid="{D1571114-C954-4713-B2AD-EC8C1CF1E188}"/>
    <hyperlink ref="D1043" r:id="rId2031" xr:uid="{B223B6A0-FAB4-4698-85F1-82212D11B62D}"/>
    <hyperlink ref="D1263" r:id="rId2032" xr:uid="{F82FE285-B319-4795-9FA6-CA80B39060BD}"/>
    <hyperlink ref="D892" r:id="rId2033" xr:uid="{9F834D43-5AC5-450F-9610-76108E48E445}"/>
    <hyperlink ref="D1946" r:id="rId2034" xr:uid="{9AB308FB-218F-4E38-98FB-E378CD98C9A8}"/>
    <hyperlink ref="D754" r:id="rId2035" xr:uid="{5C6A25F2-DFD2-4EF1-B027-B0941D33E869}"/>
    <hyperlink ref="D713" r:id="rId2036" xr:uid="{BA93CA14-E209-404C-A23D-A5C31BA0C5AF}"/>
    <hyperlink ref="D2537" r:id="rId2037" xr:uid="{D7B614E2-7E68-4199-AB81-5D516F6E8505}"/>
    <hyperlink ref="D990" r:id="rId2038" xr:uid="{8FA90F05-3E0C-4316-B6E5-869FB9E035AC}"/>
    <hyperlink ref="D2000" r:id="rId2039" xr:uid="{E5CCE812-35A6-4BCB-A63D-B402D1574C6D}"/>
    <hyperlink ref="D495" r:id="rId2040" xr:uid="{3AC0B050-93EA-418D-B35D-A464AA6AEBBE}"/>
    <hyperlink ref="D859" r:id="rId2041" xr:uid="{D9FAE131-2EFB-450C-AD94-4E3E7AB5A17E}"/>
    <hyperlink ref="D2171" r:id="rId2042" xr:uid="{6AC71258-CE95-4079-9F5F-9B0D8DEFC5FC}"/>
    <hyperlink ref="D1784" r:id="rId2043" xr:uid="{5A4C1FE4-5DAE-4132-87C0-42B78BBC6ADE}"/>
    <hyperlink ref="D620" r:id="rId2044" xr:uid="{07E9DDA0-35EB-41A3-AA21-87D9A3B27F16}"/>
    <hyperlink ref="D360" r:id="rId2045" xr:uid="{87835655-8CED-4DDD-ABF9-69F160AF7A21}"/>
    <hyperlink ref="D1085" r:id="rId2046" xr:uid="{7FF48E16-2C1C-41F8-9654-2A5DBFB8DAB6}"/>
    <hyperlink ref="D1110" r:id="rId2047" xr:uid="{48F6E987-B254-49D9-B11B-7FF56E5A4462}"/>
    <hyperlink ref="D701" r:id="rId2048" xr:uid="{3C64A736-E3B8-4855-8EF4-EBC9B2ADB064}"/>
    <hyperlink ref="D2137" r:id="rId2049" xr:uid="{23EFDE68-9A70-4125-AB21-D12BCF17867B}"/>
    <hyperlink ref="D1057" r:id="rId2050" xr:uid="{F70EF464-3614-423B-8BD6-4AA97D157E82}"/>
    <hyperlink ref="D80" r:id="rId2051" xr:uid="{7BC187FF-5BC6-4FEE-AF14-57B2A4B76204}"/>
    <hyperlink ref="D1065" r:id="rId2052" xr:uid="{B13327CF-AA28-43B5-83BA-B2B8567CA977}"/>
    <hyperlink ref="D2299" r:id="rId2053" xr:uid="{7886C4A4-6B8F-4D0E-9B33-81E0D190E489}"/>
    <hyperlink ref="D598" r:id="rId2054" xr:uid="{592F3FA5-9D42-412A-A5BB-C1F7EF5DFCCF}"/>
    <hyperlink ref="D687" r:id="rId2055" xr:uid="{FA42CC64-2642-43B5-BE04-6D8BE8E4B37B}"/>
    <hyperlink ref="D2116" r:id="rId2056" xr:uid="{35FE20D6-7404-40AA-A360-F8FDEBB4BD67}"/>
    <hyperlink ref="D1201" r:id="rId2057" xr:uid="{77A45CB2-8D49-4603-8780-35A76A344630}"/>
    <hyperlink ref="D1141" r:id="rId2058" xr:uid="{98BDB433-28BF-4B9A-9BF9-1324624496BE}"/>
    <hyperlink ref="D1668" r:id="rId2059" xr:uid="{4D37002C-86B4-4788-9F2F-2A149256198E}"/>
    <hyperlink ref="D1408" r:id="rId2060" xr:uid="{FEB200E8-A7CB-4B14-86A2-A16A57D5247A}"/>
    <hyperlink ref="D1887" r:id="rId2061" xr:uid="{A37CC66C-CE2F-4D23-9EF8-BDA9A725D131}"/>
    <hyperlink ref="D1319" r:id="rId2062" xr:uid="{92483FF8-001B-4C5A-9E7F-9D1D4B4CC79D}"/>
    <hyperlink ref="D1741" r:id="rId2063" xr:uid="{A19709D2-C006-42A4-9E68-D0DAF222A7E9}"/>
    <hyperlink ref="D2297" r:id="rId2064" xr:uid="{DD6FBD3D-A0DE-4D46-9DD8-3D1C3ED47D2A}"/>
    <hyperlink ref="D574" r:id="rId2065" xr:uid="{E2E22597-871C-4BBF-BFD3-0023963541C6}"/>
    <hyperlink ref="D228" r:id="rId2066" xr:uid="{A981DEBA-E5D1-4E69-A213-B35C48D700EB}"/>
    <hyperlink ref="D2440" r:id="rId2067" xr:uid="{BBB2B6D2-64E1-42A3-B797-C5E7E3E9BC63}"/>
    <hyperlink ref="D1557" r:id="rId2068" xr:uid="{D3497EF4-9209-4168-AF9C-C0EA32E061F8}"/>
    <hyperlink ref="D1260" r:id="rId2069" xr:uid="{93D85327-03F9-4D7D-BB2D-F9DF8DF30597}"/>
    <hyperlink ref="D1629" r:id="rId2070" xr:uid="{BFE2DA68-1696-415E-8870-D4782E120471}"/>
    <hyperlink ref="D797" r:id="rId2071" xr:uid="{788C6311-7EA0-4F88-A3A5-1B11997A362D}"/>
    <hyperlink ref="D1808" r:id="rId2072" xr:uid="{3359F60A-779B-4829-8351-02B178C1DDD6}"/>
    <hyperlink ref="D450" r:id="rId2073" xr:uid="{FCD8A302-313C-4429-8F13-FC6146763DDF}"/>
    <hyperlink ref="D1579" r:id="rId2074" xr:uid="{BBD0122C-5BA2-4202-8CC6-707D7391176A}"/>
    <hyperlink ref="D2026" r:id="rId2075" xr:uid="{84E7425D-BDC7-4AFF-B5EB-B5D758FFB95B}"/>
    <hyperlink ref="D1164" r:id="rId2076" xr:uid="{E42DE0EF-2728-4ED3-A2DA-2B55579760F7}"/>
    <hyperlink ref="D998" r:id="rId2077" xr:uid="{2CCFD5C3-0326-46AF-B99F-4927D6DC1B4A}"/>
    <hyperlink ref="D2173" r:id="rId2078" xr:uid="{29B63CBE-0238-4545-A1B3-C5B0113B0795}"/>
    <hyperlink ref="D1719" r:id="rId2079" xr:uid="{ECA20F49-A1F6-4121-B744-73C53E5FD03E}"/>
    <hyperlink ref="D155" r:id="rId2080" xr:uid="{55106C3F-B763-4C16-8A37-EB92D3718E56}"/>
    <hyperlink ref="D1836" r:id="rId2081" xr:uid="{689AD072-F30E-4A32-91E6-8D6F87781F83}"/>
    <hyperlink ref="D1086" r:id="rId2082" xr:uid="{C62F3B06-7CB8-4394-B093-56923F654987}"/>
    <hyperlink ref="D52" r:id="rId2083" xr:uid="{2CB2872C-D855-405E-81CC-75FA6DCE8C19}"/>
    <hyperlink ref="D399" r:id="rId2084" xr:uid="{EB48A5FE-4D32-439F-A154-71A47A120EAE}"/>
    <hyperlink ref="D2143" r:id="rId2085" xr:uid="{F69A6F43-41E5-4232-9058-B147655EF6BA}"/>
    <hyperlink ref="D1114" r:id="rId2086" xr:uid="{D189CF62-122F-4588-B69E-75D6AA9BF7CF}"/>
    <hyperlink ref="D2220" r:id="rId2087" xr:uid="{49FD37B6-9121-4D46-BE0E-B3CD1CF42CE4}"/>
    <hyperlink ref="D355" r:id="rId2088" xr:uid="{3359F80E-AC19-4403-BF4C-94D0BCA3B0C8}"/>
    <hyperlink ref="D2300" r:id="rId2089" xr:uid="{7D173A23-A8E4-4668-9F28-542F37D611BD}"/>
    <hyperlink ref="D1581" r:id="rId2090" xr:uid="{99E1AD0D-11B7-44F9-ACB7-091D37FCA71B}"/>
    <hyperlink ref="D2417" r:id="rId2091" xr:uid="{FA3B9E67-5C65-4A0D-97CC-54439328943E}"/>
    <hyperlink ref="D2125" r:id="rId2092" xr:uid="{A50CA8B1-F13E-4681-8393-781C95C3335C}"/>
    <hyperlink ref="D1039" r:id="rId2093" xr:uid="{F7CB1C52-CB61-4EA5-A083-5C60B18527E7}"/>
    <hyperlink ref="D1142" r:id="rId2094" xr:uid="{609D6907-77FA-42BA-81D0-31E857B2E199}"/>
    <hyperlink ref="D940" r:id="rId2095" xr:uid="{CF2FC2EC-934B-457C-8DBA-3C907767B288}"/>
    <hyperlink ref="D1422" r:id="rId2096" xr:uid="{7F117490-3AE2-42FB-A453-4EE57A993FDB}"/>
    <hyperlink ref="D1123" r:id="rId2097" xr:uid="{BF8697A2-E894-43C2-9226-7B67E5612207}"/>
    <hyperlink ref="D1321" r:id="rId2098" xr:uid="{1EDCC03E-D2B1-4A4C-B088-73E722AD8042}"/>
    <hyperlink ref="D924" r:id="rId2099" xr:uid="{2440BDA5-3BBF-457C-884F-24337C489BBD}"/>
    <hyperlink ref="D2298" r:id="rId2100" xr:uid="{1E7C18B1-6C61-4A04-9635-3E712ADBAFA2}"/>
    <hyperlink ref="D575" r:id="rId2101" xr:uid="{AD71EE36-0F03-4842-8448-AB8D0F8C046C}"/>
    <hyperlink ref="D1779" r:id="rId2102" xr:uid="{4DACB11E-9EF2-4097-B940-5526584A0069}"/>
    <hyperlink ref="D2445" r:id="rId2103" xr:uid="{367E6F96-A4E6-4F3A-9A77-6CE29ED73AB2}"/>
    <hyperlink ref="D1998" r:id="rId2104" xr:uid="{65990F72-98DB-4408-8F59-5FDD9D88D6D5}"/>
    <hyperlink ref="D1266" r:id="rId2105" xr:uid="{6EDDB26F-4032-428D-9A99-3AA32236EF61}"/>
    <hyperlink ref="D21" r:id="rId2106" xr:uid="{B29C3F39-C4F5-4E81-818C-3C3308F424C7}"/>
    <hyperlink ref="D1303" r:id="rId2107" xr:uid="{FBF55033-C409-437A-9F96-C3CB4E5166B3}"/>
    <hyperlink ref="D1446" r:id="rId2108" xr:uid="{2D7685BB-03F6-4C10-80F7-84DA5973F8F6}"/>
    <hyperlink ref="D1903" r:id="rId2109" xr:uid="{D5F6615F-72CD-48A3-B8EA-DCB77314AE81}"/>
    <hyperlink ref="D2036" r:id="rId2110" xr:uid="{F6DFA58A-16AE-482B-A11C-6D7348183DC8}"/>
    <hyperlink ref="D2416" r:id="rId2111" xr:uid="{6EA683F2-1983-4362-84EC-F596ACDEC74E}"/>
    <hyperlink ref="D1736" r:id="rId2112" xr:uid="{708EA353-6E5D-45A9-ACAC-04DC35022894}"/>
    <hyperlink ref="D2392" r:id="rId2113" xr:uid="{07794449-687F-42BD-AF01-6B782C2F7C29}"/>
    <hyperlink ref="D1857" r:id="rId2114" xr:uid="{CA8C9F0A-6A64-4C10-8C73-DBB173BDC6EB}"/>
    <hyperlink ref="D156" r:id="rId2115" xr:uid="{188D6F60-231B-4926-924F-3963137FE3B9}"/>
    <hyperlink ref="D1570" r:id="rId2116" xr:uid="{4B145102-4ECB-4A9A-8EAF-7A0D17A7DCC0}"/>
    <hyperlink ref="D1355" r:id="rId2117" xr:uid="{41C029C7-7266-478C-BAA7-4A3D71318A0B}"/>
    <hyperlink ref="D1248" r:id="rId2118" xr:uid="{13E508EE-154F-48FF-8A9D-71CF7D511805}"/>
    <hyperlink ref="D995" r:id="rId2119" xr:uid="{E4F3C8BE-0D87-4A71-84D4-2A9113C4217E}"/>
    <hyperlink ref="D540" r:id="rId2120" xr:uid="{A280771E-A75C-4504-AFBA-C64256854D8F}"/>
    <hyperlink ref="D1067" r:id="rId2121" xr:uid="{C7453DBB-5603-4C73-8A49-ACBC46E358E1}"/>
    <hyperlink ref="D979" r:id="rId2122" xr:uid="{81093940-9FAC-4C16-AD06-32C4EA86D3D9}"/>
    <hyperlink ref="D2547" r:id="rId2123" xr:uid="{7ECAD4AB-80A8-494A-9502-92471BE4DC42}"/>
    <hyperlink ref="D2130" r:id="rId2124" xr:uid="{C0C3EB28-2540-459D-A6E2-B62C18295A4C}"/>
    <hyperlink ref="D1203" r:id="rId2125" xr:uid="{D8817C5A-C982-49D5-AB7D-2CAFD5E7BA2A}"/>
    <hyperlink ref="D1334" r:id="rId2126" xr:uid="{570435EC-29F2-46A9-B79D-7398974EB5DA}"/>
    <hyperlink ref="D941" r:id="rId2127" xr:uid="{54812502-9C2E-43A5-ADB6-44011B75E4F4}"/>
    <hyperlink ref="D2549" r:id="rId2128" xr:uid="{3ACEDD33-0C64-40C0-A596-C3C93F3122AF}"/>
    <hyperlink ref="D647" r:id="rId2129" xr:uid="{2D754FD5-507F-4EB3-A279-0322D26B6D3B}"/>
    <hyperlink ref="D1323" r:id="rId2130" xr:uid="{D7EBEF15-356D-46BC-8BE6-364C72ACFE8D}"/>
    <hyperlink ref="D1876" r:id="rId2131" xr:uid="{DE7F9C95-DEC1-4FE1-B066-4494107313D6}"/>
    <hyperlink ref="D2301" r:id="rId2132" xr:uid="{E0890075-79F7-4E38-894A-ADC990E604E6}"/>
    <hyperlink ref="D1059" r:id="rId2133" xr:uid="{E7138DCA-E464-46CC-8887-B547E2868CA7}"/>
    <hyperlink ref="D230" r:id="rId2134" xr:uid="{38E5A26B-A4F2-45F4-930D-0BD5D3D2948D}"/>
    <hyperlink ref="D2447" r:id="rId2135" xr:uid="{35CF5D90-5906-486D-A97E-9BB8129C6D86}"/>
    <hyperlink ref="D2531" r:id="rId2136" xr:uid="{9455FFD9-299C-445A-ADDB-5302AD9D22B5}"/>
    <hyperlink ref="D901" r:id="rId2137" xr:uid="{6F72D6C7-89C0-41ED-9540-AFC7578A1F93}"/>
    <hyperlink ref="D819" r:id="rId2138" xr:uid="{C14A03F7-75E7-4EB6-BBEF-16679BED6E77}"/>
    <hyperlink ref="D1806" r:id="rId2139" xr:uid="{E1E346D5-4A2B-47C6-A38D-BF535733B60C}"/>
    <hyperlink ref="D1489" r:id="rId2140" xr:uid="{B3627B58-BB3A-43C1-A6B9-86144D3EA977}"/>
    <hyperlink ref="D1069" r:id="rId2141" xr:uid="{1CD94305-120E-4506-A024-1562AE8BF501}"/>
    <hyperlink ref="D993" r:id="rId2142" xr:uid="{86CFEAAC-D510-451E-86A1-B42FF655D914}"/>
    <hyperlink ref="D2401" r:id="rId2143" xr:uid="{70D4C68E-E660-4CBA-A1D6-84DC82DD6017}"/>
    <hyperlink ref="D715" r:id="rId2144" xr:uid="{ABF13254-ED2F-42C5-BE06-8E8C92EAF24C}"/>
    <hyperlink ref="D1404" r:id="rId2145" xr:uid="{918FA77C-9353-4E16-B48D-F6C7F592D366}"/>
    <hyperlink ref="D1838" r:id="rId2146" xr:uid="{1D61255D-5DB5-45E2-A6D3-F9DA0061ED63}"/>
    <hyperlink ref="D2221" r:id="rId2147" xr:uid="{ACF1E163-9310-455A-8B3F-D65F001C614D}"/>
    <hyperlink ref="D576" r:id="rId2148" xr:uid="{C77EF107-EE90-4FCA-9734-C625210FCB55}"/>
    <hyperlink ref="D15" r:id="rId2149" xr:uid="{25F65D53-842D-4C1F-BC50-E7B882AED3FE}"/>
    <hyperlink ref="D827" r:id="rId2150" xr:uid="{C0471E86-CC25-4364-A02A-03FA6FD41C2B}"/>
    <hyperlink ref="D1068" r:id="rId2151" xr:uid="{9670CAC2-EE2D-47D9-99F9-A6F500313D4B}"/>
    <hyperlink ref="D1731" r:id="rId2152" xr:uid="{DBB11582-3B57-48C0-B61F-6C08AEBB1BA3}"/>
    <hyperlink ref="D2134" r:id="rId2153" xr:uid="{FB91DE1B-3F80-4E8C-8A7F-81C0652894B5}"/>
    <hyperlink ref="D1657" r:id="rId2154" xr:uid="{BB6A45F2-E4FD-4242-9CB9-3CCF76B30470}"/>
    <hyperlink ref="D1855" r:id="rId2155" xr:uid="{0E896AEE-AF58-405E-AB44-BD9E0DAC6161}"/>
    <hyperlink ref="D942" r:id="rId2156" xr:uid="{7E3EE8E2-91F6-4D90-8B09-07B8BB8FFBD9}"/>
    <hyperlink ref="D1888" r:id="rId2157" xr:uid="{C431F4E0-09A7-46F1-8875-900DFDA48509}"/>
    <hyperlink ref="D1449" r:id="rId2158" xr:uid="{0717D5B6-419C-4417-91AC-AB1CBE0D02D7}"/>
    <hyperlink ref="D1325" r:id="rId2159" xr:uid="{538D5F4B-C35C-49D5-9268-F6BDD141EB80}"/>
    <hyperlink ref="D1877" r:id="rId2160" xr:uid="{4E559430-7BFE-4F68-A39F-891E5F1C60D0}"/>
    <hyperlink ref="D2304" r:id="rId2161" xr:uid="{0C7757C3-DE0F-4B90-B219-7C0556C9E7E3}"/>
    <hyperlink ref="D130" r:id="rId2162" xr:uid="{3064E595-C387-4C68-BD3A-DBB69EEDAE06}"/>
    <hyperlink ref="D2449" r:id="rId2163" xr:uid="{8B53D759-65DE-4713-A472-BA67061AB4B4}"/>
    <hyperlink ref="D1990" r:id="rId2164" xr:uid="{0E7513BC-4E73-449F-A3E4-E1938E5579DF}"/>
    <hyperlink ref="D915" r:id="rId2165" xr:uid="{6E6C7DA0-7F33-498B-BED3-51B7E0333E67}"/>
    <hyperlink ref="D354" r:id="rId2166" xr:uid="{09CA85C1-E04D-49AE-A6E5-D53E00249789}"/>
    <hyperlink ref="D1807" r:id="rId2167" xr:uid="{25296CC2-6016-4AB9-A33A-2C594C5F8B5C}"/>
    <hyperlink ref="D928" r:id="rId2168" xr:uid="{A4F46F70-FD3B-4BCC-8EC6-69ED5A7A35D4}"/>
    <hyperlink ref="D994" r:id="rId2169" xr:uid="{C21B5FD0-1ABF-47E8-BF6A-49F376FBE5D0}"/>
    <hyperlink ref="D2529" r:id="rId2170" xr:uid="{35FA5AA6-E9FF-4F4C-B53C-99A7A0862CE1}"/>
    <hyperlink ref="D788" r:id="rId2171" xr:uid="{087D8B23-899B-4CBF-A42A-009A74702DC9}"/>
    <hyperlink ref="D158" r:id="rId2172" xr:uid="{5C877E4D-CA1A-4DA8-B1A0-5E6E22E72621}"/>
    <hyperlink ref="D1543" r:id="rId2173" xr:uid="{695262FF-78D1-4E7F-A378-837344EACED3}"/>
    <hyperlink ref="D599" r:id="rId2174" xr:uid="{47F9AA60-A768-462D-B59E-02FBC7E778DA}"/>
    <hyperlink ref="D609" r:id="rId2175" xr:uid="{92699DDD-3AFE-47B9-9226-0882908B8020}"/>
    <hyperlink ref="D1689" r:id="rId2176" xr:uid="{A2687258-3B47-4AA4-822B-BD9F32EF3976}"/>
    <hyperlink ref="D167" r:id="rId2177" xr:uid="{C9539692-22A4-40F5-BFA2-D50CC8F8BC8D}"/>
    <hyperlink ref="D1634" r:id="rId2178" xr:uid="{46C45BF2-F595-44CE-8036-5E04DACB5CAA}"/>
    <hyperlink ref="D654" r:id="rId2179" xr:uid="{6B1260CF-A9E4-4F62-B978-E9E271E88F58}"/>
    <hyperlink ref="D2140" r:id="rId2180" xr:uid="{44C315C5-D826-46A3-BA39-86D054F8E419}"/>
    <hyperlink ref="D1205" r:id="rId2181" xr:uid="{8675B569-AFD7-48A9-A6DF-F80261026E7B}"/>
    <hyperlink ref="D1880" r:id="rId2182" xr:uid="{D96E3FF8-9E93-4C39-9FA5-DA6E748C9F5F}"/>
    <hyperlink ref="D975" r:id="rId2183" xr:uid="{720EAC2A-EB0B-4AB8-87BA-0E868E81CC40}"/>
    <hyperlink ref="D627" r:id="rId2184" xr:uid="{2144BEBA-E87A-4373-AA25-91C5C5618F8D}"/>
    <hyperlink ref="D1326" r:id="rId2185" xr:uid="{A8444B4D-9F20-4FA5-9341-5EA29432B575}"/>
    <hyperlink ref="D1878" r:id="rId2186" xr:uid="{C5BB9128-B9D9-4149-9D25-E857456457F4}"/>
    <hyperlink ref="D2308" r:id="rId2187" xr:uid="{C5D42BFF-7506-4A48-BA16-59EF9D7F7640}"/>
    <hyperlink ref="D1984" r:id="rId2188" xr:uid="{09A8A487-1ECA-426A-B5F8-8B4D2DD6D13C}"/>
    <hyperlink ref="D2463" r:id="rId2189" xr:uid="{E273BDA2-A3D0-4B8F-8E6C-C424DF219B1D}"/>
    <hyperlink ref="D1456" r:id="rId2190" xr:uid="{9FFD3456-FA11-4BCA-80DB-E9E0DDA55CBD}"/>
    <hyperlink ref="D23" r:id="rId2191" xr:uid="{575CFAEA-B378-4FD2-A6F6-E706A9F16F89}"/>
    <hyperlink ref="D1019" r:id="rId2192" xr:uid="{5D7F7C3D-03F0-48DE-9FF0-9FC37E388395}"/>
    <hyperlink ref="D1881" r:id="rId2193" xr:uid="{C494CD69-D377-403C-B2B0-FE4B7F4E9558}"/>
    <hyperlink ref="D939" r:id="rId2194" xr:uid="{7BBFE3B5-A009-46D9-A5B6-59DE9735B4DD}"/>
    <hyperlink ref="D473" r:id="rId2195" xr:uid="{F33BC4E9-CF18-41DE-BEA2-43A0C5EBE9C1}"/>
    <hyperlink ref="D1729" r:id="rId2196" xr:uid="{7AAE36B9-24F3-475D-8693-83807465D66C}"/>
    <hyperlink ref="D1493" r:id="rId2197" xr:uid="{14DFFDFC-C734-4C62-A021-68A9D4BF0912}"/>
    <hyperlink ref="D1470" r:id="rId2198" xr:uid="{4253A713-FBC4-45C0-ACEA-D653C55C3BFD}"/>
    <hyperlink ref="D1558" r:id="rId2199" xr:uid="{6BB1E989-075F-40D9-8805-42CEB86681CC}"/>
    <hyperlink ref="D829" r:id="rId2200" xr:uid="{03AB443D-9881-4815-9007-FF3FC4E9A54A}"/>
    <hyperlink ref="D664" r:id="rId2201" xr:uid="{77ABF0AB-B4E2-4045-9538-EE769AB6680E}"/>
    <hyperlink ref="D17" r:id="rId2202" xr:uid="{E9625E80-C3E0-4256-A623-3A59B54454A0}"/>
    <hyperlink ref="D1721" r:id="rId2203" xr:uid="{4371D63A-3745-46E4-BAE9-74091061DCB5}"/>
    <hyperlink ref="D1907" r:id="rId2204" xr:uid="{FB55123F-42CA-47AD-8713-9794020C0022}"/>
    <hyperlink ref="D1218" r:id="rId2205" xr:uid="{1A79AF09-D214-4EAB-9DAA-75D1A35E12D8}"/>
    <hyperlink ref="D2150" r:id="rId2206" xr:uid="{89327D4E-283E-4DB9-AA82-C993AE986D0C}"/>
    <hyperlink ref="D1831" r:id="rId2207" xr:uid="{D04B3750-5F11-4C1E-AF7F-86EFE714E085}"/>
    <hyperlink ref="D542" r:id="rId2208" xr:uid="{4B9739EC-35C3-437C-9D5F-003DBAFB27E9}"/>
    <hyperlink ref="D216" r:id="rId2209" xr:uid="{3CD6E3D6-834E-46AB-BBD8-AC213C90852C}"/>
    <hyperlink ref="D1327" r:id="rId2210" xr:uid="{BBADE1E8-E3DD-411D-A2D5-E120E0F2ABC4}"/>
    <hyperlink ref="D2309" r:id="rId2211" xr:uid="{B357C3EB-F582-4358-ACE1-0928D342A9ED}"/>
    <hyperlink ref="D2465" r:id="rId2212" xr:uid="{76ED9B70-1A29-4450-B225-4E0FD9133186}"/>
    <hyperlink ref="D1460" r:id="rId2213" xr:uid="{55D01256-2D85-4945-A0CD-9086B522F308}"/>
    <hyperlink ref="D918" r:id="rId2214" xr:uid="{304A1B63-DAD4-4830-A74A-C83380F63EE0}"/>
    <hyperlink ref="D169" r:id="rId2215" xr:uid="{460E6824-BB78-4981-AE9B-79C3645FD388}"/>
    <hyperlink ref="D1045" r:id="rId2216" xr:uid="{D1FA37F3-6953-453D-B58B-DA259E94B524}"/>
    <hyperlink ref="D455" r:id="rId2217" xr:uid="{0E587C9D-40E2-4C8F-9974-D6CB06188AFE}"/>
    <hyperlink ref="D178" r:id="rId2218" xr:uid="{0D93BA30-FED3-4B86-87B8-E60700470B67}"/>
    <hyperlink ref="D1841" r:id="rId2219" xr:uid="{E6D2D8B2-CCDE-44CD-AD33-69F3622087A5}"/>
    <hyperlink ref="D160" r:id="rId2220" xr:uid="{F35CE187-66C7-4E5C-9BE7-6CE99EB8DD15}"/>
    <hyperlink ref="D1651" r:id="rId2221" xr:uid="{6DB77970-62D7-4EA7-A148-26D99099431D}"/>
    <hyperlink ref="D985" r:id="rId2222" xr:uid="{52161B65-0FD6-4FF6-9CBF-89019B9F33E6}"/>
    <hyperlink ref="D1112" r:id="rId2223" xr:uid="{D51DAA37-A35C-4CD9-A022-461C5CC000AC}"/>
    <hyperlink ref="D1732" r:id="rId2224" xr:uid="{3083C9CE-2916-4533-838C-394596688262}"/>
    <hyperlink ref="D1071" r:id="rId2225" xr:uid="{B6C4AA51-6BC8-439E-869B-B15A9E1CE011}"/>
    <hyperlink ref="D1111" r:id="rId2226" xr:uid="{5E1AC396-B906-40D9-8735-354FE105EC60}"/>
    <hyperlink ref="D2160" r:id="rId2227" xr:uid="{07361912-9E2F-4D62-BF00-F5FF9ADC6229}"/>
    <hyperlink ref="D1859" r:id="rId2228" xr:uid="{C8BA78A5-E77A-4A04-B497-30BE991A6F38}"/>
    <hyperlink ref="D1891" r:id="rId2229" xr:uid="{0E316707-347E-4C86-B384-14D582D75F48}"/>
    <hyperlink ref="D1128" r:id="rId2230" xr:uid="{425F905E-83BB-42E7-A217-FAED11554662}"/>
    <hyperlink ref="D2315" r:id="rId2231" xr:uid="{B70CD24F-9C34-4A3B-8725-D5B8A82C36B1}"/>
    <hyperlink ref="D2469" r:id="rId2232" xr:uid="{F92EB63E-D5C5-4544-964B-003C0D000D8E}"/>
    <hyperlink ref="D1995" r:id="rId2233" xr:uid="{BB381786-B9A3-47B2-B2CC-179529EB339A}"/>
    <hyperlink ref="D935" r:id="rId2234" xr:uid="{2762A454-F470-4E85-89FD-ED0FC8D0FB11}"/>
    <hyperlink ref="D340" r:id="rId2235" xr:uid="{94F621F3-5361-4C0F-90A5-C252AF1F00FD}"/>
    <hyperlink ref="D1810" r:id="rId2236" xr:uid="{B094E89F-2863-40F0-90F2-309D597A77CE}"/>
    <hyperlink ref="D490" r:id="rId2237" xr:uid="{CA9199F3-3284-41C7-8DCB-CE889C0BDD51}"/>
    <hyperlink ref="D1818" r:id="rId2238" xr:uid="{C35C08D8-D587-43FF-BA71-835BBD334327}"/>
    <hyperlink ref="D2568" r:id="rId2239" xr:uid="{414175CB-9591-4074-A89F-786CAB61023A}"/>
    <hyperlink ref="D161" r:id="rId2240" xr:uid="{F70F509D-94AD-4708-9E6F-AB887E80E453}"/>
    <hyperlink ref="D1919" r:id="rId2241" xr:uid="{806726E4-B8BA-4777-B52E-449F43011A42}"/>
    <hyperlink ref="D1733" r:id="rId2242" xr:uid="{5EBCCA73-DFCD-4FA8-B3C6-F9395F06EC75}"/>
    <hyperlink ref="D665" r:id="rId2243" xr:uid="{B9197E44-658B-4D4B-A431-A2DC27C8C72E}"/>
    <hyperlink ref="D569" r:id="rId2244" xr:uid="{A2574CB1-3B95-40DE-A45E-19752F2FF983}"/>
    <hyperlink ref="D1851" r:id="rId2245" xr:uid="{952A3E64-B4D3-4238-B9B7-E5547FD7582E}"/>
    <hyperlink ref="D1820" r:id="rId2246" xr:uid="{DC59C149-84EE-4C93-96A4-8B02DE06E2EB}"/>
    <hyperlink ref="D946" r:id="rId2247" xr:uid="{0B3D614F-FBE4-46A5-A469-1C20D19DF904}"/>
    <hyperlink ref="D1892" r:id="rId2248" xr:uid="{FE654843-2BB6-4355-B142-3A17B08737A5}"/>
    <hyperlink ref="D1635" r:id="rId2249" xr:uid="{B953250D-CEF7-4B42-9D6D-DDAF59B87DB3}"/>
    <hyperlink ref="D2318" r:id="rId2250" xr:uid="{8A1C2653-FABF-473A-8D0E-CE2D89D6B053}"/>
    <hyperlink ref="D2428" r:id="rId2251" xr:uid="{C96E5AB7-943C-45E4-870F-A9570D5F4E42}"/>
    <hyperlink ref="D1993" r:id="rId2252" xr:uid="{1067BAD1-B966-42DB-8D1C-3A1E76ED1340}"/>
    <hyperlink ref="D950" r:id="rId2253" xr:uid="{C29E3F3A-B90B-4204-9670-89C7EFFB1F7D}"/>
    <hyperlink ref="D824" r:id="rId2254" xr:uid="{3AD08612-1AD6-4A09-919C-ADA1D4F4312A}"/>
    <hyperlink ref="D1911" r:id="rId2255" xr:uid="{6E9E60FF-3922-4070-B1DC-E9640B0E1521}"/>
    <hyperlink ref="D959" r:id="rId2256" xr:uid="{46A53347-8A9A-4C57-8AC7-757BC1B0CF49}"/>
    <hyperlink ref="D676" r:id="rId2257" xr:uid="{AAA5BF21-0152-4F67-9879-029A9BACEE7E}"/>
    <hyperlink ref="D2569" r:id="rId2258" xr:uid="{EB7EAFA3-CA2B-4160-95C9-25616E8B0CA7}"/>
    <hyperlink ref="D934" r:id="rId2259" xr:uid="{941C0AC7-F6FE-4763-AFCE-3D1D970E3548}"/>
    <hyperlink ref="D1767" r:id="rId2260" xr:uid="{A6C05AD2-229F-4924-902E-589BD650F932}"/>
    <hyperlink ref="D558" r:id="rId2261" xr:uid="{02F1CA66-597D-46EA-8380-4BEABC6D95DE}"/>
    <hyperlink ref="D1113" r:id="rId2262" xr:uid="{05246D78-090A-4CD8-BA66-002773CB1A25}"/>
    <hyperlink ref="D677" r:id="rId2263" xr:uid="{3C3EB05C-8151-4FCF-BEBF-5045B779C91A}"/>
    <hyperlink ref="D1718" r:id="rId2264" xr:uid="{B4C3E6FA-4203-4E96-B7CC-52AD16604C17}"/>
    <hyperlink ref="D1439" r:id="rId2265" xr:uid="{5D6CBA86-507B-42A7-8D5D-5562AFD258E0}"/>
    <hyperlink ref="D947" r:id="rId2266" xr:uid="{8BF24BC8-2DF1-4B3D-AB1A-6F7AD21DDF2D}"/>
    <hyperlink ref="D1893" r:id="rId2267" xr:uid="{B5C3014A-D9B0-4BC5-80D6-C2F133DA6D51}"/>
    <hyperlink ref="D1130" r:id="rId2268" xr:uid="{A2701C6B-E2FF-4A4E-8E52-3A9819E84F91}"/>
    <hyperlink ref="D2319" r:id="rId2269" xr:uid="{46349E12-37BB-4044-AF43-0B2AE667C8F8}"/>
    <hyperlink ref="D2433" r:id="rId2270" xr:uid="{4370E893-08C6-4792-B6F9-C141614AACD5}"/>
    <hyperlink ref="D1052" r:id="rId2271" xr:uid="{177D53FD-B417-4C4F-BBCF-EA2760441A29}"/>
    <hyperlink ref="D1739" r:id="rId2272" xr:uid="{DAF60739-02B6-43B6-A2F8-4F82F3EE66A1}"/>
    <hyperlink ref="D1373" r:id="rId2273" xr:uid="{4D45BCD6-2FED-4901-BC08-6EF02C7A5123}"/>
    <hyperlink ref="D1812" r:id="rId2274" xr:uid="{E4BEB66F-0074-4260-A30C-2E855EFE6D9D}"/>
    <hyperlink ref="D1348" r:id="rId2275" xr:uid="{DDEED99F-9525-4E4C-AC2F-8F5BFE8D75DF}"/>
    <hyperlink ref="D1382" r:id="rId2276" xr:uid="{E4D6A113-E789-4942-B3C9-AF171A20B37A}"/>
    <hyperlink ref="D163" r:id="rId2277" xr:uid="{D2398D14-D60C-4635-97A0-A7704DB53659}"/>
    <hyperlink ref="D1844" r:id="rId2278" xr:uid="{25E33CED-B95E-4EBA-A42B-4FFB7606C4EF}"/>
    <hyperlink ref="D683" r:id="rId2279" xr:uid="{2207B38F-C125-4925-A97F-021BBC0ADF00}"/>
    <hyperlink ref="D1139" r:id="rId2280" xr:uid="{36B90232-4F4F-4C07-AA16-D27F248B9FCF}"/>
    <hyperlink ref="D260" r:id="rId2281" xr:uid="{008B8189-8EEF-4B18-9347-F1390A1D7118}"/>
    <hyperlink ref="D583" r:id="rId2282" xr:uid="{E0375C3C-C198-4401-A6BF-A59309A6A098}"/>
    <hyperlink ref="D907" r:id="rId2283" xr:uid="{DE4AE1E1-6E25-41C8-8B66-484D420D7F62}"/>
    <hyperlink ref="D1894" r:id="rId2284" xr:uid="{079D40F7-426C-4B2E-976D-18A4529FCEFF}"/>
    <hyperlink ref="D1462" r:id="rId2285" xr:uid="{248E065A-3A5A-4E39-B0AC-465A7681C92E}"/>
    <hyperlink ref="D2322" r:id="rId2286" xr:uid="{986F81D9-CE4B-4CBD-9585-5841FD3111D5}"/>
    <hyperlink ref="D2439" r:id="rId2287" xr:uid="{6DB9FC18-A6A1-4AAF-9BE3-59DEAB2A4293}"/>
    <hyperlink ref="D957" r:id="rId2288" xr:uid="{621D3A56-A8A1-4564-92A7-4683E6C6C1A8}"/>
    <hyperlink ref="D874" r:id="rId2289" xr:uid="{DAA4A8DE-5101-457A-9BF0-A5A8D89C2A8D}"/>
    <hyperlink ref="D1490" r:id="rId2290" xr:uid="{8EC63E5D-975A-43BE-945A-DAADC5A73800}"/>
    <hyperlink ref="D1592" r:id="rId2291" xr:uid="{FEA42336-EA10-43B6-B0B5-4C4A4FE6CA30}"/>
    <hyperlink ref="D1681" r:id="rId2292" xr:uid="{5EB51501-A564-4306-B481-77C764CB9825}"/>
    <hyperlink ref="D949" r:id="rId2293" xr:uid="{4BD11FE5-5DC4-417D-8322-2F5F9A0F1A0A}"/>
    <hyperlink ref="D1845" r:id="rId2294" xr:uid="{3C930F4A-1B20-419D-AE56-9DBBD71D3D74}"/>
    <hyperlink ref="D766" r:id="rId2295" xr:uid="{ADF3B6B4-74CB-4708-84C8-9AD60AC40860}"/>
    <hyperlink ref="D667" r:id="rId2296" xr:uid="{0C129128-95C3-43ED-B42C-96F42AF10B48}"/>
    <hyperlink ref="D90" r:id="rId2297" xr:uid="{15059844-231F-4F36-A2CC-E03AC11C241B}"/>
    <hyperlink ref="D976" r:id="rId2298" xr:uid="{81AC9AAB-06AE-418E-805C-9E12BACEC08F}"/>
    <hyperlink ref="D435" r:id="rId2299" xr:uid="{6C0B43C8-D29F-4417-BED7-C8048D3DFA83}"/>
    <hyperlink ref="D702" r:id="rId2300" xr:uid="{CDF601DB-82FC-48A4-AE83-3DEAE9A9B20F}"/>
    <hyperlink ref="D1837" r:id="rId2301" xr:uid="{C9B836BD-338A-4D6F-9CEC-AB004A030D29}"/>
    <hyperlink ref="D2324" r:id="rId2302" xr:uid="{B5804856-1275-449F-9DE0-F11F1278CE37}"/>
    <hyperlink ref="D2446" r:id="rId2303" xr:uid="{431E2816-95FA-4793-B212-F549222CB757}"/>
    <hyperlink ref="D884" r:id="rId2304" xr:uid="{A142DF1F-E336-4332-B77E-78C2610C3B28}"/>
    <hyperlink ref="D1081" r:id="rId2305" xr:uid="{787D11C4-159A-41E1-BFC9-AE8353BB8AE5}"/>
    <hyperlink ref="D1745" r:id="rId2306" xr:uid="{167A601D-712D-4257-AAAB-4A2A95F4A4FE}"/>
    <hyperlink ref="D2572" r:id="rId2307" xr:uid="{15A35163-D28E-4F9A-8621-1BA2BB706342}"/>
    <hyperlink ref="D165" r:id="rId2308" xr:uid="{2E8AC779-4714-4252-B1B5-41EBCF5C284B}"/>
    <hyperlink ref="D1846" r:id="rId2309" xr:uid="{2489CCF8-7606-4BA0-A0D0-F260D4AA9E77}"/>
    <hyperlink ref="D663" r:id="rId2310" xr:uid="{95F986F7-93FF-48B2-9417-FEDD360B108D}"/>
    <hyperlink ref="D635" r:id="rId2311" xr:uid="{9C4F587A-C115-49B6-B555-A8E93E7EAE50}"/>
    <hyperlink ref="D899" r:id="rId2312" xr:uid="{288746C4-46F5-4C25-8D91-FD6EBEB4EA3B}"/>
    <hyperlink ref="D666" r:id="rId2313" xr:uid="{CB1CD09E-815F-448A-B769-95052F7E97B0}"/>
    <hyperlink ref="D500" r:id="rId2314" xr:uid="{2C0D190C-91A0-4B56-805C-35D824541D32}"/>
    <hyperlink ref="D524" r:id="rId2315" xr:uid="{B9FFC981-B2E4-4312-A24B-5D784F6A72E4}"/>
    <hyperlink ref="D2325" r:id="rId2316" xr:uid="{EB06876E-DAEC-4AC4-82C8-A4E6CC0D0D1D}"/>
    <hyperlink ref="D678" r:id="rId2317" xr:uid="{C57729B6-D6C3-4113-A486-C6F3BCB716F2}"/>
    <hyperlink ref="D159" r:id="rId2318" xr:uid="{58C14154-5CC5-4EA2-A3DE-47BBE9B636F1}"/>
    <hyperlink ref="D263" r:id="rId2319" xr:uid="{981CC7D5-FE0B-4EB1-ABE2-8AA5DC9B0961}"/>
    <hyperlink ref="D2573" r:id="rId2320" xr:uid="{34A6CAD3-9110-4220-A081-AE125AE73BE9}"/>
    <hyperlink ref="D166" r:id="rId2321" xr:uid="{B6E5BC7C-525B-4D11-BA1C-D8C94201CCE5}"/>
    <hyperlink ref="D1847" r:id="rId2322" xr:uid="{9C5D79E8-DD28-4A4D-9EE1-411B14378AB8}"/>
    <hyperlink ref="D885" r:id="rId2323" xr:uid="{C869840C-61B1-4E31-91FE-EBE58CF0DFD5}"/>
    <hyperlink ref="D1444" r:id="rId2324" xr:uid="{B4C69E8B-2E2E-4C0B-88E2-E50DE7B8556A}"/>
    <hyperlink ref="D92" r:id="rId2325" xr:uid="{4D27A8EA-BC58-4267-B1D2-9840E42919FE}"/>
    <hyperlink ref="D1189" r:id="rId2326" xr:uid="{6CE08433-A718-4715-9300-8340D175D7F9}"/>
    <hyperlink ref="D304" r:id="rId2327" xr:uid="{D6446597-8365-4482-ADD4-2839CA855DA0}"/>
    <hyperlink ref="D1240" r:id="rId2328" xr:uid="{AD4D4D00-3EA7-4E77-A9AE-EFF36CDA9879}"/>
    <hyperlink ref="D2335" r:id="rId2329" xr:uid="{3513E4B6-18ED-423A-AA63-488CDD05D47A}"/>
    <hyperlink ref="D1294" r:id="rId2330" xr:uid="{C8876BA8-D074-49AF-81D4-A73A44531661}"/>
    <hyperlink ref="D1092" r:id="rId2331" xr:uid="{5A9240BA-1B3A-41F9-B188-C3B200990D94}"/>
    <hyperlink ref="D1559" r:id="rId2332" xr:uid="{6106CB14-7045-4194-A504-645AD6270A26}"/>
    <hyperlink ref="D162" r:id="rId2333" xr:uid="{5EBF1AA6-DBB6-44AD-8331-B3D4F1858937}"/>
    <hyperlink ref="D1848" r:id="rId2334" xr:uid="{7F661089-FF21-4E95-8A79-B8BA8F6786F0}"/>
    <hyperlink ref="D1817" r:id="rId2335" xr:uid="{6A860798-B0DA-4BB8-9D69-D7A6CB167E30}"/>
    <hyperlink ref="D1330" r:id="rId2336" xr:uid="{CE332247-AA74-44F4-A32B-09DCA03BF4E7}"/>
    <hyperlink ref="D1640" r:id="rId2337" xr:uid="{DA99CB1B-544F-407C-8A03-AA5A25FBEEA1}"/>
    <hyperlink ref="D1447" r:id="rId2338" xr:uid="{986343FA-A2D1-4BFF-9BBE-52C7D56BBA1C}"/>
    <hyperlink ref="D306" r:id="rId2339" xr:uid="{F9246841-5B26-43BF-869F-2B742F49CBAE}"/>
    <hyperlink ref="D1401" r:id="rId2340" xr:uid="{F24E6E44-30D2-4886-9934-E0EFE2E51243}"/>
    <hyperlink ref="D2339" r:id="rId2341" xr:uid="{AD53140F-511D-4896-A1D2-B5A991279700}"/>
    <hyperlink ref="D1452" r:id="rId2342" xr:uid="{6B54E44A-0711-4A80-A4A2-2D997033F59C}"/>
    <hyperlink ref="D696" r:id="rId2343" xr:uid="{BE876449-8C28-4ACE-AB4F-CBFE08675DF6}"/>
    <hyperlink ref="D1748" r:id="rId2344" xr:uid="{186C6B2E-A3FC-40BF-9996-33DE7C42D46D}"/>
    <hyperlink ref="D1849" r:id="rId2345" xr:uid="{5E458A81-A307-4FCE-BC74-DE00A282FEB9}"/>
    <hyperlink ref="D1212" r:id="rId2346" xr:uid="{3B0C5C03-FCAF-4DDD-8285-2D0151516A2A}"/>
    <hyperlink ref="D1335" r:id="rId2347" xr:uid="{95524AA6-6FCF-470C-84B4-391DE5324776}"/>
    <hyperlink ref="D1746" r:id="rId2348" xr:uid="{8B52B424-1335-46C2-99C9-AA4029E8A596}"/>
    <hyperlink ref="D1227" r:id="rId2349" xr:uid="{C6F41718-5677-4949-8B39-610063F919CF}"/>
    <hyperlink ref="D1899" r:id="rId2350" xr:uid="{AF1FE0D0-7C57-4D6F-BB40-BCEA49235A80}"/>
    <hyperlink ref="D2340" r:id="rId2351" xr:uid="{63786CA3-F71D-45C3-A439-391238DD37D9}"/>
    <hyperlink ref="D831" r:id="rId2352" xr:uid="{161D71A8-75EE-49A6-A032-53EB1FC0C315}"/>
    <hyperlink ref="D1864" r:id="rId2353" xr:uid="{77727A5E-180B-415A-8FEF-5D521623D608}"/>
    <hyperlink ref="D1749" r:id="rId2354" xr:uid="{A645DCB3-B2FA-4A45-8BFD-F7FFF447DC6B}"/>
    <hyperlink ref="D621" r:id="rId2355" xr:uid="{9D3293D1-10C8-4D1C-AF02-1E8FEA566A90}"/>
    <hyperlink ref="D1261" r:id="rId2356" xr:uid="{EBECB3D2-0728-456C-A40A-6A5F75378211}"/>
    <hyperlink ref="D95" r:id="rId2357" xr:uid="{29F53449-D07D-4B72-B33C-AEB8B38AC2F8}"/>
    <hyperlink ref="D668" r:id="rId2358" xr:uid="{7692802C-4FAE-40DF-BD35-6AF06264F91F}"/>
    <hyperlink ref="D1900" r:id="rId2359" xr:uid="{48261CAC-A9DE-471B-9101-88168611C283}"/>
    <hyperlink ref="D2344" r:id="rId2360" xr:uid="{F27C2B6D-0AB8-4A69-A317-E08576C58998}"/>
    <hyperlink ref="D750" r:id="rId2361" xr:uid="{27AAD06D-6438-4841-9DB8-4C3A0B796FC4}"/>
    <hyperlink ref="D760" r:id="rId2362" xr:uid="{28B83F7C-D64B-4419-8DA6-410E154ACDEC}"/>
    <hyperlink ref="D25" r:id="rId2363" xr:uid="{9823B042-E46F-499B-9090-3EB117468517}"/>
    <hyperlink ref="D681" r:id="rId2364" xr:uid="{65433418-D1FA-4011-932C-D85F1CB1FCF9}"/>
    <hyperlink ref="D1262" r:id="rId2365" xr:uid="{98FF0D44-7876-429B-A8BA-5291BAD63EC6}"/>
    <hyperlink ref="D267" r:id="rId2366" xr:uid="{DB2D325B-C535-494E-8871-068DEA1191EE}"/>
    <hyperlink ref="D670" r:id="rId2367" xr:uid="{FE2ED2DD-C155-466A-886C-DA71509BAD64}"/>
    <hyperlink ref="D1901" r:id="rId2368" xr:uid="{D64DC416-B626-497A-9665-024DC0A5A54A}"/>
    <hyperlink ref="D2343" r:id="rId2369" xr:uid="{B8C3EA77-C744-48F6-BE15-A7912A304F85}"/>
    <hyperlink ref="D977" r:id="rId2370" xr:uid="{E009AC2C-1184-4652-97C4-F778988D39B0}"/>
    <hyperlink ref="D757" r:id="rId2371" xr:uid="{AAEB5737-8970-4072-B61B-3A748651261C}"/>
    <hyperlink ref="D1642" r:id="rId2372" xr:uid="{D94C955E-5B7E-48F2-9D90-2CB3D6AACEF2}"/>
    <hyperlink ref="D1302" r:id="rId2373" xr:uid="{3DAAA39F-C29C-469B-B026-4805A8F2EAA7}"/>
    <hyperlink ref="D653" r:id="rId2374" xr:uid="{84EEB030-E138-49ED-AFA0-08459C53C973}"/>
    <hyperlink ref="D1293" r:id="rId2375" xr:uid="{53F84D62-34D0-446C-BE1E-CF514F50D43F}"/>
    <hyperlink ref="D469" r:id="rId2376" xr:uid="{ADE803D3-BE94-41FD-AB8C-630213F0A6E2}"/>
    <hyperlink ref="D1639" r:id="rId2377" xr:uid="{57CBB588-4740-41BD-BC09-462B74CAC6EA}"/>
    <hyperlink ref="D2345" r:id="rId2378" xr:uid="{00C11F3B-171E-4E94-9272-9A200ED8050C}"/>
    <hyperlink ref="D1751" r:id="rId2379" xr:uid="{E500ABFA-5563-462F-948C-1D2D0F4D81DA}"/>
    <hyperlink ref="D1839" r:id="rId2380" xr:uid="{84336923-E5C7-40A8-9604-256000F86327}"/>
    <hyperlink ref="D198" r:id="rId2381" xr:uid="{0C8148E5-ADDA-4AEB-8637-9E0CF1CAA740}"/>
    <hyperlink ref="D1427" r:id="rId2382" xr:uid="{FA04590D-76E8-4771-9C9B-A8299F3068D1}"/>
    <hyperlink ref="D1484" r:id="rId2383" xr:uid="{49283ACF-AB80-4105-B6D5-DD1F9320A6A5}"/>
    <hyperlink ref="D1000" r:id="rId2384" xr:uid="{16EFF008-35B0-4D17-B5CA-74E754C3AC49}"/>
    <hyperlink ref="D638" r:id="rId2385" xr:uid="{8C0B7B84-6A06-45F1-8007-FA547628AE85}"/>
    <hyperlink ref="D1474" r:id="rId2386" xr:uid="{81862879-48BE-4372-AAB6-CD56778F40B3}"/>
    <hyperlink ref="D2353" r:id="rId2387" xr:uid="{BFDD258C-64B4-4F71-A563-14FE12215AA5}"/>
    <hyperlink ref="D835" r:id="rId2388" xr:uid="{7A3F33FF-A4B0-4F83-8758-87928139A583}"/>
    <hyperlink ref="D1822" r:id="rId2389" xr:uid="{45E8586F-98A1-47AF-A556-86B132B2B169}"/>
    <hyperlink ref="D999" r:id="rId2390" xr:uid="{E7E365AF-9864-4288-815E-20029E9B92A1}"/>
    <hyperlink ref="D1304" r:id="rId2391" xr:uid="{BB694AEC-39ED-406F-898F-CE9EC5491508}"/>
    <hyperlink ref="D98" r:id="rId2392" xr:uid="{22828FD7-5E1F-4164-9059-C3A805FB2C51}"/>
    <hyperlink ref="D99" r:id="rId2393" xr:uid="{9456E8DC-96E4-4E95-A80C-2BFC4F21F3D9}"/>
    <hyperlink ref="D1232" r:id="rId2394" xr:uid="{F1A0B98C-8A3A-4397-8F29-ADC9B0672C4B}"/>
    <hyperlink ref="D1385" r:id="rId2395" xr:uid="{67A4EAD4-12FC-4F11-979F-BE5C0DCBC407}"/>
    <hyperlink ref="D2355" r:id="rId2396" xr:uid="{20BD83F5-0C7D-4131-8F44-F4C8EEA2B6B0}"/>
    <hyperlink ref="D836" r:id="rId2397" xr:uid="{43872DB3-2CF4-48A9-96CF-CAB3CB6437B5}"/>
    <hyperlink ref="D104" r:id="rId2398" xr:uid="{05AE12A3-2FD0-4F43-92F0-CB127CB8C792}"/>
    <hyperlink ref="D1147" r:id="rId2399" xr:uid="{4CEC592A-1E2B-43AB-A2C8-E9392050657D}"/>
    <hyperlink ref="D1735" r:id="rId2400" xr:uid="{29B40DAB-5F1D-47A4-91B0-1BE041234C56}"/>
    <hyperlink ref="D712" r:id="rId2401" xr:uid="{28B260DD-90AE-4F87-86D9-995BBDDDB7A6}"/>
    <hyperlink ref="D1233" r:id="rId2402" xr:uid="{6C613DF9-96D7-40D0-B212-D6A6CD28B059}"/>
    <hyperlink ref="D1905" r:id="rId2403" xr:uid="{471B382D-C26F-4BA4-A96B-A28C81955B04}"/>
    <hyperlink ref="D2361" r:id="rId2404" xr:uid="{496385ED-8588-4372-A31F-E7261FF43DC7}"/>
    <hyperlink ref="D837" r:id="rId2405" xr:uid="{3548EBA2-7033-4320-BE83-3A43BA189430}"/>
    <hyperlink ref="D1402" r:id="rId2406" xr:uid="{EBF56AD4-8533-45F8-878E-6BBACA0C7EC6}"/>
    <hyperlink ref="D1391" r:id="rId2407" xr:uid="{9C246A19-03BF-4295-8FFF-F480124B8B81}"/>
    <hyperlink ref="D1115" r:id="rId2408" xr:uid="{310635EC-6CDF-4547-BF9D-27AD195989C6}"/>
    <hyperlink ref="D1628" r:id="rId2409" xr:uid="{E9135AC8-EDEF-4543-A618-9A324A2B430F}"/>
    <hyperlink ref="D1714" r:id="rId2410" xr:uid="{86256D35-AE0C-45DE-AD7C-A5C2AE10BBC0}"/>
    <hyperlink ref="D1593" r:id="rId2411" xr:uid="{7798E128-3B9C-4DCA-A328-3F9D3BAAEC6A}"/>
    <hyperlink ref="D2365" r:id="rId2412" xr:uid="{091581F3-DD4E-4DA0-B12F-0A36B038129E}"/>
    <hyperlink ref="D790" r:id="rId2413" xr:uid="{EA31A635-31DD-4781-B338-565873CF05F9}"/>
    <hyperlink ref="D1292" r:id="rId2414" xr:uid="{EBBE3BBF-3B28-404B-8A12-A99E19573850}"/>
    <hyperlink ref="D1574" r:id="rId2415" xr:uid="{17169E80-ADEA-46B8-9003-49469F2B8F1D}"/>
    <hyperlink ref="D697" r:id="rId2416" xr:uid="{3A4B88CD-F68C-4FEC-851D-B2F0A69E4FE3}"/>
    <hyperlink ref="D1297" r:id="rId2417" xr:uid="{48E72628-9F90-4FE0-AF91-C1405C580A1F}"/>
    <hyperlink ref="D1235" r:id="rId2418" xr:uid="{A744F1F1-C910-4877-BB37-10AFE788D1F8}"/>
    <hyperlink ref="D1134" r:id="rId2419" xr:uid="{5BCA5DE0-FA0A-454D-88B1-D87DA934F965}"/>
    <hyperlink ref="D2366" r:id="rId2420" xr:uid="{491DE9C5-29E0-464C-BE8B-E88085081A12}"/>
    <hyperlink ref="D105" r:id="rId2421" xr:uid="{C57746EB-82AA-4E42-AE47-1F31004DF80B}"/>
    <hyperlink ref="D1698" r:id="rId2422" xr:uid="{DF23C85A-1942-48A5-8BEB-CF2405D98372}"/>
    <hyperlink ref="D1308" r:id="rId2423" xr:uid="{1CAF4FF1-450C-4869-A19E-1A9D6820E0A7}"/>
    <hyperlink ref="D1194" r:id="rId2424" xr:uid="{372876CD-6D75-4B7F-94BD-25934EAED303}"/>
    <hyperlink ref="D103" r:id="rId2425" xr:uid="{F54924BA-1016-41B0-A7C4-FC6803949F9E}"/>
    <hyperlink ref="D644" r:id="rId2426" xr:uid="{F8B3D3B3-3CBE-45AD-AE65-19F3CE58F5CB}"/>
    <hyperlink ref="D2212" r:id="rId2427" xr:uid="{5D7BC65A-5E6E-43DF-B60F-3802EDE68800}"/>
    <hyperlink ref="D2367" r:id="rId2428" xr:uid="{09D9EB3E-0B6E-4A90-B892-E7376C62C896}"/>
    <hyperlink ref="D840" r:id="rId2429" xr:uid="{CF800DA3-B593-45BA-B227-0849952A4AB0}"/>
    <hyperlink ref="D1508" r:id="rId2430" xr:uid="{10B26606-3F1C-4418-97B9-4C4210FD9A91}"/>
    <hyperlink ref="D1442" r:id="rId2431" xr:uid="{E49605C7-B2C6-4055-8B64-B1E1366B6142}"/>
    <hyperlink ref="D1737" r:id="rId2432" xr:uid="{BD0840FC-7E78-4D3D-BB64-C11A6E04FBDE}"/>
    <hyperlink ref="D532" r:id="rId2433" xr:uid="{84C55F6D-56A8-484B-ABD6-5E94E7127BC3}"/>
    <hyperlink ref="D100" r:id="rId2434" xr:uid="{9465CE24-956E-4B5A-8CE5-0F093CC3531C}"/>
    <hyperlink ref="D1166" r:id="rId2435" xr:uid="{F32E216B-B5D3-4854-A786-EB0925D97D12}"/>
    <hyperlink ref="D2368" r:id="rId2436" xr:uid="{47400BC2-2844-4132-960D-67909016EB77}"/>
    <hyperlink ref="D338" r:id="rId2437" xr:uid="{3EC83D0B-253D-490B-8DFE-558CEB58EF11}"/>
    <hyperlink ref="D1687" r:id="rId2438" xr:uid="{A327A343-86FB-4B45-925A-19889E5BB021}"/>
    <hyperlink ref="D1584" r:id="rId2439" xr:uid="{33CD59D1-3EF7-43C2-AC1F-F8DBD8AB70CD}"/>
    <hyperlink ref="D1172" r:id="rId2440" xr:uid="{B8A155C3-2ACA-4172-BE1D-C0D4049CCA85}"/>
    <hyperlink ref="D768" r:id="rId2441" xr:uid="{DEC688F3-CE95-4597-AF87-AF681454B490}"/>
    <hyperlink ref="D612" r:id="rId2442" xr:uid="{0C52E40F-FCF8-4FFB-B0D8-BA2ED3917D18}"/>
    <hyperlink ref="D1910" r:id="rId2443" xr:uid="{8A084818-F241-41A3-9108-677B3D91FC46}"/>
    <hyperlink ref="D2369" r:id="rId2444" xr:uid="{7D484B86-8FA6-4D09-9EA1-6D81E668B65A}"/>
    <hyperlink ref="D731" r:id="rId2445" xr:uid="{CA786FEB-FB23-449A-8BDB-CBC3F3286404}"/>
    <hyperlink ref="D1488" r:id="rId2446" xr:uid="{202DD862-CAC4-4A1C-88D0-328CC96FC1AD}"/>
    <hyperlink ref="D528" r:id="rId2447" xr:uid="{B94D5CB3-2D8B-4D9F-B871-ED0A1261038D}"/>
    <hyperlink ref="D1191" r:id="rId2448" xr:uid="{39539C10-6278-450E-8D3C-4EDF712ADDC1}"/>
    <hyperlink ref="D1090" r:id="rId2449" xr:uid="{D1C79E64-FFCD-45B7-9BD5-F1F02F3F5C73}"/>
    <hyperlink ref="D1239" r:id="rId2450" xr:uid="{7769FDF6-E87D-4395-A97F-A7D83ABDCCB5}"/>
    <hyperlink ref="D1457" r:id="rId2451" xr:uid="{67D71DAE-A80D-4956-88B4-B25DB6441B29}"/>
    <hyperlink ref="D2370" r:id="rId2452" xr:uid="{03298DB9-4BF8-44E7-8828-68EF2C7A5AFB}"/>
    <hyperlink ref="D1403" r:id="rId2453" xr:uid="{7F6098C2-C702-4A32-85D8-714B8A4BCEC3}"/>
    <hyperlink ref="D2249" r:id="rId2454" xr:uid="{3D6D58CD-AF19-450F-A776-3707960D4B3B}"/>
    <hyperlink ref="D97" r:id="rId2455" xr:uid="{864B7F1B-D7F5-4A76-B6AE-A45C35B9FFEE}"/>
    <hyperlink ref="D1193" r:id="rId2456" xr:uid="{F95A6556-1155-4166-820F-C431BF39262F}"/>
    <hyperlink ref="D686" r:id="rId2457" xr:uid="{82730358-E658-4D53-A69A-05AB3CDD5374}"/>
    <hyperlink ref="D601" r:id="rId2458" xr:uid="{F0E5BBE1-9D62-41D9-AC64-CC5943331E38}"/>
    <hyperlink ref="D82" r:id="rId2459" xr:uid="{1748D429-BA8D-420F-98F3-122BD1265237}"/>
    <hyperlink ref="D2371" r:id="rId2460" xr:uid="{5D519B4B-56B5-43A1-9F0D-1654F69F2E44}"/>
    <hyperlink ref="D1680" r:id="rId2461" xr:uid="{3C0FCF7E-09B3-4E89-A692-EF14B739E51F}"/>
    <hyperlink ref="D1762" r:id="rId2462" xr:uid="{7E80EFE3-BEDD-4B9A-B742-866BF1F4E664}"/>
    <hyperlink ref="D1400" r:id="rId2463" xr:uid="{E40E81A9-C92F-4E70-A916-972AF449B994}"/>
    <hyperlink ref="D1214" r:id="rId2464" xr:uid="{7F1DD330-1DE5-4C72-9D9D-48CD9C958D26}"/>
    <hyperlink ref="D1555" r:id="rId2465" xr:uid="{07A4802F-4973-40D0-B9B9-B86A782243F7}"/>
    <hyperlink ref="D738" r:id="rId2466" xr:uid="{519DBA2A-FE8C-4CEE-8F3A-07430827A88E}"/>
    <hyperlink ref="D1913" r:id="rId2467" xr:uid="{3DA3AB20-2275-4D76-96B3-A5EB09E3E910}"/>
    <hyperlink ref="D2372" r:id="rId2468" xr:uid="{42133682-4764-4F46-908C-DA4E5A514614}"/>
    <hyperlink ref="D845" r:id="rId2469" xr:uid="{7861B8A9-3471-4497-9FCE-5A3121F1CC20}"/>
    <hyperlink ref="D814" r:id="rId2470" xr:uid="{B1725F42-0E1A-4653-9AC4-8928694A0E65}"/>
    <hyperlink ref="D1399" r:id="rId2471" xr:uid="{A2609B71-8DA3-4C8A-827F-BA49E6B6C23B}"/>
    <hyperlink ref="D1275" r:id="rId2472" xr:uid="{1BAAF668-0E66-494A-A08E-889D7D927A38}"/>
    <hyperlink ref="D514" r:id="rId2473" xr:uid="{33443F59-12AB-4D64-A92F-B9C5A0F688C0}"/>
    <hyperlink ref="D823" r:id="rId2474" xr:uid="{806E9D10-F983-4C8D-80B3-1449F94E790E}"/>
    <hyperlink ref="D2374" r:id="rId2475" xr:uid="{B150B196-380D-4217-8987-19067FBF5B17}"/>
    <hyperlink ref="D1696" r:id="rId2476" xr:uid="{D912B5D7-A10C-49B9-8D32-F1E4155B907F}"/>
    <hyperlink ref="D1764" r:id="rId2477" xr:uid="{D736372F-8BFD-430C-A864-2F4B0351FFE9}"/>
    <hyperlink ref="D1315" r:id="rId2478" xr:uid="{F34C0CC3-81B8-4C26-8CDD-66B361F0D7D6}"/>
    <hyperlink ref="D1276" r:id="rId2479" xr:uid="{4ACD5F3B-E8FE-4D50-B44F-F24F48F464E9}"/>
    <hyperlink ref="D1169" r:id="rId2480" xr:uid="{562722D7-2060-4EF4-906E-70BF9072E446}"/>
    <hyperlink ref="D2375" r:id="rId2481" xr:uid="{23EF95C4-075D-4342-B546-7D9087970633}"/>
    <hyperlink ref="D847" r:id="rId2482" xr:uid="{BD06A036-69FC-433F-8241-D1BE31C0E437}"/>
    <hyperlink ref="D1766" r:id="rId2483" xr:uid="{1019123C-A0DB-4025-B9C5-0D0CCEA4A56C}"/>
    <hyperlink ref="D1307" r:id="rId2484" xr:uid="{9ECC1702-FA43-45F2-A97D-79BD071D8702}"/>
    <hyperlink ref="D1869" r:id="rId2485" xr:uid="{E67306AE-B75A-4560-94F1-739F9373766C}"/>
    <hyperlink ref="D2377" r:id="rId2486" xr:uid="{6DAB4DCE-D681-4BAB-8E26-6E364FD5A629}"/>
    <hyperlink ref="D1336" r:id="rId2487" xr:uid="{42F8B086-1882-4B3A-88B6-761B32CEF361}"/>
    <hyperlink ref="D1317" r:id="rId2488" xr:uid="{B8FCCF4E-2D5A-4AF0-A41C-C65B39BA52F8}"/>
    <hyperlink ref="D1580" r:id="rId2489" xr:uid="{4A440A1D-47EA-4381-8C7C-AA6A4D93B0C0}"/>
    <hyperlink ref="D2380" r:id="rId2490" xr:uid="{4D452815-365B-4CA0-ADE6-B52C821230F6}"/>
    <hyperlink ref="D343" r:id="rId2491" xr:uid="{FA77C0B8-C54D-470E-BFD0-A1634B2AE0C8}"/>
    <hyperlink ref="D634" r:id="rId2492" xr:uid="{65C0DDE9-6497-4E21-847C-E5356D4D34C4}"/>
    <hyperlink ref="D299" r:id="rId2493" xr:uid="{2B17C098-6ADB-4EF7-B8D8-0A706E66311A}"/>
    <hyperlink ref="D2384" r:id="rId2494" xr:uid="{D77C7235-B432-40D4-995A-E2BAEBD086E0}"/>
    <hyperlink ref="D850" r:id="rId2495" xr:uid="{1EA6F580-72F5-4A50-8B67-D9906358787D}"/>
    <hyperlink ref="D197" r:id="rId2496" xr:uid="{3238E165-0BF9-4D7B-A613-58F18D82348F}"/>
    <hyperlink ref="D291" r:id="rId2497" xr:uid="{17672FDC-5994-4160-A66E-776AD159C40B}"/>
    <hyperlink ref="D2385" r:id="rId2498" xr:uid="{39494425-85CA-4278-A043-62A4CEC9F49A}"/>
    <hyperlink ref="D926" r:id="rId2499" xr:uid="{027E1D5A-EB1B-4872-82E1-E5A698497387}"/>
    <hyperlink ref="D1320" r:id="rId2500" xr:uid="{AC73E704-65BC-463A-A109-7D6286193B02}"/>
    <hyperlink ref="D479" r:id="rId2501" xr:uid="{D8E12B9E-A0CF-4740-A340-686AF3D3EFB2}"/>
    <hyperlink ref="D2387" r:id="rId2502" xr:uid="{59F60E0B-ECCA-41C7-A0E5-7B65CB9B7756}"/>
    <hyperlink ref="D1778" r:id="rId2503" xr:uid="{C793D0AB-89DA-452E-ABEB-F4008FD27E74}"/>
    <hyperlink ref="D154" r:id="rId2504" xr:uid="{E260D1B4-B7DC-4C70-B9EA-90A846B4C43A}"/>
    <hyperlink ref="D2233" r:id="rId2505" xr:uid="{9BC1C4A4-1909-4752-89D9-49CA46ED4F79}"/>
    <hyperlink ref="D1895" r:id="rId2506" xr:uid="{470F3972-3949-49C8-ADD6-A196A69A772F}"/>
    <hyperlink ref="D1322" r:id="rId2507" xr:uid="{274D1212-1F5C-432C-BBD7-092B7F2D4283}"/>
    <hyperlink ref="D117" r:id="rId2508" xr:uid="{529ECA22-7327-4198-B26F-902C7D8074E4}"/>
    <hyperlink ref="D132" r:id="rId2509" xr:uid="{70574F53-DC91-4A86-9F8B-B78B78D14D64}"/>
    <hyperlink ref="D1116" r:id="rId2510" xr:uid="{3B47CC18-8688-4917-AB56-17FC25C0C7A0}"/>
    <hyperlink ref="D118" r:id="rId2511" xr:uid="{4A963513-2E9F-45A5-AD71-B4CB26B75077}"/>
    <hyperlink ref="D671" r:id="rId2512" xr:uid="{0F2A21CF-B9E3-4C23-8A6A-ADC526874CE9}"/>
    <hyperlink ref="D936" r:id="rId2513" xr:uid="{B4AC761B-C981-4003-9BA8-C21E3EFF5CEE}"/>
    <hyperlink ref="D672" r:id="rId2514" xr:uid="{969C62E0-4094-4946-BAAD-5EEA08A53460}"/>
    <hyperlink ref="D1096" r:id="rId2515" xr:uid="{74EAEA68-4F49-49DE-B974-4939069F80DB}"/>
    <hyperlink ref="D496" r:id="rId2516" xr:uid="{7C88D780-32C6-4560-AE11-44B47A1F858C}"/>
    <hyperlink ref="D1787" r:id="rId2517" xr:uid="{5C88F3B3-B253-483F-B707-3F0B25D3F9E5}"/>
    <hyperlink ref="D1210" r:id="rId2518" xr:uid="{17A7BCC1-C948-4B13-9D5F-081B2945E690}"/>
    <hyperlink ref="D1121" r:id="rId2519" xr:uid="{916361D1-E50B-41AC-9020-57169F21A3CF}"/>
    <hyperlink ref="D527" r:id="rId2520" xr:uid="{FF31E4FC-D8CC-4470-8B02-FEB151817727}"/>
    <hyperlink ref="D860" r:id="rId2521" xr:uid="{5846F923-4D61-40FD-95DF-D292A8F07123}"/>
    <hyperlink ref="D1744" r:id="rId2522" xr:uid="{C66B9C3E-650D-4DF3-8783-9A6AEFABD27B}"/>
    <hyperlink ref="D861" r:id="rId2523" xr:uid="{059A0C2D-CB6F-4850-A714-D7949D167BD1}"/>
    <hyperlink ref="D673" r:id="rId2524" xr:uid="{BA19A077-A81A-47D2-B9AC-7ECEDD11CA75}"/>
    <hyperlink ref="D821" r:id="rId2525" xr:uid="{4C8E9EE1-47CC-42B7-8D1F-126656A383D2}"/>
    <hyperlink ref="D1331" r:id="rId2526" xr:uid="{E7B19EDD-A44B-496B-A15B-641B0DF26AEC}"/>
    <hyperlink ref="D652" r:id="rId2527" xr:uid="{13B4201C-1ACF-494A-8E48-37C7BA04AC14}"/>
    <hyperlink ref="D1553" r:id="rId2528" xr:uid="{00A58943-42E4-42DD-9663-2C37FB840560}"/>
    <hyperlink ref="D305" r:id="rId2529" xr:uid="{029E88A1-5650-4940-8944-CAF3447329F4}"/>
    <hyperlink ref="D89" r:id="rId2530" xr:uid="{0A4AFB49-4DF6-49C8-96C5-217CF6970BF2}"/>
    <hyperlink ref="D1025" r:id="rId2531" xr:uid="{F0752DB5-4773-477B-9E13-8ECC3038F4B7}"/>
    <hyperlink ref="D867" r:id="rId2532" xr:uid="{90346E4A-4CF7-4FD7-B245-25BD7C861281}"/>
    <hyperlink ref="D868" r:id="rId2533" xr:uid="{195845BB-69A0-4B1C-90BE-CB6A3269D197}"/>
    <hyperlink ref="D876" r:id="rId2534" xr:uid="{BF4238C8-95A4-4497-81BA-24D80556694B}"/>
    <hyperlink ref="D2576" r:id="rId2535" xr:uid="{55278787-71EF-420B-9506-6572F5DECB9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4DEAF-D73E-494E-A35D-5FCB1B66E47D}">
  <sheetPr>
    <tabColor rgb="FF13D377"/>
  </sheetPr>
  <dimension ref="A1:F129"/>
  <sheetViews>
    <sheetView workbookViewId="0">
      <pane ySplit="1" topLeftCell="A16" activePane="bottomLeft" state="frozen"/>
      <selection pane="bottomLeft" activeCell="B38" sqref="B38"/>
    </sheetView>
  </sheetViews>
  <sheetFormatPr defaultRowHeight="14.4"/>
  <cols>
    <col min="1" max="1" width="28.44140625" customWidth="1"/>
    <col min="2" max="2" width="26.109375" customWidth="1"/>
    <col min="3" max="3" width="42.109375" customWidth="1"/>
    <col min="4" max="4" width="20.5546875" customWidth="1"/>
    <col min="5" max="5" width="15.44140625" customWidth="1"/>
  </cols>
  <sheetData>
    <row r="1" spans="1:6" ht="25.35" customHeight="1">
      <c r="A1" s="58" t="s">
        <v>3134</v>
      </c>
      <c r="B1" s="58" t="s">
        <v>3135</v>
      </c>
      <c r="C1" s="58" t="s">
        <v>4397</v>
      </c>
      <c r="D1" s="58" t="s">
        <v>3137</v>
      </c>
      <c r="E1" s="58" t="s">
        <v>3138</v>
      </c>
      <c r="F1" s="58" t="s">
        <v>4708</v>
      </c>
    </row>
    <row r="2" spans="1:6" ht="15">
      <c r="A2" t="str">
        <f t="shared" ref="A2:A33" si="0">B2&amp;"-"&amp;C2&amp;"-"&amp;SUBSTITUTE(D2," ", "-")</f>
        <v>ID00043-ID00038-Collaboration</v>
      </c>
      <c r="B2" t="s">
        <v>3764</v>
      </c>
      <c r="C2" t="s">
        <v>3760</v>
      </c>
      <c r="D2" t="s">
        <v>4706</v>
      </c>
      <c r="E2">
        <v>1</v>
      </c>
      <c r="F2" t="s">
        <v>4707</v>
      </c>
    </row>
    <row r="3" spans="1:6" ht="15">
      <c r="A3" t="str">
        <f t="shared" si="0"/>
        <v>ID00038-ID00043-Collaboration</v>
      </c>
      <c r="B3" t="s">
        <v>3760</v>
      </c>
      <c r="C3" t="s">
        <v>3764</v>
      </c>
      <c r="D3" t="s">
        <v>4706</v>
      </c>
      <c r="E3">
        <v>1</v>
      </c>
      <c r="F3" t="s">
        <v>4707</v>
      </c>
    </row>
    <row r="4" spans="1:6" ht="15">
      <c r="A4" t="str">
        <f t="shared" si="0"/>
        <v>ID00002-ID00006-Referral</v>
      </c>
      <c r="B4" t="s">
        <v>3735</v>
      </c>
      <c r="C4" t="s">
        <v>4431</v>
      </c>
      <c r="D4" t="s">
        <v>4928</v>
      </c>
      <c r="E4">
        <v>1</v>
      </c>
      <c r="F4" t="s">
        <v>4929</v>
      </c>
    </row>
    <row r="5" spans="1:6" ht="15">
      <c r="A5" t="str">
        <f t="shared" si="0"/>
        <v>ID00006-ID00002-Surgery</v>
      </c>
      <c r="B5" t="s">
        <v>4431</v>
      </c>
      <c r="C5" t="s">
        <v>3735</v>
      </c>
      <c r="D5" t="s">
        <v>4927</v>
      </c>
      <c r="E5">
        <v>1</v>
      </c>
      <c r="F5" t="s">
        <v>4929</v>
      </c>
    </row>
    <row r="6" spans="1:6" ht="15">
      <c r="A6" t="str">
        <f t="shared" si="0"/>
        <v>ID00004-ID00026-Collaboration</v>
      </c>
      <c r="B6" t="s">
        <v>3737</v>
      </c>
      <c r="C6" t="s">
        <v>3750</v>
      </c>
      <c r="D6" t="s">
        <v>4706</v>
      </c>
      <c r="E6">
        <v>1</v>
      </c>
    </row>
    <row r="7" spans="1:6" ht="15">
      <c r="A7" t="str">
        <f t="shared" si="0"/>
        <v>ID00026-ID00004-Collaboration</v>
      </c>
      <c r="B7" t="s">
        <v>3750</v>
      </c>
      <c r="C7" t="s">
        <v>3737</v>
      </c>
      <c r="D7" t="s">
        <v>4706</v>
      </c>
      <c r="E7">
        <v>1</v>
      </c>
    </row>
    <row r="8" spans="1:6" ht="15">
      <c r="A8" t="str">
        <f t="shared" si="0"/>
        <v>ID00004-ID00012-Collaboration</v>
      </c>
      <c r="B8" t="s">
        <v>3737</v>
      </c>
      <c r="C8" t="s">
        <v>4450</v>
      </c>
      <c r="D8" t="s">
        <v>4706</v>
      </c>
      <c r="E8">
        <v>1</v>
      </c>
      <c r="F8" t="s">
        <v>4984</v>
      </c>
    </row>
    <row r="9" spans="1:6" ht="15">
      <c r="A9" t="str">
        <f t="shared" si="0"/>
        <v>ID00012-ID00004-Collaboration</v>
      </c>
      <c r="B9" t="s">
        <v>4450</v>
      </c>
      <c r="C9" t="s">
        <v>3737</v>
      </c>
      <c r="D9" t="s">
        <v>4706</v>
      </c>
      <c r="E9">
        <v>1</v>
      </c>
      <c r="F9" t="s">
        <v>4984</v>
      </c>
    </row>
    <row r="10" spans="1:6" ht="15">
      <c r="A10" t="str">
        <f t="shared" si="0"/>
        <v>ID00089-ID00005-Collaboration</v>
      </c>
      <c r="B10" t="s">
        <v>3796</v>
      </c>
      <c r="C10" t="s">
        <v>3738</v>
      </c>
      <c r="D10" t="s">
        <v>4706</v>
      </c>
      <c r="E10">
        <v>1</v>
      </c>
      <c r="F10" t="s">
        <v>4993</v>
      </c>
    </row>
    <row r="11" spans="1:6" ht="15">
      <c r="A11" t="str">
        <f t="shared" si="0"/>
        <v>ID00005-ID00089-Collaboration</v>
      </c>
      <c r="B11" t="s">
        <v>3738</v>
      </c>
      <c r="C11" t="s">
        <v>3796</v>
      </c>
      <c r="D11" t="s">
        <v>4706</v>
      </c>
      <c r="E11">
        <v>1</v>
      </c>
      <c r="F11" t="s">
        <v>4993</v>
      </c>
    </row>
    <row r="12" spans="1:6" ht="15">
      <c r="A12" t="str">
        <f t="shared" si="0"/>
        <v>ID00090-ID00005-Collaboration</v>
      </c>
      <c r="B12" t="s">
        <v>3797</v>
      </c>
      <c r="C12" t="s">
        <v>3738</v>
      </c>
      <c r="D12" t="s">
        <v>4706</v>
      </c>
      <c r="E12">
        <v>1</v>
      </c>
      <c r="F12" t="s">
        <v>4993</v>
      </c>
    </row>
    <row r="13" spans="1:6" ht="15">
      <c r="A13" t="str">
        <f t="shared" si="0"/>
        <v>ID00005-ID00090-Collaboration</v>
      </c>
      <c r="B13" t="s">
        <v>3738</v>
      </c>
      <c r="C13" t="s">
        <v>3797</v>
      </c>
      <c r="D13" t="s">
        <v>4706</v>
      </c>
      <c r="E13">
        <v>1</v>
      </c>
      <c r="F13" t="s">
        <v>4993</v>
      </c>
    </row>
    <row r="14" spans="1:6" ht="15">
      <c r="A14" t="str">
        <f t="shared" si="0"/>
        <v>ID00065-ID00005-Referral</v>
      </c>
      <c r="B14" t="s">
        <v>4560</v>
      </c>
      <c r="C14" t="s">
        <v>3738</v>
      </c>
      <c r="D14" t="s">
        <v>4928</v>
      </c>
      <c r="E14">
        <v>1</v>
      </c>
      <c r="F14" t="s">
        <v>4997</v>
      </c>
    </row>
    <row r="15" spans="1:6" ht="15">
      <c r="A15" t="str">
        <f t="shared" si="0"/>
        <v>ID00008-ID00005-Referral</v>
      </c>
      <c r="B15" t="s">
        <v>3740</v>
      </c>
      <c r="C15" t="s">
        <v>3738</v>
      </c>
      <c r="D15" t="s">
        <v>4928</v>
      </c>
      <c r="E15">
        <v>1</v>
      </c>
      <c r="F15" t="s">
        <v>4997</v>
      </c>
    </row>
    <row r="16" spans="1:6" ht="15">
      <c r="A16" t="str">
        <f t="shared" si="0"/>
        <v>ID00001-ID00005-Referral</v>
      </c>
      <c r="B16" t="s">
        <v>3139</v>
      </c>
      <c r="C16" t="s">
        <v>3738</v>
      </c>
      <c r="D16" t="s">
        <v>4928</v>
      </c>
      <c r="E16">
        <v>1</v>
      </c>
      <c r="F16" t="s">
        <v>4997</v>
      </c>
    </row>
    <row r="17" spans="1:6" ht="15">
      <c r="A17" t="str">
        <f t="shared" si="0"/>
        <v>ID00066-ID00005-Referral</v>
      </c>
      <c r="B17" t="s">
        <v>4561</v>
      </c>
      <c r="C17" t="s">
        <v>3738</v>
      </c>
      <c r="D17" t="s">
        <v>4928</v>
      </c>
      <c r="E17">
        <v>1</v>
      </c>
      <c r="F17" t="s">
        <v>4997</v>
      </c>
    </row>
    <row r="18" spans="1:6" ht="15">
      <c r="A18" t="str">
        <f t="shared" si="0"/>
        <v>ID00045-ID00005-Referral</v>
      </c>
      <c r="B18" t="s">
        <v>3766</v>
      </c>
      <c r="C18" t="s">
        <v>3738</v>
      </c>
      <c r="D18" t="s">
        <v>4928</v>
      </c>
      <c r="E18">
        <v>1</v>
      </c>
      <c r="F18" t="s">
        <v>4997</v>
      </c>
    </row>
    <row r="19" spans="1:6" ht="15">
      <c r="A19" t="str">
        <f t="shared" si="0"/>
        <v>ID00082-ID00005-Referral</v>
      </c>
      <c r="B19" t="s">
        <v>3790</v>
      </c>
      <c r="C19" t="s">
        <v>3738</v>
      </c>
      <c r="D19" t="s">
        <v>4928</v>
      </c>
      <c r="E19">
        <v>1</v>
      </c>
      <c r="F19" t="s">
        <v>4997</v>
      </c>
    </row>
    <row r="20" spans="1:6" ht="15">
      <c r="A20" t="str">
        <f t="shared" si="0"/>
        <v>ID00007-ID00005-Referral</v>
      </c>
      <c r="B20" t="s">
        <v>3739</v>
      </c>
      <c r="C20" t="s">
        <v>3738</v>
      </c>
      <c r="D20" t="s">
        <v>4928</v>
      </c>
      <c r="E20">
        <v>1</v>
      </c>
      <c r="F20" t="s">
        <v>4997</v>
      </c>
    </row>
    <row r="21" spans="1:6" ht="15">
      <c r="A21" t="str">
        <f t="shared" si="0"/>
        <v>ID00091-ID00081-Referral</v>
      </c>
      <c r="B21" t="s">
        <v>4568</v>
      </c>
      <c r="C21" t="s">
        <v>3789</v>
      </c>
      <c r="D21" t="s">
        <v>4928</v>
      </c>
      <c r="E21">
        <v>1</v>
      </c>
      <c r="F21" t="s">
        <v>5014</v>
      </c>
    </row>
    <row r="22" spans="1:6" ht="15">
      <c r="A22" t="str">
        <f t="shared" si="0"/>
        <v>ID00091-ID00002-Referral</v>
      </c>
      <c r="B22" t="s">
        <v>4568</v>
      </c>
      <c r="C22" t="s">
        <v>3735</v>
      </c>
      <c r="D22" t="s">
        <v>4928</v>
      </c>
      <c r="E22">
        <v>1</v>
      </c>
      <c r="F22" t="s">
        <v>5014</v>
      </c>
    </row>
    <row r="23" spans="1:6" ht="15">
      <c r="A23" t="str">
        <f t="shared" si="0"/>
        <v>ID00091-ID00006-Referral</v>
      </c>
      <c r="B23" t="s">
        <v>4568</v>
      </c>
      <c r="C23" t="s">
        <v>4431</v>
      </c>
      <c r="D23" t="s">
        <v>4928</v>
      </c>
      <c r="E23">
        <v>1</v>
      </c>
      <c r="F23" t="s">
        <v>5014</v>
      </c>
    </row>
    <row r="24" spans="1:6" ht="15">
      <c r="A24" t="str">
        <f t="shared" si="0"/>
        <v>ID00091-ID00092-Referral</v>
      </c>
      <c r="B24" t="s">
        <v>4568</v>
      </c>
      <c r="C24" t="s">
        <v>3798</v>
      </c>
      <c r="D24" t="s">
        <v>4928</v>
      </c>
      <c r="E24">
        <v>1</v>
      </c>
      <c r="F24" t="s">
        <v>5014</v>
      </c>
    </row>
    <row r="25" spans="1:6" ht="15">
      <c r="A25" t="str">
        <f t="shared" si="0"/>
        <v>ID00091-ID00040-Referral</v>
      </c>
      <c r="B25" t="s">
        <v>4568</v>
      </c>
      <c r="C25" t="s">
        <v>3761</v>
      </c>
      <c r="D25" t="s">
        <v>4928</v>
      </c>
      <c r="E25">
        <v>1</v>
      </c>
      <c r="F25" t="s">
        <v>5014</v>
      </c>
    </row>
    <row r="26" spans="1:6" ht="15">
      <c r="A26" t="str">
        <f t="shared" si="0"/>
        <v>ID00094-ID00029-Collaboration</v>
      </c>
      <c r="B26" t="s">
        <v>3800</v>
      </c>
      <c r="C26" t="s">
        <v>4525</v>
      </c>
      <c r="D26" t="s">
        <v>4706</v>
      </c>
      <c r="E26">
        <v>1</v>
      </c>
      <c r="F26" t="s">
        <v>5159</v>
      </c>
    </row>
    <row r="27" spans="1:6" ht="15">
      <c r="A27" t="str">
        <f t="shared" si="0"/>
        <v>ID00029-ID00094-Collaboration</v>
      </c>
      <c r="B27" t="s">
        <v>4525</v>
      </c>
      <c r="C27" t="s">
        <v>3800</v>
      </c>
      <c r="D27" t="s">
        <v>4706</v>
      </c>
      <c r="E27">
        <v>1</v>
      </c>
      <c r="F27" t="s">
        <v>5159</v>
      </c>
    </row>
    <row r="28" spans="1:6" ht="15">
      <c r="A28" t="str">
        <f t="shared" si="0"/>
        <v>ID00048-ID00047-Surgery</v>
      </c>
      <c r="B28" t="s">
        <v>3769</v>
      </c>
      <c r="C28" t="s">
        <v>3768</v>
      </c>
      <c r="D28" t="s">
        <v>4927</v>
      </c>
      <c r="E28">
        <v>1</v>
      </c>
      <c r="F28" t="s">
        <v>7804</v>
      </c>
    </row>
    <row r="29" spans="1:6" ht="15">
      <c r="A29" t="str">
        <f t="shared" si="0"/>
        <v>ID00048-ID00047-Referral</v>
      </c>
      <c r="B29" t="s">
        <v>3769</v>
      </c>
      <c r="C29" t="s">
        <v>3768</v>
      </c>
      <c r="D29" t="s">
        <v>4928</v>
      </c>
      <c r="E29">
        <v>1</v>
      </c>
      <c r="F29" t="s">
        <v>7804</v>
      </c>
    </row>
    <row r="30" spans="1:6" ht="15">
      <c r="A30" t="str">
        <f t="shared" si="0"/>
        <v>ID00048-ID00049-Referral</v>
      </c>
      <c r="B30" t="s">
        <v>3769</v>
      </c>
      <c r="C30" t="s">
        <v>3770</v>
      </c>
      <c r="D30" t="s">
        <v>4928</v>
      </c>
      <c r="E30">
        <v>1</v>
      </c>
    </row>
    <row r="31" spans="1:6" ht="15">
      <c r="A31" t="str">
        <f t="shared" si="0"/>
        <v>ID00047-ID00049-Referral</v>
      </c>
      <c r="B31" t="s">
        <v>3768</v>
      </c>
      <c r="C31" t="s">
        <v>3770</v>
      </c>
      <c r="D31" t="s">
        <v>4928</v>
      </c>
      <c r="E31">
        <v>1</v>
      </c>
    </row>
    <row r="32" spans="1:6" ht="15">
      <c r="A32" t="str">
        <f t="shared" si="0"/>
        <v>ID00067-ID00066-Referral</v>
      </c>
      <c r="B32" t="s">
        <v>4562</v>
      </c>
      <c r="C32" t="s">
        <v>4561</v>
      </c>
      <c r="D32" t="s">
        <v>4928</v>
      </c>
      <c r="E32">
        <v>1</v>
      </c>
    </row>
    <row r="33" spans="1:6" ht="15">
      <c r="A33" t="str">
        <f t="shared" si="0"/>
        <v>ID00081-ID00002-Referral</v>
      </c>
      <c r="B33" t="s">
        <v>3789</v>
      </c>
      <c r="C33" t="s">
        <v>3735</v>
      </c>
      <c r="D33" t="s">
        <v>4928</v>
      </c>
      <c r="E33">
        <v>1</v>
      </c>
    </row>
    <row r="34" spans="1:6" ht="15">
      <c r="A34" t="str">
        <f t="shared" ref="A34:A65" si="1">B34&amp;"-"&amp;C34&amp;"-"&amp;SUBSTITUTE(D34," ", "-")</f>
        <v>ID00081-ID00006-Referral</v>
      </c>
      <c r="B34" t="s">
        <v>3789</v>
      </c>
      <c r="C34" t="s">
        <v>4431</v>
      </c>
      <c r="D34" t="s">
        <v>4928</v>
      </c>
      <c r="E34">
        <v>1</v>
      </c>
    </row>
    <row r="35" spans="1:6" ht="15">
      <c r="A35" t="str">
        <f t="shared" si="1"/>
        <v>ID00002-ID00081-Referral</v>
      </c>
      <c r="B35" t="s">
        <v>3735</v>
      </c>
      <c r="C35" t="s">
        <v>3789</v>
      </c>
      <c r="D35" t="s">
        <v>4928</v>
      </c>
      <c r="E35">
        <v>1</v>
      </c>
    </row>
    <row r="36" spans="1:6" ht="15">
      <c r="A36" t="str">
        <f t="shared" si="1"/>
        <v>ID00006-ID00081-Referral</v>
      </c>
      <c r="B36" t="s">
        <v>4431</v>
      </c>
      <c r="C36" t="s">
        <v>3789</v>
      </c>
      <c r="D36" t="s">
        <v>4928</v>
      </c>
      <c r="E36">
        <v>1</v>
      </c>
    </row>
    <row r="37" spans="1:6" ht="15">
      <c r="A37" t="str">
        <f t="shared" si="1"/>
        <v>ID00085-ID00056-Collaboration</v>
      </c>
      <c r="B37" t="s">
        <v>3792</v>
      </c>
      <c r="C37" t="s">
        <v>4556</v>
      </c>
      <c r="D37" t="s">
        <v>4706</v>
      </c>
      <c r="E37">
        <v>1</v>
      </c>
    </row>
    <row r="38" spans="1:6" ht="15">
      <c r="A38" t="str">
        <f t="shared" si="1"/>
        <v>ID00056-ID00085-Collaboration</v>
      </c>
      <c r="B38" t="s">
        <v>4556</v>
      </c>
      <c r="C38" t="s">
        <v>3792</v>
      </c>
      <c r="D38" t="s">
        <v>4706</v>
      </c>
      <c r="E38">
        <v>1</v>
      </c>
    </row>
    <row r="39" spans="1:6" ht="15">
      <c r="A39" t="str">
        <f t="shared" si="1"/>
        <v>ID00132-ID00085-Collaboration</v>
      </c>
      <c r="B39" t="s">
        <v>8356</v>
      </c>
      <c r="C39" t="s">
        <v>3792</v>
      </c>
      <c r="D39" t="s">
        <v>4706</v>
      </c>
      <c r="E39">
        <v>1</v>
      </c>
      <c r="F39" t="s">
        <v>8357</v>
      </c>
    </row>
    <row r="40" spans="1:6" ht="15">
      <c r="A40" t="str">
        <f t="shared" si="1"/>
        <v>ID00085-ID00132-Collaboration</v>
      </c>
      <c r="B40" t="s">
        <v>3792</v>
      </c>
      <c r="C40" t="s">
        <v>8356</v>
      </c>
      <c r="D40" t="s">
        <v>4706</v>
      </c>
      <c r="E40">
        <v>1</v>
      </c>
      <c r="F40" t="s">
        <v>8357</v>
      </c>
    </row>
    <row r="41" spans="1:6" ht="15">
      <c r="A41" t="str">
        <f t="shared" si="1"/>
        <v>ID00132-ID00056-Collaboration</v>
      </c>
      <c r="B41" t="s">
        <v>8356</v>
      </c>
      <c r="C41" t="s">
        <v>4556</v>
      </c>
      <c r="D41" t="s">
        <v>4706</v>
      </c>
      <c r="E41">
        <v>1</v>
      </c>
      <c r="F41" t="s">
        <v>8357</v>
      </c>
    </row>
    <row r="42" spans="1:6" ht="15">
      <c r="A42" t="str">
        <f t="shared" si="1"/>
        <v>ID00056-ID00132-Collaboration</v>
      </c>
      <c r="B42" t="s">
        <v>4556</v>
      </c>
      <c r="C42" t="s">
        <v>8356</v>
      </c>
      <c r="D42" t="s">
        <v>4706</v>
      </c>
      <c r="E42">
        <v>1</v>
      </c>
      <c r="F42" t="s">
        <v>8357</v>
      </c>
    </row>
    <row r="43" spans="1:6" ht="15">
      <c r="A43" t="str">
        <f t="shared" si="1"/>
        <v>ID00024-ID00079-Collaboration</v>
      </c>
      <c r="B43" t="s">
        <v>4508</v>
      </c>
      <c r="C43" t="s">
        <v>4565</v>
      </c>
      <c r="D43" t="s">
        <v>4706</v>
      </c>
      <c r="E43">
        <v>1</v>
      </c>
    </row>
    <row r="44" spans="1:6" ht="15">
      <c r="A44" t="str">
        <f t="shared" si="1"/>
        <v>ID00079-ID00024-Collaboration</v>
      </c>
      <c r="B44" t="s">
        <v>4565</v>
      </c>
      <c r="C44" t="s">
        <v>4508</v>
      </c>
      <c r="D44" t="s">
        <v>4706</v>
      </c>
      <c r="E44">
        <v>1</v>
      </c>
      <c r="F44" t="s">
        <v>8371</v>
      </c>
    </row>
    <row r="45" spans="1:6" ht="15">
      <c r="A45" t="str">
        <f t="shared" si="1"/>
        <v>ID00025-ID00024-Surgery</v>
      </c>
      <c r="B45" t="s">
        <v>3749</v>
      </c>
      <c r="C45" t="s">
        <v>4508</v>
      </c>
      <c r="D45" t="s">
        <v>4927</v>
      </c>
      <c r="E45">
        <v>1</v>
      </c>
      <c r="F45" t="s">
        <v>8371</v>
      </c>
    </row>
    <row r="46" spans="1:6" ht="15">
      <c r="A46" t="str">
        <f t="shared" si="1"/>
        <v>ID00069-ID00104-Surgery</v>
      </c>
      <c r="B46" t="s">
        <v>3781</v>
      </c>
      <c r="C46" t="s">
        <v>7948</v>
      </c>
      <c r="D46" t="s">
        <v>4927</v>
      </c>
      <c r="E46">
        <v>1</v>
      </c>
    </row>
    <row r="47" spans="1:6" ht="15">
      <c r="A47" t="str">
        <f t="shared" si="1"/>
        <v>ID00101-ID00112-Collaboration</v>
      </c>
      <c r="B47" t="s">
        <v>7937</v>
      </c>
      <c r="C47" t="s">
        <v>7997</v>
      </c>
      <c r="D47" t="s">
        <v>4706</v>
      </c>
      <c r="E47">
        <v>1</v>
      </c>
    </row>
    <row r="48" spans="1:6" ht="15">
      <c r="A48" t="str">
        <f t="shared" si="1"/>
        <v>ID00112-ID00101-Collaboration</v>
      </c>
      <c r="B48" t="s">
        <v>7997</v>
      </c>
      <c r="C48" t="s">
        <v>7937</v>
      </c>
      <c r="D48" t="s">
        <v>4706</v>
      </c>
      <c r="E48">
        <v>1</v>
      </c>
    </row>
    <row r="49" spans="1:5" ht="15">
      <c r="A49" t="str">
        <f t="shared" si="1"/>
        <v>ID00073-ID00145-Collaboration</v>
      </c>
      <c r="B49" t="s">
        <v>3784</v>
      </c>
      <c r="C49" t="s">
        <v>8512</v>
      </c>
      <c r="D49" t="s">
        <v>4706</v>
      </c>
      <c r="E49">
        <v>1</v>
      </c>
    </row>
    <row r="50" spans="1:5" ht="15">
      <c r="A50" t="str">
        <f t="shared" si="1"/>
        <v>ID00145-ID00073-Collaboration</v>
      </c>
      <c r="B50" t="s">
        <v>8512</v>
      </c>
      <c r="C50" t="s">
        <v>3784</v>
      </c>
      <c r="D50" t="s">
        <v>4706</v>
      </c>
      <c r="E50">
        <v>1</v>
      </c>
    </row>
    <row r="51" spans="1:5" ht="15">
      <c r="A51" t="str">
        <f t="shared" si="1"/>
        <v>ID00017-ID00083-Collaboration</v>
      </c>
      <c r="B51" t="s">
        <v>3744</v>
      </c>
      <c r="C51" t="s">
        <v>3791</v>
      </c>
      <c r="D51" t="s">
        <v>4706</v>
      </c>
      <c r="E51">
        <v>1</v>
      </c>
    </row>
    <row r="52" spans="1:5" ht="15">
      <c r="A52" t="str">
        <f t="shared" si="1"/>
        <v>ID00083-ID00017-Collaboration</v>
      </c>
      <c r="B52" t="s">
        <v>3791</v>
      </c>
      <c r="C52" t="s">
        <v>3744</v>
      </c>
      <c r="D52" t="s">
        <v>4706</v>
      </c>
      <c r="E52">
        <v>1</v>
      </c>
    </row>
    <row r="53" spans="1:5" ht="15">
      <c r="A53" t="str">
        <f t="shared" si="1"/>
        <v>ID00017-ID00083-Referral</v>
      </c>
      <c r="B53" t="s">
        <v>3744</v>
      </c>
      <c r="C53" t="s">
        <v>3791</v>
      </c>
      <c r="D53" t="s">
        <v>4928</v>
      </c>
      <c r="E53">
        <v>1</v>
      </c>
    </row>
    <row r="54" spans="1:5" ht="15">
      <c r="A54" t="str">
        <f t="shared" si="1"/>
        <v>ID00083-ID00017-Referral</v>
      </c>
      <c r="B54" t="s">
        <v>3791</v>
      </c>
      <c r="C54" t="s">
        <v>3744</v>
      </c>
      <c r="D54" t="s">
        <v>4928</v>
      </c>
      <c r="E54">
        <v>1</v>
      </c>
    </row>
    <row r="55" spans="1:5" ht="15">
      <c r="A55" t="str">
        <f t="shared" si="1"/>
        <v>ID00055-ID00054-Surgery</v>
      </c>
      <c r="B55" t="s">
        <v>4555</v>
      </c>
      <c r="C55" t="s">
        <v>3774</v>
      </c>
      <c r="D55" t="s">
        <v>4927</v>
      </c>
      <c r="E55">
        <v>1</v>
      </c>
    </row>
    <row r="56" spans="1:5" ht="15">
      <c r="A56" t="str">
        <f t="shared" si="1"/>
        <v>ID00055-ID00054-Referral</v>
      </c>
      <c r="B56" t="s">
        <v>4555</v>
      </c>
      <c r="C56" t="s">
        <v>3774</v>
      </c>
      <c r="D56" t="s">
        <v>4928</v>
      </c>
      <c r="E56">
        <v>1</v>
      </c>
    </row>
    <row r="57" spans="1:5" ht="15">
      <c r="A57" t="str">
        <f t="shared" si="1"/>
        <v>ID00149-ID00099-Collaboration</v>
      </c>
      <c r="B57" t="s">
        <v>3826</v>
      </c>
      <c r="C57" t="s">
        <v>3803</v>
      </c>
      <c r="D57" t="s">
        <v>4706</v>
      </c>
      <c r="E57">
        <v>1</v>
      </c>
    </row>
    <row r="58" spans="1:5" ht="15">
      <c r="A58" t="str">
        <f t="shared" si="1"/>
        <v>ID00099-ID00149-Collaboration</v>
      </c>
      <c r="B58" t="s">
        <v>3803</v>
      </c>
      <c r="C58" t="s">
        <v>3826</v>
      </c>
      <c r="D58" t="s">
        <v>4706</v>
      </c>
      <c r="E58">
        <v>1</v>
      </c>
    </row>
    <row r="59" spans="1:5" ht="15">
      <c r="A59" t="str">
        <f t="shared" si="1"/>
        <v>ID00155-ID01004-Collaboration</v>
      </c>
      <c r="B59" t="s">
        <v>3830</v>
      </c>
      <c r="C59" t="s">
        <v>10976</v>
      </c>
      <c r="D59" t="s">
        <v>4706</v>
      </c>
      <c r="E59">
        <v>1</v>
      </c>
    </row>
    <row r="60" spans="1:5" ht="15">
      <c r="A60" t="str">
        <f t="shared" si="1"/>
        <v>ID01004-ID00155-Collaboration</v>
      </c>
      <c r="B60" t="s">
        <v>10976</v>
      </c>
      <c r="C60" t="s">
        <v>3830</v>
      </c>
      <c r="D60" t="s">
        <v>4706</v>
      </c>
      <c r="E60">
        <v>1</v>
      </c>
    </row>
    <row r="61" spans="1:5" ht="15">
      <c r="A61" t="str">
        <f t="shared" si="1"/>
        <v>ID00587-ID00095-Collaboration</v>
      </c>
      <c r="B61" t="s">
        <v>10559</v>
      </c>
      <c r="C61" t="s">
        <v>5139</v>
      </c>
      <c r="D61" t="s">
        <v>4706</v>
      </c>
      <c r="E61">
        <v>1</v>
      </c>
    </row>
    <row r="62" spans="1:5" ht="15">
      <c r="A62" t="str">
        <f t="shared" si="1"/>
        <v>ID00095-ID00587-Collaboration</v>
      </c>
      <c r="B62" t="s">
        <v>5139</v>
      </c>
      <c r="C62" t="s">
        <v>10559</v>
      </c>
      <c r="D62" t="s">
        <v>4706</v>
      </c>
      <c r="E62">
        <v>1</v>
      </c>
    </row>
    <row r="63" spans="1:5" ht="15">
      <c r="A63" t="str">
        <f t="shared" si="1"/>
        <v>ID00329-ID00029-Surgery</v>
      </c>
      <c r="B63" t="s">
        <v>10301</v>
      </c>
      <c r="C63" t="s">
        <v>4525</v>
      </c>
      <c r="D63" t="s">
        <v>4927</v>
      </c>
      <c r="E63">
        <v>1</v>
      </c>
    </row>
    <row r="64" spans="1:5" ht="15">
      <c r="A64" t="str">
        <f t="shared" si="1"/>
        <v>ID00329-ID00169-Collaboration</v>
      </c>
      <c r="B64" t="s">
        <v>10301</v>
      </c>
      <c r="C64" t="s">
        <v>3844</v>
      </c>
      <c r="D64" t="s">
        <v>4706</v>
      </c>
      <c r="E64">
        <v>1</v>
      </c>
    </row>
    <row r="65" spans="1:6" ht="15">
      <c r="A65" t="str">
        <f t="shared" si="1"/>
        <v>ID00169-ID00329-Collaboration</v>
      </c>
      <c r="B65" t="s">
        <v>3844</v>
      </c>
      <c r="C65" t="s">
        <v>10301</v>
      </c>
      <c r="D65" t="s">
        <v>4706</v>
      </c>
      <c r="E65">
        <v>1</v>
      </c>
    </row>
    <row r="66" spans="1:6" ht="15">
      <c r="A66" t="str">
        <f t="shared" ref="A66:A80" si="2">B66&amp;"-"&amp;C66&amp;"-"&amp;SUBSTITUTE(D66," ", "-")</f>
        <v>ID00323-ID00051-Collaboration</v>
      </c>
      <c r="B66" t="s">
        <v>10295</v>
      </c>
      <c r="C66" t="s">
        <v>4554</v>
      </c>
      <c r="D66" t="s">
        <v>4706</v>
      </c>
      <c r="E66">
        <v>1</v>
      </c>
    </row>
    <row r="67" spans="1:6" ht="15">
      <c r="A67" t="str">
        <f t="shared" si="2"/>
        <v>ID00051-ID00323-Collaboration</v>
      </c>
      <c r="B67" t="s">
        <v>4554</v>
      </c>
      <c r="C67" t="s">
        <v>10295</v>
      </c>
      <c r="D67" t="s">
        <v>4706</v>
      </c>
      <c r="E67">
        <v>1</v>
      </c>
    </row>
    <row r="68" spans="1:6" ht="15">
      <c r="A68" t="str">
        <f t="shared" si="2"/>
        <v>ID00324-ID00051-Collaboration</v>
      </c>
      <c r="B68" t="s">
        <v>10296</v>
      </c>
      <c r="C68" t="s">
        <v>4554</v>
      </c>
      <c r="D68" t="s">
        <v>4706</v>
      </c>
      <c r="E68">
        <v>1</v>
      </c>
    </row>
    <row r="69" spans="1:6" ht="15">
      <c r="A69" t="str">
        <f t="shared" si="2"/>
        <v>ID00051-ID00324-Collaboration</v>
      </c>
      <c r="B69" t="s">
        <v>4554</v>
      </c>
      <c r="C69" t="s">
        <v>10296</v>
      </c>
      <c r="D69" t="s">
        <v>4706</v>
      </c>
      <c r="E69">
        <v>1</v>
      </c>
    </row>
    <row r="70" spans="1:6" ht="15">
      <c r="A70" t="str">
        <f t="shared" si="2"/>
        <v>ID00326-ID00068-Collaboration</v>
      </c>
      <c r="B70" t="s">
        <v>10298</v>
      </c>
      <c r="C70" t="s">
        <v>3780</v>
      </c>
      <c r="D70" t="s">
        <v>4706</v>
      </c>
      <c r="E70">
        <v>1</v>
      </c>
      <c r="F70" t="s">
        <v>11204</v>
      </c>
    </row>
    <row r="71" spans="1:6" ht="15">
      <c r="A71" t="str">
        <f t="shared" si="2"/>
        <v>ID00068-ID00326-Collaboration</v>
      </c>
      <c r="B71" t="s">
        <v>3780</v>
      </c>
      <c r="C71" t="s">
        <v>10298</v>
      </c>
      <c r="D71" t="s">
        <v>4706</v>
      </c>
      <c r="E71">
        <v>1</v>
      </c>
      <c r="F71" t="s">
        <v>11204</v>
      </c>
    </row>
    <row r="72" spans="1:6" ht="15">
      <c r="A72" t="str">
        <f t="shared" si="2"/>
        <v>ID00327-ID00052-Surgery</v>
      </c>
      <c r="B72" t="s">
        <v>10299</v>
      </c>
      <c r="C72" t="s">
        <v>3772</v>
      </c>
      <c r="D72" t="s">
        <v>4927</v>
      </c>
      <c r="E72">
        <v>1</v>
      </c>
      <c r="F72" t="s">
        <v>11206</v>
      </c>
    </row>
    <row r="73" spans="1:6" ht="15">
      <c r="A73" t="str">
        <f t="shared" si="2"/>
        <v>ID00327-ID00010-Collaboration</v>
      </c>
      <c r="B73" t="s">
        <v>10299</v>
      </c>
      <c r="C73" t="s">
        <v>4446</v>
      </c>
      <c r="D73" t="s">
        <v>4706</v>
      </c>
      <c r="E73">
        <v>1</v>
      </c>
      <c r="F73" t="s">
        <v>11213</v>
      </c>
    </row>
    <row r="74" spans="1:6" ht="15">
      <c r="A74" t="str">
        <f t="shared" si="2"/>
        <v>ID00010-ID00327-Collaboration</v>
      </c>
      <c r="B74" t="s">
        <v>4446</v>
      </c>
      <c r="C74" t="s">
        <v>10299</v>
      </c>
      <c r="D74" t="s">
        <v>4706</v>
      </c>
      <c r="E74">
        <v>1</v>
      </c>
      <c r="F74" t="s">
        <v>11213</v>
      </c>
    </row>
    <row r="75" spans="1:6" ht="15">
      <c r="A75" t="str">
        <f t="shared" si="2"/>
        <v>ID00059-ID00014-Collaboration</v>
      </c>
      <c r="B75" t="s">
        <v>4559</v>
      </c>
      <c r="C75" t="s">
        <v>3741</v>
      </c>
      <c r="D75" t="s">
        <v>4706</v>
      </c>
      <c r="E75">
        <v>1</v>
      </c>
    </row>
    <row r="76" spans="1:6" ht="15">
      <c r="A76" t="str">
        <f t="shared" si="2"/>
        <v>ID00014-ID00059-Collaboration</v>
      </c>
      <c r="B76" t="s">
        <v>3741</v>
      </c>
      <c r="C76" t="s">
        <v>4559</v>
      </c>
      <c r="D76" t="s">
        <v>4706</v>
      </c>
      <c r="E76">
        <v>1</v>
      </c>
    </row>
    <row r="77" spans="1:6" ht="15">
      <c r="A77" t="str">
        <f t="shared" si="2"/>
        <v>ID00318-ID00079-Collaboration</v>
      </c>
      <c r="B77" t="s">
        <v>10290</v>
      </c>
      <c r="C77" t="s">
        <v>4565</v>
      </c>
      <c r="D77" t="s">
        <v>4706</v>
      </c>
      <c r="E77">
        <v>1</v>
      </c>
    </row>
    <row r="78" spans="1:6" ht="15">
      <c r="A78" t="str">
        <f t="shared" si="2"/>
        <v>ID00079-ID00318-Collaboration</v>
      </c>
      <c r="B78" t="s">
        <v>4565</v>
      </c>
      <c r="C78" t="s">
        <v>10290</v>
      </c>
      <c r="D78" t="s">
        <v>4706</v>
      </c>
      <c r="E78">
        <v>1</v>
      </c>
    </row>
    <row r="79" spans="1:6" ht="15">
      <c r="A79" t="str">
        <f t="shared" si="2"/>
        <v>ID00322-ID00036-Collaboration</v>
      </c>
      <c r="B79" t="s">
        <v>10294</v>
      </c>
      <c r="C79" t="s">
        <v>3758</v>
      </c>
      <c r="D79" t="s">
        <v>4706</v>
      </c>
      <c r="E79">
        <v>1</v>
      </c>
      <c r="F79" t="s">
        <v>11269</v>
      </c>
    </row>
    <row r="80" spans="1:6" ht="15">
      <c r="A80" t="str">
        <f t="shared" si="2"/>
        <v>ID00036-ID00322-Collaboration</v>
      </c>
      <c r="B80" t="s">
        <v>3758</v>
      </c>
      <c r="C80" t="s">
        <v>10294</v>
      </c>
      <c r="D80" t="s">
        <v>4706</v>
      </c>
      <c r="E80">
        <v>1</v>
      </c>
      <c r="F80" t="s">
        <v>11269</v>
      </c>
    </row>
    <row r="81" spans="1:6" ht="15">
      <c r="A81" t="str">
        <f t="shared" ref="A81:A82" si="3">B81&amp;"-"&amp;C81&amp;"-"&amp;SUBSTITUTE(D81," ", "-")</f>
        <v>ID00079-ID00166-Collaboration</v>
      </c>
      <c r="B81" t="s">
        <v>4565</v>
      </c>
      <c r="C81" t="s">
        <v>3841</v>
      </c>
      <c r="D81" t="s">
        <v>4706</v>
      </c>
      <c r="E81">
        <v>1</v>
      </c>
    </row>
    <row r="82" spans="1:6" ht="15">
      <c r="A82" t="str">
        <f t="shared" si="3"/>
        <v>ID00166-ID00079-Collaboration</v>
      </c>
      <c r="B82" t="s">
        <v>3841</v>
      </c>
      <c r="C82" t="s">
        <v>4565</v>
      </c>
      <c r="D82" t="s">
        <v>4706</v>
      </c>
      <c r="E82">
        <v>1</v>
      </c>
    </row>
    <row r="83" spans="1:6" ht="15">
      <c r="A83" t="str">
        <f t="shared" ref="A83:A108" si="4">B83&amp;"-"&amp;C83&amp;"-"&amp;SUBSTITUTE(D83," ", "-")</f>
        <v>ID00313-ID00333-Surgery</v>
      </c>
      <c r="B83" t="s">
        <v>10285</v>
      </c>
      <c r="C83" t="s">
        <v>10305</v>
      </c>
      <c r="D83" t="s">
        <v>4927</v>
      </c>
      <c r="E83">
        <v>1</v>
      </c>
    </row>
    <row r="84" spans="1:6" ht="15">
      <c r="A84" t="str">
        <f t="shared" si="4"/>
        <v>ID00313-ID00007-Collaboration</v>
      </c>
      <c r="B84" t="s">
        <v>10285</v>
      </c>
      <c r="C84" t="s">
        <v>3739</v>
      </c>
      <c r="D84" t="s">
        <v>4706</v>
      </c>
      <c r="E84">
        <v>1</v>
      </c>
      <c r="F84" t="s">
        <v>11329</v>
      </c>
    </row>
    <row r="85" spans="1:6" ht="15">
      <c r="A85" t="str">
        <f t="shared" si="4"/>
        <v>ID00007-ID00313-Collaboration</v>
      </c>
      <c r="B85" t="s">
        <v>3739</v>
      </c>
      <c r="C85" t="s">
        <v>10285</v>
      </c>
      <c r="D85" t="s">
        <v>4706</v>
      </c>
      <c r="E85">
        <v>1</v>
      </c>
      <c r="F85" t="s">
        <v>11329</v>
      </c>
    </row>
    <row r="86" spans="1:6" ht="15">
      <c r="A86" t="str">
        <f t="shared" si="4"/>
        <v>ID00313-ID00044-Collaboration</v>
      </c>
      <c r="B86" t="s">
        <v>10285</v>
      </c>
      <c r="C86" t="s">
        <v>3765</v>
      </c>
      <c r="D86" t="s">
        <v>4706</v>
      </c>
      <c r="E86">
        <v>1</v>
      </c>
      <c r="F86" t="s">
        <v>11329</v>
      </c>
    </row>
    <row r="87" spans="1:6" ht="15">
      <c r="A87" t="str">
        <f t="shared" si="4"/>
        <v>ID00044-ID00313-Collaboration</v>
      </c>
      <c r="B87" t="s">
        <v>3765</v>
      </c>
      <c r="C87" t="s">
        <v>10285</v>
      </c>
      <c r="D87" t="s">
        <v>4706</v>
      </c>
      <c r="E87">
        <v>1</v>
      </c>
      <c r="F87" t="s">
        <v>11329</v>
      </c>
    </row>
    <row r="88" spans="1:6" ht="15">
      <c r="A88" t="str">
        <f t="shared" si="4"/>
        <v>ID00313-ID00043-Collaboration</v>
      </c>
      <c r="B88" t="s">
        <v>10285</v>
      </c>
      <c r="C88" t="s">
        <v>3764</v>
      </c>
      <c r="D88" t="s">
        <v>4706</v>
      </c>
      <c r="E88">
        <v>1</v>
      </c>
      <c r="F88" t="s">
        <v>11329</v>
      </c>
    </row>
    <row r="89" spans="1:6" ht="15">
      <c r="A89" t="str">
        <f t="shared" si="4"/>
        <v>ID00043-ID00313-Collaboration</v>
      </c>
      <c r="B89" t="s">
        <v>3764</v>
      </c>
      <c r="C89" t="s">
        <v>10285</v>
      </c>
      <c r="D89" t="s">
        <v>4706</v>
      </c>
      <c r="E89">
        <v>1</v>
      </c>
      <c r="F89" t="s">
        <v>11329</v>
      </c>
    </row>
    <row r="90" spans="1:6" ht="15">
      <c r="A90" t="str">
        <f t="shared" si="4"/>
        <v>ID00313-ID00067-Collaboration</v>
      </c>
      <c r="B90" t="s">
        <v>10285</v>
      </c>
      <c r="C90" t="s">
        <v>4562</v>
      </c>
      <c r="D90" t="s">
        <v>4706</v>
      </c>
      <c r="E90">
        <v>1</v>
      </c>
      <c r="F90" t="s">
        <v>11329</v>
      </c>
    </row>
    <row r="91" spans="1:6" ht="15">
      <c r="A91" t="str">
        <f t="shared" si="4"/>
        <v>ID00067-ID00313-Collaboration</v>
      </c>
      <c r="B91" t="s">
        <v>4562</v>
      </c>
      <c r="C91" t="s">
        <v>10285</v>
      </c>
      <c r="D91" t="s">
        <v>4706</v>
      </c>
      <c r="E91">
        <v>1</v>
      </c>
      <c r="F91" t="s">
        <v>11329</v>
      </c>
    </row>
    <row r="92" spans="1:6" ht="15">
      <c r="A92" t="str">
        <f t="shared" si="4"/>
        <v>ID00142-ID00143-Referral</v>
      </c>
      <c r="B92" t="s">
        <v>3823</v>
      </c>
      <c r="C92" t="s">
        <v>8492</v>
      </c>
      <c r="D92" t="s">
        <v>4928</v>
      </c>
      <c r="E92">
        <v>1</v>
      </c>
    </row>
    <row r="93" spans="1:6" ht="15">
      <c r="A93" t="str">
        <f t="shared" si="4"/>
        <v>ID00314-ID00076-Collaboration</v>
      </c>
      <c r="B93" t="s">
        <v>10286</v>
      </c>
      <c r="C93" t="s">
        <v>3787</v>
      </c>
      <c r="D93" t="s">
        <v>4706</v>
      </c>
      <c r="E93">
        <v>1</v>
      </c>
      <c r="F93" t="s">
        <v>11330</v>
      </c>
    </row>
    <row r="94" spans="1:6" ht="15">
      <c r="A94" t="str">
        <f t="shared" si="4"/>
        <v>ID00076-ID00314-Collaboration</v>
      </c>
      <c r="B94" t="s">
        <v>3787</v>
      </c>
      <c r="C94" t="s">
        <v>10286</v>
      </c>
      <c r="D94" t="s">
        <v>4706</v>
      </c>
      <c r="E94">
        <v>1</v>
      </c>
      <c r="F94" t="s">
        <v>11330</v>
      </c>
    </row>
    <row r="95" spans="1:6" ht="15">
      <c r="A95" t="str">
        <f t="shared" si="4"/>
        <v>ID00314-ID00085-Collaboration</v>
      </c>
      <c r="B95" t="s">
        <v>10286</v>
      </c>
      <c r="C95" t="s">
        <v>3792</v>
      </c>
      <c r="D95" t="s">
        <v>4706</v>
      </c>
      <c r="E95">
        <v>1</v>
      </c>
    </row>
    <row r="96" spans="1:6" ht="15">
      <c r="A96" t="str">
        <f t="shared" si="4"/>
        <v>ID00085-ID00314-Collaboration</v>
      </c>
      <c r="B96" t="s">
        <v>3792</v>
      </c>
      <c r="C96" t="s">
        <v>10286</v>
      </c>
      <c r="D96" t="s">
        <v>4706</v>
      </c>
      <c r="E96">
        <v>1</v>
      </c>
    </row>
    <row r="97" spans="1:6" ht="15">
      <c r="A97" t="str">
        <f t="shared" si="4"/>
        <v>ID00314-ID00601-Collaboration</v>
      </c>
      <c r="B97" t="s">
        <v>10286</v>
      </c>
      <c r="C97" t="s">
        <v>10573</v>
      </c>
      <c r="D97" t="s">
        <v>4706</v>
      </c>
      <c r="E97">
        <v>1</v>
      </c>
    </row>
    <row r="98" spans="1:6" ht="15">
      <c r="A98" t="str">
        <f t="shared" si="4"/>
        <v>ID00601-ID00314-Collaboration</v>
      </c>
      <c r="B98" t="s">
        <v>10573</v>
      </c>
      <c r="C98" t="s">
        <v>10286</v>
      </c>
      <c r="D98" t="s">
        <v>4706</v>
      </c>
      <c r="E98">
        <v>1</v>
      </c>
    </row>
    <row r="99" spans="1:6" ht="15">
      <c r="A99" t="str">
        <f t="shared" si="4"/>
        <v>ID00315-ID00301-Collaboration</v>
      </c>
      <c r="B99" t="s">
        <v>10287</v>
      </c>
      <c r="C99" t="s">
        <v>10273</v>
      </c>
      <c r="D99" t="s">
        <v>4706</v>
      </c>
      <c r="E99">
        <v>1</v>
      </c>
    </row>
    <row r="100" spans="1:6" ht="15">
      <c r="A100" t="str">
        <f t="shared" si="4"/>
        <v>ID00301-ID00315-Collaboration</v>
      </c>
      <c r="B100" t="s">
        <v>10273</v>
      </c>
      <c r="C100" t="s">
        <v>10287</v>
      </c>
      <c r="D100" t="s">
        <v>4706</v>
      </c>
      <c r="E100">
        <v>1</v>
      </c>
    </row>
    <row r="101" spans="1:6" ht="15">
      <c r="A101" t="str">
        <f t="shared" si="4"/>
        <v>ID00315-ID00913-Collaboration</v>
      </c>
      <c r="B101" t="s">
        <v>10287</v>
      </c>
      <c r="C101" t="s">
        <v>10885</v>
      </c>
      <c r="D101" t="s">
        <v>4706</v>
      </c>
      <c r="E101">
        <v>1</v>
      </c>
    </row>
    <row r="102" spans="1:6" ht="15">
      <c r="A102" t="str">
        <f t="shared" si="4"/>
        <v>ID00913-ID00315-Collaboration</v>
      </c>
      <c r="B102" t="s">
        <v>10885</v>
      </c>
      <c r="C102" t="s">
        <v>10287</v>
      </c>
      <c r="D102" t="s">
        <v>4706</v>
      </c>
      <c r="E102">
        <v>1</v>
      </c>
    </row>
    <row r="103" spans="1:6" ht="15">
      <c r="A103" t="str">
        <f t="shared" si="4"/>
        <v>ID00126-ID00002-Collaboration</v>
      </c>
      <c r="B103" t="s">
        <v>3816</v>
      </c>
      <c r="C103" t="s">
        <v>3735</v>
      </c>
      <c r="D103" t="s">
        <v>4706</v>
      </c>
      <c r="E103">
        <v>1</v>
      </c>
    </row>
    <row r="104" spans="1:6" ht="15">
      <c r="A104" t="str">
        <f t="shared" si="4"/>
        <v>ID00002-ID00126-Collaboration</v>
      </c>
      <c r="B104" t="s">
        <v>3735</v>
      </c>
      <c r="C104" t="s">
        <v>3816</v>
      </c>
      <c r="D104" t="s">
        <v>4706</v>
      </c>
      <c r="E104">
        <v>1</v>
      </c>
    </row>
    <row r="105" spans="1:6" ht="15">
      <c r="A105" t="str">
        <f t="shared" si="4"/>
        <v>ID00314-ID00309-Collaboration</v>
      </c>
      <c r="B105" t="s">
        <v>10286</v>
      </c>
      <c r="C105" t="s">
        <v>10281</v>
      </c>
      <c r="D105" t="s">
        <v>4706</v>
      </c>
      <c r="E105">
        <v>1</v>
      </c>
    </row>
    <row r="106" spans="1:6" ht="15">
      <c r="A106" t="str">
        <f t="shared" si="4"/>
        <v>ID00309-ID00314-Collaboration</v>
      </c>
      <c r="B106" t="s">
        <v>10281</v>
      </c>
      <c r="C106" t="s">
        <v>10286</v>
      </c>
      <c r="D106" t="s">
        <v>4706</v>
      </c>
      <c r="E106">
        <v>1</v>
      </c>
    </row>
    <row r="107" spans="1:6" ht="15">
      <c r="A107" t="str">
        <f t="shared" si="4"/>
        <v>ID00170-ID00932-Referral</v>
      </c>
      <c r="B107" t="s">
        <v>3845</v>
      </c>
      <c r="C107" t="s">
        <v>10904</v>
      </c>
      <c r="D107" t="s">
        <v>4928</v>
      </c>
      <c r="E107">
        <v>1</v>
      </c>
      <c r="F107" t="s">
        <v>11462</v>
      </c>
    </row>
    <row r="108" spans="1:6" ht="15">
      <c r="A108" t="str">
        <f t="shared" si="4"/>
        <v>ID00932-ID00170-Referral</v>
      </c>
      <c r="B108" t="s">
        <v>10904</v>
      </c>
      <c r="C108" t="s">
        <v>3845</v>
      </c>
      <c r="D108" t="s">
        <v>4928</v>
      </c>
      <c r="E108">
        <v>1</v>
      </c>
    </row>
    <row r="109" spans="1:6" ht="15">
      <c r="A109" t="str">
        <f t="shared" ref="A109:A110" si="5">B109&amp;"-"&amp;C109&amp;"-"&amp;SUBSTITUTE(D109," ", "-")</f>
        <v>ID00110-ID00394-Collaboration</v>
      </c>
      <c r="B109" t="s">
        <v>3809</v>
      </c>
      <c r="C109" t="s">
        <v>10366</v>
      </c>
      <c r="D109" t="s">
        <v>4706</v>
      </c>
      <c r="E109">
        <v>1</v>
      </c>
      <c r="F109" t="s">
        <v>11483</v>
      </c>
    </row>
    <row r="110" spans="1:6" ht="15">
      <c r="A110" t="str">
        <f t="shared" si="5"/>
        <v>ID00394-ID00110-Collaboration</v>
      </c>
      <c r="B110" t="s">
        <v>10366</v>
      </c>
      <c r="C110" t="s">
        <v>3809</v>
      </c>
      <c r="D110" t="s">
        <v>4706</v>
      </c>
      <c r="E110">
        <v>1</v>
      </c>
    </row>
    <row r="111" spans="1:6" ht="15">
      <c r="A111" t="str">
        <f>B111&amp;"-"&amp;C111&amp;"-"&amp;SUBSTITUTE(D111," ", "-")</f>
        <v>ID00304-ID00047-Collaboration</v>
      </c>
      <c r="B111" t="s">
        <v>10276</v>
      </c>
      <c r="C111" t="s">
        <v>3768</v>
      </c>
      <c r="D111" t="s">
        <v>4706</v>
      </c>
      <c r="E111">
        <v>1</v>
      </c>
      <c r="F111" t="s">
        <v>11537</v>
      </c>
    </row>
    <row r="112" spans="1:6" ht="15">
      <c r="A112" t="str">
        <f>B112&amp;"-"&amp;C112&amp;"-"&amp;SUBSTITUTE(D112," ", "-")</f>
        <v>ID00047-ID00304-Collaboration</v>
      </c>
      <c r="B112" t="s">
        <v>3768</v>
      </c>
      <c r="C112" t="s">
        <v>10276</v>
      </c>
      <c r="D112" t="s">
        <v>4706</v>
      </c>
      <c r="E112">
        <v>1</v>
      </c>
      <c r="F112" t="s">
        <v>11537</v>
      </c>
    </row>
    <row r="113" spans="1:6" ht="15">
      <c r="A113" t="str">
        <f>B113&amp;"-"&amp;C113&amp;"-"&amp;SUBSTITUTE(D113," ", "-")</f>
        <v>ID00305-ID00453-Collaboration</v>
      </c>
      <c r="B113" t="s">
        <v>10277</v>
      </c>
      <c r="C113" t="s">
        <v>10425</v>
      </c>
      <c r="D113" t="s">
        <v>4706</v>
      </c>
      <c r="E113">
        <v>1</v>
      </c>
    </row>
    <row r="114" spans="1:6" ht="15">
      <c r="A114" t="str">
        <f>B114&amp;"-"&amp;C114&amp;"-"&amp;SUBSTITUTE(D114," ", "-")</f>
        <v>ID00453-ID00305-Collaboration</v>
      </c>
      <c r="B114" t="s">
        <v>10425</v>
      </c>
      <c r="C114" t="s">
        <v>10277</v>
      </c>
      <c r="D114" t="s">
        <v>4706</v>
      </c>
      <c r="E114">
        <v>1</v>
      </c>
    </row>
    <row r="115" spans="1:6" ht="15">
      <c r="A115" t="str">
        <f>B115&amp;"-"&amp;C115&amp;"-"&amp;SUBSTITUTE(D115," ", "-")</f>
        <v>ID00019-ID00018-Collaboration</v>
      </c>
      <c r="B115" t="s">
        <v>3746</v>
      </c>
      <c r="C115" t="s">
        <v>3745</v>
      </c>
      <c r="D115" t="s">
        <v>4706</v>
      </c>
      <c r="E115">
        <v>1</v>
      </c>
    </row>
    <row r="116" spans="1:6" ht="15">
      <c r="A116" t="str">
        <f>B116&amp;"-"&amp;C116&amp;"-"&amp;SUBSTITUTE(D116," ", "-")</f>
        <v>ID00018-ID00019-Collaboration</v>
      </c>
      <c r="B116" t="s">
        <v>3745</v>
      </c>
      <c r="C116" t="s">
        <v>3746</v>
      </c>
      <c r="D116" t="s">
        <v>4706</v>
      </c>
      <c r="E116">
        <v>1</v>
      </c>
    </row>
    <row r="117" spans="1:6" ht="15">
      <c r="A117" t="str">
        <f>B117&amp;"-"&amp;C117&amp;"-"&amp;SUBSTITUTE(D117," ", "-")</f>
        <v>ID00302-ID00117-Surgery</v>
      </c>
      <c r="B117" t="s">
        <v>10274</v>
      </c>
      <c r="C117" t="s">
        <v>3813</v>
      </c>
      <c r="D117" t="s">
        <v>4927</v>
      </c>
      <c r="E117">
        <v>1</v>
      </c>
      <c r="F117" t="s">
        <v>11553</v>
      </c>
    </row>
    <row r="118" spans="1:6" ht="15">
      <c r="A118" t="str">
        <f>B118&amp;"-"&amp;C118&amp;"-"&amp;SUBSTITUTE(D118," ", "-")</f>
        <v>ID00071-ID00302-Collaboration</v>
      </c>
      <c r="B118" t="s">
        <v>3783</v>
      </c>
      <c r="C118" t="s">
        <v>10274</v>
      </c>
      <c r="D118" t="s">
        <v>4706</v>
      </c>
      <c r="E118">
        <v>1</v>
      </c>
      <c r="F118" t="s">
        <v>11554</v>
      </c>
    </row>
    <row r="119" spans="1:6" ht="15">
      <c r="A119" t="str">
        <f>B119&amp;"-"&amp;C119&amp;"-"&amp;SUBSTITUTE(D119," ", "-")</f>
        <v>ID00302-ID00071-Collaboration</v>
      </c>
      <c r="B119" t="s">
        <v>10274</v>
      </c>
      <c r="C119" t="s">
        <v>3783</v>
      </c>
      <c r="D119" t="s">
        <v>4706</v>
      </c>
      <c r="E119">
        <v>1</v>
      </c>
      <c r="F119" t="s">
        <v>11554</v>
      </c>
    </row>
    <row r="120" spans="1:6">
      <c r="A120" t="str">
        <f>B120&amp;"-"&amp;C120&amp;"-"&amp;SUBSTITUTE(D120," ", "-")</f>
        <v>ID00161-ID00046-MDT</v>
      </c>
      <c r="B120" t="s">
        <v>3836</v>
      </c>
      <c r="C120" t="s">
        <v>3767</v>
      </c>
      <c r="D120" t="s">
        <v>11559</v>
      </c>
      <c r="E120">
        <v>1</v>
      </c>
      <c r="F120" t="s">
        <v>11561</v>
      </c>
    </row>
    <row r="121" spans="1:6">
      <c r="A121" t="str">
        <f>B121&amp;"-"&amp;C121&amp;"-"&amp;SUBSTITUTE(D121," ", "-")</f>
        <v>ID00046-ID00046-MDT</v>
      </c>
      <c r="B121" t="s">
        <v>3767</v>
      </c>
      <c r="C121" t="s">
        <v>3767</v>
      </c>
      <c r="D121" t="s">
        <v>11559</v>
      </c>
      <c r="E121">
        <v>1</v>
      </c>
      <c r="F121" t="s">
        <v>11561</v>
      </c>
    </row>
    <row r="122" spans="1:6">
      <c r="A122" t="str">
        <f>B122&amp;"-"&amp;C122&amp;"-"&amp;SUBSTITUTE(D122," ", "-")</f>
        <v>ID00161-ID00062-MDT</v>
      </c>
      <c r="B122" t="s">
        <v>3836</v>
      </c>
      <c r="C122" t="s">
        <v>3777</v>
      </c>
      <c r="D122" t="s">
        <v>11559</v>
      </c>
      <c r="E122">
        <v>1</v>
      </c>
      <c r="F122" t="s">
        <v>11561</v>
      </c>
    </row>
    <row r="123" spans="1:6">
      <c r="A123" t="str">
        <f>B123&amp;"-"&amp;C123&amp;"-"&amp;SUBSTITUTE(D123," ", "-")</f>
        <v>ID00046-ID00062-MDT</v>
      </c>
      <c r="B123" t="s">
        <v>3767</v>
      </c>
      <c r="C123" t="s">
        <v>3777</v>
      </c>
      <c r="D123" t="s">
        <v>11559</v>
      </c>
      <c r="E123">
        <v>1</v>
      </c>
      <c r="F123" t="s">
        <v>11561</v>
      </c>
    </row>
    <row r="124" spans="1:6">
      <c r="A124" t="str">
        <f>B124&amp;"-"&amp;C124&amp;"-"&amp;SUBSTITUTE(D124," ", "-")</f>
        <v>ID00062-ID00161-MDT</v>
      </c>
      <c r="B124" t="s">
        <v>3777</v>
      </c>
      <c r="C124" t="s">
        <v>3836</v>
      </c>
      <c r="D124" t="s">
        <v>11559</v>
      </c>
      <c r="E124">
        <v>1</v>
      </c>
    </row>
    <row r="125" spans="1:6">
      <c r="A125" t="str">
        <f>B125&amp;"-"&amp;C125&amp;"-"&amp;SUBSTITUTE(D125," ", "-")</f>
        <v>ID00062-ID00046-MDT</v>
      </c>
      <c r="B125" t="s">
        <v>3777</v>
      </c>
      <c r="C125" t="s">
        <v>3767</v>
      </c>
      <c r="D125" t="s">
        <v>11559</v>
      </c>
      <c r="E125">
        <v>1</v>
      </c>
    </row>
    <row r="126" spans="1:6">
      <c r="A126" t="str">
        <f>B126&amp;"-"&amp;C126&amp;"-"&amp;SUBSTITUTE(D126," ", "-")</f>
        <v>ID00161-ID00113-Referral</v>
      </c>
      <c r="B126" t="s">
        <v>3836</v>
      </c>
      <c r="C126" t="s">
        <v>8078</v>
      </c>
      <c r="D126" t="s">
        <v>4928</v>
      </c>
      <c r="E126">
        <v>1</v>
      </c>
      <c r="F126" t="s">
        <v>11563</v>
      </c>
    </row>
    <row r="127" spans="1:6">
      <c r="A127" t="str">
        <f>B127&amp;"-"&amp;C127&amp;"-"&amp;SUBSTITUTE(D127," ", "-")</f>
        <v>ID00113-ID00161-Referral</v>
      </c>
      <c r="B127" t="s">
        <v>8078</v>
      </c>
      <c r="C127" t="s">
        <v>3836</v>
      </c>
      <c r="D127" t="s">
        <v>4928</v>
      </c>
      <c r="E127">
        <v>1</v>
      </c>
    </row>
    <row r="128" spans="1:6">
      <c r="A128" t="str">
        <f>B128&amp;"-"&amp;C128&amp;"-"&amp;SUBSTITUTE(D128," ", "-")</f>
        <v>ID00162-ID00130-Collaboration</v>
      </c>
      <c r="B128" t="s">
        <v>3837</v>
      </c>
      <c r="C128" t="s">
        <v>3819</v>
      </c>
      <c r="D128" t="s">
        <v>4706</v>
      </c>
      <c r="E128">
        <v>1</v>
      </c>
      <c r="F128" t="s">
        <v>11577</v>
      </c>
    </row>
    <row r="129" spans="1:5">
      <c r="A129" t="str">
        <f>B129&amp;"-"&amp;C129&amp;"-"&amp;SUBSTITUTE(D129," ", "-")</f>
        <v>ID00130-ID00162-Collaboration</v>
      </c>
      <c r="B129" t="s">
        <v>3819</v>
      </c>
      <c r="C129" t="s">
        <v>3837</v>
      </c>
      <c r="D129" t="s">
        <v>4706</v>
      </c>
      <c r="E129">
        <v>1</v>
      </c>
    </row>
  </sheetData>
  <autoFilter ref="A1:F120" xr:uid="{3A24DEAF-D73E-494E-A35D-5FCB1B66E47D}"/>
  <conditionalFormatting sqref="A1:A1048576">
    <cfRule type="duplicateValues" dxfId="432" priority="106"/>
  </conditionalFormatting>
  <conditionalFormatting sqref="B2">
    <cfRule type="duplicateValues" dxfId="431" priority="221"/>
  </conditionalFormatting>
  <conditionalFormatting sqref="B3">
    <cfRule type="duplicateValues" dxfId="430" priority="218"/>
  </conditionalFormatting>
  <conditionalFormatting sqref="B4">
    <cfRule type="duplicateValues" dxfId="429" priority="217"/>
  </conditionalFormatting>
  <conditionalFormatting sqref="B5">
    <cfRule type="duplicateValues" dxfId="428" priority="215"/>
  </conditionalFormatting>
  <conditionalFormatting sqref="B7">
    <cfRule type="duplicateValues" dxfId="427" priority="212"/>
  </conditionalFormatting>
  <conditionalFormatting sqref="B8">
    <cfRule type="duplicateValues" dxfId="426" priority="211"/>
  </conditionalFormatting>
  <conditionalFormatting sqref="B9">
    <cfRule type="duplicateValues" dxfId="425" priority="208"/>
  </conditionalFormatting>
  <conditionalFormatting sqref="B10">
    <cfRule type="duplicateValues" dxfId="424" priority="207"/>
  </conditionalFormatting>
  <conditionalFormatting sqref="B11">
    <cfRule type="duplicateValues" dxfId="423" priority="204"/>
  </conditionalFormatting>
  <conditionalFormatting sqref="B12">
    <cfRule type="duplicateValues" dxfId="422" priority="203"/>
  </conditionalFormatting>
  <conditionalFormatting sqref="B13">
    <cfRule type="duplicateValues" dxfId="421" priority="200"/>
  </conditionalFormatting>
  <conditionalFormatting sqref="B14">
    <cfRule type="duplicateValues" dxfId="420" priority="198"/>
  </conditionalFormatting>
  <conditionalFormatting sqref="B15">
    <cfRule type="duplicateValues" dxfId="419" priority="197"/>
  </conditionalFormatting>
  <conditionalFormatting sqref="B16">
    <cfRule type="duplicateValues" dxfId="418" priority="196"/>
  </conditionalFormatting>
  <conditionalFormatting sqref="B17">
    <cfRule type="duplicateValues" dxfId="417" priority="195"/>
  </conditionalFormatting>
  <conditionalFormatting sqref="B18">
    <cfRule type="duplicateValues" dxfId="416" priority="194"/>
  </conditionalFormatting>
  <conditionalFormatting sqref="B19">
    <cfRule type="duplicateValues" dxfId="415" priority="193"/>
  </conditionalFormatting>
  <conditionalFormatting sqref="B20">
    <cfRule type="duplicateValues" dxfId="414" priority="192"/>
  </conditionalFormatting>
  <conditionalFormatting sqref="B21:B25">
    <cfRule type="duplicateValues" dxfId="413" priority="191"/>
  </conditionalFormatting>
  <conditionalFormatting sqref="B26">
    <cfRule type="duplicateValues" dxfId="412" priority="186"/>
  </conditionalFormatting>
  <conditionalFormatting sqref="B27">
    <cfRule type="duplicateValues" dxfId="411" priority="183"/>
  </conditionalFormatting>
  <conditionalFormatting sqref="B28:B29">
    <cfRule type="duplicateValues" dxfId="410" priority="182"/>
  </conditionalFormatting>
  <conditionalFormatting sqref="B30">
    <cfRule type="duplicateValues" dxfId="409" priority="180"/>
  </conditionalFormatting>
  <conditionalFormatting sqref="B31">
    <cfRule type="duplicateValues" dxfId="408" priority="178"/>
  </conditionalFormatting>
  <conditionalFormatting sqref="B32">
    <cfRule type="duplicateValues" dxfId="407" priority="176"/>
  </conditionalFormatting>
  <conditionalFormatting sqref="B33:B34">
    <cfRule type="duplicateValues" dxfId="406" priority="174"/>
  </conditionalFormatting>
  <conditionalFormatting sqref="B35:B36">
    <cfRule type="duplicateValues" dxfId="405" priority="172"/>
  </conditionalFormatting>
  <conditionalFormatting sqref="B37">
    <cfRule type="duplicateValues" dxfId="404" priority="170"/>
  </conditionalFormatting>
  <conditionalFormatting sqref="B38">
    <cfRule type="duplicateValues" dxfId="403" priority="167"/>
  </conditionalFormatting>
  <conditionalFormatting sqref="B39">
    <cfRule type="duplicateValues" dxfId="402" priority="166"/>
  </conditionalFormatting>
  <conditionalFormatting sqref="B40">
    <cfRule type="duplicateValues" dxfId="401" priority="163"/>
  </conditionalFormatting>
  <conditionalFormatting sqref="B41">
    <cfRule type="duplicateValues" dxfId="400" priority="162"/>
  </conditionalFormatting>
  <conditionalFormatting sqref="B42">
    <cfRule type="duplicateValues" dxfId="399" priority="159"/>
  </conditionalFormatting>
  <conditionalFormatting sqref="B43">
    <cfRule type="duplicateValues" dxfId="398" priority="158"/>
  </conditionalFormatting>
  <conditionalFormatting sqref="B44">
    <cfRule type="duplicateValues" dxfId="397" priority="155"/>
  </conditionalFormatting>
  <conditionalFormatting sqref="B45">
    <cfRule type="duplicateValues" dxfId="396" priority="154"/>
  </conditionalFormatting>
  <conditionalFormatting sqref="B46">
    <cfRule type="duplicateValues" dxfId="395" priority="152"/>
  </conditionalFormatting>
  <conditionalFormatting sqref="B47">
    <cfRule type="duplicateValues" dxfId="394" priority="150"/>
  </conditionalFormatting>
  <conditionalFormatting sqref="B48">
    <cfRule type="duplicateValues" dxfId="393" priority="147"/>
  </conditionalFormatting>
  <conditionalFormatting sqref="B49">
    <cfRule type="duplicateValues" dxfId="392" priority="145"/>
    <cfRule type="duplicateValues" dxfId="391" priority="146"/>
  </conditionalFormatting>
  <conditionalFormatting sqref="B50">
    <cfRule type="duplicateValues" dxfId="390" priority="139"/>
    <cfRule type="duplicateValues" dxfId="389" priority="140"/>
  </conditionalFormatting>
  <conditionalFormatting sqref="B51">
    <cfRule type="duplicateValues" dxfId="388" priority="137"/>
    <cfRule type="duplicateValues" dxfId="387" priority="138"/>
  </conditionalFormatting>
  <conditionalFormatting sqref="B52">
    <cfRule type="duplicateValues" dxfId="386" priority="131"/>
    <cfRule type="duplicateValues" dxfId="385" priority="132"/>
  </conditionalFormatting>
  <conditionalFormatting sqref="B53">
    <cfRule type="duplicateValues" dxfId="384" priority="129"/>
    <cfRule type="duplicateValues" dxfId="383" priority="130"/>
  </conditionalFormatting>
  <conditionalFormatting sqref="B54">
    <cfRule type="duplicateValues" dxfId="382" priority="125"/>
    <cfRule type="duplicateValues" dxfId="381" priority="126"/>
  </conditionalFormatting>
  <conditionalFormatting sqref="B55:B56">
    <cfRule type="duplicateValues" dxfId="380" priority="121"/>
    <cfRule type="duplicateValues" dxfId="379" priority="122"/>
  </conditionalFormatting>
  <conditionalFormatting sqref="B57">
    <cfRule type="duplicateValues" dxfId="378" priority="117"/>
    <cfRule type="duplicateValues" dxfId="377" priority="118"/>
  </conditionalFormatting>
  <conditionalFormatting sqref="B58">
    <cfRule type="duplicateValues" dxfId="376" priority="111"/>
    <cfRule type="duplicateValues" dxfId="375" priority="112"/>
  </conditionalFormatting>
  <conditionalFormatting sqref="B61">
    <cfRule type="duplicateValues" dxfId="374" priority="110"/>
  </conditionalFormatting>
  <conditionalFormatting sqref="B62">
    <cfRule type="duplicateValues" dxfId="373" priority="107"/>
  </conditionalFormatting>
  <conditionalFormatting sqref="B63">
    <cfRule type="duplicateValues" dxfId="372" priority="105"/>
  </conditionalFormatting>
  <conditionalFormatting sqref="B64">
    <cfRule type="duplicateValues" dxfId="371" priority="103"/>
  </conditionalFormatting>
  <conditionalFormatting sqref="B65">
    <cfRule type="duplicateValues" dxfId="370" priority="100"/>
  </conditionalFormatting>
  <conditionalFormatting sqref="B66">
    <cfRule type="duplicateValues" dxfId="369" priority="99"/>
  </conditionalFormatting>
  <conditionalFormatting sqref="B67">
    <cfRule type="duplicateValues" dxfId="368" priority="96"/>
  </conditionalFormatting>
  <conditionalFormatting sqref="B68">
    <cfRule type="duplicateValues" dxfId="367" priority="95"/>
  </conditionalFormatting>
  <conditionalFormatting sqref="B69">
    <cfRule type="duplicateValues" dxfId="366" priority="92"/>
  </conditionalFormatting>
  <conditionalFormatting sqref="B70">
    <cfRule type="duplicateValues" dxfId="365" priority="91"/>
  </conditionalFormatting>
  <conditionalFormatting sqref="B71">
    <cfRule type="duplicateValues" dxfId="364" priority="88"/>
  </conditionalFormatting>
  <conditionalFormatting sqref="B72">
    <cfRule type="duplicateValues" dxfId="363" priority="87"/>
  </conditionalFormatting>
  <conditionalFormatting sqref="B73">
    <cfRule type="duplicateValues" dxfId="362" priority="85"/>
  </conditionalFormatting>
  <conditionalFormatting sqref="B74">
    <cfRule type="duplicateValues" dxfId="361" priority="82"/>
  </conditionalFormatting>
  <conditionalFormatting sqref="B75">
    <cfRule type="duplicateValues" dxfId="360" priority="81"/>
  </conditionalFormatting>
  <conditionalFormatting sqref="B76">
    <cfRule type="duplicateValues" dxfId="359" priority="78"/>
  </conditionalFormatting>
  <conditionalFormatting sqref="B77">
    <cfRule type="duplicateValues" dxfId="358" priority="77"/>
  </conditionalFormatting>
  <conditionalFormatting sqref="B78">
    <cfRule type="duplicateValues" dxfId="357" priority="74"/>
  </conditionalFormatting>
  <conditionalFormatting sqref="B79">
    <cfRule type="duplicateValues" dxfId="356" priority="73"/>
  </conditionalFormatting>
  <conditionalFormatting sqref="B80">
    <cfRule type="duplicateValues" dxfId="355" priority="70"/>
  </conditionalFormatting>
  <conditionalFormatting sqref="B83">
    <cfRule type="duplicateValues" dxfId="354" priority="69"/>
  </conditionalFormatting>
  <conditionalFormatting sqref="B84">
    <cfRule type="duplicateValues" dxfId="353" priority="67"/>
  </conditionalFormatting>
  <conditionalFormatting sqref="B85">
    <cfRule type="duplicateValues" dxfId="352" priority="58"/>
  </conditionalFormatting>
  <conditionalFormatting sqref="B86">
    <cfRule type="duplicateValues" dxfId="351" priority="65"/>
  </conditionalFormatting>
  <conditionalFormatting sqref="B87">
    <cfRule type="duplicateValues" dxfId="350" priority="56"/>
  </conditionalFormatting>
  <conditionalFormatting sqref="B88">
    <cfRule type="duplicateValues" dxfId="349" priority="63"/>
  </conditionalFormatting>
  <conditionalFormatting sqref="B89">
    <cfRule type="duplicateValues" dxfId="348" priority="54"/>
  </conditionalFormatting>
  <conditionalFormatting sqref="B90">
    <cfRule type="duplicateValues" dxfId="347" priority="61"/>
  </conditionalFormatting>
  <conditionalFormatting sqref="B91">
    <cfRule type="duplicateValues" dxfId="346" priority="52"/>
  </conditionalFormatting>
  <conditionalFormatting sqref="B92">
    <cfRule type="duplicateValues" dxfId="345" priority="51"/>
  </conditionalFormatting>
  <conditionalFormatting sqref="B93">
    <cfRule type="duplicateValues" dxfId="344" priority="49"/>
  </conditionalFormatting>
  <conditionalFormatting sqref="B94">
    <cfRule type="duplicateValues" dxfId="343" priority="46"/>
  </conditionalFormatting>
  <conditionalFormatting sqref="B95">
    <cfRule type="duplicateValues" dxfId="342" priority="45"/>
  </conditionalFormatting>
  <conditionalFormatting sqref="B96">
    <cfRule type="duplicateValues" dxfId="341" priority="42"/>
  </conditionalFormatting>
  <conditionalFormatting sqref="B97">
    <cfRule type="duplicateValues" dxfId="340" priority="39"/>
  </conditionalFormatting>
  <conditionalFormatting sqref="B98">
    <cfRule type="duplicateValues" dxfId="339" priority="40"/>
  </conditionalFormatting>
  <conditionalFormatting sqref="B99">
    <cfRule type="duplicateValues" dxfId="338" priority="37"/>
  </conditionalFormatting>
  <conditionalFormatting sqref="B100">
    <cfRule type="duplicateValues" dxfId="337" priority="34"/>
  </conditionalFormatting>
  <conditionalFormatting sqref="B101">
    <cfRule type="duplicateValues" dxfId="336" priority="33"/>
  </conditionalFormatting>
  <conditionalFormatting sqref="B102">
    <cfRule type="duplicateValues" dxfId="335" priority="30"/>
  </conditionalFormatting>
  <conditionalFormatting sqref="B103">
    <cfRule type="duplicateValues" dxfId="334" priority="29"/>
  </conditionalFormatting>
  <conditionalFormatting sqref="B104">
    <cfRule type="duplicateValues" dxfId="333" priority="26"/>
  </conditionalFormatting>
  <conditionalFormatting sqref="B105">
    <cfRule type="duplicateValues" dxfId="332" priority="25"/>
  </conditionalFormatting>
  <conditionalFormatting sqref="B106">
    <cfRule type="duplicateValues" dxfId="331" priority="22"/>
  </conditionalFormatting>
  <conditionalFormatting sqref="C2">
    <cfRule type="duplicateValues" dxfId="330" priority="219"/>
  </conditionalFormatting>
  <conditionalFormatting sqref="C3">
    <cfRule type="duplicateValues" dxfId="329" priority="220"/>
  </conditionalFormatting>
  <conditionalFormatting sqref="C4">
    <cfRule type="duplicateValues" dxfId="328" priority="216"/>
  </conditionalFormatting>
  <conditionalFormatting sqref="C5">
    <cfRule type="duplicateValues" dxfId="327" priority="214"/>
  </conditionalFormatting>
  <conditionalFormatting sqref="C6">
    <cfRule type="duplicateValues" dxfId="326" priority="213"/>
  </conditionalFormatting>
  <conditionalFormatting sqref="C8">
    <cfRule type="duplicateValues" dxfId="325" priority="209"/>
  </conditionalFormatting>
  <conditionalFormatting sqref="C9">
    <cfRule type="duplicateValues" dxfId="324" priority="210"/>
  </conditionalFormatting>
  <conditionalFormatting sqref="C10">
    <cfRule type="duplicateValues" dxfId="323" priority="205"/>
  </conditionalFormatting>
  <conditionalFormatting sqref="C11">
    <cfRule type="duplicateValues" dxfId="322" priority="206"/>
  </conditionalFormatting>
  <conditionalFormatting sqref="C12">
    <cfRule type="duplicateValues" dxfId="321" priority="201"/>
  </conditionalFormatting>
  <conditionalFormatting sqref="C13">
    <cfRule type="duplicateValues" dxfId="320" priority="202"/>
  </conditionalFormatting>
  <conditionalFormatting sqref="C14:C20">
    <cfRule type="duplicateValues" dxfId="319" priority="199"/>
  </conditionalFormatting>
  <conditionalFormatting sqref="C21">
    <cfRule type="duplicateValues" dxfId="318" priority="190"/>
  </conditionalFormatting>
  <conditionalFormatting sqref="C22:C23">
    <cfRule type="duplicateValues" dxfId="317" priority="189"/>
  </conditionalFormatting>
  <conditionalFormatting sqref="C24">
    <cfRule type="duplicateValues" dxfId="316" priority="188"/>
  </conditionalFormatting>
  <conditionalFormatting sqref="C25">
    <cfRule type="duplicateValues" dxfId="315" priority="187"/>
  </conditionalFormatting>
  <conditionalFormatting sqref="C26">
    <cfRule type="duplicateValues" dxfId="314" priority="184"/>
  </conditionalFormatting>
  <conditionalFormatting sqref="C27">
    <cfRule type="duplicateValues" dxfId="313" priority="185"/>
  </conditionalFormatting>
  <conditionalFormatting sqref="C28:C29">
    <cfRule type="duplicateValues" dxfId="312" priority="181"/>
  </conditionalFormatting>
  <conditionalFormatting sqref="C30">
    <cfRule type="duplicateValues" dxfId="311" priority="179"/>
  </conditionalFormatting>
  <conditionalFormatting sqref="C31">
    <cfRule type="duplicateValues" dxfId="310" priority="177"/>
  </conditionalFormatting>
  <conditionalFormatting sqref="C32">
    <cfRule type="duplicateValues" dxfId="309" priority="175"/>
  </conditionalFormatting>
  <conditionalFormatting sqref="C33:C34">
    <cfRule type="duplicateValues" dxfId="308" priority="173"/>
  </conditionalFormatting>
  <conditionalFormatting sqref="C35:C36">
    <cfRule type="duplicateValues" dxfId="307" priority="171"/>
  </conditionalFormatting>
  <conditionalFormatting sqref="C37">
    <cfRule type="duplicateValues" dxfId="306" priority="168"/>
  </conditionalFormatting>
  <conditionalFormatting sqref="C38">
    <cfRule type="duplicateValues" dxfId="305" priority="169"/>
  </conditionalFormatting>
  <conditionalFormatting sqref="C39">
    <cfRule type="duplicateValues" dxfId="304" priority="164"/>
  </conditionalFormatting>
  <conditionalFormatting sqref="C40">
    <cfRule type="duplicateValues" dxfId="303" priority="165"/>
  </conditionalFormatting>
  <conditionalFormatting sqref="C41">
    <cfRule type="duplicateValues" dxfId="302" priority="160"/>
  </conditionalFormatting>
  <conditionalFormatting sqref="C42">
    <cfRule type="duplicateValues" dxfId="301" priority="161"/>
  </conditionalFormatting>
  <conditionalFormatting sqref="C43">
    <cfRule type="duplicateValues" dxfId="300" priority="156"/>
  </conditionalFormatting>
  <conditionalFormatting sqref="C44">
    <cfRule type="duplicateValues" dxfId="299" priority="157"/>
  </conditionalFormatting>
  <conditionalFormatting sqref="C45">
    <cfRule type="duplicateValues" dxfId="298" priority="153"/>
  </conditionalFormatting>
  <conditionalFormatting sqref="C46">
    <cfRule type="duplicateValues" dxfId="297" priority="151"/>
  </conditionalFormatting>
  <conditionalFormatting sqref="C47">
    <cfRule type="duplicateValues" dxfId="296" priority="148"/>
  </conditionalFormatting>
  <conditionalFormatting sqref="C48">
    <cfRule type="duplicateValues" dxfId="295" priority="149"/>
  </conditionalFormatting>
  <conditionalFormatting sqref="C49">
    <cfRule type="duplicateValues" dxfId="294" priority="141"/>
    <cfRule type="duplicateValues" dxfId="293" priority="142"/>
  </conditionalFormatting>
  <conditionalFormatting sqref="C50">
    <cfRule type="duplicateValues" dxfId="292" priority="143"/>
    <cfRule type="duplicateValues" dxfId="291" priority="144"/>
  </conditionalFormatting>
  <conditionalFormatting sqref="C51">
    <cfRule type="duplicateValues" dxfId="290" priority="133"/>
    <cfRule type="duplicateValues" dxfId="289" priority="134"/>
  </conditionalFormatting>
  <conditionalFormatting sqref="C52">
    <cfRule type="duplicateValues" dxfId="288" priority="135"/>
    <cfRule type="duplicateValues" dxfId="287" priority="136"/>
  </conditionalFormatting>
  <conditionalFormatting sqref="C53">
    <cfRule type="duplicateValues" dxfId="286" priority="127"/>
    <cfRule type="duplicateValues" dxfId="285" priority="128"/>
  </conditionalFormatting>
  <conditionalFormatting sqref="C54">
    <cfRule type="duplicateValues" dxfId="284" priority="123"/>
    <cfRule type="duplicateValues" dxfId="283" priority="124"/>
  </conditionalFormatting>
  <conditionalFormatting sqref="C55:C56">
    <cfRule type="duplicateValues" dxfId="282" priority="119"/>
    <cfRule type="duplicateValues" dxfId="281" priority="120"/>
  </conditionalFormatting>
  <conditionalFormatting sqref="C57">
    <cfRule type="duplicateValues" dxfId="280" priority="113"/>
    <cfRule type="duplicateValues" dxfId="279" priority="114"/>
  </conditionalFormatting>
  <conditionalFormatting sqref="C58">
    <cfRule type="duplicateValues" dxfId="278" priority="115"/>
    <cfRule type="duplicateValues" dxfId="277" priority="116"/>
  </conditionalFormatting>
  <conditionalFormatting sqref="C61">
    <cfRule type="duplicateValues" dxfId="276" priority="108"/>
  </conditionalFormatting>
  <conditionalFormatting sqref="C62">
    <cfRule type="duplicateValues" dxfId="275" priority="109"/>
  </conditionalFormatting>
  <conditionalFormatting sqref="C63">
    <cfRule type="duplicateValues" dxfId="274" priority="104"/>
  </conditionalFormatting>
  <conditionalFormatting sqref="C64">
    <cfRule type="duplicateValues" dxfId="273" priority="101"/>
  </conditionalFormatting>
  <conditionalFormatting sqref="C65">
    <cfRule type="duplicateValues" dxfId="272" priority="102"/>
  </conditionalFormatting>
  <conditionalFormatting sqref="C66">
    <cfRule type="duplicateValues" dxfId="271" priority="97"/>
  </conditionalFormatting>
  <conditionalFormatting sqref="C67">
    <cfRule type="duplicateValues" dxfId="270" priority="98"/>
  </conditionalFormatting>
  <conditionalFormatting sqref="C68">
    <cfRule type="duplicateValues" dxfId="269" priority="93"/>
  </conditionalFormatting>
  <conditionalFormatting sqref="C69">
    <cfRule type="duplicateValues" dxfId="268" priority="94"/>
  </conditionalFormatting>
  <conditionalFormatting sqref="C70">
    <cfRule type="duplicateValues" dxfId="267" priority="89"/>
  </conditionalFormatting>
  <conditionalFormatting sqref="C71">
    <cfRule type="duplicateValues" dxfId="266" priority="90"/>
  </conditionalFormatting>
  <conditionalFormatting sqref="C72">
    <cfRule type="duplicateValues" dxfId="265" priority="86"/>
  </conditionalFormatting>
  <conditionalFormatting sqref="C73">
    <cfRule type="duplicateValues" dxfId="264" priority="83"/>
  </conditionalFormatting>
  <conditionalFormatting sqref="C74">
    <cfRule type="duplicateValues" dxfId="263" priority="84"/>
  </conditionalFormatting>
  <conditionalFormatting sqref="C75">
    <cfRule type="duplicateValues" dxfId="262" priority="79"/>
  </conditionalFormatting>
  <conditionalFormatting sqref="C76">
    <cfRule type="duplicateValues" dxfId="261" priority="80"/>
  </conditionalFormatting>
  <conditionalFormatting sqref="C77">
    <cfRule type="duplicateValues" dxfId="260" priority="75"/>
  </conditionalFormatting>
  <conditionalFormatting sqref="C78">
    <cfRule type="duplicateValues" dxfId="259" priority="76"/>
  </conditionalFormatting>
  <conditionalFormatting sqref="C79">
    <cfRule type="duplicateValues" dxfId="258" priority="71"/>
  </conditionalFormatting>
  <conditionalFormatting sqref="C80">
    <cfRule type="duplicateValues" dxfId="257" priority="72"/>
  </conditionalFormatting>
  <conditionalFormatting sqref="C83">
    <cfRule type="duplicateValues" dxfId="256" priority="68"/>
  </conditionalFormatting>
  <conditionalFormatting sqref="C84">
    <cfRule type="duplicateValues" dxfId="255" priority="59"/>
  </conditionalFormatting>
  <conditionalFormatting sqref="C85">
    <cfRule type="duplicateValues" dxfId="254" priority="66"/>
  </conditionalFormatting>
  <conditionalFormatting sqref="C86">
    <cfRule type="duplicateValues" dxfId="253" priority="57"/>
  </conditionalFormatting>
  <conditionalFormatting sqref="C87">
    <cfRule type="duplicateValues" dxfId="252" priority="64"/>
  </conditionalFormatting>
  <conditionalFormatting sqref="C88">
    <cfRule type="duplicateValues" dxfId="251" priority="55"/>
  </conditionalFormatting>
  <conditionalFormatting sqref="C89">
    <cfRule type="duplicateValues" dxfId="250" priority="62"/>
  </conditionalFormatting>
  <conditionalFormatting sqref="C90">
    <cfRule type="duplicateValues" dxfId="249" priority="53"/>
  </conditionalFormatting>
  <conditionalFormatting sqref="C91">
    <cfRule type="duplicateValues" dxfId="248" priority="60"/>
  </conditionalFormatting>
  <conditionalFormatting sqref="C92">
    <cfRule type="duplicateValues" dxfId="247" priority="50"/>
  </conditionalFormatting>
  <conditionalFormatting sqref="C93">
    <cfRule type="duplicateValues" dxfId="246" priority="47"/>
  </conditionalFormatting>
  <conditionalFormatting sqref="C94">
    <cfRule type="duplicateValues" dxfId="245" priority="48"/>
  </conditionalFormatting>
  <conditionalFormatting sqref="C95">
    <cfRule type="duplicateValues" dxfId="244" priority="43"/>
  </conditionalFormatting>
  <conditionalFormatting sqref="C96">
    <cfRule type="duplicateValues" dxfId="243" priority="44"/>
  </conditionalFormatting>
  <conditionalFormatting sqref="C97">
    <cfRule type="duplicateValues" dxfId="242" priority="41"/>
  </conditionalFormatting>
  <conditionalFormatting sqref="C98">
    <cfRule type="duplicateValues" dxfId="241" priority="38"/>
  </conditionalFormatting>
  <conditionalFormatting sqref="C99">
    <cfRule type="duplicateValues" dxfId="240" priority="35"/>
  </conditionalFormatting>
  <conditionalFormatting sqref="C100">
    <cfRule type="duplicateValues" dxfId="239" priority="36"/>
  </conditionalFormatting>
  <conditionalFormatting sqref="C101">
    <cfRule type="duplicateValues" dxfId="238" priority="31"/>
  </conditionalFormatting>
  <conditionalFormatting sqref="C102">
    <cfRule type="duplicateValues" dxfId="237" priority="32"/>
  </conditionalFormatting>
  <conditionalFormatting sqref="C103">
    <cfRule type="duplicateValues" dxfId="236" priority="27"/>
  </conditionalFormatting>
  <conditionalFormatting sqref="C104">
    <cfRule type="duplicateValues" dxfId="235" priority="28"/>
  </conditionalFormatting>
  <conditionalFormatting sqref="C105">
    <cfRule type="duplicateValues" dxfId="234" priority="23"/>
  </conditionalFormatting>
  <conditionalFormatting sqref="C106">
    <cfRule type="duplicateValues" dxfId="233" priority="24"/>
  </conditionalFormatting>
  <conditionalFormatting sqref="B111">
    <cfRule type="duplicateValues" dxfId="232" priority="21"/>
  </conditionalFormatting>
  <conditionalFormatting sqref="C112">
    <cfRule type="duplicateValues" dxfId="231" priority="20"/>
  </conditionalFormatting>
  <conditionalFormatting sqref="C111">
    <cfRule type="duplicateValues" dxfId="230" priority="19"/>
  </conditionalFormatting>
  <conditionalFormatting sqref="B112">
    <cfRule type="duplicateValues" dxfId="229" priority="18"/>
  </conditionalFormatting>
  <conditionalFormatting sqref="B113">
    <cfRule type="duplicateValues" dxfId="228" priority="17"/>
  </conditionalFormatting>
  <conditionalFormatting sqref="C114">
    <cfRule type="duplicateValues" dxfId="227" priority="16"/>
  </conditionalFormatting>
  <conditionalFormatting sqref="C113">
    <cfRule type="duplicateValues" dxfId="226" priority="15"/>
  </conditionalFormatting>
  <conditionalFormatting sqref="B114">
    <cfRule type="duplicateValues" dxfId="225" priority="14"/>
  </conditionalFormatting>
  <conditionalFormatting sqref="B115">
    <cfRule type="duplicateValues" dxfId="224" priority="10"/>
  </conditionalFormatting>
  <conditionalFormatting sqref="C116">
    <cfRule type="duplicateValues" dxfId="223" priority="9"/>
  </conditionalFormatting>
  <conditionalFormatting sqref="C115">
    <cfRule type="duplicateValues" dxfId="222" priority="8"/>
  </conditionalFormatting>
  <conditionalFormatting sqref="B116">
    <cfRule type="duplicateValues" dxfId="221" priority="7"/>
  </conditionalFormatting>
  <conditionalFormatting sqref="B117">
    <cfRule type="duplicateValues" dxfId="220" priority="6"/>
  </conditionalFormatting>
  <conditionalFormatting sqref="C117">
    <cfRule type="duplicateValues" dxfId="219" priority="5"/>
  </conditionalFormatting>
  <conditionalFormatting sqref="B118">
    <cfRule type="duplicateValues" dxfId="218" priority="4"/>
  </conditionalFormatting>
  <conditionalFormatting sqref="C119">
    <cfRule type="duplicateValues" dxfId="217" priority="3"/>
  </conditionalFormatting>
  <conditionalFormatting sqref="C118">
    <cfRule type="duplicateValues" dxfId="216" priority="2"/>
  </conditionalFormatting>
  <conditionalFormatting sqref="B119">
    <cfRule type="duplicateValues" dxfId="215"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14F6-EF58-4EB5-9A20-9EC7F12B051F}">
  <sheetPr>
    <tabColor rgb="FF6FFFE8"/>
  </sheetPr>
  <dimension ref="A1:BC884"/>
  <sheetViews>
    <sheetView topLeftCell="F1" zoomScaleNormal="100" workbookViewId="0">
      <pane ySplit="3" topLeftCell="A863" activePane="bottomLeft" state="frozen"/>
      <selection activeCell="B1" sqref="B1"/>
      <selection pane="bottomLeft" activeCell="J868" sqref="J868"/>
    </sheetView>
  </sheetViews>
  <sheetFormatPr defaultRowHeight="14.4"/>
  <cols>
    <col min="1" max="1" width="12.5546875" hidden="1" customWidth="1"/>
    <col min="3" max="3" width="13.109375" customWidth="1"/>
    <col min="7" max="7" width="15.88671875" customWidth="1"/>
    <col min="8" max="9" width="17.88671875" customWidth="1"/>
    <col min="10" max="10" width="16.5546875" customWidth="1"/>
    <col min="11" max="11" width="14.44140625" style="72" customWidth="1"/>
    <col min="12" max="12" width="9.5546875" style="72" customWidth="1"/>
    <col min="13" max="13" width="32.44140625" customWidth="1"/>
    <col min="14" max="14" width="21.109375" customWidth="1"/>
    <col min="15" max="15" width="12.109375" hidden="1" customWidth="1"/>
    <col min="16" max="16" width="10.88671875" hidden="1" customWidth="1"/>
    <col min="17" max="18" width="13" customWidth="1"/>
    <col min="22" max="22" width="8.109375" style="72" customWidth="1"/>
    <col min="23" max="23" width="13.5546875" customWidth="1"/>
    <col min="24" max="24" width="23.44140625" customWidth="1"/>
    <col min="25" max="29" width="8.88671875" customWidth="1"/>
    <col min="30" max="45" width="13" customWidth="1"/>
    <col min="46" max="46" width="13.5546875" customWidth="1"/>
    <col min="47" max="47" width="9.88671875" customWidth="1"/>
    <col min="48" max="48" width="16.88671875" customWidth="1"/>
    <col min="49" max="49" width="16.5546875" customWidth="1"/>
    <col min="50" max="50" width="15" customWidth="1"/>
    <col min="51" max="51" width="12.88671875" customWidth="1"/>
    <col min="52" max="53" width="10.44140625" customWidth="1"/>
    <col min="54" max="54" width="8.88671875" customWidth="1"/>
    <col min="55" max="55" width="12.109375" customWidth="1"/>
  </cols>
  <sheetData>
    <row r="1" spans="1:55" ht="30" customHeight="1">
      <c r="A1" s="5"/>
      <c r="B1" s="119" t="s">
        <v>18</v>
      </c>
      <c r="C1" s="119" t="s">
        <v>4373</v>
      </c>
      <c r="D1" s="118" t="s">
        <v>15</v>
      </c>
      <c r="E1" s="118"/>
      <c r="F1" s="118"/>
      <c r="G1" s="118"/>
      <c r="H1" s="118"/>
      <c r="I1" s="78"/>
      <c r="J1" s="119" t="s">
        <v>16</v>
      </c>
      <c r="K1" s="119"/>
      <c r="L1" s="119"/>
      <c r="M1" s="119"/>
      <c r="N1" s="119"/>
      <c r="O1" s="119"/>
      <c r="P1" s="119"/>
      <c r="Q1" s="119"/>
      <c r="R1" s="119"/>
      <c r="S1" s="119"/>
      <c r="T1" s="119"/>
      <c r="U1" s="119"/>
      <c r="V1" s="120" t="s">
        <v>1</v>
      </c>
      <c r="W1" s="118"/>
      <c r="X1" s="118"/>
      <c r="Y1" s="118"/>
      <c r="Z1" s="118"/>
      <c r="AA1" s="118"/>
      <c r="AB1" s="118"/>
      <c r="AC1" s="118"/>
      <c r="AD1" s="119" t="s">
        <v>4223</v>
      </c>
      <c r="AE1" s="119"/>
      <c r="AF1" s="119"/>
      <c r="AG1" s="119"/>
      <c r="AH1" s="119"/>
      <c r="AI1" s="119"/>
      <c r="AJ1" s="119"/>
      <c r="AK1" s="119"/>
      <c r="AL1" s="118" t="s">
        <v>1168</v>
      </c>
      <c r="AM1" s="118"/>
      <c r="AN1" s="118"/>
      <c r="AO1" s="118"/>
      <c r="AP1" s="118"/>
      <c r="AQ1" s="118"/>
      <c r="AR1" s="63" t="s">
        <v>4386</v>
      </c>
      <c r="AS1" s="118" t="s">
        <v>17</v>
      </c>
      <c r="AT1" s="118"/>
      <c r="AU1" s="118"/>
      <c r="AV1" s="118"/>
      <c r="AW1" s="118"/>
      <c r="AX1" s="118"/>
      <c r="AY1" s="118"/>
      <c r="AZ1" s="118"/>
      <c r="BA1" s="118"/>
      <c r="BB1" s="118"/>
      <c r="BC1" s="118"/>
    </row>
    <row r="2" spans="1:55" ht="117" customHeight="1">
      <c r="A2" s="5" t="s">
        <v>1171</v>
      </c>
      <c r="B2" s="119"/>
      <c r="C2" s="119"/>
      <c r="D2" s="65" t="s">
        <v>19</v>
      </c>
      <c r="E2" s="65" t="s">
        <v>4374</v>
      </c>
      <c r="F2" s="65" t="s">
        <v>4370</v>
      </c>
      <c r="G2" s="65" t="s">
        <v>4375</v>
      </c>
      <c r="H2" s="65" t="s">
        <v>20</v>
      </c>
      <c r="I2" s="82" t="s">
        <v>1036</v>
      </c>
      <c r="J2" s="64" t="s">
        <v>21</v>
      </c>
      <c r="K2" s="64" t="s">
        <v>4376</v>
      </c>
      <c r="L2" s="64" t="s">
        <v>4607</v>
      </c>
      <c r="M2" s="64" t="s">
        <v>22</v>
      </c>
      <c r="N2" s="64" t="s">
        <v>4377</v>
      </c>
      <c r="O2" s="64" t="s">
        <v>4378</v>
      </c>
      <c r="P2" s="64" t="s">
        <v>4379</v>
      </c>
      <c r="Q2" s="64" t="s">
        <v>3115</v>
      </c>
      <c r="R2" s="64" t="s">
        <v>4380</v>
      </c>
      <c r="S2" s="64" t="s">
        <v>23</v>
      </c>
      <c r="T2" s="64" t="s">
        <v>24</v>
      </c>
      <c r="U2" s="64" t="s">
        <v>25</v>
      </c>
      <c r="V2" s="65" t="s">
        <v>4367</v>
      </c>
      <c r="W2" s="65" t="s">
        <v>4368</v>
      </c>
      <c r="X2" s="65" t="s">
        <v>5</v>
      </c>
      <c r="Y2" s="65" t="s">
        <v>6</v>
      </c>
      <c r="Z2" s="65" t="s">
        <v>7</v>
      </c>
      <c r="AA2" s="65" t="s">
        <v>409</v>
      </c>
      <c r="AB2" s="65" t="s">
        <v>8</v>
      </c>
      <c r="AC2" s="65" t="s">
        <v>9</v>
      </c>
      <c r="AD2" s="66" t="s">
        <v>4381</v>
      </c>
      <c r="AE2" s="66" t="s">
        <v>4382</v>
      </c>
      <c r="AF2" s="67" t="s">
        <v>4383</v>
      </c>
      <c r="AG2" s="67" t="s">
        <v>4370</v>
      </c>
      <c r="AH2" s="67" t="s">
        <v>19</v>
      </c>
      <c r="AI2" s="67" t="s">
        <v>4221</v>
      </c>
      <c r="AJ2" s="67" t="s">
        <v>4222</v>
      </c>
      <c r="AK2" s="67" t="s">
        <v>4384</v>
      </c>
      <c r="AL2" s="65" t="s">
        <v>4385</v>
      </c>
      <c r="AM2" s="65" t="s">
        <v>4370</v>
      </c>
      <c r="AN2" s="65" t="s">
        <v>1175</v>
      </c>
      <c r="AO2" s="65" t="s">
        <v>19</v>
      </c>
      <c r="AP2" s="65" t="s">
        <v>4372</v>
      </c>
      <c r="AQ2" s="65" t="s">
        <v>1177</v>
      </c>
      <c r="AR2" s="66" t="s">
        <v>4387</v>
      </c>
      <c r="AS2" s="65" t="s">
        <v>412</v>
      </c>
      <c r="AT2" s="65" t="s">
        <v>497</v>
      </c>
      <c r="AU2" s="65" t="s">
        <v>502</v>
      </c>
      <c r="AV2" s="65" t="s">
        <v>1258</v>
      </c>
      <c r="AW2" s="76" t="s">
        <v>3122</v>
      </c>
      <c r="AX2" s="65" t="s">
        <v>4600</v>
      </c>
      <c r="AY2" s="65" t="s">
        <v>4602</v>
      </c>
      <c r="AZ2" s="65" t="s">
        <v>4605</v>
      </c>
      <c r="BA2" s="65" t="s">
        <v>4703</v>
      </c>
      <c r="BB2" s="65" t="s">
        <v>5119</v>
      </c>
      <c r="BC2" s="65" t="s">
        <v>7808</v>
      </c>
    </row>
    <row r="3" spans="1:55">
      <c r="A3" s="6" t="s">
        <v>11</v>
      </c>
      <c r="B3" s="64" t="s">
        <v>11</v>
      </c>
      <c r="C3" s="64" t="s">
        <v>11</v>
      </c>
      <c r="D3" s="65" t="s">
        <v>11</v>
      </c>
      <c r="E3" s="65" t="s">
        <v>11</v>
      </c>
      <c r="F3" s="65" t="s">
        <v>11</v>
      </c>
      <c r="G3" s="65" t="s">
        <v>11</v>
      </c>
      <c r="H3" s="65" t="s">
        <v>11</v>
      </c>
      <c r="I3" s="82"/>
      <c r="J3" s="64" t="s">
        <v>11</v>
      </c>
      <c r="K3" s="64" t="s">
        <v>11</v>
      </c>
      <c r="L3" s="64"/>
      <c r="M3" s="64" t="s">
        <v>11</v>
      </c>
      <c r="N3" s="64" t="s">
        <v>11</v>
      </c>
      <c r="O3" s="64" t="s">
        <v>11</v>
      </c>
      <c r="P3" s="64" t="s">
        <v>11</v>
      </c>
      <c r="Q3" s="64" t="s">
        <v>11</v>
      </c>
      <c r="R3" s="64" t="s">
        <v>11</v>
      </c>
      <c r="S3" s="64" t="s">
        <v>11</v>
      </c>
      <c r="T3" s="64" t="s">
        <v>11</v>
      </c>
      <c r="U3" s="64" t="s">
        <v>11</v>
      </c>
      <c r="V3" s="65" t="s">
        <v>11</v>
      </c>
      <c r="W3" s="65" t="s">
        <v>11</v>
      </c>
      <c r="X3" s="65" t="s">
        <v>11</v>
      </c>
      <c r="Y3" s="65" t="s">
        <v>11</v>
      </c>
      <c r="Z3" s="65" t="s">
        <v>11</v>
      </c>
      <c r="AA3" s="65" t="s">
        <v>11</v>
      </c>
      <c r="AB3" s="65" t="s">
        <v>11</v>
      </c>
      <c r="AC3" s="65" t="s">
        <v>11</v>
      </c>
      <c r="AD3" s="66" t="s">
        <v>11</v>
      </c>
      <c r="AE3" s="66" t="s">
        <v>11</v>
      </c>
      <c r="AF3" s="66" t="s">
        <v>11</v>
      </c>
      <c r="AG3" s="66" t="s">
        <v>11</v>
      </c>
      <c r="AH3" s="66" t="s">
        <v>11</v>
      </c>
      <c r="AI3" s="66" t="s">
        <v>11</v>
      </c>
      <c r="AJ3" s="66" t="s">
        <v>11</v>
      </c>
      <c r="AK3" s="66" t="s">
        <v>11</v>
      </c>
      <c r="AL3" s="65" t="s">
        <v>11</v>
      </c>
      <c r="AM3" s="65" t="s">
        <v>11</v>
      </c>
      <c r="AN3" s="65" t="s">
        <v>11</v>
      </c>
      <c r="AO3" s="65" t="s">
        <v>11</v>
      </c>
      <c r="AP3" s="65" t="s">
        <v>11</v>
      </c>
      <c r="AQ3" s="65" t="s">
        <v>11</v>
      </c>
      <c r="AR3" s="64" t="s">
        <v>11</v>
      </c>
      <c r="AS3" s="65" t="s">
        <v>11</v>
      </c>
      <c r="AT3" s="65" t="s">
        <v>11</v>
      </c>
      <c r="AU3" s="65" t="s">
        <v>11</v>
      </c>
      <c r="AV3" s="65" t="s">
        <v>11</v>
      </c>
      <c r="AW3" s="76" t="s">
        <v>11</v>
      </c>
      <c r="AX3" s="65" t="s">
        <v>11</v>
      </c>
      <c r="AY3" s="65" t="s">
        <v>11</v>
      </c>
      <c r="AZ3" s="65" t="s">
        <v>11</v>
      </c>
      <c r="BA3" s="65" t="s">
        <v>11</v>
      </c>
      <c r="BB3" s="65" t="s">
        <v>11</v>
      </c>
      <c r="BC3" s="65" t="s">
        <v>11</v>
      </c>
    </row>
    <row r="4" spans="1:55" hidden="1">
      <c r="B4" t="s">
        <v>7878</v>
      </c>
      <c r="C4" s="74" t="s">
        <v>4311</v>
      </c>
      <c r="I4" t="s">
        <v>7883</v>
      </c>
      <c r="J4" t="s">
        <v>7882</v>
      </c>
      <c r="K4" s="72" t="s">
        <v>4413</v>
      </c>
      <c r="M4" t="s">
        <v>4224</v>
      </c>
      <c r="N4" s="71" t="s">
        <v>4224</v>
      </c>
      <c r="Q4" t="str">
        <f>IF(COUNTIFS(HCP_evidence!$A:$A, M4, HCP_evidence!$AB:$AB, "&lt;&gt;")&gt;0, "Yes", "")</f>
        <v/>
      </c>
      <c r="R4" t="s">
        <v>4412</v>
      </c>
      <c r="S4" t="s">
        <v>4412</v>
      </c>
      <c r="V4"/>
      <c r="W4" t="s">
        <v>3139</v>
      </c>
      <c r="X4" t="s">
        <v>4285</v>
      </c>
      <c r="AC4" t="s">
        <v>4283</v>
      </c>
    </row>
    <row r="5" spans="1:55" hidden="1">
      <c r="A5">
        <v>125</v>
      </c>
      <c r="B5" t="s">
        <v>7878</v>
      </c>
      <c r="C5" s="74" t="s">
        <v>4314</v>
      </c>
      <c r="I5" t="s">
        <v>5153</v>
      </c>
      <c r="J5" t="s">
        <v>4990</v>
      </c>
      <c r="K5" s="72" t="s">
        <v>4433</v>
      </c>
      <c r="M5" t="s">
        <v>4252</v>
      </c>
      <c r="N5" s="71" t="s">
        <v>4252</v>
      </c>
      <c r="Q5" t="str">
        <f>IF(COUNTIFS(HCP_evidence!$A:$A, M5, HCP_evidence!$AB:$AB, "&lt;&gt;")&gt;0, "Yes", "")</f>
        <v>Yes</v>
      </c>
      <c r="R5" t="s">
        <v>4305</v>
      </c>
      <c r="S5" t="s">
        <v>4305</v>
      </c>
      <c r="V5"/>
      <c r="W5" t="s">
        <v>3139</v>
      </c>
      <c r="X5" t="s">
        <v>4285</v>
      </c>
      <c r="AC5" t="s">
        <v>4283</v>
      </c>
      <c r="AU5" s="74" t="s">
        <v>414</v>
      </c>
      <c r="AW5" t="str">
        <f>IF(COUNTIFS(HCP_evidence!$A:$A, M5, HCP_evidence!$AH:$AH, "&lt;&gt;")&gt;0, "Yes", "")</f>
        <v/>
      </c>
    </row>
    <row r="6" spans="1:55" hidden="1">
      <c r="A6">
        <v>114</v>
      </c>
      <c r="B6" t="s">
        <v>7878</v>
      </c>
      <c r="C6" s="74" t="s">
        <v>4311</v>
      </c>
      <c r="J6" t="s">
        <v>8561</v>
      </c>
      <c r="K6" s="72" t="s">
        <v>4439</v>
      </c>
      <c r="M6" t="s">
        <v>507</v>
      </c>
      <c r="N6" s="71" t="s">
        <v>507</v>
      </c>
      <c r="Q6" t="str">
        <f>IF(COUNTIFS(HCP_evidence!$A:$A, M6, HCP_evidence!$AB:$AB, "&lt;&gt;")&gt;0, "Yes", "")</f>
        <v/>
      </c>
      <c r="S6" t="s">
        <v>4305</v>
      </c>
      <c r="T6" t="s">
        <v>4305</v>
      </c>
      <c r="V6"/>
      <c r="W6" t="s">
        <v>3139</v>
      </c>
      <c r="X6" t="s">
        <v>4285</v>
      </c>
      <c r="AC6" t="s">
        <v>4283</v>
      </c>
      <c r="AU6" s="74" t="s">
        <v>414</v>
      </c>
      <c r="AW6" t="str">
        <f>IF(COUNTIFS(HCP_evidence!$A:$A, M6, HCP_evidence!$AH:$AH, "&lt;&gt;")&gt;0, "Yes", "")</f>
        <v/>
      </c>
    </row>
    <row r="7" spans="1:55" hidden="1">
      <c r="J7" t="s">
        <v>4622</v>
      </c>
      <c r="K7" s="72" t="s">
        <v>4621</v>
      </c>
      <c r="M7" t="s">
        <v>4084</v>
      </c>
      <c r="N7" s="74"/>
      <c r="Q7" t="str">
        <f>IF(COUNTIFS(HCP_evidence!$A:$A, M7, HCP_evidence!$AB:$AB, "&lt;&gt;")&gt;0, "Yes", "")</f>
        <v/>
      </c>
      <c r="R7" t="s">
        <v>4305</v>
      </c>
      <c r="S7" t="s">
        <v>4305</v>
      </c>
      <c r="V7"/>
      <c r="W7" t="s">
        <v>3139</v>
      </c>
      <c r="X7" t="s">
        <v>4285</v>
      </c>
      <c r="AC7" t="s">
        <v>4283</v>
      </c>
    </row>
    <row r="8" spans="1:55" hidden="1">
      <c r="J8" t="s">
        <v>4624</v>
      </c>
      <c r="K8" s="72" t="s">
        <v>4635</v>
      </c>
      <c r="M8" t="s">
        <v>4636</v>
      </c>
      <c r="N8" s="71" t="s">
        <v>4636</v>
      </c>
      <c r="Q8" t="str">
        <f>IF(COUNTIFS(HCP_evidence!$A:$A, M8, HCP_evidence!$AB:$AB, "&lt;&gt;")&gt;0, "Yes", "")</f>
        <v/>
      </c>
      <c r="R8" t="s">
        <v>4305</v>
      </c>
      <c r="S8" t="s">
        <v>4305</v>
      </c>
      <c r="V8"/>
      <c r="W8" t="s">
        <v>3139</v>
      </c>
      <c r="X8" t="s">
        <v>4285</v>
      </c>
    </row>
    <row r="9" spans="1:55" hidden="1">
      <c r="J9" t="s">
        <v>8609</v>
      </c>
      <c r="K9" s="72" t="s">
        <v>4426</v>
      </c>
      <c r="M9" t="s">
        <v>3934</v>
      </c>
      <c r="N9" s="71" t="s">
        <v>3934</v>
      </c>
      <c r="Q9" t="str">
        <f>IF(COUNTIFS(HCP_evidence!$A:$A, M9, HCP_evidence!$AB:$AB, "&lt;&gt;")&gt;0, "Yes", "")</f>
        <v/>
      </c>
      <c r="R9" t="s">
        <v>4417</v>
      </c>
      <c r="S9" t="s">
        <v>4417</v>
      </c>
      <c r="T9" t="s">
        <v>4422</v>
      </c>
      <c r="V9"/>
      <c r="W9" t="s">
        <v>3139</v>
      </c>
      <c r="X9" t="s">
        <v>4285</v>
      </c>
      <c r="AC9" t="s">
        <v>4283</v>
      </c>
      <c r="AW9" t="str">
        <f>IF(COUNTIFS(HCP_evidence!$A:$A, M9, HCP_evidence!$AH:$AH, "&lt;&gt;")&gt;0, "Yes", "")</f>
        <v/>
      </c>
    </row>
    <row r="10" spans="1:55" hidden="1">
      <c r="J10" t="s">
        <v>4624</v>
      </c>
      <c r="K10" s="72" t="s">
        <v>4631</v>
      </c>
      <c r="M10" t="s">
        <v>4632</v>
      </c>
      <c r="N10" s="71" t="s">
        <v>4335</v>
      </c>
      <c r="Q10" t="str">
        <f>IF(COUNTIFS(HCP_evidence!$A:$A, M10, HCP_evidence!$AB:$AB, "&lt;&gt;")&gt;0, "Yes", "")</f>
        <v/>
      </c>
      <c r="R10" t="s">
        <v>4305</v>
      </c>
      <c r="S10" t="s">
        <v>4305</v>
      </c>
      <c r="V10"/>
      <c r="W10" t="s">
        <v>3139</v>
      </c>
      <c r="X10" t="s">
        <v>4285</v>
      </c>
    </row>
    <row r="11" spans="1:55" hidden="1">
      <c r="A11">
        <v>124</v>
      </c>
      <c r="J11" t="s">
        <v>4630</v>
      </c>
      <c r="K11" s="72" t="s">
        <v>4596</v>
      </c>
      <c r="M11" t="s">
        <v>516</v>
      </c>
      <c r="N11" t="s">
        <v>516</v>
      </c>
      <c r="Q11" t="str">
        <f>IF(COUNTIFS(HCP_evidence!$A:$A, M11, HCP_evidence!$AB:$AB, "&lt;&gt;")&gt;0, "Yes", "")</f>
        <v/>
      </c>
      <c r="R11" t="s">
        <v>4305</v>
      </c>
      <c r="S11" t="s">
        <v>4305</v>
      </c>
      <c r="V11"/>
      <c r="W11" t="s">
        <v>3139</v>
      </c>
      <c r="X11" t="s">
        <v>4285</v>
      </c>
      <c r="AC11" t="s">
        <v>4283</v>
      </c>
      <c r="AU11" s="74" t="s">
        <v>414</v>
      </c>
      <c r="AW11" t="str">
        <f>IF(COUNTIFS(HCP_evidence!$A:$A, M11, HCP_evidence!$AH:$AH, "&lt;&gt;")&gt;0, "Yes", "")</f>
        <v/>
      </c>
    </row>
    <row r="12" spans="1:55" hidden="1">
      <c r="J12" t="s">
        <v>4624</v>
      </c>
      <c r="K12" s="72" t="s">
        <v>4633</v>
      </c>
      <c r="M12" t="s">
        <v>4634</v>
      </c>
      <c r="N12" s="74"/>
      <c r="Q12" t="str">
        <f>IF(COUNTIFS(HCP_evidence!$A:$A, M12, HCP_evidence!$AB:$AB, "&lt;&gt;")&gt;0, "Yes", "")</f>
        <v/>
      </c>
      <c r="R12" t="s">
        <v>4305</v>
      </c>
      <c r="S12" t="s">
        <v>4305</v>
      </c>
      <c r="V12"/>
      <c r="W12" t="s">
        <v>3139</v>
      </c>
      <c r="X12" t="s">
        <v>4285</v>
      </c>
    </row>
    <row r="13" spans="1:55" hidden="1">
      <c r="J13" t="s">
        <v>4624</v>
      </c>
      <c r="K13" s="72" t="s">
        <v>4626</v>
      </c>
      <c r="M13" t="s">
        <v>4340</v>
      </c>
      <c r="N13" s="73" t="s">
        <v>4340</v>
      </c>
      <c r="Q13" t="str">
        <f>IF(COUNTIFS(HCP_evidence!$A:$A, M13, HCP_evidence!$AB:$AB, "&lt;&gt;")&gt;0, "Yes", "")</f>
        <v/>
      </c>
      <c r="R13" t="s">
        <v>4305</v>
      </c>
      <c r="S13" t="s">
        <v>4305</v>
      </c>
      <c r="V13"/>
      <c r="W13" t="s">
        <v>3139</v>
      </c>
      <c r="X13" t="s">
        <v>4285</v>
      </c>
    </row>
    <row r="14" spans="1:55" hidden="1">
      <c r="I14" t="s">
        <v>5153</v>
      </c>
      <c r="J14" t="s">
        <v>7880</v>
      </c>
      <c r="K14" s="72" t="s">
        <v>4434</v>
      </c>
      <c r="M14" t="s">
        <v>4435</v>
      </c>
      <c r="N14" t="s">
        <v>4336</v>
      </c>
      <c r="Q14" t="str">
        <f>IF(COUNTIFS(HCP_evidence!$A:$A, M14, HCP_evidence!$AB:$AB, "&lt;&gt;")&gt;0, "Yes", "")</f>
        <v>Yes</v>
      </c>
      <c r="S14" t="s">
        <v>4412</v>
      </c>
      <c r="T14" t="s">
        <v>4412</v>
      </c>
      <c r="U14" t="s">
        <v>4436</v>
      </c>
      <c r="V14"/>
      <c r="W14" t="s">
        <v>3139</v>
      </c>
      <c r="X14" t="s">
        <v>4285</v>
      </c>
    </row>
    <row r="15" spans="1:55" hidden="1">
      <c r="A15">
        <v>52</v>
      </c>
      <c r="J15" t="s">
        <v>4604</v>
      </c>
      <c r="K15" s="72" t="s">
        <v>4427</v>
      </c>
      <c r="M15" t="s">
        <v>460</v>
      </c>
      <c r="N15" s="71" t="s">
        <v>4277</v>
      </c>
      <c r="Q15" t="str">
        <f>IF(COUNTIFS(HCP_evidence!$A:$A, M15, HCP_evidence!$AB:$AB, "&lt;&gt;")&gt;0, "Yes", "")</f>
        <v/>
      </c>
      <c r="R15" t="s">
        <v>4428</v>
      </c>
      <c r="S15" t="s">
        <v>4428</v>
      </c>
      <c r="V15"/>
      <c r="W15" t="s">
        <v>3139</v>
      </c>
      <c r="X15" t="s">
        <v>4285</v>
      </c>
      <c r="AC15" t="s">
        <v>4283</v>
      </c>
      <c r="AS15" s="74" t="s">
        <v>414</v>
      </c>
      <c r="AU15" s="74" t="s">
        <v>414</v>
      </c>
      <c r="AW15" t="str">
        <f>IF(COUNTIFS(HCP_evidence!$A:$A, M15, HCP_evidence!$AH:$AH, "&lt;&gt;")&gt;0, "Yes", "")</f>
        <v/>
      </c>
      <c r="AX15" s="74" t="s">
        <v>414</v>
      </c>
      <c r="AY15" t="s">
        <v>414</v>
      </c>
      <c r="AZ15" s="13" t="s">
        <v>414</v>
      </c>
    </row>
    <row r="16" spans="1:55" hidden="1">
      <c r="J16" t="s">
        <v>4624</v>
      </c>
      <c r="K16" s="72" t="s">
        <v>4625</v>
      </c>
      <c r="M16" t="s">
        <v>4627</v>
      </c>
      <c r="N16" s="74"/>
      <c r="Q16" t="str">
        <f>IF(COUNTIFS(HCP_evidence!$A:$A, M16, HCP_evidence!$AB:$AB, "&lt;&gt;")&gt;0, "Yes", "")</f>
        <v/>
      </c>
      <c r="R16" t="s">
        <v>4305</v>
      </c>
      <c r="S16" t="s">
        <v>4305</v>
      </c>
      <c r="V16"/>
      <c r="W16" t="s">
        <v>3139</v>
      </c>
      <c r="X16" t="s">
        <v>4285</v>
      </c>
    </row>
    <row r="17" spans="1:49" hidden="1">
      <c r="J17" t="s">
        <v>4624</v>
      </c>
      <c r="K17" s="72" t="s">
        <v>4628</v>
      </c>
      <c r="M17" t="s">
        <v>4629</v>
      </c>
      <c r="N17" t="s">
        <v>4637</v>
      </c>
      <c r="Q17" t="str">
        <f>IF(COUNTIFS(HCP_evidence!$A:$A, M17, HCP_evidence!$AB:$AB, "&lt;&gt;")&gt;0, "Yes", "")</f>
        <v/>
      </c>
      <c r="R17" t="s">
        <v>4305</v>
      </c>
      <c r="S17" t="s">
        <v>4305</v>
      </c>
      <c r="V17"/>
      <c r="W17" t="s">
        <v>3139</v>
      </c>
      <c r="X17" t="s">
        <v>4285</v>
      </c>
    </row>
    <row r="18" spans="1:49" hidden="1">
      <c r="A18">
        <v>206</v>
      </c>
      <c r="J18" t="s">
        <v>7844</v>
      </c>
      <c r="K18" s="72" t="s">
        <v>4623</v>
      </c>
      <c r="M18" t="s">
        <v>1159</v>
      </c>
      <c r="N18" s="74"/>
      <c r="Q18" t="str">
        <f>IF(COUNTIFS(HCP_evidence!$A:$A, M18, HCP_evidence!$AB:$AB, "&lt;&gt;")&gt;0, "Yes", "")</f>
        <v/>
      </c>
      <c r="R18" t="s">
        <v>4305</v>
      </c>
      <c r="S18" t="s">
        <v>4305</v>
      </c>
      <c r="V18"/>
      <c r="W18" t="s">
        <v>3139</v>
      </c>
      <c r="X18" t="s">
        <v>4285</v>
      </c>
      <c r="AC18" t="s">
        <v>4283</v>
      </c>
      <c r="AW18" t="str">
        <f>IF(COUNTIFS(HCP_evidence!$A:$A, M18, HCP_evidence!$AH:$AH, "&lt;&gt;")&gt;0, "Yes", "")</f>
        <v/>
      </c>
    </row>
    <row r="19" spans="1:49" hidden="1">
      <c r="I19" t="s">
        <v>5153</v>
      </c>
      <c r="J19" t="s">
        <v>7886</v>
      </c>
      <c r="K19" s="72" t="s">
        <v>7884</v>
      </c>
      <c r="M19" t="s">
        <v>7885</v>
      </c>
      <c r="Q19" t="str">
        <f>IF(COUNTIFS(HCP_evidence!$A:$A, M19, HCP_evidence!$AB:$AB, "&lt;&gt;")&gt;0, "Yes", "")</f>
        <v>Yes</v>
      </c>
      <c r="V19"/>
      <c r="W19" t="s">
        <v>3139</v>
      </c>
      <c r="X19" s="81" t="s">
        <v>4285</v>
      </c>
    </row>
    <row r="20" spans="1:49" hidden="1">
      <c r="J20" t="s">
        <v>8605</v>
      </c>
      <c r="K20" s="72" t="s">
        <v>7920</v>
      </c>
      <c r="L20" s="72" t="s">
        <v>8604</v>
      </c>
      <c r="M20" t="s">
        <v>7921</v>
      </c>
      <c r="Q20" t="str">
        <f>IF(COUNTIFS(HCP_evidence!$A:$A, M20, HCP_evidence!$AB:$AB, "&lt;&gt;")&gt;0, "Yes", "")</f>
        <v/>
      </c>
      <c r="S20" t="s">
        <v>4417</v>
      </c>
      <c r="V20"/>
      <c r="W20" t="s">
        <v>3139</v>
      </c>
      <c r="X20" s="81" t="s">
        <v>4285</v>
      </c>
    </row>
    <row r="21" spans="1:49" hidden="1">
      <c r="B21" t="s">
        <v>7878</v>
      </c>
      <c r="C21" s="74" t="s">
        <v>4314</v>
      </c>
      <c r="J21" t="s">
        <v>4805</v>
      </c>
      <c r="K21" s="72" t="s">
        <v>4416</v>
      </c>
      <c r="M21" t="s">
        <v>4225</v>
      </c>
      <c r="N21" t="s">
        <v>4225</v>
      </c>
      <c r="Q21" t="str">
        <f>IF(COUNTIFS(HCP_evidence!$A:$A, M21, HCP_evidence!$AB:$AB, "&lt;&gt;")&gt;0, "Yes", "")</f>
        <v>Yes</v>
      </c>
      <c r="R21" t="s">
        <v>4412</v>
      </c>
      <c r="S21" t="s">
        <v>4412</v>
      </c>
      <c r="V21"/>
      <c r="W21" t="s">
        <v>3735</v>
      </c>
      <c r="X21" t="s">
        <v>4288</v>
      </c>
      <c r="AC21" t="s">
        <v>4283</v>
      </c>
    </row>
    <row r="22" spans="1:49" hidden="1">
      <c r="J22" t="s">
        <v>7857</v>
      </c>
      <c r="K22" s="72" t="s">
        <v>4415</v>
      </c>
      <c r="M22" t="s">
        <v>4095</v>
      </c>
      <c r="N22" t="s">
        <v>4226</v>
      </c>
      <c r="Q22" t="str">
        <f>IF(COUNTIFS(HCP_evidence!$A:$A, M22, HCP_evidence!$AB:$AB, "&lt;&gt;")&gt;0, "Yes", "")</f>
        <v>Yes</v>
      </c>
      <c r="R22" t="s">
        <v>4412</v>
      </c>
      <c r="V22"/>
      <c r="W22" t="s">
        <v>3735</v>
      </c>
      <c r="X22" t="s">
        <v>4288</v>
      </c>
      <c r="AC22" t="s">
        <v>4283</v>
      </c>
    </row>
    <row r="23" spans="1:49" hidden="1">
      <c r="E23" t="s">
        <v>414</v>
      </c>
      <c r="J23" t="s">
        <v>4812</v>
      </c>
      <c r="K23" s="72" t="s">
        <v>4418</v>
      </c>
      <c r="L23" s="72" t="s">
        <v>8448</v>
      </c>
      <c r="M23" t="s">
        <v>4227</v>
      </c>
      <c r="N23" t="s">
        <v>4227</v>
      </c>
      <c r="Q23" t="str">
        <f>IF(COUNTIFS(HCP_evidence!$A:$A, M23, HCP_evidence!$AB:$AB, "&lt;&gt;")&gt;0, "Yes", "")</f>
        <v/>
      </c>
      <c r="R23" t="s">
        <v>4417</v>
      </c>
      <c r="S23" t="s">
        <v>4417</v>
      </c>
      <c r="T23" t="s">
        <v>4412</v>
      </c>
      <c r="V23"/>
      <c r="W23" t="s">
        <v>3736</v>
      </c>
      <c r="X23" t="s">
        <v>4419</v>
      </c>
      <c r="AC23" t="s">
        <v>4283</v>
      </c>
    </row>
    <row r="24" spans="1:49" hidden="1">
      <c r="J24" t="s">
        <v>4813</v>
      </c>
      <c r="K24" s="72" t="s">
        <v>4809</v>
      </c>
      <c r="L24" s="72" t="s">
        <v>4811</v>
      </c>
      <c r="M24" t="s">
        <v>4810</v>
      </c>
      <c r="N24" s="74"/>
      <c r="Q24" t="str">
        <f>IF(COUNTIFS(HCP_evidence!$A:$A, M24, HCP_evidence!$AB:$AB, "&lt;&gt;")&gt;0, "Yes", "")</f>
        <v/>
      </c>
      <c r="V24"/>
      <c r="W24" t="s">
        <v>3736</v>
      </c>
      <c r="X24" t="s">
        <v>4419</v>
      </c>
    </row>
    <row r="25" spans="1:49" hidden="1">
      <c r="A25">
        <v>85</v>
      </c>
      <c r="J25" t="s">
        <v>7949</v>
      </c>
      <c r="K25" s="72" t="s">
        <v>4595</v>
      </c>
      <c r="M25" t="s">
        <v>478</v>
      </c>
      <c r="N25" s="71" t="s">
        <v>478</v>
      </c>
      <c r="Q25" t="str">
        <f>IF(COUNTIFS(HCP_evidence!$A:$A, M25, HCP_evidence!$AB:$AB, "&lt;&gt;")&gt;0, "Yes", "")</f>
        <v/>
      </c>
      <c r="R25" t="s">
        <v>4412</v>
      </c>
      <c r="S25" t="s">
        <v>4412</v>
      </c>
      <c r="T25" t="s">
        <v>4422</v>
      </c>
      <c r="V25"/>
      <c r="W25" t="s">
        <v>3737</v>
      </c>
      <c r="X25" t="s">
        <v>4421</v>
      </c>
      <c r="AC25" t="s">
        <v>4283</v>
      </c>
      <c r="AS25" s="74" t="s">
        <v>414</v>
      </c>
      <c r="AW25" t="str">
        <f>IF(COUNTIFS(HCP_evidence!$A:$A, M25, HCP_evidence!$AH:$AH, "&lt;&gt;")&gt;0, "Yes", "")</f>
        <v/>
      </c>
    </row>
    <row r="26" spans="1:49" hidden="1">
      <c r="A26">
        <v>83</v>
      </c>
      <c r="B26" t="s">
        <v>7878</v>
      </c>
      <c r="C26" s="74" t="s">
        <v>4311</v>
      </c>
      <c r="J26" t="s">
        <v>7838</v>
      </c>
      <c r="K26" s="72" t="s">
        <v>4541</v>
      </c>
      <c r="L26" s="72" t="s">
        <v>4698</v>
      </c>
      <c r="M26" t="s">
        <v>3983</v>
      </c>
      <c r="N26" t="s">
        <v>3983</v>
      </c>
      <c r="Q26" t="str">
        <f>IF(COUNTIFS(HCP_evidence!$A:$A, M26, HCP_evidence!$AB:$AB, "&lt;&gt;")&gt;0, "Yes", "")</f>
        <v>Yes</v>
      </c>
      <c r="R26" t="s">
        <v>4305</v>
      </c>
      <c r="S26" t="s">
        <v>4305</v>
      </c>
      <c r="V26"/>
      <c r="W26" t="s">
        <v>3737</v>
      </c>
      <c r="X26" t="s">
        <v>4421</v>
      </c>
      <c r="AC26" t="s">
        <v>4283</v>
      </c>
      <c r="AS26" s="74" t="s">
        <v>414</v>
      </c>
      <c r="AW26" t="str">
        <f>IF(COUNTIFS(HCP_evidence!$A:$A, M26, HCP_evidence!$AH:$AH, "&lt;&gt;")&gt;0, "Yes", "")</f>
        <v/>
      </c>
    </row>
    <row r="27" spans="1:49" hidden="1">
      <c r="A27">
        <v>86</v>
      </c>
      <c r="J27" t="s">
        <v>8000</v>
      </c>
      <c r="K27" s="72" t="s">
        <v>4464</v>
      </c>
      <c r="M27" t="s">
        <v>3995</v>
      </c>
      <c r="N27" s="73" t="s">
        <v>3995</v>
      </c>
      <c r="Q27" t="str">
        <f>IF(COUNTIFS(HCP_evidence!$A:$A, M27, HCP_evidence!$AB:$AB, "&lt;&gt;")&gt;0, "Yes", "")</f>
        <v>Yes</v>
      </c>
      <c r="R27" t="s">
        <v>4412</v>
      </c>
      <c r="S27" t="s">
        <v>4412</v>
      </c>
      <c r="T27" t="s">
        <v>4422</v>
      </c>
      <c r="V27"/>
      <c r="W27" t="s">
        <v>3737</v>
      </c>
      <c r="X27" t="s">
        <v>4421</v>
      </c>
      <c r="AC27" t="s">
        <v>4283</v>
      </c>
      <c r="AS27" s="74" t="s">
        <v>414</v>
      </c>
      <c r="AW27" t="str">
        <f>IF(COUNTIFS(HCP_evidence!$A:$A, M27, HCP_evidence!$AH:$AH, "&lt;&gt;")&gt;0, "Yes", "")</f>
        <v/>
      </c>
    </row>
    <row r="28" spans="1:49" hidden="1">
      <c r="A28">
        <v>84</v>
      </c>
      <c r="J28" t="s">
        <v>4470</v>
      </c>
      <c r="K28" s="72" t="s">
        <v>4542</v>
      </c>
      <c r="M28" t="s">
        <v>477</v>
      </c>
      <c r="N28" s="71" t="s">
        <v>477</v>
      </c>
      <c r="Q28" t="str">
        <f>IF(COUNTIFS(HCP_evidence!$A:$A, M28, HCP_evidence!$AB:$AB, "&lt;&gt;")&gt;0, "Yes", "")</f>
        <v/>
      </c>
      <c r="R28" t="s">
        <v>4305</v>
      </c>
      <c r="S28" t="s">
        <v>4305</v>
      </c>
      <c r="T28" t="s">
        <v>4307</v>
      </c>
      <c r="V28"/>
      <c r="W28" t="s">
        <v>3737</v>
      </c>
      <c r="X28" t="s">
        <v>4421</v>
      </c>
      <c r="AC28" t="s">
        <v>4283</v>
      </c>
      <c r="AS28" s="74" t="s">
        <v>414</v>
      </c>
      <c r="AW28" t="str">
        <f>IF(COUNTIFS(HCP_evidence!$A:$A, M28, HCP_evidence!$AH:$AH, "&lt;&gt;")&gt;0, "Yes", "")</f>
        <v/>
      </c>
    </row>
    <row r="29" spans="1:49" hidden="1">
      <c r="A29">
        <v>87</v>
      </c>
      <c r="J29" t="s">
        <v>8574</v>
      </c>
      <c r="K29" s="72" t="s">
        <v>4543</v>
      </c>
      <c r="M29" t="s">
        <v>479</v>
      </c>
      <c r="N29" t="s">
        <v>479</v>
      </c>
      <c r="Q29" t="str">
        <f>IF(COUNTIFS(HCP_evidence!$A:$A, M29, HCP_evidence!$AB:$AB, "&lt;&gt;")&gt;0, "Yes", "")</f>
        <v/>
      </c>
      <c r="R29" t="s">
        <v>4412</v>
      </c>
      <c r="S29" t="s">
        <v>4412</v>
      </c>
      <c r="T29" t="s">
        <v>4422</v>
      </c>
      <c r="V29"/>
      <c r="W29" t="s">
        <v>3737</v>
      </c>
      <c r="X29" t="s">
        <v>4421</v>
      </c>
      <c r="AC29" t="s">
        <v>4283</v>
      </c>
      <c r="AS29" s="74" t="s">
        <v>414</v>
      </c>
      <c r="AW29" t="str">
        <f>IF(COUNTIFS(HCP_evidence!$A:$A, M29, HCP_evidence!$AH:$AH, "&lt;&gt;")&gt;0, "Yes", "")</f>
        <v/>
      </c>
    </row>
    <row r="30" spans="1:49" hidden="1">
      <c r="J30" t="s">
        <v>4983</v>
      </c>
      <c r="M30" t="s">
        <v>4228</v>
      </c>
      <c r="N30" s="71" t="s">
        <v>4228</v>
      </c>
      <c r="Q30" t="str">
        <f>IF(COUNTIFS(HCP_evidence!$A:$A, M30, HCP_evidence!$AB:$AB, "&lt;&gt;")&gt;0, "Yes", "")</f>
        <v/>
      </c>
      <c r="R30" t="s">
        <v>4417</v>
      </c>
      <c r="S30" t="s">
        <v>4417</v>
      </c>
      <c r="T30" t="s">
        <v>4422</v>
      </c>
      <c r="V30"/>
      <c r="W30" t="s">
        <v>3737</v>
      </c>
      <c r="X30" t="s">
        <v>4421</v>
      </c>
      <c r="AC30" t="s">
        <v>4283</v>
      </c>
    </row>
    <row r="31" spans="1:49" hidden="1">
      <c r="J31" t="s">
        <v>4980</v>
      </c>
      <c r="K31" s="72" t="s">
        <v>4978</v>
      </c>
      <c r="M31" t="s">
        <v>4979</v>
      </c>
      <c r="N31" t="s">
        <v>4979</v>
      </c>
      <c r="Q31" t="str">
        <f>IF(COUNTIFS(HCP_evidence!$A:$A, M31, HCP_evidence!$AB:$AB, "&lt;&gt;")&gt;0, "Yes", "")</f>
        <v>Yes</v>
      </c>
      <c r="V31"/>
      <c r="W31" t="s">
        <v>3737</v>
      </c>
      <c r="X31" t="s">
        <v>4421</v>
      </c>
    </row>
    <row r="32" spans="1:49" hidden="1">
      <c r="J32" t="s">
        <v>7935</v>
      </c>
      <c r="K32" s="72" t="s">
        <v>8005</v>
      </c>
      <c r="M32" t="s">
        <v>8006</v>
      </c>
      <c r="N32" s="71"/>
      <c r="Q32" t="str">
        <f>IF(COUNTIFS(HCP_evidence!$A:$A, M32, HCP_evidence!$AB:$AB, "&lt;&gt;")&gt;0, "Yes", "")</f>
        <v/>
      </c>
      <c r="V32"/>
      <c r="W32" t="s">
        <v>3737</v>
      </c>
      <c r="X32" s="74" t="s">
        <v>4421</v>
      </c>
    </row>
    <row r="33" spans="1:53" hidden="1">
      <c r="A33">
        <v>190</v>
      </c>
      <c r="B33" t="s">
        <v>7878</v>
      </c>
      <c r="C33" s="74" t="s">
        <v>4308</v>
      </c>
      <c r="I33" t="s">
        <v>5153</v>
      </c>
      <c r="J33" t="s">
        <v>8014</v>
      </c>
      <c r="K33" s="72" t="s">
        <v>4437</v>
      </c>
      <c r="M33" t="s">
        <v>1202</v>
      </c>
      <c r="N33" s="71" t="s">
        <v>1202</v>
      </c>
      <c r="Q33" t="str">
        <f>IF(COUNTIFS(HCP_evidence!$A:$A, M33, HCP_evidence!$AB:$AB, "&lt;&gt;")&gt;0, "Yes", "")</f>
        <v>Yes</v>
      </c>
      <c r="R33" t="s">
        <v>4305</v>
      </c>
      <c r="S33" t="s">
        <v>4305</v>
      </c>
      <c r="T33" t="s">
        <v>4438</v>
      </c>
      <c r="V33"/>
      <c r="W33" t="s">
        <v>3738</v>
      </c>
      <c r="X33" t="s">
        <v>4300</v>
      </c>
      <c r="AC33" t="s">
        <v>4283</v>
      </c>
      <c r="AW33" t="str">
        <f>IF(COUNTIFS(HCP_evidence!$A:$A, M33, HCP_evidence!$AH:$AH, "&lt;&gt;")&gt;0, "Yes", "")</f>
        <v/>
      </c>
    </row>
    <row r="34" spans="1:53" hidden="1">
      <c r="B34" t="s">
        <v>7878</v>
      </c>
      <c r="C34" s="74" t="s">
        <v>4311</v>
      </c>
      <c r="I34" t="s">
        <v>5156</v>
      </c>
      <c r="J34" t="s">
        <v>7963</v>
      </c>
      <c r="K34" s="72" t="s">
        <v>4423</v>
      </c>
      <c r="M34" t="s">
        <v>4108</v>
      </c>
      <c r="N34" t="s">
        <v>4108</v>
      </c>
      <c r="Q34" t="str">
        <f>IF(COUNTIFS(HCP_evidence!$A:$A, M34, HCP_evidence!$AB:$AB, "&lt;&gt;")&gt;0, "Yes", "")</f>
        <v>Yes</v>
      </c>
      <c r="R34" t="s">
        <v>4412</v>
      </c>
      <c r="S34" t="s">
        <v>4412</v>
      </c>
      <c r="T34" t="s">
        <v>4422</v>
      </c>
      <c r="V34"/>
      <c r="W34" t="s">
        <v>3738</v>
      </c>
      <c r="X34" t="s">
        <v>4300</v>
      </c>
      <c r="AC34" t="s">
        <v>4283</v>
      </c>
    </row>
    <row r="35" spans="1:53" hidden="1">
      <c r="I35" t="s">
        <v>5153</v>
      </c>
      <c r="J35" t="s">
        <v>4801</v>
      </c>
      <c r="K35" s="72" t="s">
        <v>4799</v>
      </c>
      <c r="M35" t="s">
        <v>4800</v>
      </c>
      <c r="N35" s="73"/>
      <c r="Q35" t="str">
        <f>IF(COUNTIFS(HCP_evidence!$A:$A, M35, HCP_evidence!$AB:$AB, "&lt;&gt;")&gt;0, "Yes", "")</f>
        <v>Yes</v>
      </c>
      <c r="V35"/>
      <c r="W35" t="s">
        <v>3738</v>
      </c>
      <c r="X35" t="s">
        <v>4300</v>
      </c>
    </row>
    <row r="36" spans="1:53" hidden="1">
      <c r="I36" t="s">
        <v>5153</v>
      </c>
      <c r="J36" t="s">
        <v>4797</v>
      </c>
      <c r="K36" s="72" t="s">
        <v>4796</v>
      </c>
      <c r="M36" t="s">
        <v>4330</v>
      </c>
      <c r="N36" s="74"/>
      <c r="Q36" t="str">
        <f>IF(COUNTIFS(HCP_evidence!$A:$A, M36, HCP_evidence!$AB:$AB, "&lt;&gt;")&gt;0, "Yes", "")</f>
        <v>Yes</v>
      </c>
      <c r="V36"/>
      <c r="W36" t="s">
        <v>3738</v>
      </c>
      <c r="X36" t="s">
        <v>4300</v>
      </c>
    </row>
    <row r="37" spans="1:53" hidden="1">
      <c r="A37">
        <v>98</v>
      </c>
      <c r="J37" t="s">
        <v>4470</v>
      </c>
      <c r="K37" s="72" t="s">
        <v>4531</v>
      </c>
      <c r="M37" t="s">
        <v>469</v>
      </c>
      <c r="N37" t="s">
        <v>469</v>
      </c>
      <c r="Q37" t="str">
        <f>IF(COUNTIFS(HCP_evidence!$A:$A, M37, HCP_evidence!$AB:$AB, "&lt;&gt;")&gt;0, "Yes", "")</f>
        <v/>
      </c>
      <c r="R37" t="s">
        <v>4428</v>
      </c>
      <c r="S37" t="s">
        <v>4428</v>
      </c>
      <c r="V37"/>
      <c r="W37" t="s">
        <v>3738</v>
      </c>
      <c r="X37" t="s">
        <v>4300</v>
      </c>
      <c r="AC37" t="s">
        <v>4283</v>
      </c>
      <c r="AS37" s="74" t="s">
        <v>414</v>
      </c>
      <c r="AW37" t="str">
        <f>IF(COUNTIFS(HCP_evidence!$A:$A, M37, HCP_evidence!$AH:$AH, "&lt;&gt;")&gt;0, "Yes", "")</f>
        <v/>
      </c>
    </row>
    <row r="38" spans="1:53" hidden="1">
      <c r="A38">
        <v>109</v>
      </c>
      <c r="I38" t="s">
        <v>5156</v>
      </c>
      <c r="J38" t="s">
        <v>8454</v>
      </c>
      <c r="K38" s="72" t="s">
        <v>4592</v>
      </c>
      <c r="M38" t="s">
        <v>495</v>
      </c>
      <c r="N38" s="74"/>
      <c r="Q38" t="str">
        <f>IF(COUNTIFS(HCP_evidence!$A:$A, M38, HCP_evidence!$AB:$AB, "&lt;&gt;")&gt;0, "Yes", "")</f>
        <v/>
      </c>
      <c r="R38" t="s">
        <v>4307</v>
      </c>
      <c r="S38" t="s">
        <v>4307</v>
      </c>
      <c r="V38"/>
      <c r="W38" t="s">
        <v>3738</v>
      </c>
      <c r="X38" t="s">
        <v>4300</v>
      </c>
      <c r="AC38" t="s">
        <v>4283</v>
      </c>
      <c r="AT38" s="74" t="s">
        <v>414</v>
      </c>
      <c r="AW38" t="str">
        <f>IF(COUNTIFS(HCP_evidence!$A:$A, M38, HCP_evidence!$AH:$AH, "&lt;&gt;")&gt;0, "Yes", "")</f>
        <v/>
      </c>
    </row>
    <row r="39" spans="1:53" hidden="1">
      <c r="A39">
        <v>144</v>
      </c>
      <c r="I39" t="s">
        <v>5156</v>
      </c>
      <c r="J39" t="s">
        <v>4996</v>
      </c>
      <c r="K39" s="72" t="s">
        <v>4995</v>
      </c>
      <c r="M39" t="s">
        <v>1102</v>
      </c>
      <c r="N39" t="s">
        <v>7910</v>
      </c>
      <c r="Q39" t="str">
        <f>IF(COUNTIFS(HCP_evidence!$A:$A, M39, HCP_evidence!$AB:$AB, "&lt;&gt;")&gt;0, "Yes", "")</f>
        <v/>
      </c>
      <c r="V39"/>
      <c r="W39" t="s">
        <v>3738</v>
      </c>
      <c r="X39" t="s">
        <v>4300</v>
      </c>
      <c r="AC39" t="s">
        <v>4283</v>
      </c>
      <c r="AW39" t="str">
        <f>IF(COUNTIFS(HCP_evidence!$A:$A, M39, HCP_evidence!$AH:$AH, "&lt;&gt;")&gt;0, "Yes", "")</f>
        <v/>
      </c>
    </row>
    <row r="40" spans="1:53" hidden="1">
      <c r="B40" t="s">
        <v>7878</v>
      </c>
      <c r="C40" s="74" t="s">
        <v>4314</v>
      </c>
      <c r="I40" t="s">
        <v>5153</v>
      </c>
      <c r="J40" t="s">
        <v>8269</v>
      </c>
      <c r="K40" s="72" t="s">
        <v>4429</v>
      </c>
      <c r="L40" s="72" t="s">
        <v>5006</v>
      </c>
      <c r="M40" t="s">
        <v>4269</v>
      </c>
      <c r="N40" t="s">
        <v>4269</v>
      </c>
      <c r="Q40" t="str">
        <f>IF(COUNTIFS(HCP_evidence!$A:$A, M40, HCP_evidence!$AB:$AB, "&lt;&gt;")&gt;0, "Yes", "")</f>
        <v>Yes</v>
      </c>
      <c r="S40" t="s">
        <v>4412</v>
      </c>
      <c r="V40"/>
      <c r="W40" t="s">
        <v>4431</v>
      </c>
      <c r="X40" t="s">
        <v>4430</v>
      </c>
      <c r="AC40" t="s">
        <v>4283</v>
      </c>
    </row>
    <row r="41" spans="1:53" hidden="1">
      <c r="A41">
        <v>122</v>
      </c>
      <c r="I41" t="s">
        <v>5153</v>
      </c>
      <c r="J41" t="s">
        <v>4930</v>
      </c>
      <c r="K41" s="72" t="s">
        <v>4573</v>
      </c>
      <c r="M41" t="s">
        <v>514</v>
      </c>
      <c r="N41" t="s">
        <v>514</v>
      </c>
      <c r="Q41" t="str">
        <f>IF(COUNTIFS(HCP_evidence!$A:$A, M41, HCP_evidence!$AB:$AB, "&lt;&gt;")&gt;0, "Yes", "")</f>
        <v>Yes</v>
      </c>
      <c r="R41" t="s">
        <v>4305</v>
      </c>
      <c r="S41" t="s">
        <v>4305</v>
      </c>
      <c r="V41"/>
      <c r="W41" t="s">
        <v>4431</v>
      </c>
      <c r="X41" t="s">
        <v>4430</v>
      </c>
      <c r="AC41" t="s">
        <v>4283</v>
      </c>
      <c r="AU41" s="74" t="s">
        <v>414</v>
      </c>
      <c r="AW41" t="str">
        <f>IF(COUNTIFS(HCP_evidence!$A:$A, M41, HCP_evidence!$AH:$AH, "&lt;&gt;")&gt;0, "Yes", "")</f>
        <v/>
      </c>
    </row>
    <row r="42" spans="1:53" hidden="1">
      <c r="I42" t="s">
        <v>5156</v>
      </c>
      <c r="J42" t="s">
        <v>5010</v>
      </c>
      <c r="K42" s="72" t="s">
        <v>5008</v>
      </c>
      <c r="L42" s="72" t="s">
        <v>5009</v>
      </c>
      <c r="M42" t="s">
        <v>5007</v>
      </c>
      <c r="N42" t="s">
        <v>5007</v>
      </c>
      <c r="Q42" t="str">
        <f>IF(COUNTIFS(HCP_evidence!$A:$A, M42, HCP_evidence!$AB:$AB, "&lt;&gt;")&gt;0, "Yes", "")</f>
        <v/>
      </c>
      <c r="V42"/>
      <c r="W42" t="s">
        <v>4431</v>
      </c>
      <c r="X42" t="s">
        <v>4430</v>
      </c>
    </row>
    <row r="43" spans="1:53" hidden="1">
      <c r="B43" t="s">
        <v>7878</v>
      </c>
      <c r="C43" s="74" t="s">
        <v>4308</v>
      </c>
      <c r="D43" t="s">
        <v>414</v>
      </c>
      <c r="I43" t="s">
        <v>5153</v>
      </c>
      <c r="J43" t="s">
        <v>4609</v>
      </c>
      <c r="K43" s="72" t="s">
        <v>4432</v>
      </c>
      <c r="L43" s="72" t="s">
        <v>4608</v>
      </c>
      <c r="M43" t="s">
        <v>1194</v>
      </c>
      <c r="N43" s="13" t="s">
        <v>1194</v>
      </c>
      <c r="Q43" t="str">
        <f>IF(COUNTIFS(HCP_evidence!$A:$A, M43, HCP_evidence!$AB:$AB, "&lt;&gt;")&gt;0, "Yes", "")</f>
        <v>Yes</v>
      </c>
      <c r="R43" t="s">
        <v>4305</v>
      </c>
      <c r="S43" t="s">
        <v>4305</v>
      </c>
      <c r="T43" t="s">
        <v>4307</v>
      </c>
      <c r="V43"/>
      <c r="W43" t="s">
        <v>3739</v>
      </c>
      <c r="X43" s="12" t="s">
        <v>33</v>
      </c>
      <c r="AC43" t="s">
        <v>4283</v>
      </c>
      <c r="AV43" s="13" t="s">
        <v>8618</v>
      </c>
      <c r="AW43" t="str">
        <f>IF(COUNTIFS(HCP_evidence!$A:$A, M43, HCP_evidence!$AH:$AH, "&lt;&gt;")&gt;0, "Yes", "")</f>
        <v/>
      </c>
    </row>
    <row r="44" spans="1:53" hidden="1">
      <c r="B44" t="s">
        <v>7878</v>
      </c>
      <c r="C44" s="74" t="s">
        <v>4308</v>
      </c>
      <c r="I44" t="s">
        <v>5156</v>
      </c>
      <c r="J44" t="s">
        <v>11387</v>
      </c>
      <c r="K44" s="72" t="s">
        <v>4441</v>
      </c>
      <c r="M44" t="s">
        <v>1179</v>
      </c>
      <c r="N44" s="71" t="s">
        <v>1179</v>
      </c>
      <c r="Q44" t="str">
        <f>IF(COUNTIFS(HCP_evidence!$A:$A, M44, HCP_evidence!$AB:$AB, "&lt;&gt;")&gt;0, "Yes", "")</f>
        <v/>
      </c>
      <c r="R44" t="s">
        <v>4307</v>
      </c>
      <c r="S44" t="s">
        <v>4307</v>
      </c>
      <c r="V44"/>
      <c r="W44" t="s">
        <v>3739</v>
      </c>
      <c r="X44" s="12" t="s">
        <v>33</v>
      </c>
      <c r="AC44" t="s">
        <v>4283</v>
      </c>
      <c r="AW44" t="str">
        <f>IF(COUNTIFS(HCP_evidence!$A:$A, M44, HCP_evidence!$AH:$AH, "&lt;&gt;")&gt;0, "Yes", "")</f>
        <v/>
      </c>
    </row>
    <row r="45" spans="1:53" hidden="1">
      <c r="A45">
        <v>112</v>
      </c>
      <c r="B45" t="s">
        <v>7878</v>
      </c>
      <c r="C45" s="74" t="s">
        <v>4311</v>
      </c>
      <c r="I45" t="s">
        <v>5156</v>
      </c>
      <c r="J45" t="s">
        <v>4612</v>
      </c>
      <c r="K45" s="72" t="s">
        <v>4459</v>
      </c>
      <c r="M45" t="s">
        <v>4278</v>
      </c>
      <c r="N45" t="s">
        <v>4278</v>
      </c>
      <c r="Q45" t="str">
        <f>IF(COUNTIFS(HCP_evidence!$A:$A, M45, HCP_evidence!$AB:$AB, "&lt;&gt;")&gt;0, "Yes", "")</f>
        <v/>
      </c>
      <c r="R45" t="s">
        <v>4307</v>
      </c>
      <c r="S45" t="s">
        <v>4307</v>
      </c>
      <c r="V45"/>
      <c r="W45" t="s">
        <v>3739</v>
      </c>
      <c r="X45" s="12" t="s">
        <v>33</v>
      </c>
      <c r="AC45" t="s">
        <v>4283</v>
      </c>
      <c r="AU45" s="74" t="s">
        <v>414</v>
      </c>
      <c r="AW45" t="str">
        <f>IF(COUNTIFS(HCP_evidence!$A:$A, M45, HCP_evidence!$AH:$AH, "&lt;&gt;")&gt;0, "Yes", "")</f>
        <v/>
      </c>
      <c r="BA45" t="s">
        <v>414</v>
      </c>
    </row>
    <row r="46" spans="1:53" hidden="1">
      <c r="I46" t="s">
        <v>5156</v>
      </c>
      <c r="J46" t="s">
        <v>7860</v>
      </c>
      <c r="K46" s="72" t="s">
        <v>4610</v>
      </c>
      <c r="M46" t="s">
        <v>1166</v>
      </c>
      <c r="N46" s="73" t="s">
        <v>1166</v>
      </c>
      <c r="Q46" t="str">
        <f>IF(COUNTIFS(HCP_evidence!$A:$A, M46, HCP_evidence!$AB:$AB, "&lt;&gt;")&gt;0, "Yes", "")</f>
        <v/>
      </c>
      <c r="R46" t="s">
        <v>4417</v>
      </c>
      <c r="S46" t="s">
        <v>4417</v>
      </c>
      <c r="T46" t="s">
        <v>4422</v>
      </c>
      <c r="U46" t="s">
        <v>4540</v>
      </c>
      <c r="V46"/>
      <c r="W46" t="s">
        <v>3739</v>
      </c>
      <c r="X46" s="12" t="s">
        <v>33</v>
      </c>
      <c r="AC46" t="s">
        <v>4283</v>
      </c>
    </row>
    <row r="47" spans="1:53" hidden="1">
      <c r="I47" t="s">
        <v>5156</v>
      </c>
      <c r="J47" t="s">
        <v>4613</v>
      </c>
      <c r="K47" s="72" t="s">
        <v>4614</v>
      </c>
      <c r="M47" t="s">
        <v>3970</v>
      </c>
      <c r="N47" t="s">
        <v>3970</v>
      </c>
      <c r="Q47" t="str">
        <f>IF(COUNTIFS(HCP_evidence!$A:$A, M47, HCP_evidence!$AB:$AB, "&lt;&gt;")&gt;0, "Yes", "")</f>
        <v/>
      </c>
      <c r="R47" t="s">
        <v>4307</v>
      </c>
      <c r="V47"/>
      <c r="W47" t="s">
        <v>3739</v>
      </c>
      <c r="X47" s="12" t="s">
        <v>33</v>
      </c>
      <c r="AC47" t="s">
        <v>4283</v>
      </c>
    </row>
    <row r="48" spans="1:53" hidden="1">
      <c r="I48" t="s">
        <v>5153</v>
      </c>
      <c r="J48" t="s">
        <v>7890</v>
      </c>
      <c r="K48" s="72" t="s">
        <v>7888</v>
      </c>
      <c r="M48" t="s">
        <v>7889</v>
      </c>
      <c r="Q48" t="str">
        <f>IF(COUNTIFS(HCP_evidence!$A:$A, M48, HCP_evidence!$AB:$AB, "&lt;&gt;")&gt;0, "Yes", "")</f>
        <v/>
      </c>
      <c r="V48"/>
      <c r="W48" t="s">
        <v>3739</v>
      </c>
      <c r="X48" s="87" t="s">
        <v>33</v>
      </c>
    </row>
    <row r="49" spans="1:54" hidden="1">
      <c r="I49" t="s">
        <v>5156</v>
      </c>
      <c r="J49" t="s">
        <v>7893</v>
      </c>
      <c r="K49" s="72" t="s">
        <v>7891</v>
      </c>
      <c r="M49" t="s">
        <v>7892</v>
      </c>
      <c r="N49" s="71"/>
      <c r="Q49" t="str">
        <f>IF(COUNTIFS(HCP_evidence!$A:$A, M49, HCP_evidence!$AB:$AB, "&lt;&gt;")&gt;0, "Yes", "")</f>
        <v/>
      </c>
      <c r="V49"/>
      <c r="W49" t="s">
        <v>3739</v>
      </c>
      <c r="X49" s="87" t="s">
        <v>33</v>
      </c>
    </row>
    <row r="50" spans="1:54" hidden="1">
      <c r="I50" t="s">
        <v>5156</v>
      </c>
      <c r="J50" t="s">
        <v>7893</v>
      </c>
      <c r="K50" s="72" t="s">
        <v>7894</v>
      </c>
      <c r="M50" s="23" t="s">
        <v>7895</v>
      </c>
      <c r="N50" s="71"/>
      <c r="Q50" t="str">
        <f>IF(COUNTIFS(HCP_evidence!$A:$A, M50, HCP_evidence!$AB:$AB, "&lt;&gt;")&gt;0, "Yes", "")</f>
        <v/>
      </c>
      <c r="V50"/>
      <c r="W50" t="s">
        <v>3739</v>
      </c>
      <c r="X50" s="87" t="s">
        <v>33</v>
      </c>
    </row>
    <row r="51" spans="1:54" hidden="1">
      <c r="J51" t="s">
        <v>8141</v>
      </c>
      <c r="K51" s="72" t="s">
        <v>8142</v>
      </c>
      <c r="M51" t="s">
        <v>8143</v>
      </c>
      <c r="N51" s="71"/>
      <c r="Q51" t="str">
        <f>IF(COUNTIFS(HCP_evidence!$A:$A, M51, HCP_evidence!$AB:$AB, "&lt;&gt;")&gt;0, "Yes", "")</f>
        <v/>
      </c>
      <c r="V51"/>
      <c r="W51" t="s">
        <v>3739</v>
      </c>
      <c r="X51" s="87" t="s">
        <v>33</v>
      </c>
    </row>
    <row r="52" spans="1:54" hidden="1">
      <c r="A52">
        <v>105</v>
      </c>
      <c r="B52" t="s">
        <v>7878</v>
      </c>
      <c r="C52" s="74" t="s">
        <v>4308</v>
      </c>
      <c r="I52" t="s">
        <v>5153</v>
      </c>
      <c r="J52" t="s">
        <v>7831</v>
      </c>
      <c r="K52" s="72" t="s">
        <v>4440</v>
      </c>
      <c r="M52" t="s">
        <v>491</v>
      </c>
      <c r="N52" t="s">
        <v>491</v>
      </c>
      <c r="Q52" t="str">
        <f>IF(COUNTIFS(HCP_evidence!$A:$A, M52, HCP_evidence!$AB:$AB, "&lt;&gt;")&gt;0, "Yes", "")</f>
        <v>Yes</v>
      </c>
      <c r="R52" t="s">
        <v>4305</v>
      </c>
      <c r="S52" t="s">
        <v>4305</v>
      </c>
      <c r="V52"/>
      <c r="W52" t="s">
        <v>3740</v>
      </c>
      <c r="X52" t="s">
        <v>3444</v>
      </c>
      <c r="AC52" t="s">
        <v>4283</v>
      </c>
      <c r="AT52" s="74" t="s">
        <v>414</v>
      </c>
      <c r="AW52" t="str">
        <f>IF(COUNTIFS(HCP_evidence!$A:$A, M52, HCP_evidence!$AH:$AH, "&lt;&gt;")&gt;0, "Yes", "")</f>
        <v/>
      </c>
    </row>
    <row r="53" spans="1:54" hidden="1">
      <c r="A53">
        <v>111</v>
      </c>
      <c r="B53" t="s">
        <v>7878</v>
      </c>
      <c r="C53" s="74" t="s">
        <v>4308</v>
      </c>
      <c r="D53" t="s">
        <v>414</v>
      </c>
      <c r="I53" t="s">
        <v>5156</v>
      </c>
      <c r="J53" t="s">
        <v>8473</v>
      </c>
      <c r="K53" s="72" t="s">
        <v>4456</v>
      </c>
      <c r="L53" s="72" t="s">
        <v>4728</v>
      </c>
      <c r="M53" t="s">
        <v>500</v>
      </c>
      <c r="N53" t="s">
        <v>500</v>
      </c>
      <c r="Q53" t="str">
        <f>IF(COUNTIFS(HCP_evidence!$A:$A, M53, HCP_evidence!$AB:$AB, "&lt;&gt;")&gt;0, "Yes", "")</f>
        <v>Yes</v>
      </c>
      <c r="R53" t="s">
        <v>4305</v>
      </c>
      <c r="S53" t="s">
        <v>4305</v>
      </c>
      <c r="V53"/>
      <c r="W53" t="s">
        <v>3740</v>
      </c>
      <c r="X53" t="s">
        <v>3444</v>
      </c>
      <c r="AC53" t="s">
        <v>4283</v>
      </c>
      <c r="AU53" s="74" t="s">
        <v>414</v>
      </c>
      <c r="AW53" t="str">
        <f>IF(COUNTIFS(HCP_evidence!$A:$A, M53, HCP_evidence!$AH:$AH, "&lt;&gt;")&gt;0, "Yes", "")</f>
        <v/>
      </c>
      <c r="AZ53" s="13" t="s">
        <v>414</v>
      </c>
    </row>
    <row r="54" spans="1:54" hidden="1">
      <c r="J54" t="s">
        <v>5116</v>
      </c>
      <c r="K54" s="72" t="s">
        <v>7859</v>
      </c>
      <c r="M54" t="s">
        <v>3973</v>
      </c>
      <c r="N54" t="s">
        <v>3973</v>
      </c>
      <c r="Q54" t="str">
        <f>IF(COUNTIFS(HCP_evidence!$A:$A, M54, HCP_evidence!$AB:$AB, "&lt;&gt;")&gt;0, "Yes", "")</f>
        <v/>
      </c>
      <c r="V54"/>
      <c r="W54" t="s">
        <v>3740</v>
      </c>
      <c r="X54" t="s">
        <v>3444</v>
      </c>
      <c r="AC54" t="s">
        <v>4283</v>
      </c>
      <c r="BB54" s="74"/>
    </row>
    <row r="55" spans="1:54" hidden="1">
      <c r="A55">
        <v>212</v>
      </c>
      <c r="J55" t="s">
        <v>8607</v>
      </c>
      <c r="K55" s="72" t="s">
        <v>8139</v>
      </c>
      <c r="L55" s="72" t="s">
        <v>8606</v>
      </c>
      <c r="M55" t="s">
        <v>1165</v>
      </c>
      <c r="N55" s="71"/>
      <c r="Q55" t="str">
        <f>IF(COUNTIFS(HCP_evidence!$A:$A, M55, HCP_evidence!$AB:$AB, "&lt;&gt;")&gt;0, "Yes", "")</f>
        <v/>
      </c>
      <c r="V55"/>
      <c r="W55" t="s">
        <v>3740</v>
      </c>
      <c r="X55" s="75" t="s">
        <v>3444</v>
      </c>
      <c r="AC55" t="s">
        <v>4283</v>
      </c>
      <c r="AW55" t="str">
        <f>IF(COUNTIFS(HCP_evidence!$A:$A, M55, HCP_evidence!$AH:$AH, "&lt;&gt;")&gt;0, "Yes", "")</f>
        <v/>
      </c>
      <c r="BB55" s="74"/>
    </row>
    <row r="56" spans="1:54" hidden="1">
      <c r="A56">
        <v>188</v>
      </c>
      <c r="B56" t="s">
        <v>7878</v>
      </c>
      <c r="C56" s="74" t="s">
        <v>4314</v>
      </c>
      <c r="I56" t="s">
        <v>5153</v>
      </c>
      <c r="J56" t="s">
        <v>8021</v>
      </c>
      <c r="K56" s="72" t="s">
        <v>4457</v>
      </c>
      <c r="M56" t="s">
        <v>1143</v>
      </c>
      <c r="N56" s="71" t="s">
        <v>1143</v>
      </c>
      <c r="Q56" t="str">
        <f>IF(COUNTIFS(HCP_evidence!$A:$A, M56, HCP_evidence!$AB:$AB, "&lt;&gt;")&gt;0, "Yes", "")</f>
        <v>Yes</v>
      </c>
      <c r="R56" t="s">
        <v>4305</v>
      </c>
      <c r="S56" t="s">
        <v>4305</v>
      </c>
      <c r="V56"/>
      <c r="W56" t="s">
        <v>4443</v>
      </c>
      <c r="X56" t="s">
        <v>4287</v>
      </c>
      <c r="AC56" t="s">
        <v>4283</v>
      </c>
      <c r="AW56" t="str">
        <f>IF(COUNTIFS(HCP_evidence!$A:$A, M56, HCP_evidence!$AH:$AH, "&lt;&gt;")&gt;0, "Yes", "")</f>
        <v/>
      </c>
    </row>
    <row r="57" spans="1:54" hidden="1">
      <c r="E57" t="s">
        <v>414</v>
      </c>
      <c r="I57" t="s">
        <v>5153</v>
      </c>
      <c r="J57" t="s">
        <v>8015</v>
      </c>
      <c r="K57" s="72" t="s">
        <v>4442</v>
      </c>
      <c r="M57" t="s">
        <v>4124</v>
      </c>
      <c r="N57" s="71" t="s">
        <v>4124</v>
      </c>
      <c r="Q57" t="str">
        <f>IF(COUNTIFS(HCP_evidence!$A:$A, M57, HCP_evidence!$AB:$AB, "&lt;&gt;")&gt;0, "Yes", "")</f>
        <v>Yes</v>
      </c>
      <c r="R57" t="s">
        <v>4412</v>
      </c>
      <c r="S57" t="s">
        <v>4412</v>
      </c>
      <c r="T57" t="s">
        <v>4436</v>
      </c>
      <c r="V57"/>
      <c r="W57" t="s">
        <v>4443</v>
      </c>
      <c r="X57" t="s">
        <v>4287</v>
      </c>
      <c r="AC57" t="s">
        <v>4283</v>
      </c>
    </row>
    <row r="58" spans="1:54" hidden="1">
      <c r="A58">
        <v>143</v>
      </c>
      <c r="I58" t="s">
        <v>5156</v>
      </c>
      <c r="J58" t="s">
        <v>4579</v>
      </c>
      <c r="K58" s="72" t="s">
        <v>4581</v>
      </c>
      <c r="M58" t="s">
        <v>1101</v>
      </c>
      <c r="N58" t="s">
        <v>1101</v>
      </c>
      <c r="Q58" t="str">
        <f>IF(COUNTIFS(HCP_evidence!$A:$A, M58, HCP_evidence!$AB:$AB, "&lt;&gt;")&gt;0, "Yes", "")</f>
        <v/>
      </c>
      <c r="R58" t="s">
        <v>4305</v>
      </c>
      <c r="S58" t="s">
        <v>4305</v>
      </c>
      <c r="V58"/>
      <c r="W58" t="s">
        <v>4443</v>
      </c>
      <c r="X58" t="s">
        <v>4287</v>
      </c>
      <c r="AC58" t="s">
        <v>4283</v>
      </c>
      <c r="AU58" s="74" t="s">
        <v>414</v>
      </c>
      <c r="AW58" t="str">
        <f>IF(COUNTIFS(HCP_evidence!$A:$A, M58, HCP_evidence!$AH:$AH, "&lt;&gt;")&gt;0, "Yes", "")</f>
        <v/>
      </c>
    </row>
    <row r="59" spans="1:54" hidden="1">
      <c r="E59" t="s">
        <v>414</v>
      </c>
      <c r="I59" t="s">
        <v>5156</v>
      </c>
      <c r="J59" t="s">
        <v>4674</v>
      </c>
      <c r="K59" s="72" t="s">
        <v>4675</v>
      </c>
      <c r="M59" t="s">
        <v>4342</v>
      </c>
      <c r="N59" t="s">
        <v>4342</v>
      </c>
      <c r="Q59" t="str">
        <f>IF(COUNTIFS(HCP_evidence!$A:$A, M59, HCP_evidence!$AB:$AB, "&lt;&gt;")&gt;0, "Yes", "")</f>
        <v/>
      </c>
      <c r="R59" t="s">
        <v>4412</v>
      </c>
      <c r="S59" t="s">
        <v>4412</v>
      </c>
      <c r="T59" t="s">
        <v>4436</v>
      </c>
      <c r="V59"/>
      <c r="W59" t="s">
        <v>4443</v>
      </c>
      <c r="X59" t="s">
        <v>4287</v>
      </c>
    </row>
    <row r="60" spans="1:54" hidden="1">
      <c r="I60" t="s">
        <v>8027</v>
      </c>
      <c r="J60" t="s">
        <v>7935</v>
      </c>
      <c r="K60" s="72" t="s">
        <v>8001</v>
      </c>
      <c r="M60" t="s">
        <v>8002</v>
      </c>
      <c r="Q60" t="str">
        <f>IF(COUNTIFS(HCP_evidence!$A:$A, M60, HCP_evidence!$AB:$AB, "&lt;&gt;")&gt;0, "Yes", "")</f>
        <v/>
      </c>
      <c r="V60"/>
      <c r="W60" t="s">
        <v>4443</v>
      </c>
      <c r="X60" s="75" t="s">
        <v>4287</v>
      </c>
    </row>
    <row r="61" spans="1:54" hidden="1">
      <c r="I61" t="s">
        <v>5156</v>
      </c>
      <c r="J61" t="s">
        <v>8024</v>
      </c>
      <c r="K61" s="72" t="s">
        <v>7929</v>
      </c>
      <c r="M61" t="s">
        <v>7930</v>
      </c>
      <c r="Q61" t="str">
        <f>IF(COUNTIFS(HCP_evidence!$A:$A, M61, HCP_evidence!$AB:$AB, "&lt;&gt;")&gt;0, "Yes", "")</f>
        <v/>
      </c>
      <c r="V61"/>
      <c r="W61" t="s">
        <v>4443</v>
      </c>
      <c r="X61" t="s">
        <v>4287</v>
      </c>
    </row>
    <row r="62" spans="1:54" hidden="1">
      <c r="I62" t="s">
        <v>5156</v>
      </c>
      <c r="J62" t="s">
        <v>8018</v>
      </c>
      <c r="K62" s="72" t="s">
        <v>8016</v>
      </c>
      <c r="M62" t="s">
        <v>8017</v>
      </c>
      <c r="Q62" t="str">
        <f>IF(COUNTIFS(HCP_evidence!$A:$A, M62, HCP_evidence!$AB:$AB, "&lt;&gt;")&gt;0, "Yes", "")</f>
        <v/>
      </c>
      <c r="V62"/>
      <c r="W62" t="s">
        <v>4443</v>
      </c>
      <c r="X62" s="75" t="s">
        <v>4287</v>
      </c>
    </row>
    <row r="63" spans="1:54" hidden="1">
      <c r="I63" t="s">
        <v>5156</v>
      </c>
      <c r="J63" t="s">
        <v>8018</v>
      </c>
      <c r="K63" s="72" t="s">
        <v>8019</v>
      </c>
      <c r="M63" t="s">
        <v>8020</v>
      </c>
      <c r="Q63" t="str">
        <f>IF(COUNTIFS(HCP_evidence!$A:$A, M63, HCP_evidence!$AB:$AB, "&lt;&gt;")&gt;0, "Yes", "")</f>
        <v/>
      </c>
      <c r="V63"/>
      <c r="W63" t="s">
        <v>4443</v>
      </c>
      <c r="X63" t="s">
        <v>4287</v>
      </c>
    </row>
    <row r="64" spans="1:54" hidden="1">
      <c r="I64" t="s">
        <v>5156</v>
      </c>
      <c r="J64" t="s">
        <v>8023</v>
      </c>
      <c r="K64" s="72" t="s">
        <v>8022</v>
      </c>
      <c r="M64" t="s">
        <v>3382</v>
      </c>
      <c r="Q64" t="str">
        <f>IF(COUNTIFS(HCP_evidence!$A:$A, M64, HCP_evidence!$AB:$AB, "&lt;&gt;")&gt;0, "Yes", "")</f>
        <v/>
      </c>
      <c r="V64"/>
      <c r="W64" t="s">
        <v>4443</v>
      </c>
      <c r="X64" t="s">
        <v>4287</v>
      </c>
    </row>
    <row r="65" spans="1:55" hidden="1">
      <c r="I65" t="s">
        <v>5156</v>
      </c>
      <c r="J65" t="s">
        <v>4792</v>
      </c>
      <c r="K65" s="72" t="s">
        <v>8025</v>
      </c>
      <c r="M65" t="s">
        <v>8026</v>
      </c>
      <c r="Q65" t="str">
        <f>IF(COUNTIFS(HCP_evidence!$A:$A, M65, HCP_evidence!$AB:$AB, "&lt;&gt;")&gt;0, "Yes", "")</f>
        <v/>
      </c>
      <c r="V65"/>
      <c r="W65" t="s">
        <v>4443</v>
      </c>
      <c r="X65" t="s">
        <v>4287</v>
      </c>
    </row>
    <row r="66" spans="1:55" hidden="1">
      <c r="A66">
        <v>191</v>
      </c>
      <c r="B66" t="s">
        <v>7878</v>
      </c>
      <c r="C66" s="74" t="s">
        <v>4311</v>
      </c>
      <c r="I66" t="s">
        <v>5153</v>
      </c>
      <c r="J66" t="s">
        <v>8377</v>
      </c>
      <c r="K66" s="72" t="s">
        <v>4444</v>
      </c>
      <c r="L66" s="72" t="s">
        <v>8622</v>
      </c>
      <c r="M66" t="s">
        <v>1146</v>
      </c>
      <c r="N66" s="71" t="s">
        <v>4270</v>
      </c>
      <c r="Q66" t="str">
        <f>IF(COUNTIFS(HCP_evidence!$A:$A, M66, HCP_evidence!$AB:$AB, "&lt;&gt;")&gt;0, "Yes", "")</f>
        <v>Yes</v>
      </c>
      <c r="R66" t="s">
        <v>4305</v>
      </c>
      <c r="S66" t="s">
        <v>4305</v>
      </c>
      <c r="V66" t="s">
        <v>11115</v>
      </c>
      <c r="W66" t="s">
        <v>4446</v>
      </c>
      <c r="X66" t="s">
        <v>4445</v>
      </c>
      <c r="AC66" t="s">
        <v>4283</v>
      </c>
      <c r="AW66" t="str">
        <f>IF(COUNTIFS(HCP_evidence!$A:$A, M66, HCP_evidence!$AH:$AH, "&lt;&gt;")&gt;0, "Yes", "")</f>
        <v/>
      </c>
    </row>
    <row r="67" spans="1:55" hidden="1">
      <c r="I67" t="s">
        <v>5153</v>
      </c>
      <c r="J67" t="s">
        <v>7903</v>
      </c>
      <c r="K67" s="72" t="s">
        <v>7902</v>
      </c>
      <c r="M67" s="72" t="s">
        <v>7901</v>
      </c>
      <c r="N67" s="71"/>
      <c r="Q67" t="str">
        <f>IF(COUNTIFS(HCP_evidence!$A:$A, M67, HCP_evidence!$AB:$AB, "&lt;&gt;")&gt;0, "Yes", "")</f>
        <v>Yes</v>
      </c>
      <c r="V67" t="s">
        <v>11115</v>
      </c>
      <c r="W67" t="s">
        <v>4446</v>
      </c>
      <c r="X67" t="s">
        <v>4445</v>
      </c>
    </row>
    <row r="68" spans="1:55" hidden="1">
      <c r="I68" t="s">
        <v>5153</v>
      </c>
      <c r="J68" t="s">
        <v>7907</v>
      </c>
      <c r="K68" s="72" t="s">
        <v>7905</v>
      </c>
      <c r="M68" t="s">
        <v>7906</v>
      </c>
      <c r="N68" s="71"/>
      <c r="Q68" t="str">
        <f>IF(COUNTIFS(HCP_evidence!$A:$A, M68, HCP_evidence!$AB:$AB, "&lt;&gt;")&gt;0, "Yes", "")</f>
        <v>Yes</v>
      </c>
      <c r="V68" t="s">
        <v>11115</v>
      </c>
      <c r="W68" t="s">
        <v>4446</v>
      </c>
      <c r="X68" t="s">
        <v>4445</v>
      </c>
    </row>
    <row r="69" spans="1:55" hidden="1">
      <c r="I69" t="s">
        <v>5153</v>
      </c>
      <c r="J69" t="s">
        <v>8563</v>
      </c>
      <c r="K69" s="72" t="s">
        <v>7841</v>
      </c>
      <c r="M69" t="s">
        <v>3985</v>
      </c>
      <c r="N69" s="74"/>
      <c r="Q69" t="str">
        <f>IF(COUNTIFS(HCP_evidence!$A:$A, M69, HCP_evidence!$AB:$AB, "&lt;&gt;")&gt;0, "Yes", "")</f>
        <v>Yes</v>
      </c>
      <c r="V69"/>
      <c r="AC69" t="s">
        <v>4283</v>
      </c>
      <c r="BB69" s="74"/>
    </row>
    <row r="70" spans="1:55" hidden="1">
      <c r="D70" t="s">
        <v>414</v>
      </c>
      <c r="J70" t="s">
        <v>4640</v>
      </c>
      <c r="K70" s="72" t="s">
        <v>4647</v>
      </c>
      <c r="L70" s="72" t="s">
        <v>4648</v>
      </c>
      <c r="M70" t="s">
        <v>4332</v>
      </c>
      <c r="N70" s="71" t="s">
        <v>4332</v>
      </c>
      <c r="Q70" t="str">
        <f>IF(COUNTIFS(HCP_evidence!$A:$A, M70, HCP_evidence!$AB:$AB, "&lt;&gt;")&gt;0, "Yes", "")</f>
        <v/>
      </c>
      <c r="R70" t="s">
        <v>4305</v>
      </c>
      <c r="S70" t="s">
        <v>4305</v>
      </c>
      <c r="V70"/>
      <c r="W70" t="s">
        <v>4448</v>
      </c>
      <c r="X70" s="12" t="s">
        <v>1309</v>
      </c>
    </row>
    <row r="71" spans="1:55" hidden="1">
      <c r="D71" t="s">
        <v>414</v>
      </c>
      <c r="I71" t="s">
        <v>4896</v>
      </c>
      <c r="J71" t="s">
        <v>4640</v>
      </c>
      <c r="K71" s="72" t="s">
        <v>4639</v>
      </c>
      <c r="L71" s="72" t="s">
        <v>4641</v>
      </c>
      <c r="M71" t="s">
        <v>4339</v>
      </c>
      <c r="N71" t="s">
        <v>4339</v>
      </c>
      <c r="Q71" t="str">
        <f>IF(COUNTIFS(HCP_evidence!$A:$A, M71, HCP_evidence!$AB:$AB, "&lt;&gt;")&gt;0, "Yes", "")</f>
        <v/>
      </c>
      <c r="R71" t="s">
        <v>4412</v>
      </c>
      <c r="S71" t="s">
        <v>4412</v>
      </c>
      <c r="V71"/>
      <c r="W71" t="s">
        <v>4448</v>
      </c>
      <c r="X71" s="12" t="s">
        <v>1309</v>
      </c>
    </row>
    <row r="72" spans="1:55" hidden="1">
      <c r="D72" t="s">
        <v>414</v>
      </c>
      <c r="J72" t="s">
        <v>4640</v>
      </c>
      <c r="K72" s="72" t="s">
        <v>4662</v>
      </c>
      <c r="L72" s="72" t="s">
        <v>4664</v>
      </c>
      <c r="M72" t="s">
        <v>4663</v>
      </c>
      <c r="N72" s="73"/>
      <c r="Q72" t="str">
        <f>IF(COUNTIFS(HCP_evidence!$A:$A, M72, HCP_evidence!$AB:$AB, "&lt;&gt;")&gt;0, "Yes", "")</f>
        <v/>
      </c>
      <c r="R72" t="s">
        <v>4307</v>
      </c>
      <c r="S72" t="s">
        <v>4307</v>
      </c>
      <c r="V72"/>
      <c r="W72" t="s">
        <v>4448</v>
      </c>
      <c r="X72" s="12" t="s">
        <v>1309</v>
      </c>
    </row>
    <row r="73" spans="1:55" hidden="1">
      <c r="D73" t="s">
        <v>414</v>
      </c>
      <c r="J73" t="s">
        <v>4640</v>
      </c>
      <c r="K73" s="72" t="s">
        <v>4659</v>
      </c>
      <c r="L73" s="72" t="s">
        <v>4661</v>
      </c>
      <c r="M73" t="s">
        <v>4660</v>
      </c>
      <c r="N73" s="73"/>
      <c r="Q73" t="str">
        <f>IF(COUNTIFS(HCP_evidence!$A:$A, M73, HCP_evidence!$AB:$AB, "&lt;&gt;")&gt;0, "Yes", "")</f>
        <v/>
      </c>
      <c r="R73" t="s">
        <v>4307</v>
      </c>
      <c r="S73" t="s">
        <v>4307</v>
      </c>
      <c r="V73"/>
      <c r="W73" t="s">
        <v>4448</v>
      </c>
      <c r="X73" s="12" t="s">
        <v>1309</v>
      </c>
    </row>
    <row r="74" spans="1:55" hidden="1">
      <c r="B74" t="s">
        <v>7878</v>
      </c>
      <c r="C74" s="74" t="s">
        <v>4311</v>
      </c>
      <c r="D74" t="s">
        <v>414</v>
      </c>
      <c r="I74" t="s">
        <v>5153</v>
      </c>
      <c r="J74" t="s">
        <v>8115</v>
      </c>
      <c r="K74" s="72" t="s">
        <v>4447</v>
      </c>
      <c r="L74" s="72" t="s">
        <v>4646</v>
      </c>
      <c r="M74" t="s">
        <v>4313</v>
      </c>
      <c r="N74" t="s">
        <v>4313</v>
      </c>
      <c r="Q74" t="str">
        <f>IF(COUNTIFS(HCP_evidence!$A:$A, M74, HCP_evidence!$AB:$AB, "&lt;&gt;")&gt;0, "Yes", "")</f>
        <v>Yes</v>
      </c>
      <c r="R74" t="s">
        <v>4412</v>
      </c>
      <c r="S74" t="s">
        <v>4412</v>
      </c>
      <c r="T74" t="s">
        <v>4422</v>
      </c>
      <c r="V74"/>
      <c r="W74" t="s">
        <v>4448</v>
      </c>
      <c r="X74" s="12" t="s">
        <v>1309</v>
      </c>
      <c r="AC74" t="s">
        <v>4283</v>
      </c>
    </row>
    <row r="75" spans="1:55" hidden="1">
      <c r="D75" t="s">
        <v>414</v>
      </c>
      <c r="J75" t="s">
        <v>4640</v>
      </c>
      <c r="K75" s="72" t="s">
        <v>4653</v>
      </c>
      <c r="L75" s="72" t="s">
        <v>4655</v>
      </c>
      <c r="M75" t="s">
        <v>4654</v>
      </c>
      <c r="N75" s="74"/>
      <c r="Q75" t="str">
        <f>IF(COUNTIFS(HCP_evidence!$A:$A, M75, HCP_evidence!$AB:$AB, "&lt;&gt;")&gt;0, "Yes", "")</f>
        <v/>
      </c>
      <c r="R75" t="s">
        <v>4305</v>
      </c>
      <c r="S75" t="s">
        <v>4305</v>
      </c>
      <c r="V75"/>
      <c r="W75" t="s">
        <v>4448</v>
      </c>
      <c r="X75" s="12" t="s">
        <v>1309</v>
      </c>
    </row>
    <row r="76" spans="1:55" hidden="1">
      <c r="B76" t="s">
        <v>7878</v>
      </c>
      <c r="C76" s="74" t="s">
        <v>4308</v>
      </c>
      <c r="J76" t="s">
        <v>4668</v>
      </c>
      <c r="K76" s="72" t="s">
        <v>4603</v>
      </c>
      <c r="M76" t="s">
        <v>4015</v>
      </c>
      <c r="N76" t="s">
        <v>1195</v>
      </c>
      <c r="Q76" t="str">
        <f>IF(COUNTIFS(HCP_evidence!$A:$A, M76, HCP_evidence!$AB:$AB, "&lt;&gt;")&gt;0, "Yes", "")</f>
        <v/>
      </c>
      <c r="R76" t="s">
        <v>4305</v>
      </c>
      <c r="S76" t="s">
        <v>4305</v>
      </c>
      <c r="V76"/>
      <c r="W76" t="s">
        <v>4448</v>
      </c>
      <c r="X76" s="12" t="s">
        <v>1309</v>
      </c>
      <c r="AC76" t="s">
        <v>4283</v>
      </c>
      <c r="AW76" t="str">
        <f>IF(COUNTIFS(HCP_evidence!$A:$A, M76, HCP_evidence!$AH:$AH, "&lt;&gt;")&gt;0, "Yes", "")</f>
        <v/>
      </c>
      <c r="AY76" t="s">
        <v>414</v>
      </c>
      <c r="AZ76" s="13" t="s">
        <v>414</v>
      </c>
      <c r="BA76" t="s">
        <v>414</v>
      </c>
    </row>
    <row r="77" spans="1:55" ht="15.6" hidden="1">
      <c r="B77" t="s">
        <v>7878</v>
      </c>
      <c r="C77" s="74" t="s">
        <v>4308</v>
      </c>
      <c r="J77" t="s">
        <v>8141</v>
      </c>
      <c r="K77" s="72" t="s">
        <v>4950</v>
      </c>
      <c r="M77" t="s">
        <v>3956</v>
      </c>
      <c r="N77" t="s">
        <v>4348</v>
      </c>
      <c r="Q77" t="str">
        <f>IF(COUNTIFS(HCP_evidence!$A:$A, M77, HCP_evidence!$AB:$AB, "&lt;&gt;")&gt;0, "Yes", "")</f>
        <v/>
      </c>
      <c r="S77" s="54" t="s">
        <v>4307</v>
      </c>
      <c r="V77"/>
      <c r="W77" t="s">
        <v>4448</v>
      </c>
      <c r="X77" s="12" t="s">
        <v>1309</v>
      </c>
      <c r="AC77" t="s">
        <v>4283</v>
      </c>
      <c r="BC77" t="s">
        <v>414</v>
      </c>
    </row>
    <row r="78" spans="1:55" hidden="1">
      <c r="B78" t="s">
        <v>7878</v>
      </c>
      <c r="C78" s="74" t="s">
        <v>4311</v>
      </c>
      <c r="J78" t="s">
        <v>8549</v>
      </c>
      <c r="K78" s="72" t="s">
        <v>4961</v>
      </c>
      <c r="M78" t="s">
        <v>4016</v>
      </c>
      <c r="N78" t="s">
        <v>4360</v>
      </c>
      <c r="Q78" t="str">
        <f>IF(COUNTIFS(HCP_evidence!$A:$A, M78, HCP_evidence!$AB:$AB, "&lt;&gt;")&gt;0, "Yes", "")</f>
        <v/>
      </c>
      <c r="S78" t="s">
        <v>4305</v>
      </c>
      <c r="V78"/>
      <c r="W78" t="s">
        <v>4448</v>
      </c>
      <c r="X78" s="12" t="s">
        <v>1309</v>
      </c>
      <c r="AC78" t="s">
        <v>4283</v>
      </c>
    </row>
    <row r="79" spans="1:55" hidden="1">
      <c r="D79" t="s">
        <v>414</v>
      </c>
      <c r="I79" t="s">
        <v>4896</v>
      </c>
      <c r="J79" t="s">
        <v>4658</v>
      </c>
      <c r="K79" s="72" t="s">
        <v>4656</v>
      </c>
      <c r="L79" s="72" t="s">
        <v>4657</v>
      </c>
      <c r="M79" t="s">
        <v>4359</v>
      </c>
      <c r="N79" t="s">
        <v>4359</v>
      </c>
      <c r="Q79" t="str">
        <f>IF(COUNTIFS(HCP_evidence!$A:$A, M79, HCP_evidence!$AB:$AB, "&lt;&gt;")&gt;0, "Yes", "")</f>
        <v>Yes</v>
      </c>
      <c r="V79"/>
      <c r="W79" t="s">
        <v>4448</v>
      </c>
      <c r="X79" s="12" t="s">
        <v>1309</v>
      </c>
    </row>
    <row r="80" spans="1:55" hidden="1">
      <c r="D80" t="s">
        <v>414</v>
      </c>
      <c r="I80" t="s">
        <v>4896</v>
      </c>
      <c r="J80" t="s">
        <v>4640</v>
      </c>
      <c r="K80" s="72" t="s">
        <v>4643</v>
      </c>
      <c r="L80" s="72" t="s">
        <v>4645</v>
      </c>
      <c r="M80" t="s">
        <v>4644</v>
      </c>
      <c r="N80" s="71" t="s">
        <v>4343</v>
      </c>
      <c r="Q80" t="str">
        <f>IF(COUNTIFS(HCP_evidence!$A:$A, M80, HCP_evidence!$AB:$AB, "&lt;&gt;")&gt;0, "Yes", "")</f>
        <v/>
      </c>
      <c r="R80" t="s">
        <v>4412</v>
      </c>
      <c r="S80" t="s">
        <v>4412</v>
      </c>
      <c r="V80"/>
      <c r="W80" t="s">
        <v>4448</v>
      </c>
      <c r="X80" s="12" t="s">
        <v>1309</v>
      </c>
    </row>
    <row r="81" spans="1:55" hidden="1">
      <c r="A81">
        <v>113</v>
      </c>
      <c r="J81" t="s">
        <v>7924</v>
      </c>
      <c r="K81" s="72" t="s">
        <v>4551</v>
      </c>
      <c r="M81" t="s">
        <v>506</v>
      </c>
      <c r="N81" s="71" t="s">
        <v>506</v>
      </c>
      <c r="Q81" t="str">
        <f>IF(COUNTIFS(HCP_evidence!$A:$A, M81, HCP_evidence!$AB:$AB, "&lt;&gt;")&gt;0, "Yes", "")</f>
        <v/>
      </c>
      <c r="R81" t="s">
        <v>4307</v>
      </c>
      <c r="S81" t="s">
        <v>4307</v>
      </c>
      <c r="V81"/>
      <c r="W81" t="s">
        <v>4448</v>
      </c>
      <c r="X81" s="12" t="s">
        <v>1309</v>
      </c>
      <c r="AC81" t="s">
        <v>4283</v>
      </c>
      <c r="AU81" s="74" t="s">
        <v>414</v>
      </c>
      <c r="AW81" t="str">
        <f>IF(COUNTIFS(HCP_evidence!$A:$A, M81, HCP_evidence!$AH:$AH, "&lt;&gt;")&gt;0, "Yes", "")</f>
        <v/>
      </c>
      <c r="AX81" s="74" t="s">
        <v>414</v>
      </c>
      <c r="AZ81" s="13" t="s">
        <v>414</v>
      </c>
    </row>
    <row r="82" spans="1:55" hidden="1">
      <c r="D82" t="s">
        <v>414</v>
      </c>
      <c r="I82" t="s">
        <v>4896</v>
      </c>
      <c r="J82" t="s">
        <v>4665</v>
      </c>
      <c r="K82" s="72" t="s">
        <v>4451</v>
      </c>
      <c r="L82" s="72" t="s">
        <v>4642</v>
      </c>
      <c r="M82" t="s">
        <v>4344</v>
      </c>
      <c r="N82" s="74" t="s">
        <v>4344</v>
      </c>
      <c r="Q82" t="str">
        <f>IF(COUNTIFS(HCP_evidence!$A:$A, M82, HCP_evidence!$AB:$AB, "&lt;&gt;")&gt;0, "Yes", "")</f>
        <v/>
      </c>
      <c r="S82" t="s">
        <v>4412</v>
      </c>
      <c r="V82"/>
      <c r="W82" t="s">
        <v>4448</v>
      </c>
      <c r="X82" s="12" t="s">
        <v>1309</v>
      </c>
    </row>
    <row r="83" spans="1:55" hidden="1">
      <c r="D83" t="s">
        <v>414</v>
      </c>
      <c r="J83" t="s">
        <v>4652</v>
      </c>
      <c r="K83" s="72" t="s">
        <v>4649</v>
      </c>
      <c r="L83" s="72" t="s">
        <v>4651</v>
      </c>
      <c r="M83" t="s">
        <v>4650</v>
      </c>
      <c r="N83" s="73"/>
      <c r="Q83" t="str">
        <f>IF(COUNTIFS(HCP_evidence!$A:$A, M83, HCP_evidence!$AB:$AB, "&lt;&gt;")&gt;0, "Yes", "")</f>
        <v/>
      </c>
      <c r="R83" t="s">
        <v>4305</v>
      </c>
      <c r="S83" t="s">
        <v>4305</v>
      </c>
      <c r="V83"/>
      <c r="W83" t="s">
        <v>4448</v>
      </c>
      <c r="X83" s="12" t="s">
        <v>1309</v>
      </c>
    </row>
    <row r="84" spans="1:55" hidden="1">
      <c r="D84" t="s">
        <v>414</v>
      </c>
      <c r="J84" t="s">
        <v>8610</v>
      </c>
      <c r="K84" s="72" t="s">
        <v>7927</v>
      </c>
      <c r="L84" s="72" t="s">
        <v>8608</v>
      </c>
      <c r="M84" s="23" t="s">
        <v>7928</v>
      </c>
      <c r="Q84" t="str">
        <f>IF(COUNTIFS(HCP_evidence!$A:$A, M84, HCP_evidence!$AB:$AB, "&lt;&gt;")&gt;0, "Yes", "")</f>
        <v/>
      </c>
      <c r="V84"/>
      <c r="W84" t="s">
        <v>3828</v>
      </c>
      <c r="X84" s="12" t="s">
        <v>8600</v>
      </c>
    </row>
    <row r="85" spans="1:55" hidden="1">
      <c r="J85" t="s">
        <v>8107</v>
      </c>
      <c r="K85" s="72" t="s">
        <v>8108</v>
      </c>
      <c r="M85" t="s">
        <v>8109</v>
      </c>
      <c r="Q85" t="str">
        <f>IF(COUNTIFS(HCP_evidence!$A:$A, M85, HCP_evidence!$AB:$AB, "&lt;&gt;")&gt;0, "Yes", "")</f>
        <v/>
      </c>
      <c r="V85"/>
      <c r="W85" t="s">
        <v>4448</v>
      </c>
      <c r="X85" s="12" t="s">
        <v>1309</v>
      </c>
    </row>
    <row r="86" spans="1:55" hidden="1">
      <c r="J86" t="s">
        <v>8113</v>
      </c>
      <c r="K86" s="72" t="s">
        <v>8114</v>
      </c>
      <c r="M86" t="s">
        <v>3663</v>
      </c>
      <c r="Q86" t="str">
        <f>IF(COUNTIFS(HCP_evidence!$A:$A, M86, HCP_evidence!$AB:$AB, "&lt;&gt;")&gt;0, "Yes", "")</f>
        <v/>
      </c>
      <c r="V86"/>
      <c r="W86" t="s">
        <v>4448</v>
      </c>
      <c r="X86" s="12" t="s">
        <v>1309</v>
      </c>
    </row>
    <row r="87" spans="1:55" hidden="1">
      <c r="J87" s="80" t="s">
        <v>8633</v>
      </c>
      <c r="K87" s="72" t="s">
        <v>8120</v>
      </c>
      <c r="M87" t="s">
        <v>8121</v>
      </c>
      <c r="N87" s="71"/>
      <c r="Q87" t="str">
        <f>IF(COUNTIFS(HCP_evidence!$A:$A, M87, HCP_evidence!$AB:$AB, "&lt;&gt;")&gt;0, "Yes", "")</f>
        <v/>
      </c>
      <c r="V87"/>
      <c r="W87" t="s">
        <v>4448</v>
      </c>
      <c r="X87" s="12" t="s">
        <v>1309</v>
      </c>
    </row>
    <row r="88" spans="1:55" hidden="1">
      <c r="A88">
        <v>99</v>
      </c>
      <c r="J88" t="s">
        <v>4470</v>
      </c>
      <c r="K88" s="72" t="s">
        <v>4532</v>
      </c>
      <c r="M88" t="s">
        <v>470</v>
      </c>
      <c r="N88" t="s">
        <v>470</v>
      </c>
      <c r="Q88" t="str">
        <f>IF(COUNTIFS(HCP_evidence!$A:$A, M88, HCP_evidence!$AB:$AB, "&lt;&gt;")&gt;0, "Yes", "")</f>
        <v/>
      </c>
      <c r="R88" t="s">
        <v>4428</v>
      </c>
      <c r="S88" t="s">
        <v>4428</v>
      </c>
      <c r="V88"/>
      <c r="W88" t="s">
        <v>4450</v>
      </c>
      <c r="X88" t="s">
        <v>3356</v>
      </c>
      <c r="AC88" t="s">
        <v>4283</v>
      </c>
      <c r="AS88" s="74" t="s">
        <v>414</v>
      </c>
      <c r="AW88" t="str">
        <f>IF(COUNTIFS(HCP_evidence!$A:$A, M88, HCP_evidence!$AH:$AH, "&lt;&gt;")&gt;0, "Yes", "")</f>
        <v/>
      </c>
    </row>
    <row r="89" spans="1:55" hidden="1">
      <c r="A89">
        <v>94</v>
      </c>
      <c r="J89" t="s">
        <v>7852</v>
      </c>
      <c r="K89" s="72" t="s">
        <v>4449</v>
      </c>
      <c r="M89" t="s">
        <v>482</v>
      </c>
      <c r="N89" s="74" t="s">
        <v>482</v>
      </c>
      <c r="Q89" t="str">
        <f>IF(COUNTIFS(HCP_evidence!$A:$A, M89, HCP_evidence!$AB:$AB, "&lt;&gt;")&gt;0, "Yes", "")</f>
        <v/>
      </c>
      <c r="R89" t="s">
        <v>4412</v>
      </c>
      <c r="S89" t="s">
        <v>4412</v>
      </c>
      <c r="T89" t="s">
        <v>4436</v>
      </c>
      <c r="U89" t="s">
        <v>4422</v>
      </c>
      <c r="V89"/>
      <c r="W89" t="s">
        <v>4450</v>
      </c>
      <c r="X89" t="s">
        <v>3356</v>
      </c>
      <c r="AC89" t="s">
        <v>4283</v>
      </c>
      <c r="AS89" s="74" t="s">
        <v>414</v>
      </c>
      <c r="AW89" t="str">
        <f>IF(COUNTIFS(HCP_evidence!$A:$A, M89, HCP_evidence!$AH:$AH, "&lt;&gt;")&gt;0, "Yes", "")</f>
        <v/>
      </c>
    </row>
    <row r="90" spans="1:55" hidden="1">
      <c r="A90">
        <v>95</v>
      </c>
      <c r="J90" t="s">
        <v>7852</v>
      </c>
      <c r="K90" s="72" t="s">
        <v>4462</v>
      </c>
      <c r="M90" t="s">
        <v>468</v>
      </c>
      <c r="N90" s="71" t="s">
        <v>468</v>
      </c>
      <c r="Q90" t="str">
        <f>IF(COUNTIFS(HCP_evidence!$A:$A, M90, HCP_evidence!$AB:$AB, "&lt;&gt;")&gt;0, "Yes", "")</f>
        <v/>
      </c>
      <c r="R90" t="s">
        <v>4412</v>
      </c>
      <c r="S90" t="s">
        <v>4412</v>
      </c>
      <c r="T90" t="s">
        <v>4422</v>
      </c>
      <c r="V90"/>
      <c r="W90" t="s">
        <v>4450</v>
      </c>
      <c r="X90" t="s">
        <v>3356</v>
      </c>
      <c r="AC90" t="s">
        <v>4283</v>
      </c>
      <c r="AS90" s="74" t="s">
        <v>414</v>
      </c>
      <c r="AW90" t="str">
        <f>IF(COUNTIFS(HCP_evidence!$A:$A, M90, HCP_evidence!$AH:$AH, "&lt;&gt;")&gt;0, "Yes", "")</f>
        <v/>
      </c>
    </row>
    <row r="91" spans="1:55" ht="15" hidden="1">
      <c r="A91">
        <v>118</v>
      </c>
      <c r="B91" t="s">
        <v>7878</v>
      </c>
      <c r="C91" s="74" t="s">
        <v>4308</v>
      </c>
      <c r="J91" t="s">
        <v>8363</v>
      </c>
      <c r="K91" s="72" t="s">
        <v>4569</v>
      </c>
      <c r="M91" t="s">
        <v>510</v>
      </c>
      <c r="N91" s="71" t="s">
        <v>510</v>
      </c>
      <c r="Q91" t="str">
        <f>IF(COUNTIFS(HCP_evidence!$A:$A, M91, HCP_evidence!$AB:$AB, "&lt;&gt;")&gt;0, "Yes", "")</f>
        <v/>
      </c>
      <c r="R91" t="s">
        <v>4306</v>
      </c>
      <c r="S91" t="s">
        <v>4306</v>
      </c>
      <c r="T91" s="52"/>
      <c r="V91"/>
      <c r="W91" t="s">
        <v>4450</v>
      </c>
      <c r="X91" t="s">
        <v>3356</v>
      </c>
      <c r="AC91" t="s">
        <v>4283</v>
      </c>
      <c r="AU91" s="74" t="s">
        <v>414</v>
      </c>
      <c r="AW91" t="str">
        <f>IF(COUNTIFS(HCP_evidence!$A:$A, M91, HCP_evidence!$AH:$AH, "&lt;&gt;")&gt;0, "Yes", "")</f>
        <v/>
      </c>
      <c r="AX91" s="74" t="s">
        <v>414</v>
      </c>
      <c r="BA91" t="s">
        <v>414</v>
      </c>
    </row>
    <row r="92" spans="1:55" hidden="1">
      <c r="A92">
        <v>96</v>
      </c>
      <c r="J92" t="s">
        <v>4470</v>
      </c>
      <c r="K92" s="72" t="s">
        <v>4546</v>
      </c>
      <c r="M92" t="s">
        <v>483</v>
      </c>
      <c r="N92" s="73"/>
      <c r="Q92" t="str">
        <f>IF(COUNTIFS(HCP_evidence!$A:$A, M92, HCP_evidence!$AB:$AB, "&lt;&gt;")&gt;0, "Yes", "")</f>
        <v/>
      </c>
      <c r="R92" t="s">
        <v>4412</v>
      </c>
      <c r="S92" t="s">
        <v>4412</v>
      </c>
      <c r="T92" t="s">
        <v>4422</v>
      </c>
      <c r="V92"/>
      <c r="W92" t="s">
        <v>4450</v>
      </c>
      <c r="X92" t="s">
        <v>3356</v>
      </c>
      <c r="AC92" t="s">
        <v>4283</v>
      </c>
      <c r="AS92" s="74" t="s">
        <v>414</v>
      </c>
      <c r="AW92" t="str">
        <f>IF(COUNTIFS(HCP_evidence!$A:$A, M92, HCP_evidence!$AH:$AH, "&lt;&gt;")&gt;0, "Yes", "")</f>
        <v/>
      </c>
    </row>
    <row r="93" spans="1:55" hidden="1">
      <c r="J93" t="s">
        <v>8261</v>
      </c>
      <c r="K93" s="72" t="s">
        <v>4585</v>
      </c>
      <c r="M93" t="s">
        <v>4586</v>
      </c>
      <c r="N93" s="71" t="s">
        <v>4334</v>
      </c>
      <c r="Q93" t="str">
        <f>IF(COUNTIFS(HCP_evidence!$A:$A, M93, HCP_evidence!$AB:$AB, "&lt;&gt;")&gt;0, "Yes", "")</f>
        <v/>
      </c>
      <c r="R93" t="s">
        <v>4412</v>
      </c>
      <c r="S93" t="s">
        <v>4412</v>
      </c>
      <c r="V93"/>
      <c r="W93" t="s">
        <v>4450</v>
      </c>
      <c r="X93" t="s">
        <v>3356</v>
      </c>
      <c r="AU93" s="74" t="s">
        <v>414</v>
      </c>
    </row>
    <row r="94" spans="1:55" hidden="1">
      <c r="J94" t="s">
        <v>5116</v>
      </c>
      <c r="K94" s="72" t="s">
        <v>7853</v>
      </c>
      <c r="M94" t="s">
        <v>4029</v>
      </c>
      <c r="N94" t="s">
        <v>4029</v>
      </c>
      <c r="Q94" t="str">
        <f>IF(COUNTIFS(HCP_evidence!$A:$A, M94, HCP_evidence!$AB:$AB, "&lt;&gt;")&gt;0, "Yes", "")</f>
        <v/>
      </c>
      <c r="V94"/>
      <c r="W94" t="s">
        <v>4450</v>
      </c>
      <c r="X94" t="s">
        <v>3356</v>
      </c>
      <c r="AC94" t="s">
        <v>4283</v>
      </c>
      <c r="BB94" s="74"/>
    </row>
    <row r="95" spans="1:55" hidden="1">
      <c r="B95" t="s">
        <v>7878</v>
      </c>
      <c r="C95" s="74" t="s">
        <v>4308</v>
      </c>
      <c r="J95" t="s">
        <v>4792</v>
      </c>
      <c r="K95" s="72" t="s">
        <v>4458</v>
      </c>
      <c r="M95" t="s">
        <v>4123</v>
      </c>
      <c r="N95" t="s">
        <v>4230</v>
      </c>
      <c r="Q95" t="str">
        <f>IF(COUNTIFS(HCP_evidence!$A:$A, M95, HCP_evidence!$AB:$AB, "&lt;&gt;")&gt;0, "Yes", "")</f>
        <v/>
      </c>
      <c r="R95" t="s">
        <v>4306</v>
      </c>
      <c r="S95" t="s">
        <v>4306</v>
      </c>
      <c r="V95"/>
      <c r="W95" t="s">
        <v>4453</v>
      </c>
      <c r="X95" t="s">
        <v>3175</v>
      </c>
      <c r="AC95" t="s">
        <v>4283</v>
      </c>
    </row>
    <row r="96" spans="1:55" hidden="1">
      <c r="B96" t="s">
        <v>7878</v>
      </c>
      <c r="C96" s="74" t="s">
        <v>4314</v>
      </c>
      <c r="D96" t="s">
        <v>414</v>
      </c>
      <c r="I96" t="s">
        <v>5156</v>
      </c>
      <c r="J96" t="s">
        <v>5155</v>
      </c>
      <c r="K96" s="72" t="s">
        <v>4452</v>
      </c>
      <c r="M96" t="s">
        <v>4258</v>
      </c>
      <c r="N96" t="s">
        <v>4258</v>
      </c>
      <c r="Q96" t="str">
        <f>IF(COUNTIFS(HCP_evidence!$A:$A, M96, HCP_evidence!$AB:$AB, "&lt;&gt;")&gt;0, "Yes", "")</f>
        <v/>
      </c>
      <c r="R96" t="s">
        <v>4412</v>
      </c>
      <c r="S96" t="s">
        <v>4412</v>
      </c>
      <c r="V96"/>
      <c r="W96" t="s">
        <v>4453</v>
      </c>
      <c r="X96" t="s">
        <v>3175</v>
      </c>
      <c r="BC96" t="s">
        <v>414</v>
      </c>
    </row>
    <row r="97" spans="1:55" hidden="1">
      <c r="B97" t="s">
        <v>7878</v>
      </c>
      <c r="C97" s="74" t="s">
        <v>4311</v>
      </c>
      <c r="J97" s="80" t="s">
        <v>8634</v>
      </c>
      <c r="K97" s="72" t="s">
        <v>4974</v>
      </c>
      <c r="L97" s="72" t="s">
        <v>8635</v>
      </c>
      <c r="M97" t="s">
        <v>4317</v>
      </c>
      <c r="N97" t="s">
        <v>4317</v>
      </c>
      <c r="Q97" t="str">
        <f>IF(COUNTIFS(HCP_evidence!$A:$A, M97, HCP_evidence!$AB:$AB, "&lt;&gt;")&gt;0, "Yes", "")</f>
        <v/>
      </c>
      <c r="S97" t="s">
        <v>4306</v>
      </c>
      <c r="V97"/>
      <c r="W97" t="s">
        <v>4453</v>
      </c>
      <c r="X97" t="s">
        <v>3175</v>
      </c>
      <c r="AC97" t="s">
        <v>4283</v>
      </c>
      <c r="BB97" s="74" t="s">
        <v>414</v>
      </c>
    </row>
    <row r="98" spans="1:55" hidden="1">
      <c r="D98" t="s">
        <v>414</v>
      </c>
      <c r="I98" t="s">
        <v>5156</v>
      </c>
      <c r="J98" t="s">
        <v>8433</v>
      </c>
      <c r="K98" s="72" t="s">
        <v>5129</v>
      </c>
      <c r="M98" t="s">
        <v>4028</v>
      </c>
      <c r="N98" s="74"/>
      <c r="Q98" t="str">
        <f>IF(COUNTIFS(HCP_evidence!$A:$A, M98, HCP_evidence!$AB:$AB, "&lt;&gt;")&gt;0, "Yes", "")</f>
        <v/>
      </c>
      <c r="V98"/>
      <c r="W98" t="s">
        <v>4453</v>
      </c>
      <c r="X98" t="s">
        <v>3175</v>
      </c>
      <c r="AC98" t="s">
        <v>4283</v>
      </c>
      <c r="BB98" s="74" t="s">
        <v>414</v>
      </c>
      <c r="BC98" t="s">
        <v>414</v>
      </c>
    </row>
    <row r="99" spans="1:55" hidden="1">
      <c r="J99" t="s">
        <v>7935</v>
      </c>
      <c r="K99" s="72" t="s">
        <v>7960</v>
      </c>
      <c r="M99" t="s">
        <v>4261</v>
      </c>
      <c r="Q99" t="str">
        <f>IF(COUNTIFS(HCP_evidence!$A:$A, M99, HCP_evidence!$AB:$AB, "&lt;&gt;")&gt;0, "Yes", "")</f>
        <v/>
      </c>
      <c r="V99"/>
      <c r="W99" t="s">
        <v>4453</v>
      </c>
      <c r="X99" s="81" t="s">
        <v>3175</v>
      </c>
      <c r="AC99" t="s">
        <v>4283</v>
      </c>
      <c r="BB99" s="74"/>
    </row>
    <row r="100" spans="1:55" hidden="1">
      <c r="J100" t="s">
        <v>8141</v>
      </c>
      <c r="K100" s="72" t="s">
        <v>4455</v>
      </c>
      <c r="M100" t="s">
        <v>4255</v>
      </c>
      <c r="N100" s="74" t="s">
        <v>4255</v>
      </c>
      <c r="Q100" t="str">
        <f>IF(COUNTIFS(HCP_evidence!$A:$A, M100, HCP_evidence!$AB:$AB, "&lt;&gt;")&gt;0, "Yes", "")</f>
        <v/>
      </c>
      <c r="R100" t="s">
        <v>4412</v>
      </c>
      <c r="S100" t="s">
        <v>4412</v>
      </c>
      <c r="V100"/>
      <c r="W100" t="s">
        <v>3741</v>
      </c>
      <c r="X100" t="s">
        <v>4295</v>
      </c>
      <c r="AC100" t="s">
        <v>4283</v>
      </c>
      <c r="BB100" s="74"/>
    </row>
    <row r="101" spans="1:55" hidden="1">
      <c r="B101" t="s">
        <v>7878</v>
      </c>
      <c r="C101" s="74" t="s">
        <v>4311</v>
      </c>
      <c r="J101" s="80" t="s">
        <v>8632</v>
      </c>
      <c r="K101" s="72" t="s">
        <v>4959</v>
      </c>
      <c r="M101" t="s">
        <v>4231</v>
      </c>
      <c r="N101" s="71" t="s">
        <v>4231</v>
      </c>
      <c r="Q101" t="str">
        <f>IF(COUNTIFS(HCP_evidence!$A:$A, M101, HCP_evidence!$AB:$AB, "&lt;&gt;")&gt;0, "Yes", "")</f>
        <v/>
      </c>
      <c r="S101" t="s">
        <v>4305</v>
      </c>
      <c r="V101"/>
      <c r="W101" t="s">
        <v>3741</v>
      </c>
      <c r="X101" t="s">
        <v>4295</v>
      </c>
      <c r="AC101" t="s">
        <v>4283</v>
      </c>
      <c r="BB101" s="74"/>
    </row>
    <row r="102" spans="1:55" hidden="1">
      <c r="A102">
        <v>146</v>
      </c>
      <c r="B102" t="s">
        <v>7878</v>
      </c>
      <c r="C102" s="74" t="s">
        <v>4308</v>
      </c>
      <c r="I102" t="s">
        <v>5156</v>
      </c>
      <c r="J102" t="s">
        <v>4792</v>
      </c>
      <c r="K102" s="72" t="s">
        <v>4966</v>
      </c>
      <c r="L102" s="72" t="s">
        <v>8475</v>
      </c>
      <c r="M102" t="s">
        <v>1104</v>
      </c>
      <c r="N102" t="s">
        <v>1104</v>
      </c>
      <c r="Q102" t="str">
        <f>IF(COUNTIFS(HCP_evidence!$A:$A, M102, HCP_evidence!$AB:$AB, "&lt;&gt;")&gt;0, "Yes", "")</f>
        <v/>
      </c>
      <c r="S102" t="s">
        <v>4305</v>
      </c>
      <c r="V102"/>
      <c r="W102" t="s">
        <v>3741</v>
      </c>
      <c r="X102" t="s">
        <v>4295</v>
      </c>
      <c r="AC102" t="s">
        <v>4283</v>
      </c>
      <c r="AW102" t="str">
        <f>IF(COUNTIFS(HCP_evidence!$A:$A, M102, HCP_evidence!$AH:$AH, "&lt;&gt;")&gt;0, "Yes", "")</f>
        <v/>
      </c>
      <c r="BB102" s="74"/>
    </row>
    <row r="103" spans="1:55" hidden="1">
      <c r="J103" s="80" t="s">
        <v>8633</v>
      </c>
      <c r="K103" s="72" t="s">
        <v>4454</v>
      </c>
      <c r="M103" t="s">
        <v>4331</v>
      </c>
      <c r="N103" s="71" t="s">
        <v>4331</v>
      </c>
      <c r="Q103" t="str">
        <f>IF(COUNTIFS(HCP_evidence!$A:$A, M103, HCP_evidence!$AB:$AB, "&lt;&gt;")&gt;0, "Yes", "")</f>
        <v/>
      </c>
      <c r="R103" t="s">
        <v>4412</v>
      </c>
      <c r="S103" t="s">
        <v>4412</v>
      </c>
      <c r="V103"/>
      <c r="W103" t="s">
        <v>3741</v>
      </c>
      <c r="X103" t="s">
        <v>4295</v>
      </c>
      <c r="BB103" s="74"/>
    </row>
    <row r="104" spans="1:55" hidden="1">
      <c r="J104" t="s">
        <v>8487</v>
      </c>
      <c r="K104" s="72" t="s">
        <v>8151</v>
      </c>
      <c r="M104" t="s">
        <v>8152</v>
      </c>
      <c r="Q104" t="str">
        <f>IF(COUNTIFS(HCP_evidence!$A:$A, M104, HCP_evidence!$AB:$AB, "&lt;&gt;")&gt;0, "Yes", "")</f>
        <v/>
      </c>
      <c r="V104"/>
      <c r="W104" t="s">
        <v>3741</v>
      </c>
      <c r="X104" s="81" t="s">
        <v>4295</v>
      </c>
    </row>
    <row r="105" spans="1:55" hidden="1">
      <c r="J105" s="80" t="s">
        <v>8632</v>
      </c>
      <c r="K105" s="72" t="s">
        <v>8180</v>
      </c>
      <c r="M105" t="s">
        <v>8181</v>
      </c>
      <c r="Q105" t="str">
        <f>IF(COUNTIFS(HCP_evidence!$A:$A, M105, HCP_evidence!$AB:$AB, "&lt;&gt;")&gt;0, "Yes", "")</f>
        <v/>
      </c>
      <c r="V105"/>
      <c r="W105" t="s">
        <v>3741</v>
      </c>
      <c r="X105" s="81" t="s">
        <v>4295</v>
      </c>
    </row>
    <row r="106" spans="1:55" hidden="1">
      <c r="A106">
        <v>25</v>
      </c>
      <c r="J106" t="s">
        <v>8322</v>
      </c>
      <c r="K106" s="72" t="s">
        <v>4486</v>
      </c>
      <c r="M106" t="s">
        <v>436</v>
      </c>
      <c r="N106" t="s">
        <v>436</v>
      </c>
      <c r="Q106" t="str">
        <f>IF(COUNTIFS(HCP_evidence!$A:$A, M106, HCP_evidence!$AB:$AB, "&lt;&gt;")&gt;0, "Yes", "")</f>
        <v/>
      </c>
      <c r="R106" t="s">
        <v>4305</v>
      </c>
      <c r="S106" t="s">
        <v>4305</v>
      </c>
      <c r="V106"/>
      <c r="W106" t="s">
        <v>3742</v>
      </c>
      <c r="X106" t="s">
        <v>4294</v>
      </c>
      <c r="AC106" t="s">
        <v>4283</v>
      </c>
      <c r="AS106" s="74" t="s">
        <v>414</v>
      </c>
      <c r="AW106" t="str">
        <f>IF(COUNTIFS(HCP_evidence!$A:$A, M106, HCP_evidence!$AH:$AH, "&lt;&gt;")&gt;0, "Yes", "")</f>
        <v/>
      </c>
      <c r="BB106" s="74"/>
    </row>
    <row r="107" spans="1:55" hidden="1">
      <c r="A107">
        <v>26</v>
      </c>
      <c r="J107" t="s">
        <v>7832</v>
      </c>
      <c r="K107" s="72" t="s">
        <v>4487</v>
      </c>
      <c r="M107" t="s">
        <v>437</v>
      </c>
      <c r="N107" t="s">
        <v>437</v>
      </c>
      <c r="Q107" t="str">
        <f>IF(COUNTIFS(HCP_evidence!$A:$A, M107, HCP_evidence!$AB:$AB, "&lt;&gt;")&gt;0, "Yes", "")</f>
        <v/>
      </c>
      <c r="R107" t="s">
        <v>4305</v>
      </c>
      <c r="S107" t="s">
        <v>4305</v>
      </c>
      <c r="V107"/>
      <c r="W107" t="s">
        <v>3742</v>
      </c>
      <c r="X107" t="s">
        <v>4294</v>
      </c>
      <c r="AC107" t="s">
        <v>4283</v>
      </c>
      <c r="AS107" s="74" t="s">
        <v>414</v>
      </c>
      <c r="AW107" t="str">
        <f>IF(COUNTIFS(HCP_evidence!$A:$A, M107, HCP_evidence!$AH:$AH, "&lt;&gt;")&gt;0, "Yes", "")</f>
        <v/>
      </c>
      <c r="BB107" s="74"/>
    </row>
    <row r="108" spans="1:55" hidden="1">
      <c r="A108">
        <v>28</v>
      </c>
      <c r="J108" t="s">
        <v>8360</v>
      </c>
      <c r="K108" s="72" t="s">
        <v>4490</v>
      </c>
      <c r="M108" t="s">
        <v>439</v>
      </c>
      <c r="N108" s="71" t="s">
        <v>4491</v>
      </c>
      <c r="Q108" t="str">
        <f>IF(COUNTIFS(HCP_evidence!$A:$A, M108, HCP_evidence!$AB:$AB, "&lt;&gt;")&gt;0, "Yes", "")</f>
        <v/>
      </c>
      <c r="R108" t="s">
        <v>4305</v>
      </c>
      <c r="S108" t="s">
        <v>4305</v>
      </c>
      <c r="V108"/>
      <c r="W108" t="s">
        <v>3742</v>
      </c>
      <c r="X108" t="s">
        <v>4294</v>
      </c>
      <c r="AC108" t="s">
        <v>4283</v>
      </c>
      <c r="AS108" s="74" t="s">
        <v>414</v>
      </c>
      <c r="AW108" t="str">
        <f>IF(COUNTIFS(HCP_evidence!$A:$A, M108, HCP_evidence!$AH:$AH, "&lt;&gt;")&gt;0, "Yes", "")</f>
        <v/>
      </c>
      <c r="BB108" s="74"/>
    </row>
    <row r="109" spans="1:55" hidden="1">
      <c r="J109" t="s">
        <v>4679</v>
      </c>
      <c r="K109" s="72" t="s">
        <v>4682</v>
      </c>
      <c r="M109" t="s">
        <v>4683</v>
      </c>
      <c r="N109" s="74"/>
      <c r="Q109" t="str">
        <f>IF(COUNTIFS(HCP_evidence!$A:$A, M109, HCP_evidence!$AB:$AB, "&lt;&gt;")&gt;0, "Yes", "")</f>
        <v/>
      </c>
      <c r="R109" t="s">
        <v>4305</v>
      </c>
      <c r="S109" t="s">
        <v>4305</v>
      </c>
      <c r="V109"/>
      <c r="W109" t="s">
        <v>3742</v>
      </c>
      <c r="X109" t="s">
        <v>4294</v>
      </c>
      <c r="BB109" s="74"/>
    </row>
    <row r="110" spans="1:55" hidden="1">
      <c r="A110">
        <v>33</v>
      </c>
      <c r="J110" t="s">
        <v>4678</v>
      </c>
      <c r="K110" s="72" t="s">
        <v>4500</v>
      </c>
      <c r="M110" t="s">
        <v>444</v>
      </c>
      <c r="N110" t="s">
        <v>444</v>
      </c>
      <c r="Q110" t="str">
        <f>IF(COUNTIFS(HCP_evidence!$A:$A, M110, HCP_evidence!$AB:$AB, "&lt;&gt;")&gt;0, "Yes", "")</f>
        <v/>
      </c>
      <c r="R110" t="s">
        <v>4305</v>
      </c>
      <c r="S110" t="s">
        <v>4305</v>
      </c>
      <c r="W110" t="s">
        <v>3742</v>
      </c>
      <c r="X110" t="s">
        <v>4294</v>
      </c>
      <c r="AC110" t="s">
        <v>4283</v>
      </c>
      <c r="AS110" s="74" t="s">
        <v>414</v>
      </c>
      <c r="AW110" t="str">
        <f>IF(COUNTIFS(HCP_evidence!$A:$A, M110, HCP_evidence!$AH:$AH, "&lt;&gt;")&gt;0, "Yes", "")</f>
        <v/>
      </c>
      <c r="BB110" s="74"/>
    </row>
    <row r="111" spans="1:55" hidden="1">
      <c r="A111">
        <v>29</v>
      </c>
      <c r="J111" t="s">
        <v>8573</v>
      </c>
      <c r="K111" s="72" t="s">
        <v>4492</v>
      </c>
      <c r="M111" t="s">
        <v>440</v>
      </c>
      <c r="N111" t="s">
        <v>440</v>
      </c>
      <c r="Q111" t="str">
        <f>IF(COUNTIFS(HCP_evidence!$A:$A, M111, HCP_evidence!$AB:$AB, "&lt;&gt;")&gt;0, "Yes", "")</f>
        <v/>
      </c>
      <c r="R111" t="s">
        <v>4305</v>
      </c>
      <c r="S111" t="s">
        <v>4305</v>
      </c>
      <c r="V111"/>
      <c r="W111" t="s">
        <v>3742</v>
      </c>
      <c r="X111" t="s">
        <v>4294</v>
      </c>
      <c r="AC111" t="s">
        <v>4283</v>
      </c>
      <c r="AS111" s="74" t="s">
        <v>414</v>
      </c>
      <c r="AW111" t="str">
        <f>IF(COUNTIFS(HCP_evidence!$A:$A, M111, HCP_evidence!$AH:$AH, "&lt;&gt;")&gt;0, "Yes", "")</f>
        <v/>
      </c>
      <c r="BB111" s="74"/>
    </row>
    <row r="112" spans="1:55" hidden="1">
      <c r="A112">
        <v>31</v>
      </c>
      <c r="J112" t="s">
        <v>4678</v>
      </c>
      <c r="K112" s="72" t="s">
        <v>4494</v>
      </c>
      <c r="M112" t="s">
        <v>442</v>
      </c>
      <c r="N112" t="s">
        <v>4350</v>
      </c>
      <c r="Q112" t="str">
        <f>IF(COUNTIFS(HCP_evidence!$A:$A, M112, HCP_evidence!$AB:$AB, "&lt;&gt;")&gt;0, "Yes", "")</f>
        <v/>
      </c>
      <c r="R112" t="s">
        <v>4305</v>
      </c>
      <c r="S112" t="s">
        <v>4305</v>
      </c>
      <c r="V112"/>
      <c r="W112" t="s">
        <v>3742</v>
      </c>
      <c r="X112" t="s">
        <v>4294</v>
      </c>
      <c r="AC112" t="s">
        <v>4283</v>
      </c>
      <c r="AS112" s="74" t="s">
        <v>414</v>
      </c>
      <c r="AW112" t="str">
        <f>IF(COUNTIFS(HCP_evidence!$A:$A, M112, HCP_evidence!$AH:$AH, "&lt;&gt;")&gt;0, "Yes", "")</f>
        <v/>
      </c>
      <c r="BB112" s="74"/>
    </row>
    <row r="113" spans="1:55" hidden="1">
      <c r="A113">
        <v>34</v>
      </c>
      <c r="J113" t="s">
        <v>8345</v>
      </c>
      <c r="K113" s="72" t="s">
        <v>4499</v>
      </c>
      <c r="M113" t="s">
        <v>445</v>
      </c>
      <c r="N113" t="s">
        <v>445</v>
      </c>
      <c r="Q113" t="str">
        <f>IF(COUNTIFS(HCP_evidence!$A:$A, M113, HCP_evidence!$AB:$AB, "&lt;&gt;")&gt;0, "Yes", "")</f>
        <v/>
      </c>
      <c r="R113" t="s">
        <v>4305</v>
      </c>
      <c r="S113" t="s">
        <v>4305</v>
      </c>
      <c r="T113" t="s">
        <v>4307</v>
      </c>
      <c r="V113"/>
      <c r="W113" t="s">
        <v>3742</v>
      </c>
      <c r="X113" t="s">
        <v>4294</v>
      </c>
      <c r="AC113" t="s">
        <v>4283</v>
      </c>
      <c r="AS113" s="74" t="s">
        <v>414</v>
      </c>
      <c r="AW113" t="str">
        <f>IF(COUNTIFS(HCP_evidence!$A:$A, M113, HCP_evidence!$AH:$AH, "&lt;&gt;")&gt;0, "Yes", "")</f>
        <v/>
      </c>
      <c r="BB113" s="74" t="s">
        <v>414</v>
      </c>
      <c r="BC113" t="s">
        <v>414</v>
      </c>
    </row>
    <row r="114" spans="1:55" hidden="1">
      <c r="J114" t="s">
        <v>7945</v>
      </c>
      <c r="K114" s="72" t="s">
        <v>4676</v>
      </c>
      <c r="M114" t="s">
        <v>4677</v>
      </c>
      <c r="N114" s="74"/>
      <c r="Q114" t="str">
        <f>IF(COUNTIFS(HCP_evidence!$A:$A, M114, HCP_evidence!$AB:$AB, "&lt;&gt;")&gt;0, "Yes", "")</f>
        <v/>
      </c>
      <c r="R114" t="s">
        <v>4412</v>
      </c>
      <c r="S114" s="55" t="s">
        <v>4412</v>
      </c>
      <c r="T114" t="s">
        <v>4422</v>
      </c>
      <c r="V114"/>
      <c r="W114" t="s">
        <v>3742</v>
      </c>
      <c r="X114" t="s">
        <v>4294</v>
      </c>
      <c r="BB114" s="74"/>
    </row>
    <row r="115" spans="1:55" hidden="1">
      <c r="A115">
        <v>30</v>
      </c>
      <c r="J115" t="s">
        <v>4678</v>
      </c>
      <c r="K115" s="72" t="s">
        <v>4493</v>
      </c>
      <c r="M115" t="s">
        <v>441</v>
      </c>
      <c r="N115" s="73"/>
      <c r="Q115" t="str">
        <f>IF(COUNTIFS(HCP_evidence!$A:$A, M115, HCP_evidence!$AB:$AB, "&lt;&gt;")&gt;0, "Yes", "")</f>
        <v/>
      </c>
      <c r="R115" t="s">
        <v>4305</v>
      </c>
      <c r="S115" t="s">
        <v>4305</v>
      </c>
      <c r="T115" t="s">
        <v>4307</v>
      </c>
      <c r="V115"/>
      <c r="W115" t="s">
        <v>3742</v>
      </c>
      <c r="X115" t="s">
        <v>4294</v>
      </c>
      <c r="AC115" t="s">
        <v>4283</v>
      </c>
      <c r="AS115" s="74" t="s">
        <v>414</v>
      </c>
      <c r="AW115" t="str">
        <f>IF(COUNTIFS(HCP_evidence!$A:$A, M115, HCP_evidence!$AH:$AH, "&lt;&gt;")&gt;0, "Yes", "")</f>
        <v/>
      </c>
      <c r="BB115" s="74"/>
    </row>
    <row r="116" spans="1:55" hidden="1">
      <c r="J116" t="s">
        <v>4679</v>
      </c>
      <c r="K116" s="72" t="s">
        <v>4680</v>
      </c>
      <c r="M116" t="s">
        <v>4681</v>
      </c>
      <c r="N116" s="73"/>
      <c r="Q116" t="str">
        <f>IF(COUNTIFS(HCP_evidence!$A:$A, M116, HCP_evidence!$AB:$AB, "&lt;&gt;")&gt;0, "Yes", "")</f>
        <v/>
      </c>
      <c r="R116" t="s">
        <v>4305</v>
      </c>
      <c r="S116" t="s">
        <v>4305</v>
      </c>
      <c r="V116"/>
      <c r="W116" t="s">
        <v>3742</v>
      </c>
      <c r="X116" t="s">
        <v>4294</v>
      </c>
      <c r="BB116" s="74"/>
    </row>
    <row r="117" spans="1:55" hidden="1">
      <c r="B117" t="s">
        <v>7878</v>
      </c>
      <c r="C117" s="74" t="s">
        <v>4311</v>
      </c>
      <c r="J117" t="s">
        <v>8319</v>
      </c>
      <c r="K117" s="72" t="s">
        <v>4460</v>
      </c>
      <c r="M117" t="s">
        <v>435</v>
      </c>
      <c r="N117" s="71" t="s">
        <v>435</v>
      </c>
      <c r="Q117" t="str">
        <f>IF(COUNTIFS(HCP_evidence!$A:$A, M117, HCP_evidence!$AB:$AB, "&lt;&gt;")&gt;0, "Yes", "")</f>
        <v/>
      </c>
      <c r="R117" t="s">
        <v>4305</v>
      </c>
      <c r="S117" t="s">
        <v>4305</v>
      </c>
      <c r="V117"/>
      <c r="W117" t="s">
        <v>3742</v>
      </c>
      <c r="X117" t="s">
        <v>4294</v>
      </c>
      <c r="AC117" t="s">
        <v>4283</v>
      </c>
      <c r="BB117" s="74"/>
    </row>
    <row r="118" spans="1:55" hidden="1">
      <c r="A118">
        <v>32</v>
      </c>
      <c r="J118" t="s">
        <v>4678</v>
      </c>
      <c r="K118" s="72" t="s">
        <v>4495</v>
      </c>
      <c r="M118" t="s">
        <v>443</v>
      </c>
      <c r="N118" s="74"/>
      <c r="Q118" t="str">
        <f>IF(COUNTIFS(HCP_evidence!$A:$A, M118, HCP_evidence!$AB:$AB, "&lt;&gt;")&gt;0, "Yes", "")</f>
        <v/>
      </c>
      <c r="R118" t="s">
        <v>4305</v>
      </c>
      <c r="S118" s="55" t="s">
        <v>4305</v>
      </c>
      <c r="V118"/>
      <c r="W118" t="s">
        <v>3742</v>
      </c>
      <c r="X118" t="s">
        <v>4294</v>
      </c>
      <c r="AC118" t="s">
        <v>4283</v>
      </c>
      <c r="AS118" s="74" t="s">
        <v>414</v>
      </c>
      <c r="AW118" t="str">
        <f>IF(COUNTIFS(HCP_evidence!$A:$A, M118, HCP_evidence!$AH:$AH, "&lt;&gt;")&gt;0, "Yes", "")</f>
        <v/>
      </c>
      <c r="BB118" s="74"/>
    </row>
    <row r="119" spans="1:55" hidden="1">
      <c r="A119">
        <v>145</v>
      </c>
      <c r="B119" t="s">
        <v>7878</v>
      </c>
      <c r="C119" s="74" t="s">
        <v>4308</v>
      </c>
      <c r="J119" t="s">
        <v>8394</v>
      </c>
      <c r="K119" s="72" t="s">
        <v>4461</v>
      </c>
      <c r="M119" t="s">
        <v>1103</v>
      </c>
      <c r="N119" t="s">
        <v>1103</v>
      </c>
      <c r="Q119" t="str">
        <f>IF(COUNTIFS(HCP_evidence!$A:$A, M119, HCP_evidence!$AB:$AB, "&lt;&gt;")&gt;0, "Yes", "")</f>
        <v/>
      </c>
      <c r="R119" t="s">
        <v>4305</v>
      </c>
      <c r="S119" t="s">
        <v>4305</v>
      </c>
      <c r="T119" t="s">
        <v>4307</v>
      </c>
      <c r="V119"/>
      <c r="W119" t="s">
        <v>3743</v>
      </c>
      <c r="X119" t="s">
        <v>4290</v>
      </c>
      <c r="AC119" t="s">
        <v>4283</v>
      </c>
      <c r="AW119" t="str">
        <f>IF(COUNTIFS(HCP_evidence!$A:$A, M119, HCP_evidence!$AH:$AH, "&lt;&gt;")&gt;0, "Yes", "")</f>
        <v/>
      </c>
      <c r="BB119" s="74"/>
    </row>
    <row r="120" spans="1:55" hidden="1">
      <c r="J120" t="s">
        <v>8141</v>
      </c>
      <c r="K120" s="72" t="s">
        <v>8169</v>
      </c>
      <c r="M120" t="s">
        <v>8170</v>
      </c>
      <c r="Q120" t="str">
        <f>IF(COUNTIFS(HCP_evidence!$A:$A, M120, HCP_evidence!$AB:$AB, "&lt;&gt;")&gt;0, "Yes", "")</f>
        <v/>
      </c>
      <c r="V120"/>
      <c r="W120" t="s">
        <v>3743</v>
      </c>
      <c r="X120" s="81" t="s">
        <v>4290</v>
      </c>
    </row>
    <row r="121" spans="1:55" hidden="1">
      <c r="A121">
        <v>147</v>
      </c>
      <c r="D121" t="s">
        <v>414</v>
      </c>
      <c r="J121" t="s">
        <v>7835</v>
      </c>
      <c r="K121" s="72" t="s">
        <v>4463</v>
      </c>
      <c r="L121" s="72" t="s">
        <v>8516</v>
      </c>
      <c r="M121" t="s">
        <v>1105</v>
      </c>
      <c r="N121" s="74" t="s">
        <v>1105</v>
      </c>
      <c r="Q121" t="str">
        <f>IF(COUNTIFS(HCP_evidence!$A:$A, M121, HCP_evidence!$AB:$AB, "&lt;&gt;")&gt;0, "Yes", "")</f>
        <v/>
      </c>
      <c r="R121" t="s">
        <v>4417</v>
      </c>
      <c r="S121" t="s">
        <v>4417</v>
      </c>
      <c r="T121" t="s">
        <v>4412</v>
      </c>
      <c r="V121"/>
      <c r="W121" t="s">
        <v>3744</v>
      </c>
      <c r="X121" t="s">
        <v>1243</v>
      </c>
      <c r="AC121" t="s">
        <v>4283</v>
      </c>
      <c r="AW121" t="str">
        <f>IF(COUNTIFS(HCP_evidence!$A:$A, M121, HCP_evidence!$AH:$AH, "&lt;&gt;")&gt;0, "Yes", "")</f>
        <v/>
      </c>
      <c r="AZ121" s="13" t="s">
        <v>414</v>
      </c>
      <c r="BB121" s="74"/>
    </row>
    <row r="122" spans="1:55" hidden="1">
      <c r="J122" t="s">
        <v>11445</v>
      </c>
      <c r="K122" s="72" t="s">
        <v>7931</v>
      </c>
      <c r="M122" t="s">
        <v>7932</v>
      </c>
      <c r="Q122" t="str">
        <f>IF(COUNTIFS(HCP_evidence!$A:$A, M122, HCP_evidence!$AB:$AB, "&lt;&gt;")&gt;0, "Yes", "")</f>
        <v/>
      </c>
      <c r="V122"/>
      <c r="W122" t="s">
        <v>3744</v>
      </c>
      <c r="X122" s="81" t="s">
        <v>1243</v>
      </c>
    </row>
    <row r="123" spans="1:55" hidden="1">
      <c r="A123">
        <v>13</v>
      </c>
      <c r="E123" t="s">
        <v>414</v>
      </c>
      <c r="I123" t="s">
        <v>5153</v>
      </c>
      <c r="J123" t="s">
        <v>8299</v>
      </c>
      <c r="K123" s="72" t="s">
        <v>4479</v>
      </c>
      <c r="L123" s="72" t="s">
        <v>8300</v>
      </c>
      <c r="M123" t="s">
        <v>429</v>
      </c>
      <c r="N123" s="71" t="s">
        <v>429</v>
      </c>
      <c r="Q123" t="str">
        <f>IF(COUNTIFS(HCP_evidence!$A:$A, M123, HCP_evidence!$AB:$AB, "&lt;&gt;")&gt;0, "Yes", "")</f>
        <v>Yes</v>
      </c>
      <c r="R123" t="s">
        <v>4417</v>
      </c>
      <c r="S123" t="s">
        <v>4417</v>
      </c>
      <c r="T123" t="s">
        <v>4412</v>
      </c>
      <c r="V123"/>
      <c r="W123" t="s">
        <v>3745</v>
      </c>
      <c r="X123" t="s">
        <v>4292</v>
      </c>
      <c r="AC123" t="s">
        <v>4283</v>
      </c>
      <c r="AS123" s="74" t="s">
        <v>414</v>
      </c>
      <c r="AW123" t="str">
        <f>IF(COUNTIFS(HCP_evidence!$A:$A, M123, HCP_evidence!$AH:$AH, "&lt;&gt;")&gt;0, "Yes", "")</f>
        <v/>
      </c>
      <c r="BB123" s="74"/>
    </row>
    <row r="124" spans="1:55" hidden="1">
      <c r="A124">
        <v>2</v>
      </c>
      <c r="I124" t="s">
        <v>5156</v>
      </c>
      <c r="J124" t="s">
        <v>8559</v>
      </c>
      <c r="K124" s="72" t="s">
        <v>4466</v>
      </c>
      <c r="L124" s="72" t="s">
        <v>8297</v>
      </c>
      <c r="M124" t="s">
        <v>419</v>
      </c>
      <c r="N124" t="s">
        <v>419</v>
      </c>
      <c r="Q124" t="str">
        <f>IF(COUNTIFS(HCP_evidence!$A:$A, M124, HCP_evidence!$AB:$AB, "&lt;&gt;")&gt;0, "Yes", "")</f>
        <v/>
      </c>
      <c r="R124" t="s">
        <v>4305</v>
      </c>
      <c r="S124" t="s">
        <v>4305</v>
      </c>
      <c r="T124" t="s">
        <v>4307</v>
      </c>
      <c r="V124"/>
      <c r="W124" t="s">
        <v>3745</v>
      </c>
      <c r="X124" t="s">
        <v>4292</v>
      </c>
      <c r="AC124" t="s">
        <v>4283</v>
      </c>
      <c r="AS124" s="74" t="s">
        <v>414</v>
      </c>
      <c r="AW124" t="str">
        <f>IF(COUNTIFS(HCP_evidence!$A:$A, M124, HCP_evidence!$AH:$AH, "&lt;&gt;")&gt;0, "Yes", "")</f>
        <v/>
      </c>
      <c r="BB124" s="74"/>
    </row>
    <row r="125" spans="1:55" hidden="1">
      <c r="A125">
        <v>4</v>
      </c>
      <c r="J125" t="s">
        <v>8558</v>
      </c>
      <c r="K125" s="72" t="s">
        <v>4469</v>
      </c>
      <c r="M125" t="s">
        <v>421</v>
      </c>
      <c r="N125" s="74"/>
      <c r="Q125" t="str">
        <f>IF(COUNTIFS(HCP_evidence!$A:$A, M125, HCP_evidence!$AB:$AB, "&lt;&gt;")&gt;0, "Yes", "")</f>
        <v/>
      </c>
      <c r="R125" t="s">
        <v>4305</v>
      </c>
      <c r="S125" t="s">
        <v>4305</v>
      </c>
      <c r="V125"/>
      <c r="W125" t="s">
        <v>3745</v>
      </c>
      <c r="X125" t="s">
        <v>4292</v>
      </c>
      <c r="AC125" t="s">
        <v>4283</v>
      </c>
      <c r="AS125" s="74" t="s">
        <v>414</v>
      </c>
      <c r="AW125" t="str">
        <f>IF(COUNTIFS(HCP_evidence!$A:$A, M125, HCP_evidence!$AH:$AH, "&lt;&gt;")&gt;0, "Yes", "")</f>
        <v/>
      </c>
      <c r="BB125" s="74"/>
    </row>
    <row r="126" spans="1:55" hidden="1">
      <c r="A126">
        <v>7</v>
      </c>
      <c r="I126" t="s">
        <v>5156</v>
      </c>
      <c r="J126" t="s">
        <v>8333</v>
      </c>
      <c r="K126" s="72" t="s">
        <v>4473</v>
      </c>
      <c r="M126" t="s">
        <v>8330</v>
      </c>
      <c r="N126" s="73"/>
      <c r="Q126" t="str">
        <f>IF(COUNTIFS(HCP_evidence!$A:$A, M126, HCP_evidence!$AB:$AB, "&lt;&gt;")&gt;0, "Yes", "")</f>
        <v/>
      </c>
      <c r="R126" t="s">
        <v>4307</v>
      </c>
      <c r="S126" t="s">
        <v>4307</v>
      </c>
      <c r="V126"/>
      <c r="W126" t="s">
        <v>3745</v>
      </c>
      <c r="X126" t="s">
        <v>4292</v>
      </c>
      <c r="AC126" t="s">
        <v>4283</v>
      </c>
      <c r="AS126" s="74" t="s">
        <v>414</v>
      </c>
      <c r="AW126" t="str">
        <f>IF(COUNTIFS(HCP_evidence!$A:$A, M126, HCP_evidence!$AH:$AH, "&lt;&gt;")&gt;0, "Yes", "")</f>
        <v/>
      </c>
      <c r="BB126" s="74"/>
    </row>
    <row r="127" spans="1:55" hidden="1">
      <c r="A127">
        <v>8</v>
      </c>
      <c r="I127" t="s">
        <v>5156</v>
      </c>
      <c r="J127" t="s">
        <v>8355</v>
      </c>
      <c r="K127" s="72" t="s">
        <v>4474</v>
      </c>
      <c r="M127" t="s">
        <v>424</v>
      </c>
      <c r="N127" s="74"/>
      <c r="Q127" t="str">
        <f>IF(COUNTIFS(HCP_evidence!$A:$A, M127, HCP_evidence!$AB:$AB, "&lt;&gt;")&gt;0, "Yes", "")</f>
        <v/>
      </c>
      <c r="R127" t="s">
        <v>4307</v>
      </c>
      <c r="S127" t="s">
        <v>4307</v>
      </c>
      <c r="T127" t="s">
        <v>4305</v>
      </c>
      <c r="V127"/>
      <c r="W127" t="s">
        <v>3745</v>
      </c>
      <c r="X127" t="s">
        <v>4292</v>
      </c>
      <c r="AC127" t="s">
        <v>4283</v>
      </c>
      <c r="AS127" s="74" t="s">
        <v>414</v>
      </c>
      <c r="AW127" t="str">
        <f>IF(COUNTIFS(HCP_evidence!$A:$A, M127, HCP_evidence!$AH:$AH, "&lt;&gt;")&gt;0, "Yes", "")</f>
        <v/>
      </c>
      <c r="BB127" s="74"/>
    </row>
    <row r="128" spans="1:55" hidden="1">
      <c r="A128">
        <v>1</v>
      </c>
      <c r="I128" t="s">
        <v>5153</v>
      </c>
      <c r="J128" t="s">
        <v>8296</v>
      </c>
      <c r="K128" s="72" t="s">
        <v>4465</v>
      </c>
      <c r="L128" s="72" t="s">
        <v>8295</v>
      </c>
      <c r="M128" t="s">
        <v>413</v>
      </c>
      <c r="N128" s="71" t="s">
        <v>413</v>
      </c>
      <c r="Q128" t="str">
        <f>IF(COUNTIFS(HCP_evidence!$A:$A, M128, HCP_evidence!$AB:$AB, "&lt;&gt;")&gt;0, "Yes", "")</f>
        <v>Yes</v>
      </c>
      <c r="R128" t="s">
        <v>4305</v>
      </c>
      <c r="S128" t="s">
        <v>4305</v>
      </c>
      <c r="T128" t="s">
        <v>4438</v>
      </c>
      <c r="V128"/>
      <c r="W128" t="s">
        <v>3745</v>
      </c>
      <c r="X128" t="s">
        <v>4292</v>
      </c>
      <c r="AC128" t="s">
        <v>4283</v>
      </c>
      <c r="AS128" s="74" t="s">
        <v>414</v>
      </c>
      <c r="AW128" t="str">
        <f>IF(COUNTIFS(HCP_evidence!$A:$A, M128, HCP_evidence!$AH:$AH, "&lt;&gt;")&gt;0, "Yes", "")</f>
        <v/>
      </c>
      <c r="AY128" t="s">
        <v>414</v>
      </c>
      <c r="BB128" s="74"/>
    </row>
    <row r="129" spans="1:54" hidden="1">
      <c r="A129">
        <v>6</v>
      </c>
      <c r="I129" t="s">
        <v>5156</v>
      </c>
      <c r="J129" t="s">
        <v>8321</v>
      </c>
      <c r="K129" s="72" t="s">
        <v>4472</v>
      </c>
      <c r="M129" t="s">
        <v>423</v>
      </c>
      <c r="N129" s="73"/>
      <c r="Q129" t="str">
        <f>IF(COUNTIFS(HCP_evidence!$A:$A, M129, HCP_evidence!$AB:$AB, "&lt;&gt;")&gt;0, "Yes", "")</f>
        <v/>
      </c>
      <c r="R129" t="s">
        <v>4307</v>
      </c>
      <c r="S129" t="s">
        <v>4307</v>
      </c>
      <c r="V129"/>
      <c r="W129" t="s">
        <v>3745</v>
      </c>
      <c r="X129" t="s">
        <v>4292</v>
      </c>
      <c r="AC129" t="s">
        <v>4283</v>
      </c>
      <c r="AS129" s="74" t="s">
        <v>414</v>
      </c>
      <c r="AW129" t="str">
        <f>IF(COUNTIFS(HCP_evidence!$A:$A, M129, HCP_evidence!$AH:$AH, "&lt;&gt;")&gt;0, "Yes", "")</f>
        <v/>
      </c>
      <c r="BB129" s="74"/>
    </row>
    <row r="130" spans="1:54" hidden="1">
      <c r="A130">
        <v>11</v>
      </c>
      <c r="I130" t="s">
        <v>5156</v>
      </c>
      <c r="J130" t="s">
        <v>7858</v>
      </c>
      <c r="K130" s="72" t="s">
        <v>4477</v>
      </c>
      <c r="M130" t="s">
        <v>427</v>
      </c>
      <c r="N130" t="s">
        <v>427</v>
      </c>
      <c r="Q130" t="str">
        <f>IF(COUNTIFS(HCP_evidence!$A:$A, M130, HCP_evidence!$AB:$AB, "&lt;&gt;")&gt;0, "Yes", "")</f>
        <v/>
      </c>
      <c r="R130" t="s">
        <v>4412</v>
      </c>
      <c r="S130" t="s">
        <v>4412</v>
      </c>
      <c r="T130" t="s">
        <v>4436</v>
      </c>
      <c r="V130"/>
      <c r="W130" t="s">
        <v>3745</v>
      </c>
      <c r="X130" t="s">
        <v>4292</v>
      </c>
      <c r="AC130" t="s">
        <v>4283</v>
      </c>
      <c r="AS130" s="74" t="s">
        <v>414</v>
      </c>
      <c r="AW130" t="str">
        <f>IF(COUNTIFS(HCP_evidence!$A:$A, M130, HCP_evidence!$AH:$AH, "&lt;&gt;")&gt;0, "Yes", "")</f>
        <v/>
      </c>
      <c r="BB130" s="74"/>
    </row>
    <row r="131" spans="1:54" hidden="1">
      <c r="A131">
        <v>12</v>
      </c>
      <c r="I131" t="s">
        <v>5153</v>
      </c>
      <c r="J131" t="s">
        <v>8338</v>
      </c>
      <c r="K131" s="72" t="s">
        <v>4478</v>
      </c>
      <c r="L131" s="72" t="s">
        <v>8301</v>
      </c>
      <c r="M131" t="s">
        <v>428</v>
      </c>
      <c r="N131" t="s">
        <v>428</v>
      </c>
      <c r="Q131" t="str">
        <f>IF(COUNTIFS(HCP_evidence!$A:$A, M131, HCP_evidence!$AB:$AB, "&lt;&gt;")&gt;0, "Yes", "")</f>
        <v>Yes</v>
      </c>
      <c r="R131" t="s">
        <v>4412</v>
      </c>
      <c r="S131" t="s">
        <v>4412</v>
      </c>
      <c r="V131"/>
      <c r="W131" t="s">
        <v>3745</v>
      </c>
      <c r="X131" t="s">
        <v>4292</v>
      </c>
      <c r="AC131" t="s">
        <v>4283</v>
      </c>
      <c r="AS131" s="74" t="s">
        <v>414</v>
      </c>
      <c r="AW131" t="str">
        <f>IF(COUNTIFS(HCP_evidence!$A:$A, M131, HCP_evidence!$AH:$AH, "&lt;&gt;")&gt;0, "Yes", "")</f>
        <v/>
      </c>
      <c r="BB131" s="74"/>
    </row>
    <row r="132" spans="1:54" hidden="1">
      <c r="A132">
        <v>10</v>
      </c>
      <c r="I132" t="s">
        <v>5156</v>
      </c>
      <c r="J132" t="s">
        <v>8333</v>
      </c>
      <c r="K132" s="72" t="s">
        <v>4476</v>
      </c>
      <c r="M132" t="s">
        <v>426</v>
      </c>
      <c r="N132" s="74"/>
      <c r="Q132" t="str">
        <f>IF(COUNTIFS(HCP_evidence!$A:$A, M132, HCP_evidence!$AB:$AB, "&lt;&gt;")&gt;0, "Yes", "")</f>
        <v/>
      </c>
      <c r="R132" t="s">
        <v>4307</v>
      </c>
      <c r="S132" t="s">
        <v>4307</v>
      </c>
      <c r="V132"/>
      <c r="W132" t="s">
        <v>3745</v>
      </c>
      <c r="X132" t="s">
        <v>4292</v>
      </c>
      <c r="AC132" t="s">
        <v>4283</v>
      </c>
      <c r="AS132" s="74" t="s">
        <v>414</v>
      </c>
      <c r="AW132" t="str">
        <f>IF(COUNTIFS(HCP_evidence!$A:$A, M132, HCP_evidence!$AH:$AH, "&lt;&gt;")&gt;0, "Yes", "")</f>
        <v/>
      </c>
      <c r="BB132" s="74"/>
    </row>
    <row r="133" spans="1:54" hidden="1">
      <c r="A133">
        <v>3</v>
      </c>
      <c r="I133" t="s">
        <v>5156</v>
      </c>
      <c r="J133" t="s">
        <v>4467</v>
      </c>
      <c r="K133" s="72" t="s">
        <v>4468</v>
      </c>
      <c r="M133" t="s">
        <v>420</v>
      </c>
      <c r="N133" s="77" t="s">
        <v>420</v>
      </c>
      <c r="Q133" t="str">
        <f>IF(COUNTIFS(HCP_evidence!$A:$A, M133, HCP_evidence!$AB:$AB, "&lt;&gt;")&gt;0, "Yes", "")</f>
        <v/>
      </c>
      <c r="R133" t="s">
        <v>4305</v>
      </c>
      <c r="S133" t="s">
        <v>4305</v>
      </c>
      <c r="V133"/>
      <c r="W133" t="s">
        <v>3745</v>
      </c>
      <c r="X133" t="s">
        <v>4292</v>
      </c>
      <c r="AC133" t="s">
        <v>4283</v>
      </c>
      <c r="AS133" s="74" t="s">
        <v>414</v>
      </c>
      <c r="AW133" t="str">
        <f>IF(COUNTIFS(HCP_evidence!$A:$A, M133, HCP_evidence!$AH:$AH, "&lt;&gt;")&gt;0, "Yes", "")</f>
        <v/>
      </c>
      <c r="BB133" s="74"/>
    </row>
    <row r="134" spans="1:54" hidden="1">
      <c r="A134">
        <v>9</v>
      </c>
      <c r="I134" t="s">
        <v>5156</v>
      </c>
      <c r="J134" t="s">
        <v>8337</v>
      </c>
      <c r="K134" s="72" t="s">
        <v>4475</v>
      </c>
      <c r="M134" t="s">
        <v>425</v>
      </c>
      <c r="N134" s="71" t="s">
        <v>4351</v>
      </c>
      <c r="Q134" t="str">
        <f>IF(COUNTIFS(HCP_evidence!$A:$A, M134, HCP_evidence!$AB:$AB, "&lt;&gt;")&gt;0, "Yes", "")</f>
        <v/>
      </c>
      <c r="R134" t="s">
        <v>4305</v>
      </c>
      <c r="S134" t="s">
        <v>4305</v>
      </c>
      <c r="V134"/>
      <c r="W134" t="s">
        <v>3745</v>
      </c>
      <c r="X134" t="s">
        <v>4292</v>
      </c>
      <c r="AC134" t="s">
        <v>4283</v>
      </c>
      <c r="AS134" s="74" t="s">
        <v>414</v>
      </c>
      <c r="AW134" t="str">
        <f>IF(COUNTIFS(HCP_evidence!$A:$A, M134, HCP_evidence!$AH:$AH, "&lt;&gt;")&gt;0, "Yes", "")</f>
        <v/>
      </c>
      <c r="BB134" s="74"/>
    </row>
    <row r="135" spans="1:54" hidden="1">
      <c r="A135">
        <v>5</v>
      </c>
      <c r="B135" t="s">
        <v>7878</v>
      </c>
      <c r="C135" s="74" t="s">
        <v>4311</v>
      </c>
      <c r="I135" t="s">
        <v>5153</v>
      </c>
      <c r="J135" t="s">
        <v>8302</v>
      </c>
      <c r="K135" s="72" t="s">
        <v>4471</v>
      </c>
      <c r="M135" t="s">
        <v>422</v>
      </c>
      <c r="N135" t="s">
        <v>422</v>
      </c>
      <c r="Q135" t="str">
        <f>IF(COUNTIFS(HCP_evidence!$A:$A, M135, HCP_evidence!$AB:$AB, "&lt;&gt;")&gt;0, "Yes", "")</f>
        <v>Yes</v>
      </c>
      <c r="R135" t="s">
        <v>4305</v>
      </c>
      <c r="S135" t="s">
        <v>4305</v>
      </c>
      <c r="T135" t="s">
        <v>4307</v>
      </c>
      <c r="V135"/>
      <c r="W135" t="s">
        <v>3745</v>
      </c>
      <c r="X135" t="s">
        <v>4292</v>
      </c>
      <c r="AC135" t="s">
        <v>4283</v>
      </c>
      <c r="AS135" s="74" t="s">
        <v>414</v>
      </c>
      <c r="AV135" s="13" t="s">
        <v>8618</v>
      </c>
      <c r="AW135" t="str">
        <f>IF(COUNTIFS(HCP_evidence!$A:$A, M135, HCP_evidence!$AH:$AH, "&lt;&gt;")&gt;0, "Yes", "")</f>
        <v/>
      </c>
      <c r="BB135" s="74"/>
    </row>
    <row r="136" spans="1:54" hidden="1">
      <c r="A136">
        <v>14</v>
      </c>
      <c r="I136" t="s">
        <v>5156</v>
      </c>
      <c r="J136" t="s">
        <v>8355</v>
      </c>
      <c r="K136" s="72" t="s">
        <v>4480</v>
      </c>
      <c r="M136" t="s">
        <v>430</v>
      </c>
      <c r="N136" t="s">
        <v>430</v>
      </c>
      <c r="Q136" t="str">
        <f>IF(COUNTIFS(HCP_evidence!$A:$A, M136, HCP_evidence!$AB:$AB, "&lt;&gt;")&gt;0, "Yes", "")</f>
        <v/>
      </c>
      <c r="R136" t="s">
        <v>4412</v>
      </c>
      <c r="S136" t="s">
        <v>4412</v>
      </c>
      <c r="V136"/>
      <c r="W136" t="s">
        <v>3745</v>
      </c>
      <c r="X136" t="s">
        <v>4292</v>
      </c>
      <c r="AC136" t="s">
        <v>4283</v>
      </c>
      <c r="AS136" s="74" t="s">
        <v>414</v>
      </c>
      <c r="AW136" t="str">
        <f>IF(COUNTIFS(HCP_evidence!$A:$A, M136, HCP_evidence!$AH:$AH, "&lt;&gt;")&gt;0, "Yes", "")</f>
        <v/>
      </c>
      <c r="BB136" s="74"/>
    </row>
    <row r="137" spans="1:54" hidden="1">
      <c r="A137">
        <v>15</v>
      </c>
      <c r="J137" t="s">
        <v>4470</v>
      </c>
      <c r="K137" s="72" t="s">
        <v>4481</v>
      </c>
      <c r="M137" t="s">
        <v>431</v>
      </c>
      <c r="N137" t="s">
        <v>431</v>
      </c>
      <c r="Q137" t="str">
        <f>IF(COUNTIFS(HCP_evidence!$A:$A, M137, HCP_evidence!$AB:$AB, "&lt;&gt;")&gt;0, "Yes", "")</f>
        <v/>
      </c>
      <c r="R137" t="s">
        <v>4428</v>
      </c>
      <c r="S137" t="s">
        <v>4428</v>
      </c>
      <c r="V137"/>
      <c r="W137" t="s">
        <v>3746</v>
      </c>
      <c r="X137" t="s">
        <v>4482</v>
      </c>
      <c r="AC137" t="s">
        <v>4283</v>
      </c>
      <c r="AS137" s="74" t="s">
        <v>414</v>
      </c>
      <c r="AW137" t="str">
        <f>IF(COUNTIFS(HCP_evidence!$A:$A, M137, HCP_evidence!$AH:$AH, "&lt;&gt;")&gt;0, "Yes", "")</f>
        <v/>
      </c>
      <c r="BB137" s="74"/>
    </row>
    <row r="138" spans="1:54" hidden="1">
      <c r="A138">
        <v>20</v>
      </c>
      <c r="I138" t="s">
        <v>8029</v>
      </c>
      <c r="J138" t="s">
        <v>4483</v>
      </c>
      <c r="K138" s="72" t="s">
        <v>4484</v>
      </c>
      <c r="M138" t="s">
        <v>433</v>
      </c>
      <c r="N138" t="s">
        <v>4357</v>
      </c>
      <c r="Q138" t="str">
        <f>IF(COUNTIFS(HCP_evidence!$A:$A, M138, HCP_evidence!$AB:$AB, "&lt;&gt;")&gt;0, "Yes", "")</f>
        <v/>
      </c>
      <c r="R138" t="s">
        <v>434</v>
      </c>
      <c r="S138" t="s">
        <v>434</v>
      </c>
      <c r="T138" t="s">
        <v>4307</v>
      </c>
      <c r="V138"/>
      <c r="W138" t="s">
        <v>3747</v>
      </c>
      <c r="X138" t="s">
        <v>4298</v>
      </c>
      <c r="AC138" t="s">
        <v>4283</v>
      </c>
      <c r="AS138" s="74" t="s">
        <v>414</v>
      </c>
      <c r="AW138" t="str">
        <f>IF(COUNTIFS(HCP_evidence!$A:$A, M138, HCP_evidence!$AH:$AH, "&lt;&gt;")&gt;0, "Yes", "")</f>
        <v/>
      </c>
      <c r="BB138" s="74"/>
    </row>
    <row r="139" spans="1:54" hidden="1">
      <c r="A139">
        <v>19</v>
      </c>
      <c r="I139" t="s">
        <v>5156</v>
      </c>
      <c r="J139" t="s">
        <v>11487</v>
      </c>
      <c r="K139" s="72" t="s">
        <v>4485</v>
      </c>
      <c r="M139" t="s">
        <v>432</v>
      </c>
      <c r="N139" s="74"/>
      <c r="Q139" t="str">
        <f>IF(COUNTIFS(HCP_evidence!$A:$A, M139, HCP_evidence!$AB:$AB, "&lt;&gt;")&gt;0, "Yes", "")</f>
        <v/>
      </c>
      <c r="R139" t="s">
        <v>4305</v>
      </c>
      <c r="S139" t="s">
        <v>4305</v>
      </c>
      <c r="V139"/>
      <c r="W139" t="s">
        <v>3747</v>
      </c>
      <c r="X139" t="s">
        <v>4298</v>
      </c>
      <c r="AC139" t="s">
        <v>4283</v>
      </c>
      <c r="AS139" s="74" t="s">
        <v>414</v>
      </c>
      <c r="AW139" t="str">
        <f>IF(COUNTIFS(HCP_evidence!$A:$A, M139, HCP_evidence!$AH:$AH, "&lt;&gt;")&gt;0, "Yes", "")</f>
        <v/>
      </c>
      <c r="BB139" s="74"/>
    </row>
    <row r="140" spans="1:54" hidden="1">
      <c r="B140" t="s">
        <v>7878</v>
      </c>
      <c r="C140" s="74" t="s">
        <v>4311</v>
      </c>
      <c r="I140" t="s">
        <v>5153</v>
      </c>
      <c r="J140" t="s">
        <v>8140</v>
      </c>
      <c r="K140" s="72" t="s">
        <v>4969</v>
      </c>
      <c r="M140" t="s">
        <v>4121</v>
      </c>
      <c r="N140" s="73" t="s">
        <v>4121</v>
      </c>
      <c r="Q140" t="str">
        <f>IF(COUNTIFS(HCP_evidence!$A:$A, M140, HCP_evidence!$AB:$AB, "&lt;&gt;")&gt;0, "Yes", "")</f>
        <v>Yes</v>
      </c>
      <c r="S140" t="s">
        <v>4305</v>
      </c>
      <c r="V140"/>
      <c r="W140" t="s">
        <v>3747</v>
      </c>
      <c r="X140" s="81" t="s">
        <v>4298</v>
      </c>
      <c r="AC140" t="s">
        <v>4283</v>
      </c>
      <c r="BB140" s="74"/>
    </row>
    <row r="141" spans="1:54" hidden="1">
      <c r="J141" t="s">
        <v>8141</v>
      </c>
      <c r="K141" s="72" t="s">
        <v>8156</v>
      </c>
      <c r="M141" t="s">
        <v>8157</v>
      </c>
      <c r="Q141" t="str">
        <f>IF(COUNTIFS(HCP_evidence!$A:$A, M141, HCP_evidence!$AB:$AB, "&lt;&gt;")&gt;0, "Yes", "")</f>
        <v/>
      </c>
      <c r="V141"/>
      <c r="W141" t="s">
        <v>3747</v>
      </c>
      <c r="X141" s="86" t="s">
        <v>4298</v>
      </c>
    </row>
    <row r="142" spans="1:54" hidden="1">
      <c r="A142">
        <v>27</v>
      </c>
      <c r="J142" t="s">
        <v>8320</v>
      </c>
      <c r="K142" s="72" t="s">
        <v>4488</v>
      </c>
      <c r="M142" t="s">
        <v>438</v>
      </c>
      <c r="N142" s="71" t="s">
        <v>438</v>
      </c>
      <c r="Q142" t="str">
        <f>IF(COUNTIFS(HCP_evidence!$A:$A, M142, HCP_evidence!$AB:$AB, "&lt;&gt;")&gt;0, "Yes", "")</f>
        <v/>
      </c>
      <c r="R142" t="s">
        <v>4305</v>
      </c>
      <c r="S142" t="s">
        <v>4305</v>
      </c>
      <c r="V142"/>
      <c r="W142" t="s">
        <v>3748</v>
      </c>
      <c r="X142" t="s">
        <v>4489</v>
      </c>
      <c r="AC142" t="s">
        <v>4283</v>
      </c>
      <c r="AS142" s="74" t="s">
        <v>414</v>
      </c>
      <c r="AW142" t="str">
        <f>IF(COUNTIFS(HCP_evidence!$A:$A, M142, HCP_evidence!$AH:$AH, "&lt;&gt;")&gt;0, "Yes", "")</f>
        <v/>
      </c>
      <c r="BB142" s="74"/>
    </row>
    <row r="143" spans="1:54" hidden="1">
      <c r="A143">
        <v>35</v>
      </c>
      <c r="J143" t="s">
        <v>4470</v>
      </c>
      <c r="K143" s="72" t="s">
        <v>4496</v>
      </c>
      <c r="M143" t="s">
        <v>446</v>
      </c>
      <c r="N143" t="s">
        <v>446</v>
      </c>
      <c r="Q143" t="str">
        <f>IF(COUNTIFS(HCP_evidence!$A:$A, M143, HCP_evidence!$AB:$AB, "&lt;&gt;")&gt;0, "Yes", "")</f>
        <v/>
      </c>
      <c r="R143" t="s">
        <v>4428</v>
      </c>
      <c r="S143" t="s">
        <v>4428</v>
      </c>
      <c r="V143"/>
      <c r="W143" t="s">
        <v>4498</v>
      </c>
      <c r="X143" t="s">
        <v>4497</v>
      </c>
      <c r="AC143" t="s">
        <v>4283</v>
      </c>
      <c r="AS143" s="74" t="s">
        <v>414</v>
      </c>
      <c r="AW143" t="str">
        <f>IF(COUNTIFS(HCP_evidence!$A:$A, M143, HCP_evidence!$AH:$AH, "&lt;&gt;")&gt;0, "Yes", "")</f>
        <v/>
      </c>
      <c r="BB143" s="74"/>
    </row>
    <row r="144" spans="1:54" hidden="1">
      <c r="D144" t="s">
        <v>414</v>
      </c>
      <c r="I144" t="s">
        <v>5153</v>
      </c>
      <c r="J144" t="s">
        <v>8424</v>
      </c>
      <c r="K144" s="72" t="s">
        <v>5157</v>
      </c>
      <c r="M144" t="s">
        <v>4018</v>
      </c>
      <c r="N144" t="s">
        <v>4018</v>
      </c>
      <c r="Q144" t="str">
        <f>IF(COUNTIFS(HCP_evidence!$A:$A, M144, HCP_evidence!$AB:$AB, "&lt;&gt;")&gt;0, "Yes", "")</f>
        <v>Yes</v>
      </c>
      <c r="V144"/>
      <c r="W144" t="s">
        <v>4498</v>
      </c>
      <c r="X144" t="s">
        <v>4497</v>
      </c>
      <c r="AC144" t="s">
        <v>4283</v>
      </c>
      <c r="BB144" s="74"/>
    </row>
    <row r="145" spans="1:55" hidden="1">
      <c r="J145" t="s">
        <v>7935</v>
      </c>
      <c r="K145" s="72" t="s">
        <v>7816</v>
      </c>
      <c r="M145" t="s">
        <v>4260</v>
      </c>
      <c r="N145" t="s">
        <v>4260</v>
      </c>
      <c r="Q145" t="str">
        <f>IF(COUNTIFS(HCP_evidence!$A:$A, M145, HCP_evidence!$AB:$AB, "&lt;&gt;")&gt;0, "Yes", "")</f>
        <v/>
      </c>
      <c r="V145"/>
      <c r="W145" t="s">
        <v>4498</v>
      </c>
      <c r="X145" t="s">
        <v>4497</v>
      </c>
      <c r="AC145" t="s">
        <v>4283</v>
      </c>
      <c r="BB145" s="74"/>
      <c r="BC145" t="s">
        <v>414</v>
      </c>
    </row>
    <row r="146" spans="1:55" hidden="1">
      <c r="A146">
        <v>131</v>
      </c>
      <c r="J146" t="s">
        <v>11396</v>
      </c>
      <c r="K146" s="72" t="s">
        <v>7950</v>
      </c>
      <c r="M146" t="s">
        <v>1093</v>
      </c>
      <c r="N146" s="71"/>
      <c r="Q146" t="str">
        <f>IF(COUNTIFS(HCP_evidence!$A:$A, M146, HCP_evidence!$AB:$AB, "&lt;&gt;")&gt;0, "Yes", "")</f>
        <v/>
      </c>
      <c r="V146"/>
      <c r="W146" t="s">
        <v>4498</v>
      </c>
      <c r="X146" t="s">
        <v>4497</v>
      </c>
      <c r="AC146" t="s">
        <v>4283</v>
      </c>
      <c r="AW146" t="str">
        <f>IF(COUNTIFS(HCP_evidence!$A:$A, M146, HCP_evidence!$AH:$AH, "&lt;&gt;")&gt;0, "Yes", "")</f>
        <v/>
      </c>
      <c r="BB146" s="74"/>
    </row>
    <row r="147" spans="1:55" hidden="1">
      <c r="A147">
        <v>39</v>
      </c>
      <c r="I147" t="s">
        <v>5156</v>
      </c>
      <c r="J147" t="s">
        <v>11502</v>
      </c>
      <c r="K147" s="72" t="s">
        <v>4504</v>
      </c>
      <c r="M147" t="s">
        <v>449</v>
      </c>
      <c r="N147" s="71" t="s">
        <v>449</v>
      </c>
      <c r="Q147" t="str">
        <f>IF(COUNTIFS(HCP_evidence!$A:$A, M147, HCP_evidence!$AB:$AB, "&lt;&gt;")&gt;0, "Yes", "")</f>
        <v/>
      </c>
      <c r="R147" t="s">
        <v>4305</v>
      </c>
      <c r="S147" t="s">
        <v>4305</v>
      </c>
      <c r="T147" t="s">
        <v>4307</v>
      </c>
      <c r="V147"/>
      <c r="W147" t="s">
        <v>4503</v>
      </c>
      <c r="X147" t="s">
        <v>3207</v>
      </c>
      <c r="AC147" t="s">
        <v>4283</v>
      </c>
      <c r="AS147" s="74" t="s">
        <v>414</v>
      </c>
      <c r="AW147" t="str">
        <f>IF(COUNTIFS(HCP_evidence!$A:$A, M147, HCP_evidence!$AH:$AH, "&lt;&gt;")&gt;0, "Yes", "")</f>
        <v/>
      </c>
      <c r="BB147" s="74"/>
    </row>
    <row r="148" spans="1:55" hidden="1">
      <c r="A148">
        <v>38</v>
      </c>
      <c r="J148" t="s">
        <v>4470</v>
      </c>
      <c r="K148" s="72" t="s">
        <v>4502</v>
      </c>
      <c r="M148" t="s">
        <v>448</v>
      </c>
      <c r="N148" s="71" t="s">
        <v>448</v>
      </c>
      <c r="Q148" t="str">
        <f>IF(COUNTIFS(HCP_evidence!$A:$A, M148, HCP_evidence!$AB:$AB, "&lt;&gt;")&gt;0, "Yes", "")</f>
        <v/>
      </c>
      <c r="R148" t="s">
        <v>4305</v>
      </c>
      <c r="S148" t="s">
        <v>4305</v>
      </c>
      <c r="V148"/>
      <c r="W148" t="s">
        <v>4503</v>
      </c>
      <c r="X148" t="s">
        <v>3207</v>
      </c>
      <c r="AC148" t="s">
        <v>4283</v>
      </c>
      <c r="AS148" s="74" t="s">
        <v>414</v>
      </c>
      <c r="AW148" t="str">
        <f>IF(COUNTIFS(HCP_evidence!$A:$A, M148, HCP_evidence!$AH:$AH, "&lt;&gt;")&gt;0, "Yes", "")</f>
        <v/>
      </c>
      <c r="BB148" s="74"/>
    </row>
    <row r="149" spans="1:55" hidden="1">
      <c r="A149">
        <v>40</v>
      </c>
      <c r="B149" t="s">
        <v>7878</v>
      </c>
      <c r="C149" s="74" t="s">
        <v>4314</v>
      </c>
      <c r="I149" t="s">
        <v>5153</v>
      </c>
      <c r="J149" t="s">
        <v>8205</v>
      </c>
      <c r="K149" s="72" t="s">
        <v>4505</v>
      </c>
      <c r="M149" t="s">
        <v>450</v>
      </c>
      <c r="N149" s="71" t="s">
        <v>450</v>
      </c>
      <c r="Q149" t="str">
        <f>IF(COUNTIFS(HCP_evidence!$A:$A, M149, HCP_evidence!$AB:$AB, "&lt;&gt;")&gt;0, "Yes", "")</f>
        <v>Yes</v>
      </c>
      <c r="R149" t="s">
        <v>4305</v>
      </c>
      <c r="S149" t="s">
        <v>4305</v>
      </c>
      <c r="V149"/>
      <c r="W149" t="s">
        <v>4503</v>
      </c>
      <c r="X149" t="s">
        <v>3207</v>
      </c>
      <c r="AC149" t="s">
        <v>4283</v>
      </c>
      <c r="AS149" s="74" t="s">
        <v>414</v>
      </c>
      <c r="AW149" t="str">
        <f>IF(COUNTIFS(HCP_evidence!$A:$A, M149, HCP_evidence!$AH:$AH, "&lt;&gt;")&gt;0, "Yes", "")</f>
        <v/>
      </c>
      <c r="BB149" s="74"/>
    </row>
    <row r="150" spans="1:55" hidden="1">
      <c r="I150" t="s">
        <v>5156</v>
      </c>
      <c r="J150" t="s">
        <v>5156</v>
      </c>
      <c r="K150" s="72" t="s">
        <v>8207</v>
      </c>
      <c r="M150" t="s">
        <v>8208</v>
      </c>
      <c r="N150" s="71"/>
      <c r="Q150" t="str">
        <f>IF(COUNTIFS(HCP_evidence!$A:$A, M150, HCP_evidence!$AB:$AB, "&lt;&gt;")&gt;0, "Yes", "")</f>
        <v/>
      </c>
      <c r="V150"/>
      <c r="W150" t="s">
        <v>4503</v>
      </c>
      <c r="X150" t="s">
        <v>3207</v>
      </c>
    </row>
    <row r="151" spans="1:55" hidden="1">
      <c r="I151" t="s">
        <v>5153</v>
      </c>
      <c r="J151" t="s">
        <v>8212</v>
      </c>
      <c r="K151" s="72" t="s">
        <v>8209</v>
      </c>
      <c r="M151" t="s">
        <v>8210</v>
      </c>
      <c r="Q151" t="str">
        <f>IF(COUNTIFS(HCP_evidence!$A:$A, M151, HCP_evidence!$AB:$AB, "&lt;&gt;")&gt;0, "Yes", "")</f>
        <v>Yes</v>
      </c>
      <c r="V151"/>
      <c r="W151" t="s">
        <v>4503</v>
      </c>
      <c r="X151" t="s">
        <v>3207</v>
      </c>
    </row>
    <row r="152" spans="1:55" hidden="1">
      <c r="A152">
        <v>42</v>
      </c>
      <c r="I152" t="s">
        <v>5156</v>
      </c>
      <c r="J152" t="s">
        <v>8361</v>
      </c>
      <c r="K152" s="72" t="s">
        <v>4509</v>
      </c>
      <c r="M152" t="s">
        <v>452</v>
      </c>
      <c r="N152" s="73"/>
      <c r="Q152" t="str">
        <f>IF(COUNTIFS(HCP_evidence!$A:$A, M152, HCP_evidence!$AB:$AB, "&lt;&gt;")&gt;0, "Yes", "")</f>
        <v/>
      </c>
      <c r="R152" t="s">
        <v>4305</v>
      </c>
      <c r="S152" s="55" t="s">
        <v>4305</v>
      </c>
      <c r="V152"/>
      <c r="W152" t="s">
        <v>4508</v>
      </c>
      <c r="X152" t="s">
        <v>4507</v>
      </c>
      <c r="AC152" t="s">
        <v>4283</v>
      </c>
      <c r="AS152" s="74" t="s">
        <v>414</v>
      </c>
      <c r="AW152" t="str">
        <f>IF(COUNTIFS(HCP_evidence!$A:$A, M152, HCP_evidence!$AH:$AH, "&lt;&gt;")&gt;0, "Yes", "")</f>
        <v/>
      </c>
      <c r="BB152" s="74"/>
    </row>
    <row r="153" spans="1:55" hidden="1">
      <c r="A153">
        <v>43</v>
      </c>
      <c r="I153" t="s">
        <v>5156</v>
      </c>
      <c r="J153" t="s">
        <v>4470</v>
      </c>
      <c r="K153" s="72" t="s">
        <v>4510</v>
      </c>
      <c r="M153" t="s">
        <v>453</v>
      </c>
      <c r="N153" s="73"/>
      <c r="Q153" t="str">
        <f>IF(COUNTIFS(HCP_evidence!$A:$A, M153, HCP_evidence!$AB:$AB, "&lt;&gt;")&gt;0, "Yes", "")</f>
        <v/>
      </c>
      <c r="R153" t="s">
        <v>4305</v>
      </c>
      <c r="S153" t="s">
        <v>4305</v>
      </c>
      <c r="V153"/>
      <c r="W153" t="s">
        <v>4508</v>
      </c>
      <c r="X153" t="s">
        <v>4507</v>
      </c>
      <c r="AC153" t="s">
        <v>4283</v>
      </c>
      <c r="AS153" s="74" t="s">
        <v>414</v>
      </c>
      <c r="AW153" t="str">
        <f>IF(COUNTIFS(HCP_evidence!$A:$A, M153, HCP_evidence!$AH:$AH, "&lt;&gt;")&gt;0, "Yes", "")</f>
        <v/>
      </c>
      <c r="BB153" s="74"/>
    </row>
    <row r="154" spans="1:55" hidden="1">
      <c r="A154">
        <v>120</v>
      </c>
      <c r="I154" t="s">
        <v>5156</v>
      </c>
      <c r="J154" t="s">
        <v>8366</v>
      </c>
      <c r="K154" s="72" t="s">
        <v>4572</v>
      </c>
      <c r="M154" t="s">
        <v>512</v>
      </c>
      <c r="N154" s="74"/>
      <c r="Q154" t="str">
        <f>IF(COUNTIFS(HCP_evidence!$A:$A, M154, HCP_evidence!$AB:$AB, "&lt;&gt;")&gt;0, "Yes", "")</f>
        <v/>
      </c>
      <c r="R154" t="s">
        <v>4305</v>
      </c>
      <c r="S154" t="s">
        <v>4305</v>
      </c>
      <c r="V154"/>
      <c r="W154" t="s">
        <v>4508</v>
      </c>
      <c r="X154" t="s">
        <v>4507</v>
      </c>
      <c r="AC154" t="s">
        <v>4283</v>
      </c>
      <c r="AU154" s="74" t="s">
        <v>414</v>
      </c>
      <c r="AW154" t="str">
        <f>IF(COUNTIFS(HCP_evidence!$A:$A, M154, HCP_evidence!$AH:$AH, "&lt;&gt;")&gt;0, "Yes", "")</f>
        <v/>
      </c>
      <c r="BB154" s="74"/>
    </row>
    <row r="155" spans="1:55" hidden="1">
      <c r="A155">
        <v>41</v>
      </c>
      <c r="I155" t="s">
        <v>5156</v>
      </c>
      <c r="J155" t="s">
        <v>4501</v>
      </c>
      <c r="K155" s="72" t="s">
        <v>4506</v>
      </c>
      <c r="M155" t="s">
        <v>451</v>
      </c>
      <c r="N155" t="s">
        <v>4345</v>
      </c>
      <c r="Q155" t="str">
        <f>IF(COUNTIFS(HCP_evidence!$A:$A, M155, HCP_evidence!$AB:$AB, "&lt;&gt;")&gt;0, "Yes", "")</f>
        <v/>
      </c>
      <c r="R155" t="s">
        <v>4305</v>
      </c>
      <c r="S155" t="s">
        <v>4305</v>
      </c>
      <c r="V155"/>
      <c r="W155" t="s">
        <v>4508</v>
      </c>
      <c r="X155" t="s">
        <v>4507</v>
      </c>
      <c r="AC155" t="s">
        <v>4283</v>
      </c>
      <c r="AS155" s="74" t="s">
        <v>414</v>
      </c>
      <c r="AW155" t="str">
        <f>IF(COUNTIFS(HCP_evidence!$A:$A, M155, HCP_evidence!$AH:$AH, "&lt;&gt;")&gt;0, "Yes", "")</f>
        <v/>
      </c>
      <c r="BB155" s="74"/>
    </row>
    <row r="156" spans="1:55" hidden="1">
      <c r="I156" t="s">
        <v>5156</v>
      </c>
      <c r="J156" t="s">
        <v>4579</v>
      </c>
      <c r="K156" s="72" t="s">
        <v>4582</v>
      </c>
      <c r="M156" t="s">
        <v>4583</v>
      </c>
      <c r="N156" s="73"/>
      <c r="Q156" t="str">
        <f>IF(COUNTIFS(HCP_evidence!$A:$A, M156, HCP_evidence!$AB:$AB, "&lt;&gt;")&gt;0, "Yes", "")</f>
        <v/>
      </c>
      <c r="R156" t="s">
        <v>4412</v>
      </c>
      <c r="S156" t="s">
        <v>4412</v>
      </c>
      <c r="T156" t="s">
        <v>4584</v>
      </c>
      <c r="V156"/>
      <c r="W156" t="s">
        <v>4508</v>
      </c>
      <c r="X156" t="s">
        <v>4507</v>
      </c>
      <c r="AU156" s="74" t="s">
        <v>414</v>
      </c>
      <c r="BB156" s="74"/>
    </row>
    <row r="157" spans="1:55" hidden="1">
      <c r="A157">
        <v>44</v>
      </c>
      <c r="J157" t="s">
        <v>4470</v>
      </c>
      <c r="K157" s="72" t="s">
        <v>4511</v>
      </c>
      <c r="M157" t="s">
        <v>454</v>
      </c>
      <c r="N157" s="74"/>
      <c r="Q157" t="str">
        <f>IF(COUNTIFS(HCP_evidence!$A:$A, M157, HCP_evidence!$AB:$AB, "&lt;&gt;")&gt;0, "Yes", "")</f>
        <v/>
      </c>
      <c r="R157" t="s">
        <v>4428</v>
      </c>
      <c r="S157" t="s">
        <v>4428</v>
      </c>
      <c r="V157"/>
      <c r="W157" t="s">
        <v>3749</v>
      </c>
      <c r="X157" t="s">
        <v>391</v>
      </c>
      <c r="AC157" t="s">
        <v>4283</v>
      </c>
      <c r="AS157" s="74" t="s">
        <v>414</v>
      </c>
      <c r="AW157" t="str">
        <f>IF(COUNTIFS(HCP_evidence!$A:$A, M157, HCP_evidence!$AH:$AH, "&lt;&gt;")&gt;0, "Yes", "")</f>
        <v/>
      </c>
      <c r="BB157" s="74"/>
    </row>
    <row r="158" spans="1:55" hidden="1">
      <c r="A158">
        <v>48</v>
      </c>
      <c r="J158" t="s">
        <v>4702</v>
      </c>
      <c r="K158" s="72" t="s">
        <v>4514</v>
      </c>
      <c r="L158" s="72" t="s">
        <v>4705</v>
      </c>
      <c r="M158" t="s">
        <v>457</v>
      </c>
      <c r="N158" t="s">
        <v>509</v>
      </c>
      <c r="Q158" t="str">
        <f>IF(COUNTIFS(HCP_evidence!$A:$A, M158, HCP_evidence!$AB:$AB, "&lt;&gt;")&gt;0, "Yes", "")</f>
        <v/>
      </c>
      <c r="R158" t="s">
        <v>4305</v>
      </c>
      <c r="S158" t="s">
        <v>4305</v>
      </c>
      <c r="V158"/>
      <c r="W158" t="s">
        <v>3750</v>
      </c>
      <c r="X158" t="s">
        <v>504</v>
      </c>
      <c r="AC158" t="s">
        <v>4283</v>
      </c>
      <c r="AS158" s="74" t="s">
        <v>414</v>
      </c>
      <c r="AU158" s="74" t="s">
        <v>414</v>
      </c>
      <c r="AV158" s="13" t="s">
        <v>8620</v>
      </c>
      <c r="AW158" t="str">
        <f>IF(COUNTIFS(HCP_evidence!$A:$A, M158, HCP_evidence!$AH:$AH, "&lt;&gt;")&gt;0, "Yes", "")</f>
        <v/>
      </c>
      <c r="BB158" s="74"/>
    </row>
    <row r="159" spans="1:55" hidden="1">
      <c r="J159" t="s">
        <v>4679</v>
      </c>
      <c r="K159" s="72" t="s">
        <v>4690</v>
      </c>
      <c r="L159" s="72" t="s">
        <v>4691</v>
      </c>
      <c r="M159" t="s">
        <v>3938</v>
      </c>
      <c r="N159" s="74"/>
      <c r="Q159" t="str">
        <f>IF(COUNTIFS(HCP_evidence!$A:$A, M159, HCP_evidence!$AB:$AB, "&lt;&gt;")&gt;0, "Yes", "")</f>
        <v/>
      </c>
      <c r="R159" t="s">
        <v>4417</v>
      </c>
      <c r="S159" t="s">
        <v>4417</v>
      </c>
      <c r="V159"/>
      <c r="W159" t="s">
        <v>3750</v>
      </c>
      <c r="X159" t="s">
        <v>504</v>
      </c>
      <c r="AC159" t="s">
        <v>4283</v>
      </c>
      <c r="BB159" s="74"/>
    </row>
    <row r="160" spans="1:55" hidden="1">
      <c r="J160" t="s">
        <v>4679</v>
      </c>
      <c r="K160" s="72" t="s">
        <v>4699</v>
      </c>
      <c r="L160" s="72" t="s">
        <v>4700</v>
      </c>
      <c r="M160" t="s">
        <v>4119</v>
      </c>
      <c r="N160" s="71" t="s">
        <v>4119</v>
      </c>
      <c r="Q160" t="str">
        <f>IF(COUNTIFS(HCP_evidence!$A:$A, M160, HCP_evidence!$AB:$AB, "&lt;&gt;")&gt;0, "Yes", "")</f>
        <v/>
      </c>
      <c r="R160" t="s">
        <v>4305</v>
      </c>
      <c r="S160" t="s">
        <v>4305</v>
      </c>
      <c r="V160"/>
      <c r="W160" t="s">
        <v>3750</v>
      </c>
      <c r="X160" t="s">
        <v>504</v>
      </c>
      <c r="AC160" t="s">
        <v>4283</v>
      </c>
      <c r="BB160" s="74"/>
    </row>
    <row r="161" spans="1:54" hidden="1">
      <c r="A161">
        <v>46</v>
      </c>
      <c r="J161" t="s">
        <v>4470</v>
      </c>
      <c r="K161" s="72" t="s">
        <v>4513</v>
      </c>
      <c r="M161" t="s">
        <v>456</v>
      </c>
      <c r="N161" s="74"/>
      <c r="Q161" t="str">
        <f>IF(COUNTIFS(HCP_evidence!$A:$A, M161, HCP_evidence!$AB:$AB, "&lt;&gt;")&gt;0, "Yes", "")</f>
        <v/>
      </c>
      <c r="R161" t="s">
        <v>4305</v>
      </c>
      <c r="S161" t="s">
        <v>4305</v>
      </c>
      <c r="V161"/>
      <c r="W161" t="s">
        <v>3750</v>
      </c>
      <c r="X161" t="s">
        <v>504</v>
      </c>
      <c r="AC161" t="s">
        <v>4283</v>
      </c>
      <c r="AS161" s="74" t="s">
        <v>414</v>
      </c>
      <c r="AW161" t="str">
        <f>IF(COUNTIFS(HCP_evidence!$A:$A, M161, HCP_evidence!$AH:$AH, "&lt;&gt;")&gt;0, "Yes", "")</f>
        <v/>
      </c>
      <c r="BB161" s="74"/>
    </row>
    <row r="162" spans="1:54" hidden="1">
      <c r="A162">
        <v>45</v>
      </c>
      <c r="J162" t="s">
        <v>8341</v>
      </c>
      <c r="K162" s="72" t="s">
        <v>4512</v>
      </c>
      <c r="M162" t="s">
        <v>455</v>
      </c>
      <c r="N162" s="74" t="s">
        <v>455</v>
      </c>
      <c r="Q162" t="str">
        <f>IF(COUNTIFS(HCP_evidence!$A:$A, M162, HCP_evidence!$AB:$AB, "&lt;&gt;")&gt;0, "Yes", "")</f>
        <v/>
      </c>
      <c r="R162" t="s">
        <v>4305</v>
      </c>
      <c r="S162" t="s">
        <v>4305</v>
      </c>
      <c r="V162"/>
      <c r="W162" t="s">
        <v>3750</v>
      </c>
      <c r="X162" t="s">
        <v>504</v>
      </c>
      <c r="AC162" t="s">
        <v>4283</v>
      </c>
      <c r="AS162" s="74" t="s">
        <v>414</v>
      </c>
      <c r="AW162" t="str">
        <f>IF(COUNTIFS(HCP_evidence!$A:$A, M162, HCP_evidence!$AH:$AH, "&lt;&gt;")&gt;0, "Yes", "")</f>
        <v/>
      </c>
      <c r="BB162" s="74"/>
    </row>
    <row r="163" spans="1:54" hidden="1">
      <c r="A163">
        <v>49</v>
      </c>
      <c r="D163" t="s">
        <v>414</v>
      </c>
      <c r="E163" t="s">
        <v>414</v>
      </c>
      <c r="J163" t="s">
        <v>4689</v>
      </c>
      <c r="K163" s="72" t="s">
        <v>4516</v>
      </c>
      <c r="L163" s="72" t="s">
        <v>4688</v>
      </c>
      <c r="M163" t="s">
        <v>459</v>
      </c>
      <c r="N163" t="s">
        <v>459</v>
      </c>
      <c r="Q163" t="str">
        <f>IF(COUNTIFS(HCP_evidence!$A:$A, M163, HCP_evidence!$AB:$AB, "&lt;&gt;")&gt;0, "Yes", "")</f>
        <v/>
      </c>
      <c r="R163" t="s">
        <v>4417</v>
      </c>
      <c r="S163" t="s">
        <v>4417</v>
      </c>
      <c r="T163" t="s">
        <v>4517</v>
      </c>
      <c r="U163" t="s">
        <v>4422</v>
      </c>
      <c r="V163"/>
      <c r="W163" t="s">
        <v>3750</v>
      </c>
      <c r="X163" t="s">
        <v>504</v>
      </c>
      <c r="AC163" t="s">
        <v>4283</v>
      </c>
      <c r="AS163" s="74" t="s">
        <v>414</v>
      </c>
      <c r="AW163" t="str">
        <f>IF(COUNTIFS(HCP_evidence!$A:$A, M163, HCP_evidence!$AH:$AH, "&lt;&gt;")&gt;0, "Yes", "")</f>
        <v/>
      </c>
      <c r="BB163" s="74"/>
    </row>
    <row r="164" spans="1:54" hidden="1">
      <c r="E164" t="s">
        <v>414</v>
      </c>
      <c r="J164" t="s">
        <v>4687</v>
      </c>
      <c r="K164" s="72" t="s">
        <v>4685</v>
      </c>
      <c r="L164" s="72" t="s">
        <v>4686</v>
      </c>
      <c r="M164" t="s">
        <v>4106</v>
      </c>
      <c r="N164" s="71" t="s">
        <v>4106</v>
      </c>
      <c r="Q164" t="str">
        <f>IF(COUNTIFS(HCP_evidence!$A:$A, M164, HCP_evidence!$AB:$AB, "&lt;&gt;")&gt;0, "Yes", "")</f>
        <v/>
      </c>
      <c r="R164" t="s">
        <v>4417</v>
      </c>
      <c r="S164" t="s">
        <v>4417</v>
      </c>
      <c r="T164" t="s">
        <v>4422</v>
      </c>
      <c r="V164"/>
      <c r="W164" t="s">
        <v>3750</v>
      </c>
      <c r="X164" t="s">
        <v>504</v>
      </c>
      <c r="AC164" t="s">
        <v>4283</v>
      </c>
      <c r="BB164" s="74"/>
    </row>
    <row r="165" spans="1:54" hidden="1">
      <c r="J165" t="s">
        <v>4693</v>
      </c>
      <c r="K165" s="72" t="s">
        <v>4694</v>
      </c>
      <c r="L165" s="72" t="s">
        <v>4692</v>
      </c>
      <c r="M165" t="s">
        <v>4073</v>
      </c>
      <c r="N165" s="73"/>
      <c r="Q165" t="str">
        <f>IF(COUNTIFS(HCP_evidence!$A:$A, M165, HCP_evidence!$AB:$AB, "&lt;&gt;")&gt;0, "Yes", "")</f>
        <v/>
      </c>
      <c r="R165" t="s">
        <v>4422</v>
      </c>
      <c r="S165" t="s">
        <v>4422</v>
      </c>
      <c r="V165"/>
      <c r="W165" t="s">
        <v>3750</v>
      </c>
      <c r="X165" t="s">
        <v>504</v>
      </c>
      <c r="AC165" t="s">
        <v>4283</v>
      </c>
      <c r="BB165" s="74"/>
    </row>
    <row r="166" spans="1:54" hidden="1">
      <c r="E166" t="s">
        <v>414</v>
      </c>
      <c r="J166" t="s">
        <v>4679</v>
      </c>
      <c r="K166" s="72" t="s">
        <v>4695</v>
      </c>
      <c r="L166" s="72" t="s">
        <v>4697</v>
      </c>
      <c r="M166" t="s">
        <v>4696</v>
      </c>
      <c r="N166" s="73"/>
      <c r="Q166" t="str">
        <f>IF(COUNTIFS(HCP_evidence!$A:$A, M166, HCP_evidence!$AB:$AB, "&lt;&gt;")&gt;0, "Yes", "")</f>
        <v/>
      </c>
      <c r="R166" t="s">
        <v>4412</v>
      </c>
      <c r="S166" t="s">
        <v>4412</v>
      </c>
      <c r="T166" t="s">
        <v>4422</v>
      </c>
      <c r="V166"/>
      <c r="W166" t="s">
        <v>3750</v>
      </c>
      <c r="X166" t="s">
        <v>504</v>
      </c>
      <c r="BB166" s="74"/>
    </row>
    <row r="167" spans="1:54" hidden="1">
      <c r="A167">
        <v>47</v>
      </c>
      <c r="B167" t="s">
        <v>7878</v>
      </c>
      <c r="C167" s="74" t="s">
        <v>4311</v>
      </c>
      <c r="J167" t="s">
        <v>7993</v>
      </c>
      <c r="K167" s="72" t="s">
        <v>4515</v>
      </c>
      <c r="L167" s="72" t="s">
        <v>4701</v>
      </c>
      <c r="M167" t="s">
        <v>458</v>
      </c>
      <c r="N167" s="71" t="s">
        <v>458</v>
      </c>
      <c r="Q167" t="str">
        <f>IF(COUNTIFS(HCP_evidence!$A:$A, M167, HCP_evidence!$AB:$AB, "&lt;&gt;")&gt;0, "Yes", "")</f>
        <v/>
      </c>
      <c r="R167" t="s">
        <v>4305</v>
      </c>
      <c r="S167" t="s">
        <v>4305</v>
      </c>
      <c r="T167" t="s">
        <v>4307</v>
      </c>
      <c r="V167"/>
      <c r="W167" t="s">
        <v>3750</v>
      </c>
      <c r="X167" t="s">
        <v>504</v>
      </c>
      <c r="AC167" t="s">
        <v>4283</v>
      </c>
      <c r="AS167" s="74" t="s">
        <v>414</v>
      </c>
      <c r="AU167" s="74" t="s">
        <v>414</v>
      </c>
      <c r="AW167" t="str">
        <f>IF(COUNTIFS(HCP_evidence!$A:$A, M167, HCP_evidence!$AH:$AH, "&lt;&gt;")&gt;0, "Yes", "")</f>
        <v/>
      </c>
      <c r="BA167" t="s">
        <v>414</v>
      </c>
      <c r="BB167" s="74"/>
    </row>
    <row r="168" spans="1:54" hidden="1">
      <c r="B168" t="s">
        <v>7878</v>
      </c>
      <c r="C168" s="74" t="s">
        <v>4311</v>
      </c>
      <c r="J168" s="80" t="s">
        <v>8636</v>
      </c>
      <c r="K168" s="72" t="s">
        <v>4947</v>
      </c>
      <c r="M168" t="s">
        <v>3940</v>
      </c>
      <c r="N168" s="74"/>
      <c r="Q168" t="str">
        <f>IF(COUNTIFS(HCP_evidence!$A:$A, M168, HCP_evidence!$AB:$AB, "&lt;&gt;")&gt;0, "Yes", "")</f>
        <v/>
      </c>
      <c r="V168"/>
      <c r="W168" t="s">
        <v>3750</v>
      </c>
      <c r="X168" t="s">
        <v>504</v>
      </c>
      <c r="AC168" t="s">
        <v>4283</v>
      </c>
      <c r="BB168" s="74"/>
    </row>
    <row r="169" spans="1:54" hidden="1">
      <c r="B169" t="s">
        <v>7878</v>
      </c>
      <c r="C169" s="74" t="s">
        <v>4311</v>
      </c>
      <c r="D169" t="s">
        <v>414</v>
      </c>
      <c r="J169" t="s">
        <v>11514</v>
      </c>
      <c r="K169" s="72" t="s">
        <v>4963</v>
      </c>
      <c r="L169" s="72" t="s">
        <v>8637</v>
      </c>
      <c r="M169" t="s">
        <v>4052</v>
      </c>
      <c r="N169" s="71" t="s">
        <v>4052</v>
      </c>
      <c r="Q169" t="str">
        <f>IF(COUNTIFS(HCP_evidence!$A:$A, M169, HCP_evidence!$AB:$AB, "&lt;&gt;")&gt;0, "Yes", "")</f>
        <v/>
      </c>
      <c r="S169" t="s">
        <v>4306</v>
      </c>
      <c r="V169"/>
      <c r="W169" t="s">
        <v>3750</v>
      </c>
      <c r="X169" t="s">
        <v>504</v>
      </c>
      <c r="AC169" t="s">
        <v>4283</v>
      </c>
      <c r="BB169" s="74"/>
    </row>
    <row r="170" spans="1:54" hidden="1">
      <c r="A170">
        <v>51</v>
      </c>
      <c r="J170" t="s">
        <v>8030</v>
      </c>
      <c r="K170" s="72" t="s">
        <v>4518</v>
      </c>
      <c r="M170" t="s">
        <v>4341</v>
      </c>
      <c r="N170" t="s">
        <v>4341</v>
      </c>
      <c r="Q170" t="str">
        <f>IF(COUNTIFS(HCP_evidence!$A:$A, M170, HCP_evidence!$AB:$AB, "&lt;&gt;")&gt;0, "Yes", "")</f>
        <v/>
      </c>
      <c r="R170" t="s">
        <v>4305</v>
      </c>
      <c r="S170" t="s">
        <v>4305</v>
      </c>
      <c r="V170"/>
      <c r="W170" t="s">
        <v>3751</v>
      </c>
      <c r="X170" s="81" t="s">
        <v>8031</v>
      </c>
      <c r="AC170" t="s">
        <v>4283</v>
      </c>
      <c r="AS170" s="74" t="s">
        <v>414</v>
      </c>
      <c r="AW170" t="str">
        <f>IF(COUNTIFS(HCP_evidence!$A:$A, M170, HCP_evidence!$AH:$AH, "&lt;&gt;")&gt;0, "Yes", "")</f>
        <v/>
      </c>
      <c r="BB170" s="74"/>
    </row>
    <row r="171" spans="1:54" hidden="1">
      <c r="J171" t="s">
        <v>8035</v>
      </c>
      <c r="K171" s="72" t="s">
        <v>8032</v>
      </c>
      <c r="L171" s="72" t="s">
        <v>8034</v>
      </c>
      <c r="M171" t="s">
        <v>8033</v>
      </c>
      <c r="Q171" t="str">
        <f>IF(COUNTIFS(HCP_evidence!$A:$A, M171, HCP_evidence!$AB:$AB, "&lt;&gt;")&gt;0, "Yes", "")</f>
        <v/>
      </c>
      <c r="V171"/>
      <c r="W171" t="s">
        <v>3751</v>
      </c>
      <c r="X171" s="81" t="s">
        <v>8031</v>
      </c>
    </row>
    <row r="172" spans="1:54" hidden="1">
      <c r="A172">
        <v>56</v>
      </c>
      <c r="J172" t="s">
        <v>4470</v>
      </c>
      <c r="K172" s="72" t="s">
        <v>4521</v>
      </c>
      <c r="M172" t="s">
        <v>4522</v>
      </c>
      <c r="N172" s="73"/>
      <c r="Q172" t="str">
        <f>IF(COUNTIFS(HCP_evidence!$A:$A, M172, HCP_evidence!$AB:$AB, "&lt;&gt;")&gt;0, "Yes", "")</f>
        <v/>
      </c>
      <c r="S172" t="s">
        <v>415</v>
      </c>
      <c r="V172"/>
      <c r="W172" t="s">
        <v>3752</v>
      </c>
      <c r="X172" t="s">
        <v>4520</v>
      </c>
      <c r="AC172" t="s">
        <v>4283</v>
      </c>
      <c r="AS172" s="74" t="s">
        <v>414</v>
      </c>
      <c r="AW172" t="str">
        <f>IF(COUNTIFS(HCP_evidence!$A:$A, M172, HCP_evidence!$AH:$AH, "&lt;&gt;")&gt;0, "Yes", "")</f>
        <v/>
      </c>
      <c r="BB172" s="74"/>
    </row>
    <row r="173" spans="1:54" hidden="1">
      <c r="A173">
        <v>55</v>
      </c>
      <c r="J173" t="s">
        <v>8359</v>
      </c>
      <c r="K173" s="72" t="s">
        <v>4519</v>
      </c>
      <c r="M173" t="s">
        <v>461</v>
      </c>
      <c r="N173" s="73"/>
      <c r="Q173" t="str">
        <f>IF(COUNTIFS(HCP_evidence!$A:$A, M173, HCP_evidence!$AB:$AB, "&lt;&gt;")&gt;0, "Yes", "")</f>
        <v/>
      </c>
      <c r="R173" t="s">
        <v>4305</v>
      </c>
      <c r="S173" t="s">
        <v>4305</v>
      </c>
      <c r="V173"/>
      <c r="W173" t="s">
        <v>3752</v>
      </c>
      <c r="X173" t="s">
        <v>4520</v>
      </c>
      <c r="AC173" t="s">
        <v>4283</v>
      </c>
      <c r="AS173" s="74" t="s">
        <v>414</v>
      </c>
      <c r="AW173" t="str">
        <f>IF(COUNTIFS(HCP_evidence!$A:$A, M173, HCP_evidence!$AH:$AH, "&lt;&gt;")&gt;0, "Yes", "")</f>
        <v/>
      </c>
      <c r="BB173" s="74"/>
    </row>
    <row r="174" spans="1:54" hidden="1">
      <c r="A174">
        <v>61</v>
      </c>
      <c r="J174" t="s">
        <v>4470</v>
      </c>
      <c r="K174" s="72" t="s">
        <v>4526</v>
      </c>
      <c r="M174" t="s">
        <v>463</v>
      </c>
      <c r="N174" s="74"/>
      <c r="Q174" t="str">
        <f>IF(COUNTIFS(HCP_evidence!$A:$A, M174, HCP_evidence!$AB:$AB, "&lt;&gt;")&gt;0, "Yes", "")</f>
        <v/>
      </c>
      <c r="R174" t="s">
        <v>4428</v>
      </c>
      <c r="S174" t="s">
        <v>4428</v>
      </c>
      <c r="V174"/>
      <c r="W174" t="s">
        <v>4525</v>
      </c>
      <c r="X174" t="s">
        <v>4524</v>
      </c>
      <c r="AC174" t="s">
        <v>4283</v>
      </c>
      <c r="AS174" s="74" t="s">
        <v>414</v>
      </c>
      <c r="AW174" t="str">
        <f>IF(COUNTIFS(HCP_evidence!$A:$A, M174, HCP_evidence!$AH:$AH, "&lt;&gt;")&gt;0, "Yes", "")</f>
        <v/>
      </c>
      <c r="BB174" s="74"/>
    </row>
    <row r="175" spans="1:54" hidden="1">
      <c r="A175">
        <v>60</v>
      </c>
      <c r="J175" t="s">
        <v>4470</v>
      </c>
      <c r="K175" s="72" t="s">
        <v>4523</v>
      </c>
      <c r="M175" t="s">
        <v>462</v>
      </c>
      <c r="N175" s="71" t="s">
        <v>462</v>
      </c>
      <c r="Q175" t="str">
        <f>IF(COUNTIFS(HCP_evidence!$A:$A, M175, HCP_evidence!$AB:$AB, "&lt;&gt;")&gt;0, "Yes", "")</f>
        <v/>
      </c>
      <c r="R175" t="s">
        <v>4417</v>
      </c>
      <c r="S175" t="s">
        <v>4417</v>
      </c>
      <c r="T175" t="s">
        <v>4422</v>
      </c>
      <c r="U175" t="s">
        <v>4412</v>
      </c>
      <c r="V175"/>
      <c r="W175" t="s">
        <v>4525</v>
      </c>
      <c r="X175" t="s">
        <v>4524</v>
      </c>
      <c r="AC175" t="s">
        <v>4283</v>
      </c>
      <c r="AS175" s="74" t="s">
        <v>414</v>
      </c>
      <c r="AW175" t="str">
        <f>IF(COUNTIFS(HCP_evidence!$A:$A, M175, HCP_evidence!$AH:$AH, "&lt;&gt;")&gt;0, "Yes", "")</f>
        <v/>
      </c>
      <c r="BB175" s="74"/>
    </row>
    <row r="176" spans="1:54" hidden="1">
      <c r="J176" t="s">
        <v>4599</v>
      </c>
      <c r="K176" s="72" t="s">
        <v>4597</v>
      </c>
      <c r="M176" t="s">
        <v>4598</v>
      </c>
      <c r="N176" s="53" t="s">
        <v>4349</v>
      </c>
      <c r="Q176" t="str">
        <f>IF(COUNTIFS(HCP_evidence!$A:$A, M176, HCP_evidence!$AB:$AB, "&lt;&gt;")&gt;0, "Yes", "")</f>
        <v/>
      </c>
      <c r="R176" t="s">
        <v>4305</v>
      </c>
      <c r="S176" t="s">
        <v>4305</v>
      </c>
      <c r="T176" t="s">
        <v>4307</v>
      </c>
      <c r="V176"/>
      <c r="W176" t="s">
        <v>4525</v>
      </c>
      <c r="X176" t="s">
        <v>4524</v>
      </c>
      <c r="BB176" s="74"/>
    </row>
    <row r="177" spans="1:54" hidden="1">
      <c r="J177" t="s">
        <v>4618</v>
      </c>
      <c r="K177" s="72" t="s">
        <v>4616</v>
      </c>
      <c r="L177" s="72" t="s">
        <v>4617</v>
      </c>
      <c r="M177" t="s">
        <v>3196</v>
      </c>
      <c r="N177" s="71" t="s">
        <v>3196</v>
      </c>
      <c r="Q177" t="str">
        <f>IF(COUNTIFS(HCP_evidence!$A:$A, M177, HCP_evidence!$AB:$AB, "&lt;&gt;")&gt;0, "Yes", "")</f>
        <v/>
      </c>
      <c r="R177" t="s">
        <v>4307</v>
      </c>
      <c r="S177" t="s">
        <v>4307</v>
      </c>
      <c r="V177"/>
      <c r="W177" t="s">
        <v>4525</v>
      </c>
      <c r="X177" t="s">
        <v>4524</v>
      </c>
      <c r="BB177" s="74"/>
    </row>
    <row r="178" spans="1:54" hidden="1">
      <c r="B178" t="s">
        <v>7878</v>
      </c>
      <c r="C178" s="74" t="s">
        <v>4308</v>
      </c>
      <c r="D178" t="s">
        <v>414</v>
      </c>
      <c r="J178" t="s">
        <v>8571</v>
      </c>
      <c r="K178" s="72" t="s">
        <v>4615</v>
      </c>
      <c r="L178" s="72" t="s">
        <v>4619</v>
      </c>
      <c r="M178" t="s">
        <v>4082</v>
      </c>
      <c r="N178" s="71" t="s">
        <v>4347</v>
      </c>
      <c r="Q178" t="str">
        <f>IF(COUNTIFS(HCP_evidence!$A:$A, M178, HCP_evidence!$AB:$AB, "&lt;&gt;")&gt;0, "Yes", "")</f>
        <v/>
      </c>
      <c r="R178" t="s">
        <v>4307</v>
      </c>
      <c r="S178" t="s">
        <v>4307</v>
      </c>
      <c r="V178"/>
      <c r="W178" t="s">
        <v>4525</v>
      </c>
      <c r="X178" t="s">
        <v>4524</v>
      </c>
      <c r="AC178" t="s">
        <v>4283</v>
      </c>
      <c r="BB178" s="74"/>
    </row>
    <row r="179" spans="1:54" hidden="1">
      <c r="A179">
        <v>193</v>
      </c>
      <c r="J179" t="s">
        <v>5116</v>
      </c>
      <c r="K179" s="72" t="s">
        <v>5121</v>
      </c>
      <c r="M179" t="s">
        <v>1148</v>
      </c>
      <c r="N179" s="74"/>
      <c r="Q179" t="str">
        <f>IF(COUNTIFS(HCP_evidence!$A:$A, M179, HCP_evidence!$AB:$AB, "&lt;&gt;")&gt;0, "Yes", "")</f>
        <v/>
      </c>
      <c r="V179"/>
      <c r="W179" t="s">
        <v>4525</v>
      </c>
      <c r="X179" t="s">
        <v>4524</v>
      </c>
      <c r="AC179" t="s">
        <v>4283</v>
      </c>
      <c r="AW179" t="str">
        <f>IF(COUNTIFS(HCP_evidence!$A:$A, M179, HCP_evidence!$AH:$AH, "&lt;&gt;")&gt;0, "Yes", "")</f>
        <v/>
      </c>
      <c r="BB179" s="74" t="s">
        <v>414</v>
      </c>
    </row>
    <row r="180" spans="1:54" hidden="1">
      <c r="K180" s="72" t="s">
        <v>5120</v>
      </c>
      <c r="M180" t="s">
        <v>3966</v>
      </c>
      <c r="N180" t="s">
        <v>3966</v>
      </c>
      <c r="Q180" t="str">
        <f>IF(COUNTIFS(HCP_evidence!$A:$A, M180, HCP_evidence!$AB:$AB, "&lt;&gt;")&gt;0, "Yes", "")</f>
        <v/>
      </c>
      <c r="V180"/>
      <c r="W180" t="s">
        <v>4525</v>
      </c>
      <c r="X180" t="s">
        <v>4524</v>
      </c>
      <c r="AC180" t="s">
        <v>4283</v>
      </c>
      <c r="BB180" s="74" t="s">
        <v>414</v>
      </c>
    </row>
    <row r="181" spans="1:54" hidden="1">
      <c r="K181" s="72" t="s">
        <v>5122</v>
      </c>
      <c r="M181" t="s">
        <v>5123</v>
      </c>
      <c r="N181" t="s">
        <v>7911</v>
      </c>
      <c r="Q181" t="str">
        <f>IF(COUNTIFS(HCP_evidence!$A:$A, M181, HCP_evidence!$AB:$AB, "&lt;&gt;")&gt;0, "Yes", "")</f>
        <v/>
      </c>
      <c r="V181"/>
      <c r="W181" t="s">
        <v>4525</v>
      </c>
      <c r="X181" t="s">
        <v>4524</v>
      </c>
      <c r="BB181" s="74" t="s">
        <v>414</v>
      </c>
    </row>
    <row r="182" spans="1:54" hidden="1">
      <c r="J182" t="s">
        <v>7935</v>
      </c>
      <c r="K182" s="72" t="s">
        <v>8007</v>
      </c>
      <c r="M182" t="s">
        <v>8008</v>
      </c>
      <c r="N182" s="71"/>
      <c r="Q182" t="str">
        <f>IF(COUNTIFS(HCP_evidence!$A:$A, M182, HCP_evidence!$AB:$AB, "&lt;&gt;")&gt;0, "Yes", "")</f>
        <v/>
      </c>
      <c r="V182"/>
      <c r="W182" t="s">
        <v>4525</v>
      </c>
      <c r="X182" t="s">
        <v>4524</v>
      </c>
    </row>
    <row r="183" spans="1:54" hidden="1">
      <c r="A183">
        <v>65</v>
      </c>
      <c r="J183" t="s">
        <v>4470</v>
      </c>
      <c r="K183" s="72" t="s">
        <v>4527</v>
      </c>
      <c r="M183" t="s">
        <v>464</v>
      </c>
      <c r="N183" s="71" t="s">
        <v>464</v>
      </c>
      <c r="Q183" t="str">
        <f>IF(COUNTIFS(HCP_evidence!$A:$A, M183, HCP_evidence!$AB:$AB, "&lt;&gt;")&gt;0, "Yes", "")</f>
        <v/>
      </c>
      <c r="R183" t="s">
        <v>4305</v>
      </c>
      <c r="S183" t="s">
        <v>4305</v>
      </c>
      <c r="T183" t="s">
        <v>4307</v>
      </c>
      <c r="V183"/>
      <c r="W183" t="s">
        <v>3753</v>
      </c>
      <c r="X183" t="s">
        <v>4296</v>
      </c>
      <c r="AC183" t="s">
        <v>4283</v>
      </c>
      <c r="AS183" s="74" t="s">
        <v>414</v>
      </c>
      <c r="AW183" t="str">
        <f>IF(COUNTIFS(HCP_evidence!$A:$A, M183, HCP_evidence!$AH:$AH, "&lt;&gt;")&gt;0, "Yes", "")</f>
        <v/>
      </c>
      <c r="BB183" s="74"/>
    </row>
    <row r="184" spans="1:54" hidden="1">
      <c r="A184">
        <v>70</v>
      </c>
      <c r="J184" t="s">
        <v>4470</v>
      </c>
      <c r="K184" s="72" t="s">
        <v>4530</v>
      </c>
      <c r="M184" t="s">
        <v>467</v>
      </c>
      <c r="N184" t="s">
        <v>467</v>
      </c>
      <c r="Q184" t="str">
        <f>IF(COUNTIFS(HCP_evidence!$A:$A, M184, HCP_evidence!$AB:$AB, "&lt;&gt;")&gt;0, "Yes", "")</f>
        <v/>
      </c>
      <c r="R184" t="s">
        <v>4428</v>
      </c>
      <c r="S184" t="s">
        <v>4428</v>
      </c>
      <c r="V184"/>
      <c r="W184" t="s">
        <v>3754</v>
      </c>
      <c r="X184" t="s">
        <v>296</v>
      </c>
      <c r="AC184" t="s">
        <v>4283</v>
      </c>
      <c r="AS184" s="74" t="s">
        <v>414</v>
      </c>
      <c r="AW184" t="str">
        <f>IF(COUNTIFS(HCP_evidence!$A:$A, M184, HCP_evidence!$AH:$AH, "&lt;&gt;")&gt;0, "Yes", "")</f>
        <v/>
      </c>
      <c r="BB184" s="74"/>
    </row>
    <row r="185" spans="1:54" hidden="1">
      <c r="A185">
        <v>66</v>
      </c>
      <c r="J185" t="s">
        <v>7834</v>
      </c>
      <c r="K185" s="72" t="s">
        <v>4528</v>
      </c>
      <c r="M185" t="s">
        <v>465</v>
      </c>
      <c r="N185" t="s">
        <v>465</v>
      </c>
      <c r="Q185" t="str">
        <f>IF(COUNTIFS(HCP_evidence!$A:$A, M185, HCP_evidence!$AB:$AB, "&lt;&gt;")&gt;0, "Yes", "")</f>
        <v/>
      </c>
      <c r="R185" t="s">
        <v>4305</v>
      </c>
      <c r="S185" t="s">
        <v>4305</v>
      </c>
      <c r="V185"/>
      <c r="W185" t="s">
        <v>3754</v>
      </c>
      <c r="X185" t="s">
        <v>296</v>
      </c>
      <c r="AC185" t="s">
        <v>4283</v>
      </c>
      <c r="AS185" s="74" t="s">
        <v>414</v>
      </c>
      <c r="AW185" t="str">
        <f>IF(COUNTIFS(HCP_evidence!$A:$A, M185, HCP_evidence!$AH:$AH, "&lt;&gt;")&gt;0, "Yes", "")</f>
        <v/>
      </c>
      <c r="BB185" s="74"/>
    </row>
    <row r="186" spans="1:54" hidden="1">
      <c r="A186">
        <v>67</v>
      </c>
      <c r="B186" t="s">
        <v>7878</v>
      </c>
      <c r="C186" s="74" t="s">
        <v>4311</v>
      </c>
      <c r="J186" t="s">
        <v>4470</v>
      </c>
      <c r="K186" s="72" t="s">
        <v>4529</v>
      </c>
      <c r="M186" t="s">
        <v>466</v>
      </c>
      <c r="N186" t="s">
        <v>4338</v>
      </c>
      <c r="Q186" t="str">
        <f>IF(COUNTIFS(HCP_evidence!$A:$A, M186, HCP_evidence!$AB:$AB, "&lt;&gt;")&gt;0, "Yes", "")</f>
        <v/>
      </c>
      <c r="R186" t="s">
        <v>4305</v>
      </c>
      <c r="S186" t="s">
        <v>415</v>
      </c>
      <c r="W186" t="s">
        <v>3754</v>
      </c>
      <c r="X186" t="s">
        <v>296</v>
      </c>
      <c r="AC186" t="s">
        <v>4283</v>
      </c>
      <c r="AS186" s="74" t="s">
        <v>414</v>
      </c>
      <c r="AW186" t="str">
        <f>IF(COUNTIFS(HCP_evidence!$A:$A, M186, HCP_evidence!$AH:$AH, "&lt;&gt;")&gt;0, "Yes", "")</f>
        <v/>
      </c>
      <c r="BB186" s="74"/>
    </row>
    <row r="187" spans="1:54" hidden="1">
      <c r="J187" t="s">
        <v>5116</v>
      </c>
      <c r="K187" s="72" t="s">
        <v>7849</v>
      </c>
      <c r="M187" t="s">
        <v>3961</v>
      </c>
      <c r="N187" s="71" t="s">
        <v>3961</v>
      </c>
      <c r="Q187" t="str">
        <f>IF(COUNTIFS(HCP_evidence!$A:$A, M187, HCP_evidence!$AB:$AB, "&lt;&gt;")&gt;0, "Yes", "")</f>
        <v/>
      </c>
      <c r="V187"/>
      <c r="W187" t="s">
        <v>3754</v>
      </c>
      <c r="X187" t="s">
        <v>296</v>
      </c>
      <c r="AC187" t="s">
        <v>4283</v>
      </c>
      <c r="BB187" s="74"/>
    </row>
    <row r="188" spans="1:54" hidden="1">
      <c r="A188">
        <v>76</v>
      </c>
      <c r="I188" t="s">
        <v>5153</v>
      </c>
      <c r="J188" t="s">
        <v>4937</v>
      </c>
      <c r="K188" s="72" t="s">
        <v>4534</v>
      </c>
      <c r="M188" t="s">
        <v>471</v>
      </c>
      <c r="N188" s="88" t="s">
        <v>4354</v>
      </c>
      <c r="Q188" t="str">
        <f>IF(COUNTIFS(HCP_evidence!$A:$A, M188, HCP_evidence!$AB:$AB, "&lt;&gt;")&gt;0, "Yes", "")</f>
        <v>Yes</v>
      </c>
      <c r="R188" t="s">
        <v>4305</v>
      </c>
      <c r="S188" t="s">
        <v>4305</v>
      </c>
      <c r="T188" t="s">
        <v>4307</v>
      </c>
      <c r="V188"/>
      <c r="W188" t="s">
        <v>3755</v>
      </c>
      <c r="X188" t="s">
        <v>4533</v>
      </c>
      <c r="AC188" t="s">
        <v>4283</v>
      </c>
      <c r="AS188" s="74" t="s">
        <v>414</v>
      </c>
      <c r="AW188" t="str">
        <f>IF(COUNTIFS(HCP_evidence!$A:$A, M188, HCP_evidence!$AH:$AH, "&lt;&gt;")&gt;0, "Yes", "")</f>
        <v/>
      </c>
      <c r="BB188" s="74"/>
    </row>
    <row r="189" spans="1:54" hidden="1">
      <c r="A189">
        <v>78</v>
      </c>
      <c r="I189" t="s">
        <v>5156</v>
      </c>
      <c r="J189" t="s">
        <v>4942</v>
      </c>
      <c r="K189" s="72" t="s">
        <v>4537</v>
      </c>
      <c r="M189" t="s">
        <v>473</v>
      </c>
      <c r="N189" s="73"/>
      <c r="Q189" t="str">
        <f>IF(COUNTIFS(HCP_evidence!$A:$A, M189, HCP_evidence!$AB:$AB, "&lt;&gt;")&gt;0, "Yes", "")</f>
        <v>Yes</v>
      </c>
      <c r="R189" t="s">
        <v>4305</v>
      </c>
      <c r="S189" t="s">
        <v>4305</v>
      </c>
      <c r="V189"/>
      <c r="W189" t="s">
        <v>3755</v>
      </c>
      <c r="X189" t="s">
        <v>4533</v>
      </c>
      <c r="AC189" t="s">
        <v>4283</v>
      </c>
      <c r="AS189" s="74" t="s">
        <v>414</v>
      </c>
      <c r="AW189" t="str">
        <f>IF(COUNTIFS(HCP_evidence!$A:$A, M189, HCP_evidence!$AH:$AH, "&lt;&gt;")&gt;0, "Yes", "")</f>
        <v/>
      </c>
      <c r="BB189" s="74"/>
    </row>
    <row r="190" spans="1:54" hidden="1">
      <c r="A190">
        <v>77</v>
      </c>
      <c r="I190" t="s">
        <v>5153</v>
      </c>
      <c r="J190" t="s">
        <v>8215</v>
      </c>
      <c r="K190" s="72" t="s">
        <v>4535</v>
      </c>
      <c r="M190" t="s">
        <v>472</v>
      </c>
      <c r="N190" s="71" t="s">
        <v>472</v>
      </c>
      <c r="Q190" t="str">
        <f>IF(COUNTIFS(HCP_evidence!$A:$A, M190, HCP_evidence!$AB:$AB, "&lt;&gt;")&gt;0, "Yes", "")</f>
        <v>Yes</v>
      </c>
      <c r="R190" t="s">
        <v>4305</v>
      </c>
      <c r="S190" t="s">
        <v>4305</v>
      </c>
      <c r="T190" t="s">
        <v>4438</v>
      </c>
      <c r="U190" t="s">
        <v>4536</v>
      </c>
      <c r="V190"/>
      <c r="W190" t="s">
        <v>3755</v>
      </c>
      <c r="X190" t="s">
        <v>4533</v>
      </c>
      <c r="AC190" t="s">
        <v>4283</v>
      </c>
      <c r="AS190" s="74" t="s">
        <v>414</v>
      </c>
      <c r="AU190" s="74" t="s">
        <v>414</v>
      </c>
      <c r="AW190" t="str">
        <f>IF(COUNTIFS(HCP_evidence!$A:$A, M190, HCP_evidence!$AH:$AH, "&lt;&gt;")&gt;0, "Yes", "")</f>
        <v/>
      </c>
      <c r="BB190" s="74"/>
    </row>
    <row r="191" spans="1:54" hidden="1">
      <c r="A191">
        <v>80</v>
      </c>
      <c r="I191" t="s">
        <v>5153</v>
      </c>
      <c r="J191" t="s">
        <v>8218</v>
      </c>
      <c r="K191" s="72" t="s">
        <v>4539</v>
      </c>
      <c r="M191" t="s">
        <v>475</v>
      </c>
      <c r="N191" s="73"/>
      <c r="Q191" t="str">
        <f>IF(COUNTIFS(HCP_evidence!$A:$A, M191, HCP_evidence!$AB:$AB, "&lt;&gt;")&gt;0, "Yes", "")</f>
        <v>Yes</v>
      </c>
      <c r="R191" t="s">
        <v>4412</v>
      </c>
      <c r="S191" t="s">
        <v>4412</v>
      </c>
      <c r="T191" t="s">
        <v>4540</v>
      </c>
      <c r="V191"/>
      <c r="W191" t="s">
        <v>3755</v>
      </c>
      <c r="X191" t="s">
        <v>4533</v>
      </c>
      <c r="AC191" t="s">
        <v>4283</v>
      </c>
      <c r="AS191" s="74" t="s">
        <v>414</v>
      </c>
      <c r="AW191" t="str">
        <f>IF(COUNTIFS(HCP_evidence!$A:$A, M191, HCP_evidence!$AH:$AH, "&lt;&gt;")&gt;0, "Yes", "")</f>
        <v/>
      </c>
      <c r="BB191" s="74"/>
    </row>
    <row r="192" spans="1:54" hidden="1">
      <c r="A192">
        <v>79</v>
      </c>
      <c r="I192" t="s">
        <v>5156</v>
      </c>
      <c r="J192" t="s">
        <v>4942</v>
      </c>
      <c r="K192" s="72" t="s">
        <v>4538</v>
      </c>
      <c r="M192" t="s">
        <v>474</v>
      </c>
      <c r="N192" s="73"/>
      <c r="Q192" t="str">
        <f>IF(COUNTIFS(HCP_evidence!$A:$A, M192, HCP_evidence!$AB:$AB, "&lt;&gt;")&gt;0, "Yes", "")</f>
        <v>Yes</v>
      </c>
      <c r="R192" t="s">
        <v>4305</v>
      </c>
      <c r="S192" t="s">
        <v>4305</v>
      </c>
      <c r="V192"/>
      <c r="W192" t="s">
        <v>3755</v>
      </c>
      <c r="X192" t="s">
        <v>4533</v>
      </c>
      <c r="AC192" t="s">
        <v>4283</v>
      </c>
      <c r="AS192" s="74" t="s">
        <v>414</v>
      </c>
      <c r="AW192" t="str">
        <f>IF(COUNTIFS(HCP_evidence!$A:$A, M192, HCP_evidence!$AH:$AH, "&lt;&gt;")&gt;0, "Yes", "")</f>
        <v/>
      </c>
      <c r="BB192" s="74"/>
    </row>
    <row r="193" spans="1:54" hidden="1">
      <c r="B193" t="s">
        <v>7878</v>
      </c>
      <c r="C193" s="74" t="s">
        <v>4308</v>
      </c>
      <c r="I193" t="s">
        <v>5153</v>
      </c>
      <c r="J193" t="s">
        <v>4941</v>
      </c>
      <c r="K193" s="72" t="s">
        <v>4939</v>
      </c>
      <c r="M193" t="s">
        <v>4038</v>
      </c>
      <c r="N193" s="71" t="s">
        <v>4038</v>
      </c>
      <c r="Q193" t="str">
        <f>IF(COUNTIFS(HCP_evidence!$A:$A, M193, HCP_evidence!$AB:$AB, "&lt;&gt;")&gt;0, "Yes", "")</f>
        <v>Yes</v>
      </c>
      <c r="R193" t="s">
        <v>4305</v>
      </c>
      <c r="S193" t="s">
        <v>4305</v>
      </c>
      <c r="V193"/>
      <c r="W193" t="s">
        <v>3755</v>
      </c>
      <c r="X193" t="s">
        <v>4533</v>
      </c>
      <c r="AC193" t="s">
        <v>4283</v>
      </c>
      <c r="BB193" s="74"/>
    </row>
    <row r="194" spans="1:54" hidden="1">
      <c r="A194">
        <v>92</v>
      </c>
      <c r="J194" t="s">
        <v>7861</v>
      </c>
      <c r="K194" s="72" t="s">
        <v>4545</v>
      </c>
      <c r="M194" t="s">
        <v>481</v>
      </c>
      <c r="N194" s="73"/>
      <c r="Q194" t="str">
        <f>IF(COUNTIFS(HCP_evidence!$A:$A, M194, HCP_evidence!$AB:$AB, "&lt;&gt;")&gt;0, "Yes", "")</f>
        <v/>
      </c>
      <c r="R194" t="s">
        <v>4305</v>
      </c>
      <c r="S194" t="s">
        <v>4305</v>
      </c>
      <c r="T194" t="s">
        <v>4307</v>
      </c>
      <c r="V194"/>
      <c r="W194" t="s">
        <v>3756</v>
      </c>
      <c r="X194" t="s">
        <v>4279</v>
      </c>
      <c r="AC194" t="s">
        <v>4283</v>
      </c>
      <c r="AS194" s="74" t="s">
        <v>414</v>
      </c>
      <c r="AW194" t="str">
        <f>IF(COUNTIFS(HCP_evidence!$A:$A, M194, HCP_evidence!$AH:$AH, "&lt;&gt;")&gt;0, "Yes", "")</f>
        <v/>
      </c>
      <c r="BB194" s="74"/>
    </row>
    <row r="195" spans="1:54" hidden="1">
      <c r="A195">
        <v>91</v>
      </c>
      <c r="J195" t="s">
        <v>4501</v>
      </c>
      <c r="K195" s="72" t="s">
        <v>4544</v>
      </c>
      <c r="M195" t="s">
        <v>480</v>
      </c>
      <c r="N195" s="73"/>
      <c r="Q195" t="str">
        <f>IF(COUNTIFS(HCP_evidence!$A:$A, M195, HCP_evidence!$AB:$AB, "&lt;&gt;")&gt;0, "Yes", "")</f>
        <v/>
      </c>
      <c r="R195" t="s">
        <v>4305</v>
      </c>
      <c r="S195" t="s">
        <v>4305</v>
      </c>
      <c r="V195"/>
      <c r="W195" t="s">
        <v>3756</v>
      </c>
      <c r="X195" t="s">
        <v>4279</v>
      </c>
      <c r="AC195" t="s">
        <v>4283</v>
      </c>
      <c r="AS195" s="74" t="s">
        <v>414</v>
      </c>
      <c r="AW195" t="str">
        <f>IF(COUNTIFS(HCP_evidence!$A:$A, M195, HCP_evidence!$AH:$AH, "&lt;&gt;")&gt;0, "Yes", "")</f>
        <v/>
      </c>
      <c r="BB195" s="74"/>
    </row>
    <row r="196" spans="1:54" hidden="1">
      <c r="J196" t="s">
        <v>8141</v>
      </c>
      <c r="K196" s="72" t="s">
        <v>8153</v>
      </c>
      <c r="M196" t="s">
        <v>8154</v>
      </c>
      <c r="N196" s="71"/>
      <c r="Q196" t="str">
        <f>IF(COUNTIFS(HCP_evidence!$A:$A, M196, HCP_evidence!$AB:$AB, "&lt;&gt;")&gt;0, "Yes", "")</f>
        <v/>
      </c>
      <c r="V196"/>
      <c r="W196" t="s">
        <v>3756</v>
      </c>
      <c r="X196" t="s">
        <v>4279</v>
      </c>
    </row>
    <row r="197" spans="1:54" hidden="1">
      <c r="A197">
        <v>102</v>
      </c>
      <c r="J197" t="s">
        <v>4501</v>
      </c>
      <c r="K197" s="72" t="s">
        <v>4547</v>
      </c>
      <c r="M197" t="s">
        <v>484</v>
      </c>
      <c r="N197" s="71" t="s">
        <v>484</v>
      </c>
      <c r="Q197" t="str">
        <f>IF(COUNTIFS(HCP_evidence!$A:$A, M197, HCP_evidence!$AB:$AB, "&lt;&gt;")&gt;0, "Yes", "")</f>
        <v/>
      </c>
      <c r="R197" t="s">
        <v>4305</v>
      </c>
      <c r="S197" t="s">
        <v>4305</v>
      </c>
      <c r="V197"/>
      <c r="W197" t="s">
        <v>4549</v>
      </c>
      <c r="X197" t="s">
        <v>4548</v>
      </c>
      <c r="AC197" t="s">
        <v>4283</v>
      </c>
      <c r="AS197" s="74" t="s">
        <v>414</v>
      </c>
      <c r="AW197" t="str">
        <f>IF(COUNTIFS(HCP_evidence!$A:$A, M197, HCP_evidence!$AH:$AH, "&lt;&gt;")&gt;0, "Yes", "")</f>
        <v/>
      </c>
      <c r="BB197" s="74"/>
    </row>
    <row r="198" spans="1:54" hidden="1">
      <c r="A198">
        <v>115</v>
      </c>
      <c r="J198" t="s">
        <v>4550</v>
      </c>
      <c r="K198" s="72" t="s">
        <v>4552</v>
      </c>
      <c r="M198" t="s">
        <v>508</v>
      </c>
      <c r="N198" t="s">
        <v>508</v>
      </c>
      <c r="Q198" t="str">
        <f>IF(COUNTIFS(HCP_evidence!$A:$A, M198, HCP_evidence!$AB:$AB, "&lt;&gt;")&gt;0, "Yes", "")</f>
        <v/>
      </c>
      <c r="R198" t="s">
        <v>4305</v>
      </c>
      <c r="S198" t="s">
        <v>4305</v>
      </c>
      <c r="T198" t="s">
        <v>4307</v>
      </c>
      <c r="V198"/>
      <c r="W198" t="s">
        <v>3757</v>
      </c>
      <c r="X198" t="s">
        <v>168</v>
      </c>
      <c r="AC198" t="s">
        <v>4283</v>
      </c>
      <c r="AU198" s="74" t="s">
        <v>414</v>
      </c>
      <c r="AW198" t="str">
        <f>IF(COUNTIFS(HCP_evidence!$A:$A, M198, HCP_evidence!$AH:$AH, "&lt;&gt;")&gt;0, "Yes", "")</f>
        <v/>
      </c>
      <c r="BB198" s="74"/>
    </row>
    <row r="199" spans="1:54" hidden="1">
      <c r="J199" t="s">
        <v>5116</v>
      </c>
      <c r="K199" s="72" t="s">
        <v>7846</v>
      </c>
      <c r="M199" t="s">
        <v>4020</v>
      </c>
      <c r="N199" t="s">
        <v>7922</v>
      </c>
      <c r="Q199" t="str">
        <f>IF(COUNTIFS(HCP_evidence!$A:$A, M199, HCP_evidence!$AB:$AB, "&lt;&gt;")&gt;0, "Yes", "")</f>
        <v/>
      </c>
      <c r="V199"/>
      <c r="W199" t="s">
        <v>3757</v>
      </c>
      <c r="X199" t="s">
        <v>168</v>
      </c>
      <c r="AC199" t="s">
        <v>4283</v>
      </c>
      <c r="BB199" s="74"/>
    </row>
    <row r="200" spans="1:54" hidden="1">
      <c r="A200">
        <v>119</v>
      </c>
      <c r="J200" t="s">
        <v>4550</v>
      </c>
      <c r="K200" s="72" t="s">
        <v>4570</v>
      </c>
      <c r="M200" t="s">
        <v>511</v>
      </c>
      <c r="N200" t="s">
        <v>511</v>
      </c>
      <c r="Q200" t="str">
        <f>IF(COUNTIFS(HCP_evidence!$A:$A, M200, HCP_evidence!$AB:$AB, "&lt;&gt;")&gt;0, "Yes", "")</f>
        <v/>
      </c>
      <c r="R200" t="s">
        <v>4305</v>
      </c>
      <c r="S200" t="s">
        <v>4305</v>
      </c>
      <c r="T200" t="s">
        <v>4307</v>
      </c>
      <c r="V200"/>
      <c r="W200" t="s">
        <v>3758</v>
      </c>
      <c r="X200" t="s">
        <v>4571</v>
      </c>
      <c r="AC200" t="s">
        <v>4283</v>
      </c>
      <c r="AU200" s="74" t="s">
        <v>414</v>
      </c>
      <c r="AW200" t="str">
        <f>IF(COUNTIFS(HCP_evidence!$A:$A, M200, HCP_evidence!$AH:$AH, "&lt;&gt;")&gt;0, "Yes", "")</f>
        <v/>
      </c>
      <c r="BB200" s="74"/>
    </row>
    <row r="201" spans="1:54" hidden="1">
      <c r="A201">
        <v>136</v>
      </c>
      <c r="B201" t="s">
        <v>7878</v>
      </c>
      <c r="C201" s="74" t="s">
        <v>4308</v>
      </c>
      <c r="J201" t="s">
        <v>7994</v>
      </c>
      <c r="K201" s="72" t="s">
        <v>4958</v>
      </c>
      <c r="M201" t="s">
        <v>1097</v>
      </c>
      <c r="N201" t="s">
        <v>4333</v>
      </c>
      <c r="Q201" t="str">
        <f>IF(COUNTIFS(HCP_evidence!$A:$A, M201, HCP_evidence!$AB:$AB, "&lt;&gt;")&gt;0, "Yes", "")</f>
        <v/>
      </c>
      <c r="S201" t="s">
        <v>4305</v>
      </c>
      <c r="V201"/>
      <c r="W201" t="s">
        <v>3758</v>
      </c>
      <c r="X201" t="s">
        <v>4571</v>
      </c>
      <c r="AC201" t="s">
        <v>4283</v>
      </c>
      <c r="AW201" t="str">
        <f>IF(COUNTIFS(HCP_evidence!$A:$A, M201, HCP_evidence!$AH:$AH, "&lt;&gt;")&gt;0, "Yes", "")</f>
        <v/>
      </c>
      <c r="BB201" s="74" t="s">
        <v>414</v>
      </c>
    </row>
    <row r="202" spans="1:54" hidden="1">
      <c r="J202" t="s">
        <v>7935</v>
      </c>
      <c r="K202" s="72" t="s">
        <v>7954</v>
      </c>
      <c r="M202" t="s">
        <v>7955</v>
      </c>
      <c r="Q202" t="str">
        <f>IF(COUNTIFS(HCP_evidence!$A:$A, M202, HCP_evidence!$AB:$AB, "&lt;&gt;")&gt;0, "Yes", "")</f>
        <v/>
      </c>
      <c r="V202"/>
      <c r="W202" t="s">
        <v>3758</v>
      </c>
      <c r="X202" t="s">
        <v>4571</v>
      </c>
    </row>
    <row r="203" spans="1:54" hidden="1">
      <c r="A203">
        <v>123</v>
      </c>
      <c r="J203" t="s">
        <v>11397</v>
      </c>
      <c r="K203" s="72" t="s">
        <v>4574</v>
      </c>
      <c r="M203" t="s">
        <v>515</v>
      </c>
      <c r="N203" s="73"/>
      <c r="Q203" t="str">
        <f>IF(COUNTIFS(HCP_evidence!$A:$A, M203, HCP_evidence!$AB:$AB, "&lt;&gt;")&gt;0, "Yes", "")</f>
        <v/>
      </c>
      <c r="R203" t="s">
        <v>4305</v>
      </c>
      <c r="S203" t="s">
        <v>4305</v>
      </c>
      <c r="V203"/>
      <c r="W203" t="s">
        <v>3759</v>
      </c>
      <c r="X203" t="s">
        <v>4575</v>
      </c>
      <c r="AC203" t="s">
        <v>4283</v>
      </c>
      <c r="AU203" s="74" t="s">
        <v>414</v>
      </c>
      <c r="AW203" t="str">
        <f>IF(COUNTIFS(HCP_evidence!$A:$A, M203, HCP_evidence!$AH:$AH, "&lt;&gt;")&gt;0, "Yes", "")</f>
        <v/>
      </c>
      <c r="BB203" s="74"/>
    </row>
    <row r="204" spans="1:54" hidden="1">
      <c r="A204">
        <v>127</v>
      </c>
      <c r="J204" t="s">
        <v>7856</v>
      </c>
      <c r="K204" s="72" t="s">
        <v>4576</v>
      </c>
      <c r="M204" t="s">
        <v>518</v>
      </c>
      <c r="N204" s="71" t="s">
        <v>518</v>
      </c>
      <c r="Q204" t="str">
        <f>IF(COUNTIFS(HCP_evidence!$A:$A, M204, HCP_evidence!$AB:$AB, "&lt;&gt;")&gt;0, "Yes", "")</f>
        <v/>
      </c>
      <c r="R204" t="s">
        <v>4412</v>
      </c>
      <c r="S204" t="s">
        <v>4412</v>
      </c>
      <c r="V204"/>
      <c r="W204" t="s">
        <v>3760</v>
      </c>
      <c r="X204" t="s">
        <v>4284</v>
      </c>
      <c r="AC204" t="s">
        <v>4283</v>
      </c>
      <c r="AU204" s="74" t="s">
        <v>414</v>
      </c>
      <c r="AW204" t="str">
        <f>IF(COUNTIFS(HCP_evidence!$A:$A, M204, HCP_evidence!$AH:$AH, "&lt;&gt;")&gt;0, "Yes", "")</f>
        <v/>
      </c>
      <c r="BB204" s="74"/>
    </row>
    <row r="205" spans="1:54" hidden="1">
      <c r="J205" t="s">
        <v>4989</v>
      </c>
      <c r="K205" s="72" t="s">
        <v>4987</v>
      </c>
      <c r="M205" t="s">
        <v>4988</v>
      </c>
      <c r="N205" s="71" t="s">
        <v>4988</v>
      </c>
      <c r="Q205" t="str">
        <f>IF(COUNTIFS(HCP_evidence!$A:$A, M205, HCP_evidence!$AB:$AB, "&lt;&gt;")&gt;0, "Yes", "")</f>
        <v>Yes</v>
      </c>
      <c r="V205"/>
      <c r="W205" t="s">
        <v>3760</v>
      </c>
      <c r="X205" t="s">
        <v>4284</v>
      </c>
      <c r="BB205" s="74"/>
    </row>
    <row r="206" spans="1:54" hidden="1">
      <c r="J206" t="s">
        <v>4579</v>
      </c>
      <c r="K206" s="72" t="s">
        <v>4577</v>
      </c>
      <c r="M206" t="s">
        <v>4578</v>
      </c>
      <c r="N206" s="71" t="s">
        <v>4587</v>
      </c>
      <c r="Q206" t="str">
        <f>IF(COUNTIFS(HCP_evidence!$A:$A, M206, HCP_evidence!$AB:$AB, "&lt;&gt;")&gt;0, "Yes", "")</f>
        <v/>
      </c>
      <c r="R206" t="s">
        <v>4305</v>
      </c>
      <c r="S206" t="s">
        <v>4305</v>
      </c>
      <c r="V206"/>
      <c r="W206" t="s">
        <v>4553</v>
      </c>
      <c r="X206" t="s">
        <v>4580</v>
      </c>
      <c r="AU206" s="74" t="s">
        <v>414</v>
      </c>
      <c r="BB206" s="74"/>
    </row>
    <row r="207" spans="1:54" hidden="1">
      <c r="B207" t="s">
        <v>7878</v>
      </c>
      <c r="C207" s="74" t="s">
        <v>4311</v>
      </c>
      <c r="K207" s="72" t="s">
        <v>4965</v>
      </c>
      <c r="M207" t="s">
        <v>4232</v>
      </c>
      <c r="N207" s="71" t="s">
        <v>4232</v>
      </c>
      <c r="Q207" t="str">
        <f>IF(COUNTIFS(HCP_evidence!$A:$A, M207, HCP_evidence!$AB:$AB, "&lt;&gt;")&gt;0, "Yes", "")</f>
        <v/>
      </c>
      <c r="S207" t="s">
        <v>4312</v>
      </c>
      <c r="V207"/>
      <c r="W207" t="s">
        <v>4553</v>
      </c>
      <c r="X207" t="s">
        <v>4580</v>
      </c>
      <c r="AC207" t="s">
        <v>4283</v>
      </c>
      <c r="BB207" s="74"/>
    </row>
    <row r="208" spans="1:54" hidden="1">
      <c r="J208" t="s">
        <v>5116</v>
      </c>
      <c r="K208" s="72" t="s">
        <v>5115</v>
      </c>
      <c r="M208" t="s">
        <v>3930</v>
      </c>
      <c r="N208" t="s">
        <v>7912</v>
      </c>
      <c r="Q208" t="str">
        <f>IF(COUNTIFS(HCP_evidence!$A:$A, M208, HCP_evidence!$AB:$AB, "&lt;&gt;")&gt;0, "Yes", "")</f>
        <v/>
      </c>
      <c r="V208"/>
      <c r="W208" t="s">
        <v>4553</v>
      </c>
      <c r="X208" t="s">
        <v>4580</v>
      </c>
      <c r="AC208" t="s">
        <v>4283</v>
      </c>
      <c r="AW208" t="str">
        <f>IF(COUNTIFS(HCP_evidence!$A:$A, M208, HCP_evidence!$AH:$AH, "&lt;&gt;")&gt;0, "Yes", "")</f>
        <v/>
      </c>
      <c r="BB208" s="74"/>
    </row>
    <row r="209" spans="1:55" hidden="1">
      <c r="A209">
        <v>106</v>
      </c>
      <c r="J209" t="s">
        <v>7951</v>
      </c>
      <c r="K209" s="72" t="s">
        <v>4589</v>
      </c>
      <c r="M209" t="s">
        <v>492</v>
      </c>
      <c r="N209" t="s">
        <v>492</v>
      </c>
      <c r="Q209" t="str">
        <f>IF(COUNTIFS(HCP_evidence!$A:$A, M209, HCP_evidence!$AB:$AB, "&lt;&gt;")&gt;0, "Yes", "")</f>
        <v/>
      </c>
      <c r="R209" t="s">
        <v>4307</v>
      </c>
      <c r="S209" t="s">
        <v>4307</v>
      </c>
      <c r="V209"/>
      <c r="W209" t="s">
        <v>3761</v>
      </c>
      <c r="X209" t="s">
        <v>4590</v>
      </c>
      <c r="AC209" t="s">
        <v>4283</v>
      </c>
      <c r="AT209" s="74" t="s">
        <v>414</v>
      </c>
      <c r="AW209" t="str">
        <f>IF(COUNTIFS(HCP_evidence!$A:$A, M209, HCP_evidence!$AH:$AH, "&lt;&gt;")&gt;0, "Yes", "")</f>
        <v/>
      </c>
      <c r="BB209" s="74"/>
    </row>
    <row r="210" spans="1:55" hidden="1">
      <c r="A210">
        <v>104</v>
      </c>
      <c r="B210" t="s">
        <v>7878</v>
      </c>
      <c r="C210" s="74" t="s">
        <v>4308</v>
      </c>
      <c r="J210" t="s">
        <v>8454</v>
      </c>
      <c r="K210" s="72" t="s">
        <v>4591</v>
      </c>
      <c r="M210" t="s">
        <v>485</v>
      </c>
      <c r="N210" s="71" t="s">
        <v>485</v>
      </c>
      <c r="Q210" t="str">
        <f>IF(COUNTIFS(HCP_evidence!$A:$A, M210, HCP_evidence!$AB:$AB, "&lt;&gt;")&gt;0, "Yes", "")</f>
        <v/>
      </c>
      <c r="R210" t="s">
        <v>4307</v>
      </c>
      <c r="S210" t="s">
        <v>4307</v>
      </c>
      <c r="V210"/>
      <c r="W210" t="s">
        <v>3761</v>
      </c>
      <c r="X210" t="s">
        <v>4590</v>
      </c>
      <c r="AC210" t="s">
        <v>4283</v>
      </c>
      <c r="AT210" s="74" t="s">
        <v>414</v>
      </c>
      <c r="AW210" t="str">
        <f>IF(COUNTIFS(HCP_evidence!$A:$A, M210, HCP_evidence!$AH:$AH, "&lt;&gt;")&gt;0, "Yes", "")</f>
        <v/>
      </c>
      <c r="BB210" s="74"/>
    </row>
    <row r="211" spans="1:55" hidden="1">
      <c r="A211">
        <v>110</v>
      </c>
      <c r="J211" t="s">
        <v>499</v>
      </c>
      <c r="K211" s="72" t="s">
        <v>4593</v>
      </c>
      <c r="M211" t="s">
        <v>496</v>
      </c>
      <c r="N211" s="74"/>
      <c r="Q211" t="str">
        <f>IF(COUNTIFS(HCP_evidence!$A:$A, M211, HCP_evidence!$AB:$AB, "&lt;&gt;")&gt;0, "Yes", "")</f>
        <v/>
      </c>
      <c r="R211" t="s">
        <v>434</v>
      </c>
      <c r="V211"/>
      <c r="W211" t="s">
        <v>3762</v>
      </c>
      <c r="X211" t="s">
        <v>4594</v>
      </c>
      <c r="AC211" t="s">
        <v>4283</v>
      </c>
      <c r="AT211" s="74" t="s">
        <v>414</v>
      </c>
      <c r="AV211" s="13" t="s">
        <v>8620</v>
      </c>
      <c r="AW211" t="str">
        <f>IF(COUNTIFS(HCP_evidence!$A:$A, M211, HCP_evidence!$AH:$AH, "&lt;&gt;")&gt;0, "Yes", "")</f>
        <v/>
      </c>
      <c r="BB211" s="74"/>
    </row>
    <row r="212" spans="1:55" ht="15.6" hidden="1">
      <c r="A212">
        <v>209</v>
      </c>
      <c r="B212" t="s">
        <v>7878</v>
      </c>
      <c r="C212" s="74" t="s">
        <v>4314</v>
      </c>
      <c r="K212" s="72" t="s">
        <v>4949</v>
      </c>
      <c r="M212" t="s">
        <v>1162</v>
      </c>
      <c r="N212" t="s">
        <v>1162</v>
      </c>
      <c r="Q212" t="str">
        <f>IF(COUNTIFS(HCP_evidence!$A:$A, M212, HCP_evidence!$AB:$AB, "&lt;&gt;")&gt;0, "Yes", "")</f>
        <v/>
      </c>
      <c r="S212" s="54" t="s">
        <v>4306</v>
      </c>
      <c r="V212"/>
      <c r="W212" t="s">
        <v>3762</v>
      </c>
      <c r="X212" t="s">
        <v>4594</v>
      </c>
      <c r="AC212" t="s">
        <v>4283</v>
      </c>
      <c r="AW212" t="str">
        <f>IF(COUNTIFS(HCP_evidence!$A:$A, M212, HCP_evidence!$AH:$AH, "&lt;&gt;")&gt;0, "Yes", "")</f>
        <v/>
      </c>
      <c r="BB212" s="74"/>
    </row>
    <row r="213" spans="1:55" hidden="1">
      <c r="A213">
        <v>148</v>
      </c>
      <c r="B213" t="s">
        <v>7878</v>
      </c>
      <c r="C213" s="74" t="s">
        <v>4308</v>
      </c>
      <c r="J213" t="s">
        <v>8291</v>
      </c>
      <c r="K213" s="72" t="s">
        <v>4704</v>
      </c>
      <c r="M213" t="s">
        <v>1106</v>
      </c>
      <c r="N213" t="s">
        <v>1106</v>
      </c>
      <c r="Q213" t="str">
        <f>IF(COUNTIFS(HCP_evidence!$A:$A, M213, HCP_evidence!$AB:$AB, "&lt;&gt;")&gt;0, "Yes", "")</f>
        <v/>
      </c>
      <c r="R213" t="s">
        <v>4305</v>
      </c>
      <c r="S213" t="s">
        <v>4305</v>
      </c>
      <c r="V213"/>
      <c r="W213" t="s">
        <v>3763</v>
      </c>
      <c r="X213" t="s">
        <v>3207</v>
      </c>
      <c r="AC213" t="s">
        <v>4283</v>
      </c>
      <c r="AW213" t="str">
        <f>IF(COUNTIFS(HCP_evidence!$A:$A, M213, HCP_evidence!$AH:$AH, "&lt;&gt;")&gt;0, "Yes", "")</f>
        <v/>
      </c>
      <c r="BA213" t="s">
        <v>414</v>
      </c>
      <c r="BB213" s="74" t="s">
        <v>414</v>
      </c>
      <c r="BC213" t="s">
        <v>414</v>
      </c>
    </row>
    <row r="214" spans="1:55" hidden="1">
      <c r="K214" s="72" t="s">
        <v>5145</v>
      </c>
      <c r="M214" t="s">
        <v>4352</v>
      </c>
      <c r="N214" s="71" t="s">
        <v>4352</v>
      </c>
      <c r="Q214" t="str">
        <f>IF(COUNTIFS(HCP_evidence!$A:$A, M214, HCP_evidence!$AB:$AB, "&lt;&gt;")&gt;0, "Yes", "")</f>
        <v/>
      </c>
      <c r="V214"/>
      <c r="W214" t="s">
        <v>3763</v>
      </c>
      <c r="X214" t="s">
        <v>3207</v>
      </c>
      <c r="AC214" t="s">
        <v>4283</v>
      </c>
    </row>
    <row r="215" spans="1:55" hidden="1">
      <c r="D215" t="s">
        <v>414</v>
      </c>
      <c r="I215" t="s">
        <v>5156</v>
      </c>
      <c r="J215" t="s">
        <v>4679</v>
      </c>
      <c r="K215" t="s">
        <v>4713</v>
      </c>
      <c r="L215" s="72" t="s">
        <v>4715</v>
      </c>
      <c r="M215" t="s">
        <v>4714</v>
      </c>
      <c r="N215" s="73"/>
      <c r="Q215" t="str">
        <f>IF(COUNTIFS(HCP_evidence!$A:$A, M215, HCP_evidence!$AB:$AB, "&lt;&gt;")&gt;0, "Yes", "")</f>
        <v/>
      </c>
      <c r="R215" t="s">
        <v>4305</v>
      </c>
      <c r="S215" t="s">
        <v>4305</v>
      </c>
      <c r="T215" t="s">
        <v>4307</v>
      </c>
      <c r="V215"/>
      <c r="W215" t="s">
        <v>3764</v>
      </c>
      <c r="X215" t="s">
        <v>31</v>
      </c>
      <c r="BB215" s="74"/>
    </row>
    <row r="216" spans="1:55" hidden="1">
      <c r="D216" t="s">
        <v>414</v>
      </c>
      <c r="I216" t="s">
        <v>5156</v>
      </c>
      <c r="J216" t="s">
        <v>4679</v>
      </c>
      <c r="K216" s="72" t="s">
        <v>4732</v>
      </c>
      <c r="L216" s="72" t="s">
        <v>4734</v>
      </c>
      <c r="M216" t="s">
        <v>4733</v>
      </c>
      <c r="N216" s="73"/>
      <c r="Q216" t="str">
        <f>IF(COUNTIFS(HCP_evidence!$A:$A, M216, HCP_evidence!$AB:$AB, "&lt;&gt;")&gt;0, "Yes", "")</f>
        <v/>
      </c>
      <c r="R216" t="s">
        <v>4305</v>
      </c>
      <c r="S216" t="s">
        <v>4305</v>
      </c>
      <c r="V216"/>
      <c r="W216" t="s">
        <v>3764</v>
      </c>
      <c r="X216" t="s">
        <v>31</v>
      </c>
      <c r="BB216" s="74"/>
    </row>
    <row r="217" spans="1:55" hidden="1">
      <c r="D217" t="s">
        <v>414</v>
      </c>
      <c r="I217" t="s">
        <v>5156</v>
      </c>
      <c r="J217" t="s">
        <v>4679</v>
      </c>
      <c r="K217" s="72" t="s">
        <v>4729</v>
      </c>
      <c r="L217" s="72" t="s">
        <v>4730</v>
      </c>
      <c r="M217" t="s">
        <v>4731</v>
      </c>
      <c r="N217" s="73"/>
      <c r="Q217" t="str">
        <f>IF(COUNTIFS(HCP_evidence!$A:$A, M217, HCP_evidence!$AB:$AB, "&lt;&gt;")&gt;0, "Yes", "")</f>
        <v/>
      </c>
      <c r="R217" t="s">
        <v>4305</v>
      </c>
      <c r="S217" t="s">
        <v>4305</v>
      </c>
      <c r="V217"/>
      <c r="W217" t="s">
        <v>3764</v>
      </c>
      <c r="X217" t="s">
        <v>31</v>
      </c>
      <c r="BB217" s="74"/>
    </row>
    <row r="218" spans="1:55" hidden="1">
      <c r="D218" t="s">
        <v>414</v>
      </c>
      <c r="I218" t="s">
        <v>5156</v>
      </c>
      <c r="J218" t="s">
        <v>4719</v>
      </c>
      <c r="K218" s="72" t="s">
        <v>4716</v>
      </c>
      <c r="L218" s="72" t="s">
        <v>4718</v>
      </c>
      <c r="M218" t="s">
        <v>4717</v>
      </c>
      <c r="N218" s="73"/>
      <c r="Q218" t="str">
        <f>IF(COUNTIFS(HCP_evidence!$A:$A, M218, HCP_evidence!$AB:$AB, "&lt;&gt;")&gt;0, "Yes", "")</f>
        <v/>
      </c>
      <c r="R218" t="s">
        <v>4412</v>
      </c>
      <c r="S218" t="s">
        <v>4412</v>
      </c>
      <c r="V218"/>
      <c r="W218" t="s">
        <v>3764</v>
      </c>
      <c r="X218" t="s">
        <v>31</v>
      </c>
      <c r="BB218" s="74"/>
    </row>
    <row r="219" spans="1:55" hidden="1">
      <c r="D219" t="s">
        <v>414</v>
      </c>
      <c r="I219" t="s">
        <v>5156</v>
      </c>
      <c r="J219" t="s">
        <v>4679</v>
      </c>
      <c r="K219" s="72" t="s">
        <v>4711</v>
      </c>
      <c r="L219" s="72" t="s">
        <v>4710</v>
      </c>
      <c r="M219" t="s">
        <v>4712</v>
      </c>
      <c r="N219" s="73"/>
      <c r="Q219" t="str">
        <f>IF(COUNTIFS(HCP_evidence!$A:$A, M219, HCP_evidence!$AB:$AB, "&lt;&gt;")&gt;0, "Yes", "")</f>
        <v/>
      </c>
      <c r="V219"/>
      <c r="W219" t="s">
        <v>3764</v>
      </c>
      <c r="X219" t="s">
        <v>31</v>
      </c>
      <c r="BB219" s="74"/>
    </row>
    <row r="220" spans="1:55" hidden="1">
      <c r="I220" t="s">
        <v>5156</v>
      </c>
      <c r="J220" t="s">
        <v>8040</v>
      </c>
      <c r="K220" s="72" t="s">
        <v>8041</v>
      </c>
      <c r="L220" s="72" t="s">
        <v>8039</v>
      </c>
      <c r="M220" t="s">
        <v>4079</v>
      </c>
      <c r="N220" s="73"/>
      <c r="Q220" t="str">
        <f>IF(COUNTIFS(HCP_evidence!$A:$A, M220, HCP_evidence!$AB:$AB, "&lt;&gt;")&gt;0, "Yes", "")</f>
        <v/>
      </c>
      <c r="V220"/>
      <c r="W220" t="s">
        <v>3764</v>
      </c>
      <c r="X220" t="s">
        <v>31</v>
      </c>
      <c r="AC220" t="s">
        <v>4283</v>
      </c>
      <c r="BB220" s="74"/>
    </row>
    <row r="221" spans="1:55" hidden="1">
      <c r="J221" t="s">
        <v>8141</v>
      </c>
      <c r="K221" s="72" t="s">
        <v>8158</v>
      </c>
      <c r="M221" t="s">
        <v>8159</v>
      </c>
      <c r="N221" s="71"/>
      <c r="Q221" t="str">
        <f>IF(COUNTIFS(HCP_evidence!$A:$A, M221, HCP_evidence!$AB:$AB, "&lt;&gt;")&gt;0, "Yes", "")</f>
        <v/>
      </c>
      <c r="V221"/>
      <c r="W221" t="s">
        <v>3764</v>
      </c>
      <c r="X221" s="86" t="s">
        <v>31</v>
      </c>
    </row>
    <row r="222" spans="1:55" hidden="1">
      <c r="D222" t="s">
        <v>414</v>
      </c>
      <c r="I222" t="s">
        <v>5156</v>
      </c>
      <c r="J222" t="s">
        <v>4679</v>
      </c>
      <c r="K222" s="72" t="s">
        <v>4722</v>
      </c>
      <c r="L222" s="72" t="s">
        <v>4724</v>
      </c>
      <c r="M222" t="s">
        <v>4723</v>
      </c>
      <c r="N222" s="73"/>
      <c r="Q222" t="str">
        <f>IF(COUNTIFS(HCP_evidence!$A:$A, M222, HCP_evidence!$AB:$AB, "&lt;&gt;")&gt;0, "Yes", "")</f>
        <v/>
      </c>
      <c r="R222" t="s">
        <v>4305</v>
      </c>
      <c r="S222" t="s">
        <v>4305</v>
      </c>
      <c r="V222"/>
      <c r="W222" t="s">
        <v>3765</v>
      </c>
      <c r="X222" t="s">
        <v>4302</v>
      </c>
      <c r="BB222" s="74"/>
    </row>
    <row r="223" spans="1:55" hidden="1">
      <c r="D223" t="s">
        <v>414</v>
      </c>
      <c r="I223" t="s">
        <v>5153</v>
      </c>
      <c r="J223" t="s">
        <v>8513</v>
      </c>
      <c r="K223" s="72" t="s">
        <v>4725</v>
      </c>
      <c r="L223" s="72" t="s">
        <v>4727</v>
      </c>
      <c r="M223" t="s">
        <v>4726</v>
      </c>
      <c r="N223" s="73"/>
      <c r="Q223" t="str">
        <f>IF(COUNTIFS(HCP_evidence!$A:$A, M223, HCP_evidence!$AB:$AB, "&lt;&gt;")&gt;0, "Yes", "")</f>
        <v>Yes</v>
      </c>
      <c r="R223" t="s">
        <v>4307</v>
      </c>
      <c r="S223" t="s">
        <v>4307</v>
      </c>
      <c r="V223"/>
      <c r="W223" t="s">
        <v>3765</v>
      </c>
      <c r="X223" t="s">
        <v>4302</v>
      </c>
      <c r="BB223" s="74"/>
    </row>
    <row r="224" spans="1:55" hidden="1">
      <c r="D224" t="s">
        <v>414</v>
      </c>
      <c r="I224" t="s">
        <v>5156</v>
      </c>
      <c r="J224" t="s">
        <v>8564</v>
      </c>
      <c r="K224" s="72" t="s">
        <v>4721</v>
      </c>
      <c r="L224" s="72" t="s">
        <v>4720</v>
      </c>
      <c r="M224" t="s">
        <v>1280</v>
      </c>
      <c r="N224" s="71" t="s">
        <v>1280</v>
      </c>
      <c r="Q224" t="str">
        <f>IF(COUNTIFS(HCP_evidence!$A:$A, M224, HCP_evidence!$AB:$AB, "&lt;&gt;")&gt;0, "Yes", "")</f>
        <v/>
      </c>
      <c r="R224" t="s">
        <v>4307</v>
      </c>
      <c r="S224" t="s">
        <v>4307</v>
      </c>
      <c r="V224"/>
      <c r="W224" t="s">
        <v>3765</v>
      </c>
      <c r="X224" t="s">
        <v>4302</v>
      </c>
      <c r="AC224" t="s">
        <v>4283</v>
      </c>
      <c r="AW224" t="str">
        <f>IF(COUNTIFS(HCP_evidence!$A:$A, M224, HCP_evidence!$AH:$AH, "&lt;&gt;")&gt;0, "Yes", "")</f>
        <v/>
      </c>
      <c r="BB224" s="74"/>
    </row>
    <row r="225" spans="4:54" hidden="1">
      <c r="I225" t="s">
        <v>8044</v>
      </c>
      <c r="J225" t="s">
        <v>4738</v>
      </c>
      <c r="K225" s="72" t="s">
        <v>4751</v>
      </c>
      <c r="L225" s="72" t="s">
        <v>4753</v>
      </c>
      <c r="M225" t="s">
        <v>4752</v>
      </c>
      <c r="N225" s="74"/>
      <c r="Q225" t="str">
        <f>IF(COUNTIFS(HCP_evidence!$A:$A, M225, HCP_evidence!$AB:$AB, "&lt;&gt;")&gt;0, "Yes", "")</f>
        <v/>
      </c>
      <c r="V225"/>
      <c r="W225" t="s">
        <v>3766</v>
      </c>
      <c r="X225" t="s">
        <v>4736</v>
      </c>
      <c r="BB225" s="74"/>
    </row>
    <row r="226" spans="4:54" hidden="1">
      <c r="I226" t="s">
        <v>5153</v>
      </c>
      <c r="J226" t="s">
        <v>8043</v>
      </c>
      <c r="K226" s="72" t="s">
        <v>4740</v>
      </c>
      <c r="L226" s="72" t="s">
        <v>4742</v>
      </c>
      <c r="M226" t="s">
        <v>4741</v>
      </c>
      <c r="N226" s="73"/>
      <c r="Q226" t="str">
        <f>IF(COUNTIFS(HCP_evidence!$A:$A, M226, HCP_evidence!$AB:$AB, "&lt;&gt;")&gt;0, "Yes", "")</f>
        <v>Yes</v>
      </c>
      <c r="V226"/>
      <c r="W226" t="s">
        <v>3766</v>
      </c>
      <c r="X226" t="s">
        <v>4736</v>
      </c>
      <c r="BB226" s="74"/>
    </row>
    <row r="227" spans="4:54" hidden="1">
      <c r="I227" t="s">
        <v>8044</v>
      </c>
      <c r="J227" t="s">
        <v>4738</v>
      </c>
      <c r="K227" s="72" t="s">
        <v>4746</v>
      </c>
      <c r="L227" s="72" t="s">
        <v>4748</v>
      </c>
      <c r="M227" t="s">
        <v>4747</v>
      </c>
      <c r="N227" s="73"/>
      <c r="Q227" t="str">
        <f>IF(COUNTIFS(HCP_evidence!$A:$A, M227, HCP_evidence!$AB:$AB, "&lt;&gt;")&gt;0, "Yes", "")</f>
        <v/>
      </c>
      <c r="V227"/>
      <c r="W227" t="s">
        <v>3766</v>
      </c>
      <c r="X227" t="s">
        <v>4736</v>
      </c>
      <c r="BB227" s="74"/>
    </row>
    <row r="228" spans="4:54" hidden="1">
      <c r="I228" t="s">
        <v>5153</v>
      </c>
      <c r="J228" t="s">
        <v>4754</v>
      </c>
      <c r="K228" s="72" t="s">
        <v>4756</v>
      </c>
      <c r="L228" s="72" t="s">
        <v>4755</v>
      </c>
      <c r="M228" t="s">
        <v>4757</v>
      </c>
      <c r="N228" s="73"/>
      <c r="Q228" t="str">
        <f>IF(COUNTIFS(HCP_evidence!$A:$A, M228, HCP_evidence!$AB:$AB, "&lt;&gt;")&gt;0, "Yes", "")</f>
        <v>Yes</v>
      </c>
      <c r="V228"/>
      <c r="W228" t="s">
        <v>3766</v>
      </c>
      <c r="X228" t="s">
        <v>4736</v>
      </c>
      <c r="BB228" s="74"/>
    </row>
    <row r="229" spans="4:54" hidden="1">
      <c r="I229" t="s">
        <v>8044</v>
      </c>
      <c r="J229" t="s">
        <v>7938</v>
      </c>
      <c r="K229" s="72" t="s">
        <v>4735</v>
      </c>
      <c r="L229" s="72" t="s">
        <v>4739</v>
      </c>
      <c r="M229" t="s">
        <v>4737</v>
      </c>
      <c r="N229" s="71" t="s">
        <v>4737</v>
      </c>
      <c r="Q229" t="str">
        <f>IF(COUNTIFS(HCP_evidence!$A:$A, M229, HCP_evidence!$AB:$AB, "&lt;&gt;")&gt;0, "Yes", "")</f>
        <v/>
      </c>
      <c r="V229"/>
      <c r="W229" t="s">
        <v>3766</v>
      </c>
      <c r="X229" t="s">
        <v>4736</v>
      </c>
      <c r="BB229" s="74"/>
    </row>
    <row r="230" spans="4:54" hidden="1">
      <c r="I230" t="s">
        <v>8044</v>
      </c>
      <c r="J230" t="s">
        <v>4738</v>
      </c>
      <c r="K230" s="72" t="s">
        <v>4749</v>
      </c>
      <c r="L230" s="72" t="s">
        <v>4750</v>
      </c>
      <c r="M230" t="s">
        <v>3678</v>
      </c>
      <c r="N230" s="74"/>
      <c r="Q230" t="str">
        <f>IF(COUNTIFS(HCP_evidence!$A:$A, M230, HCP_evidence!$AB:$AB, "&lt;&gt;")&gt;0, "Yes", "")</f>
        <v/>
      </c>
      <c r="V230"/>
      <c r="W230" t="s">
        <v>3766</v>
      </c>
      <c r="X230" t="s">
        <v>4736</v>
      </c>
      <c r="BB230" s="74"/>
    </row>
    <row r="231" spans="4:54" hidden="1">
      <c r="I231" t="s">
        <v>8044</v>
      </c>
      <c r="J231" t="s">
        <v>4738</v>
      </c>
      <c r="K231" s="72" t="s">
        <v>4743</v>
      </c>
      <c r="L231" s="72" t="s">
        <v>4745</v>
      </c>
      <c r="M231" t="s">
        <v>4744</v>
      </c>
      <c r="N231" s="73"/>
      <c r="Q231" t="str">
        <f>IF(COUNTIFS(HCP_evidence!$A:$A, M231, HCP_evidence!$AB:$AB, "&lt;&gt;")&gt;0, "Yes", "")</f>
        <v/>
      </c>
      <c r="V231"/>
      <c r="W231" t="s">
        <v>3766</v>
      </c>
      <c r="X231" t="s">
        <v>4736</v>
      </c>
      <c r="BB231" s="74"/>
    </row>
    <row r="232" spans="4:54" hidden="1">
      <c r="D232" t="s">
        <v>414</v>
      </c>
      <c r="J232" t="s">
        <v>4679</v>
      </c>
      <c r="K232" s="72" t="s">
        <v>4774</v>
      </c>
      <c r="L232" s="72" t="s">
        <v>4776</v>
      </c>
      <c r="M232" t="s">
        <v>4775</v>
      </c>
      <c r="N232" s="74"/>
      <c r="Q232" t="str">
        <f>IF(COUNTIFS(HCP_evidence!$A:$A, M232, HCP_evidence!$AB:$AB, "&lt;&gt;")&gt;0, "Yes", "")</f>
        <v/>
      </c>
      <c r="V232"/>
      <c r="W232" t="s">
        <v>3767</v>
      </c>
      <c r="X232" t="s">
        <v>1291</v>
      </c>
      <c r="BB232" s="74"/>
    </row>
    <row r="233" spans="4:54" hidden="1">
      <c r="J233" t="s">
        <v>4679</v>
      </c>
      <c r="K233" s="72" t="s">
        <v>4763</v>
      </c>
      <c r="L233" s="72" t="s">
        <v>4764</v>
      </c>
      <c r="M233" t="s">
        <v>4361</v>
      </c>
      <c r="N233" t="s">
        <v>4361</v>
      </c>
      <c r="Q233" t="str">
        <f>IF(COUNTIFS(HCP_evidence!$A:$A, M233, HCP_evidence!$AB:$AB, "&lt;&gt;")&gt;0, "Yes", "")</f>
        <v/>
      </c>
      <c r="V233"/>
      <c r="W233" t="s">
        <v>3767</v>
      </c>
      <c r="X233" t="s">
        <v>1291</v>
      </c>
      <c r="BB233" s="74"/>
    </row>
    <row r="234" spans="4:54" hidden="1">
      <c r="D234" t="s">
        <v>414</v>
      </c>
      <c r="J234" t="s">
        <v>4783</v>
      </c>
      <c r="K234" s="72" t="s">
        <v>4780</v>
      </c>
      <c r="L234" s="72" t="s">
        <v>4782</v>
      </c>
      <c r="M234" t="s">
        <v>4781</v>
      </c>
      <c r="N234" s="74"/>
      <c r="Q234" t="str">
        <f>IF(COUNTIFS(HCP_evidence!$A:$A, M234, HCP_evidence!$AB:$AB, "&lt;&gt;")&gt;0, "Yes", "")</f>
        <v>Yes</v>
      </c>
      <c r="V234"/>
      <c r="W234" t="s">
        <v>3767</v>
      </c>
      <c r="X234" t="s">
        <v>1291</v>
      </c>
      <c r="BB234" s="74"/>
    </row>
    <row r="235" spans="4:54" hidden="1">
      <c r="J235" t="s">
        <v>4792</v>
      </c>
      <c r="K235" s="72" t="s">
        <v>4790</v>
      </c>
      <c r="L235" s="72" t="s">
        <v>4791</v>
      </c>
      <c r="M235" t="s">
        <v>4793</v>
      </c>
      <c r="N235" t="s">
        <v>4803</v>
      </c>
      <c r="Q235" t="str">
        <f>IF(COUNTIFS(HCP_evidence!$A:$A, M235, HCP_evidence!$AB:$AB, "&lt;&gt;")&gt;0, "Yes", "")</f>
        <v/>
      </c>
      <c r="V235"/>
      <c r="W235" t="s">
        <v>3767</v>
      </c>
      <c r="X235" t="s">
        <v>1291</v>
      </c>
      <c r="BB235" s="74"/>
    </row>
    <row r="236" spans="4:54" hidden="1">
      <c r="D236" t="s">
        <v>414</v>
      </c>
      <c r="J236" t="s">
        <v>4785</v>
      </c>
      <c r="K236" s="72" t="s">
        <v>4758</v>
      </c>
      <c r="L236" s="72" t="s">
        <v>4759</v>
      </c>
      <c r="M236" t="s">
        <v>4356</v>
      </c>
      <c r="N236" t="s">
        <v>4356</v>
      </c>
      <c r="Q236" t="str">
        <f>IF(COUNTIFS(HCP_evidence!$A:$A, M236, HCP_evidence!$AB:$AB, "&lt;&gt;")&gt;0, "Yes", "")</f>
        <v/>
      </c>
      <c r="V236"/>
      <c r="W236" t="s">
        <v>3767</v>
      </c>
      <c r="X236" t="s">
        <v>1291</v>
      </c>
      <c r="BB236" s="74"/>
    </row>
    <row r="237" spans="4:54" hidden="1">
      <c r="D237" t="s">
        <v>414</v>
      </c>
      <c r="J237" t="s">
        <v>4785</v>
      </c>
      <c r="K237" s="72" t="s">
        <v>4768</v>
      </c>
      <c r="L237" s="72" t="s">
        <v>4770</v>
      </c>
      <c r="M237" t="s">
        <v>4769</v>
      </c>
      <c r="N237" s="74"/>
      <c r="Q237" t="str">
        <f>IF(COUNTIFS(HCP_evidence!$A:$A, M237, HCP_evidence!$AB:$AB, "&lt;&gt;")&gt;0, "Yes", "")</f>
        <v/>
      </c>
      <c r="V237"/>
      <c r="W237" t="s">
        <v>3767</v>
      </c>
      <c r="X237" t="s">
        <v>1291</v>
      </c>
      <c r="BB237" s="74"/>
    </row>
    <row r="238" spans="4:54" hidden="1">
      <c r="D238" t="s">
        <v>414</v>
      </c>
      <c r="J238" t="s">
        <v>4679</v>
      </c>
      <c r="K238" s="72" t="s">
        <v>4771</v>
      </c>
      <c r="L238" s="72" t="s">
        <v>4773</v>
      </c>
      <c r="M238" t="s">
        <v>4772</v>
      </c>
      <c r="N238" t="s">
        <v>4772</v>
      </c>
      <c r="Q238" t="str">
        <f>IF(COUNTIFS(HCP_evidence!$A:$A, M238, HCP_evidence!$AB:$AB, "&lt;&gt;")&gt;0, "Yes", "")</f>
        <v/>
      </c>
      <c r="V238"/>
      <c r="W238" t="s">
        <v>3767</v>
      </c>
      <c r="X238" t="s">
        <v>1291</v>
      </c>
      <c r="BB238" s="74"/>
    </row>
    <row r="239" spans="4:54" hidden="1">
      <c r="D239" t="s">
        <v>414</v>
      </c>
      <c r="J239" t="s">
        <v>4679</v>
      </c>
      <c r="K239" s="72" t="s">
        <v>4765</v>
      </c>
      <c r="L239" s="72" t="s">
        <v>4767</v>
      </c>
      <c r="M239" t="s">
        <v>4766</v>
      </c>
      <c r="N239" s="74"/>
      <c r="Q239" t="str">
        <f>IF(COUNTIFS(HCP_evidence!$A:$A, M239, HCP_evidence!$AB:$AB, "&lt;&gt;")&gt;0, "Yes", "")</f>
        <v/>
      </c>
      <c r="R239" t="s">
        <v>4305</v>
      </c>
      <c r="S239" t="s">
        <v>4305</v>
      </c>
      <c r="V239"/>
      <c r="W239" t="s">
        <v>3767</v>
      </c>
      <c r="X239" t="s">
        <v>1291</v>
      </c>
      <c r="BB239" s="74"/>
    </row>
    <row r="240" spans="4:54" hidden="1">
      <c r="D240" t="s">
        <v>414</v>
      </c>
      <c r="J240" t="s">
        <v>4679</v>
      </c>
      <c r="K240" s="72" t="s">
        <v>4760</v>
      </c>
      <c r="L240" s="72" t="s">
        <v>4761</v>
      </c>
      <c r="M240" t="s">
        <v>4762</v>
      </c>
      <c r="N240" s="74"/>
      <c r="Q240" t="str">
        <f>IF(COUNTIFS(HCP_evidence!$A:$A, M240, HCP_evidence!$AB:$AB, "&lt;&gt;")&gt;0, "Yes", "")</f>
        <v/>
      </c>
      <c r="V240"/>
      <c r="W240" t="s">
        <v>3767</v>
      </c>
      <c r="X240" t="s">
        <v>1291</v>
      </c>
      <c r="BB240" s="74"/>
    </row>
    <row r="241" spans="1:55" hidden="1">
      <c r="D241" t="s">
        <v>414</v>
      </c>
      <c r="J241" t="s">
        <v>4679</v>
      </c>
      <c r="K241" s="72" t="s">
        <v>4777</v>
      </c>
      <c r="L241" s="72" t="s">
        <v>4779</v>
      </c>
      <c r="M241" t="s">
        <v>4778</v>
      </c>
      <c r="N241" s="74"/>
      <c r="Q241" t="str">
        <f>IF(COUNTIFS(HCP_evidence!$A:$A, M241, HCP_evidence!$AB:$AB, "&lt;&gt;")&gt;0, "Yes", "")</f>
        <v/>
      </c>
      <c r="V241"/>
      <c r="W241" t="s">
        <v>3767</v>
      </c>
      <c r="X241" t="s">
        <v>1291</v>
      </c>
      <c r="BB241" s="74"/>
    </row>
    <row r="242" spans="1:55" hidden="1">
      <c r="A242">
        <v>192</v>
      </c>
      <c r="I242" t="s">
        <v>5153</v>
      </c>
      <c r="J242" t="s">
        <v>8432</v>
      </c>
      <c r="K242" s="72" t="s">
        <v>5124</v>
      </c>
      <c r="L242" s="72" t="s">
        <v>7806</v>
      </c>
      <c r="M242" t="s">
        <v>1147</v>
      </c>
      <c r="N242" t="s">
        <v>7913</v>
      </c>
      <c r="Q242" t="str">
        <f>IF(COUNTIFS(HCP_evidence!$A:$A, M242, HCP_evidence!$AB:$AB, "&lt;&gt;")&gt;0, "Yes", "")</f>
        <v>Yes</v>
      </c>
      <c r="V242"/>
      <c r="W242" t="s">
        <v>3768</v>
      </c>
      <c r="X242" t="s">
        <v>4282</v>
      </c>
      <c r="AC242" t="s">
        <v>4283</v>
      </c>
      <c r="AW242" t="str">
        <f>IF(COUNTIFS(HCP_evidence!$A:$A, M242, HCP_evidence!$AH:$AH, "&lt;&gt;")&gt;0, "Yes", "")</f>
        <v/>
      </c>
      <c r="BB242" s="74" t="s">
        <v>414</v>
      </c>
    </row>
    <row r="243" spans="1:55" hidden="1">
      <c r="J243" t="s">
        <v>2972</v>
      </c>
      <c r="K243" s="72" t="s">
        <v>7812</v>
      </c>
      <c r="M243" t="s">
        <v>2973</v>
      </c>
      <c r="N243" s="71" t="s">
        <v>2973</v>
      </c>
      <c r="Q243" t="str">
        <f>IF(COUNTIFS(HCP_evidence!$A:$A, M243, HCP_evidence!$AB:$AB, "&lt;&gt;")&gt;0, "Yes", "")</f>
        <v/>
      </c>
      <c r="V243"/>
      <c r="W243" t="s">
        <v>3768</v>
      </c>
      <c r="X243" t="s">
        <v>4282</v>
      </c>
      <c r="AC243" t="s">
        <v>4283</v>
      </c>
      <c r="AW243" t="str">
        <f>IF(COUNTIFS(HCP_evidence!$A:$A, M243, HCP_evidence!$AH:$AH, "&lt;&gt;")&gt;0, "Yes", "")</f>
        <v/>
      </c>
      <c r="BB243" s="74"/>
      <c r="BC243" t="s">
        <v>414</v>
      </c>
    </row>
    <row r="244" spans="1:55" hidden="1">
      <c r="J244" t="s">
        <v>7850</v>
      </c>
      <c r="K244" s="72" t="s">
        <v>7811</v>
      </c>
      <c r="M244" t="s">
        <v>3981</v>
      </c>
      <c r="N244" t="s">
        <v>3981</v>
      </c>
      <c r="Q244" t="str">
        <f>IF(COUNTIFS(HCP_evidence!$A:$A, M244, HCP_evidence!$AB:$AB, "&lt;&gt;")&gt;0, "Yes", "")</f>
        <v/>
      </c>
      <c r="V244"/>
      <c r="W244" t="s">
        <v>3768</v>
      </c>
      <c r="X244" t="s">
        <v>4282</v>
      </c>
      <c r="AC244" t="s">
        <v>4283</v>
      </c>
      <c r="BB244" s="74"/>
      <c r="BC244" t="s">
        <v>414</v>
      </c>
    </row>
    <row r="245" spans="1:55" hidden="1">
      <c r="I245" t="s">
        <v>5153</v>
      </c>
      <c r="J245" t="s">
        <v>8412</v>
      </c>
      <c r="K245" s="72" t="s">
        <v>5125</v>
      </c>
      <c r="M245" t="s">
        <v>4055</v>
      </c>
      <c r="N245" t="s">
        <v>4055</v>
      </c>
      <c r="Q245" t="str">
        <f>IF(COUNTIFS(HCP_evidence!$A:$A, M245, HCP_evidence!$AB:$AB, "&lt;&gt;")&gt;0, "Yes", "")</f>
        <v>Yes</v>
      </c>
      <c r="V245"/>
      <c r="W245" t="s">
        <v>3768</v>
      </c>
      <c r="X245" t="s">
        <v>4282</v>
      </c>
      <c r="AC245" t="s">
        <v>4283</v>
      </c>
      <c r="BB245" s="74" t="s">
        <v>414</v>
      </c>
    </row>
    <row r="246" spans="1:55" hidden="1">
      <c r="K246" s="72" t="s">
        <v>7817</v>
      </c>
      <c r="M246" t="s">
        <v>7818</v>
      </c>
      <c r="N246" s="74"/>
      <c r="Q246" t="str">
        <f>IF(COUNTIFS(HCP_evidence!$A:$A, M246, HCP_evidence!$AB:$AB, "&lt;&gt;")&gt;0, "Yes", "")</f>
        <v/>
      </c>
      <c r="V246"/>
      <c r="W246" t="s">
        <v>3768</v>
      </c>
      <c r="X246" t="s">
        <v>4282</v>
      </c>
      <c r="BC246" t="s">
        <v>414</v>
      </c>
    </row>
    <row r="247" spans="1:55" hidden="1">
      <c r="J247" t="s">
        <v>7827</v>
      </c>
      <c r="K247" s="72" t="s">
        <v>7825</v>
      </c>
      <c r="M247" t="s">
        <v>7826</v>
      </c>
      <c r="N247" s="74"/>
      <c r="Q247" t="str">
        <f>IF(COUNTIFS(HCP_evidence!$A:$A, M247, HCP_evidence!$AB:$AB, "&lt;&gt;")&gt;0, "Yes", "")</f>
        <v/>
      </c>
      <c r="V247"/>
      <c r="W247" t="s">
        <v>3770</v>
      </c>
      <c r="X247" t="s">
        <v>42</v>
      </c>
    </row>
    <row r="248" spans="1:55" hidden="1">
      <c r="D248" t="s">
        <v>414</v>
      </c>
      <c r="I248" t="s">
        <v>5153</v>
      </c>
      <c r="J248" t="s">
        <v>7854</v>
      </c>
      <c r="K248" s="72" t="s">
        <v>5154</v>
      </c>
      <c r="M248" t="s">
        <v>4025</v>
      </c>
      <c r="N248" t="s">
        <v>4025</v>
      </c>
      <c r="Q248" t="str">
        <f>IF(COUNTIFS(HCP_evidence!$A:$A, M248, HCP_evidence!$AB:$AB, "&lt;&gt;")&gt;0, "Yes", "")</f>
        <v/>
      </c>
      <c r="V248"/>
      <c r="W248" t="s">
        <v>3771</v>
      </c>
      <c r="X248" t="s">
        <v>4289</v>
      </c>
      <c r="AC248" t="s">
        <v>4283</v>
      </c>
      <c r="BB248" s="74"/>
    </row>
    <row r="249" spans="1:55" hidden="1">
      <c r="D249" t="s">
        <v>414</v>
      </c>
      <c r="I249" t="s">
        <v>5153</v>
      </c>
      <c r="J249" t="s">
        <v>5151</v>
      </c>
      <c r="K249" s="72" t="s">
        <v>5150</v>
      </c>
      <c r="M249" t="s">
        <v>4054</v>
      </c>
      <c r="N249" s="74"/>
      <c r="Q249" t="str">
        <f>IF(COUNTIFS(HCP_evidence!$A:$A, M249, HCP_evidence!$AB:$AB, "&lt;&gt;")&gt;0, "Yes", "")</f>
        <v>Yes</v>
      </c>
      <c r="V249"/>
      <c r="W249" t="s">
        <v>3771</v>
      </c>
      <c r="X249" t="s">
        <v>4289</v>
      </c>
      <c r="AC249" t="s">
        <v>4283</v>
      </c>
      <c r="BB249" s="74"/>
    </row>
    <row r="250" spans="1:55" hidden="1">
      <c r="K250" s="72" t="s">
        <v>5160</v>
      </c>
      <c r="M250" t="s">
        <v>5161</v>
      </c>
      <c r="N250" s="74"/>
      <c r="Q250" t="str">
        <f>IF(COUNTIFS(HCP_evidence!$A:$A, M250, HCP_evidence!$AB:$AB, "&lt;&gt;")&gt;0, "Yes", "")</f>
        <v/>
      </c>
      <c r="V250"/>
      <c r="W250" t="s">
        <v>3771</v>
      </c>
      <c r="X250" t="s">
        <v>4289</v>
      </c>
    </row>
    <row r="251" spans="1:55" hidden="1">
      <c r="B251" t="s">
        <v>7878</v>
      </c>
      <c r="C251" s="74" t="s">
        <v>4311</v>
      </c>
      <c r="J251" t="s">
        <v>4792</v>
      </c>
      <c r="K251" s="72" t="s">
        <v>4951</v>
      </c>
      <c r="M251" t="s">
        <v>1206</v>
      </c>
      <c r="N251" t="s">
        <v>1206</v>
      </c>
      <c r="Q251" t="str">
        <f>IF(COUNTIFS(HCP_evidence!$A:$A, M251, HCP_evidence!$AB:$AB, "&lt;&gt;")&gt;0, "Yes", "")</f>
        <v/>
      </c>
      <c r="S251" t="s">
        <v>4306</v>
      </c>
      <c r="V251"/>
      <c r="W251" t="s">
        <v>4554</v>
      </c>
      <c r="X251" t="s">
        <v>4280</v>
      </c>
      <c r="AC251" t="s">
        <v>4283</v>
      </c>
      <c r="AW251" t="str">
        <f>IF(COUNTIFS(HCP_evidence!$A:$A, M251, HCP_evidence!$AH:$AH, "&lt;&gt;")&gt;0, "Yes", "")</f>
        <v/>
      </c>
      <c r="BB251" s="74"/>
    </row>
    <row r="252" spans="1:55" hidden="1">
      <c r="J252" t="s">
        <v>5116</v>
      </c>
      <c r="K252" s="72" t="s">
        <v>5118</v>
      </c>
      <c r="M252" t="s">
        <v>3935</v>
      </c>
      <c r="N252" s="71" t="s">
        <v>3935</v>
      </c>
      <c r="Q252" t="str">
        <f>IF(COUNTIFS(HCP_evidence!$A:$A, M252, HCP_evidence!$AB:$AB, "&lt;&gt;")&gt;0, "Yes", "")</f>
        <v/>
      </c>
      <c r="V252"/>
      <c r="W252" t="s">
        <v>4554</v>
      </c>
      <c r="X252" t="s">
        <v>4280</v>
      </c>
      <c r="AC252" t="s">
        <v>4283</v>
      </c>
      <c r="AW252" t="str">
        <f>IF(COUNTIFS(HCP_evidence!$A:$A, M252, HCP_evidence!$AH:$AH, "&lt;&gt;")&gt;0, "Yes", "")</f>
        <v/>
      </c>
      <c r="BB252" s="74"/>
    </row>
    <row r="253" spans="1:55" hidden="1">
      <c r="A253">
        <v>130</v>
      </c>
      <c r="J253" t="s">
        <v>8362</v>
      </c>
      <c r="K253" s="72" t="s">
        <v>8184</v>
      </c>
      <c r="M253" t="s">
        <v>1092</v>
      </c>
      <c r="N253" s="73" t="s">
        <v>1092</v>
      </c>
      <c r="Q253" t="str">
        <f>IF(COUNTIFS(HCP_evidence!$A:$A, M253, HCP_evidence!$AB:$AB, "&lt;&gt;")&gt;0, "Yes", "")</f>
        <v/>
      </c>
      <c r="V253"/>
      <c r="W253" t="s">
        <v>10296</v>
      </c>
      <c r="X253" s="115" t="s">
        <v>1544</v>
      </c>
      <c r="AC253" t="s">
        <v>4283</v>
      </c>
      <c r="AW253" t="str">
        <f>IF(COUNTIFS(HCP_evidence!$A:$A, M253, HCP_evidence!$AH:$AH, "&lt;&gt;")&gt;0, "Yes", "")</f>
        <v/>
      </c>
      <c r="BB253" s="74"/>
    </row>
    <row r="254" spans="1:55" hidden="1">
      <c r="K254" s="72" t="s">
        <v>8175</v>
      </c>
      <c r="M254" t="s">
        <v>8176</v>
      </c>
      <c r="N254" s="71" t="s">
        <v>8176</v>
      </c>
      <c r="Q254" t="str">
        <f>IF(COUNTIFS(HCP_evidence!$A:$A, M254, HCP_evidence!$AB:$AB, "&lt;&gt;")&gt;0, "Yes", "")</f>
        <v/>
      </c>
      <c r="V254"/>
      <c r="W254" t="s">
        <v>4554</v>
      </c>
      <c r="X254" t="s">
        <v>4280</v>
      </c>
    </row>
    <row r="255" spans="1:55" hidden="1">
      <c r="B255" t="s">
        <v>7878</v>
      </c>
      <c r="C255" s="74" t="s">
        <v>4311</v>
      </c>
      <c r="K255" s="72" t="s">
        <v>4954</v>
      </c>
      <c r="M255" t="s">
        <v>3969</v>
      </c>
      <c r="N255" t="s">
        <v>3969</v>
      </c>
      <c r="Q255" t="str">
        <f>IF(COUNTIFS(HCP_evidence!$A:$A, M255, HCP_evidence!$AB:$AB, "&lt;&gt;")&gt;0, "Yes", "")</f>
        <v/>
      </c>
      <c r="V255"/>
      <c r="W255" t="s">
        <v>3772</v>
      </c>
      <c r="X255" t="s">
        <v>4828</v>
      </c>
      <c r="AC255" t="s">
        <v>4283</v>
      </c>
      <c r="AV255" s="13" t="s">
        <v>8620</v>
      </c>
      <c r="BB255" s="74"/>
    </row>
    <row r="256" spans="1:55" hidden="1">
      <c r="B256" t="s">
        <v>7878</v>
      </c>
      <c r="C256" s="74" t="s">
        <v>4311</v>
      </c>
      <c r="J256" t="s">
        <v>4960</v>
      </c>
      <c r="K256" s="72" t="s">
        <v>4967</v>
      </c>
      <c r="M256" t="s">
        <v>4238</v>
      </c>
      <c r="N256" s="71" t="s">
        <v>4238</v>
      </c>
      <c r="Q256" t="str">
        <f>IF(COUNTIFS(HCP_evidence!$A:$A, M256, HCP_evidence!$AB:$AB, "&lt;&gt;")&gt;0, "Yes", "")</f>
        <v/>
      </c>
      <c r="S256" t="s">
        <v>4312</v>
      </c>
      <c r="V256"/>
      <c r="W256" t="s">
        <v>3772</v>
      </c>
      <c r="X256" t="s">
        <v>4828</v>
      </c>
      <c r="AC256" t="s">
        <v>4283</v>
      </c>
      <c r="BB256" s="74"/>
    </row>
    <row r="257" spans="1:54" hidden="1">
      <c r="A257">
        <v>135</v>
      </c>
      <c r="I257" t="s">
        <v>5153</v>
      </c>
      <c r="J257" t="s">
        <v>11520</v>
      </c>
      <c r="K257" s="72" t="s">
        <v>5162</v>
      </c>
      <c r="M257" t="s">
        <v>1096</v>
      </c>
      <c r="N257" s="73"/>
      <c r="Q257" t="str">
        <f>IF(COUNTIFS(HCP_evidence!$A:$A, M257, HCP_evidence!$AB:$AB, "&lt;&gt;")&gt;0, "Yes", "")</f>
        <v>Yes</v>
      </c>
      <c r="V257"/>
      <c r="W257" t="s">
        <v>3772</v>
      </c>
      <c r="X257" t="s">
        <v>4828</v>
      </c>
      <c r="AC257" t="s">
        <v>4283</v>
      </c>
      <c r="AW257" t="str">
        <f>IF(COUNTIFS(HCP_evidence!$A:$A, M257, HCP_evidence!$AH:$AH, "&lt;&gt;")&gt;0, "Yes", "")</f>
        <v/>
      </c>
      <c r="BB257" s="74"/>
    </row>
    <row r="258" spans="1:54" hidden="1">
      <c r="J258" t="s">
        <v>5116</v>
      </c>
      <c r="K258" s="72" t="s">
        <v>7851</v>
      </c>
      <c r="M258" t="s">
        <v>4358</v>
      </c>
      <c r="N258" s="53" t="s">
        <v>4358</v>
      </c>
      <c r="Q258" t="str">
        <f>IF(COUNTIFS(HCP_evidence!$A:$A, M258, HCP_evidence!$AB:$AB, "&lt;&gt;")&gt;0, "Yes", "")</f>
        <v/>
      </c>
      <c r="V258"/>
      <c r="W258" t="s">
        <v>3772</v>
      </c>
      <c r="X258" t="s">
        <v>4828</v>
      </c>
      <c r="AC258" t="s">
        <v>4283</v>
      </c>
      <c r="BB258" s="74"/>
    </row>
    <row r="259" spans="1:54" hidden="1">
      <c r="I259" t="s">
        <v>5153</v>
      </c>
      <c r="J259" t="s">
        <v>5166</v>
      </c>
      <c r="K259" s="72" t="s">
        <v>5164</v>
      </c>
      <c r="M259" t="s">
        <v>4355</v>
      </c>
      <c r="N259" t="s">
        <v>4355</v>
      </c>
      <c r="Q259" t="str">
        <f>IF(COUNTIFS(HCP_evidence!$A:$A, M259, HCP_evidence!$AB:$AB, "&lt;&gt;")&gt;0, "Yes", "")</f>
        <v>Yes</v>
      </c>
      <c r="V259"/>
      <c r="W259" t="s">
        <v>3772</v>
      </c>
      <c r="X259" t="s">
        <v>4828</v>
      </c>
    </row>
    <row r="260" spans="1:54" hidden="1">
      <c r="J260" t="s">
        <v>7935</v>
      </c>
      <c r="K260" s="72" t="s">
        <v>7986</v>
      </c>
      <c r="M260" t="s">
        <v>7987</v>
      </c>
      <c r="N260" s="71" t="s">
        <v>7987</v>
      </c>
      <c r="Q260" t="str">
        <f>IF(COUNTIFS(HCP_evidence!$A:$A, M260, HCP_evidence!$AB:$AB, "&lt;&gt;")&gt;0, "Yes", "")</f>
        <v/>
      </c>
      <c r="V260"/>
      <c r="W260" t="s">
        <v>3772</v>
      </c>
      <c r="X260" t="s">
        <v>4828</v>
      </c>
    </row>
    <row r="261" spans="1:54" ht="15" hidden="1">
      <c r="B261" t="s">
        <v>7878</v>
      </c>
      <c r="C261" s="74" t="s">
        <v>4308</v>
      </c>
      <c r="J261" t="s">
        <v>7837</v>
      </c>
      <c r="K261" s="72" t="s">
        <v>4956</v>
      </c>
      <c r="L261" s="72" t="s">
        <v>5000</v>
      </c>
      <c r="M261" t="s">
        <v>3992</v>
      </c>
      <c r="N261" t="s">
        <v>1150</v>
      </c>
      <c r="Q261" t="str">
        <f>IF(COUNTIFS(HCP_evidence!$A:$A, M261, HCP_evidence!$AB:$AB, "&lt;&gt;")&gt;0, "Yes", "")</f>
        <v>Yes</v>
      </c>
      <c r="S261" s="52" t="s">
        <v>4306</v>
      </c>
      <c r="V261"/>
      <c r="W261" t="s">
        <v>3773</v>
      </c>
      <c r="X261" t="s">
        <v>1289</v>
      </c>
      <c r="AC261" t="s">
        <v>4283</v>
      </c>
      <c r="BB261" s="74"/>
    </row>
    <row r="262" spans="1:54" hidden="1">
      <c r="A262">
        <v>161</v>
      </c>
      <c r="J262" t="s">
        <v>11362</v>
      </c>
      <c r="K262" s="72" t="s">
        <v>4999</v>
      </c>
      <c r="L262" s="72" t="s">
        <v>4998</v>
      </c>
      <c r="M262" t="s">
        <v>1116</v>
      </c>
      <c r="N262" s="71" t="s">
        <v>7914</v>
      </c>
      <c r="Q262" t="str">
        <f>IF(COUNTIFS(HCP_evidence!$A:$A, M262, HCP_evidence!$AB:$AB, "&lt;&gt;")&gt;0, "Yes", "")</f>
        <v>Yes</v>
      </c>
      <c r="V262"/>
      <c r="W262" t="s">
        <v>3773</v>
      </c>
      <c r="X262" t="s">
        <v>1289</v>
      </c>
      <c r="AC262" t="s">
        <v>4283</v>
      </c>
      <c r="AW262" t="str">
        <f>IF(COUNTIFS(HCP_evidence!$A:$A, M262, HCP_evidence!$AH:$AH, "&lt;&gt;")&gt;0, "Yes", "")</f>
        <v/>
      </c>
      <c r="BB262" s="74"/>
    </row>
    <row r="263" spans="1:54" hidden="1">
      <c r="J263" t="s">
        <v>5003</v>
      </c>
      <c r="K263" s="72" t="s">
        <v>5001</v>
      </c>
      <c r="M263" t="s">
        <v>5002</v>
      </c>
      <c r="N263" t="s">
        <v>5002</v>
      </c>
      <c r="Q263" t="str">
        <f>IF(COUNTIFS(HCP_evidence!$A:$A, M263, HCP_evidence!$AB:$AB, "&lt;&gt;")&gt;0, "Yes", "")</f>
        <v>Yes</v>
      </c>
      <c r="V263"/>
      <c r="W263" t="s">
        <v>3773</v>
      </c>
      <c r="X263" t="s">
        <v>1289</v>
      </c>
      <c r="BB263" s="74"/>
    </row>
    <row r="264" spans="1:54" hidden="1">
      <c r="E264" t="s">
        <v>414</v>
      </c>
      <c r="I264" t="s">
        <v>5156</v>
      </c>
      <c r="J264" t="s">
        <v>7865</v>
      </c>
      <c r="K264" s="72" t="s">
        <v>7862</v>
      </c>
      <c r="L264" s="72" t="s">
        <v>7864</v>
      </c>
      <c r="M264" t="s">
        <v>7863</v>
      </c>
      <c r="N264" t="s">
        <v>7915</v>
      </c>
      <c r="Q264" t="str">
        <f>IF(COUNTIFS(HCP_evidence!$A:$A, M264, HCP_evidence!$AB:$AB, "&lt;&gt;")&gt;0, "Yes", "")</f>
        <v/>
      </c>
      <c r="V264"/>
      <c r="W264" t="s">
        <v>3774</v>
      </c>
      <c r="X264" t="s">
        <v>4831</v>
      </c>
    </row>
    <row r="265" spans="1:54" hidden="1">
      <c r="E265" t="s">
        <v>414</v>
      </c>
      <c r="I265" t="s">
        <v>5153</v>
      </c>
      <c r="J265" t="s">
        <v>7916</v>
      </c>
      <c r="K265" s="72" t="s">
        <v>7866</v>
      </c>
      <c r="L265" s="72" t="s">
        <v>7868</v>
      </c>
      <c r="M265" t="s">
        <v>7867</v>
      </c>
      <c r="N265" t="s">
        <v>7917</v>
      </c>
      <c r="Q265" t="str">
        <f>IF(COUNTIFS(HCP_evidence!$A:$A, M265, HCP_evidence!$AB:$AB, "&lt;&gt;")&gt;0, "Yes", "")</f>
        <v>Yes</v>
      </c>
      <c r="V265"/>
      <c r="W265" t="s">
        <v>3774</v>
      </c>
      <c r="X265" t="s">
        <v>4831</v>
      </c>
    </row>
    <row r="266" spans="1:54" ht="15.6" hidden="1">
      <c r="B266" t="s">
        <v>7878</v>
      </c>
      <c r="C266" s="74" t="s">
        <v>4314</v>
      </c>
      <c r="J266" t="s">
        <v>8540</v>
      </c>
      <c r="K266" s="72" t="s">
        <v>4962</v>
      </c>
      <c r="M266" t="s">
        <v>4023</v>
      </c>
      <c r="N266" t="s">
        <v>4023</v>
      </c>
      <c r="Q266" t="str">
        <f>IF(COUNTIFS(HCP_evidence!$A:$A, M266, HCP_evidence!$AB:$AB, "&lt;&gt;")&gt;0, "Yes", "")</f>
        <v>Yes</v>
      </c>
      <c r="S266" s="54" t="s">
        <v>4306</v>
      </c>
      <c r="V266"/>
      <c r="W266" t="s">
        <v>4555</v>
      </c>
      <c r="X266" t="s">
        <v>107</v>
      </c>
      <c r="AC266" t="s">
        <v>4283</v>
      </c>
      <c r="BB266" s="74"/>
    </row>
    <row r="267" spans="1:54" hidden="1">
      <c r="J267" t="s">
        <v>5116</v>
      </c>
      <c r="K267" s="72" t="s">
        <v>7830</v>
      </c>
      <c r="M267" t="s">
        <v>4093</v>
      </c>
      <c r="N267" s="73"/>
      <c r="Q267" t="str">
        <f>IF(COUNTIFS(HCP_evidence!$A:$A, M267, HCP_evidence!$AB:$AB, "&lt;&gt;")&gt;0, "Yes", "")</f>
        <v/>
      </c>
      <c r="V267"/>
      <c r="W267" t="s">
        <v>4555</v>
      </c>
      <c r="X267" t="s">
        <v>107</v>
      </c>
      <c r="AC267" t="s">
        <v>4283</v>
      </c>
      <c r="BB267" s="74"/>
    </row>
    <row r="268" spans="1:54" hidden="1">
      <c r="J268" t="s">
        <v>7828</v>
      </c>
      <c r="K268" s="72" t="s">
        <v>7829</v>
      </c>
      <c r="M268" t="s">
        <v>4135</v>
      </c>
      <c r="N268" s="74"/>
      <c r="Q268" t="str">
        <f>IF(COUNTIFS(HCP_evidence!$A:$A, M268, HCP_evidence!$AB:$AB, "&lt;&gt;")&gt;0, "Yes", "")</f>
        <v/>
      </c>
      <c r="V268"/>
      <c r="W268" t="s">
        <v>4555</v>
      </c>
      <c r="X268" t="s">
        <v>107</v>
      </c>
      <c r="AC268" t="s">
        <v>4283</v>
      </c>
      <c r="BB268" s="74"/>
    </row>
    <row r="269" spans="1:54" hidden="1">
      <c r="I269" t="s">
        <v>5153</v>
      </c>
      <c r="J269" t="s">
        <v>8331</v>
      </c>
      <c r="K269" s="72" t="s">
        <v>7869</v>
      </c>
      <c r="L269" s="72" t="s">
        <v>7876</v>
      </c>
      <c r="M269" t="s">
        <v>7870</v>
      </c>
      <c r="N269" s="74"/>
      <c r="Q269" t="str">
        <f>IF(COUNTIFS(HCP_evidence!$A:$A, M269, HCP_evidence!$AB:$AB, "&lt;&gt;")&gt;0, "Yes", "")</f>
        <v>Yes</v>
      </c>
      <c r="V269"/>
      <c r="W269" t="s">
        <v>4556</v>
      </c>
      <c r="X269" t="s">
        <v>1248</v>
      </c>
    </row>
    <row r="270" spans="1:54" hidden="1">
      <c r="D270" t="s">
        <v>414</v>
      </c>
      <c r="I270" t="s">
        <v>5153</v>
      </c>
      <c r="J270" t="s">
        <v>7874</v>
      </c>
      <c r="K270" s="72" t="s">
        <v>7872</v>
      </c>
      <c r="L270" s="72" t="s">
        <v>8336</v>
      </c>
      <c r="M270" t="s">
        <v>7873</v>
      </c>
      <c r="N270" t="s">
        <v>7873</v>
      </c>
      <c r="Q270" t="str">
        <f>IF(COUNTIFS(HCP_evidence!$A:$A, M270, HCP_evidence!$AB:$AB, "&lt;&gt;")&gt;0, "Yes", "")</f>
        <v>Yes</v>
      </c>
      <c r="V270"/>
      <c r="W270" t="s">
        <v>4556</v>
      </c>
      <c r="X270" t="s">
        <v>1248</v>
      </c>
    </row>
    <row r="271" spans="1:54" hidden="1">
      <c r="J271" t="s">
        <v>7935</v>
      </c>
      <c r="K271" s="72" t="s">
        <v>8004</v>
      </c>
      <c r="M271" t="s">
        <v>4272</v>
      </c>
      <c r="N271" s="88" t="s">
        <v>4272</v>
      </c>
      <c r="Q271" t="str">
        <f>IF(COUNTIFS(HCP_evidence!$A:$A, M271, HCP_evidence!$AB:$AB, "&lt;&gt;")&gt;0, "Yes", "")</f>
        <v/>
      </c>
      <c r="V271"/>
      <c r="W271" t="s">
        <v>4556</v>
      </c>
      <c r="X271" t="s">
        <v>1248</v>
      </c>
      <c r="AC271" t="s">
        <v>4283</v>
      </c>
      <c r="BB271" s="74"/>
    </row>
    <row r="272" spans="1:54" hidden="1">
      <c r="B272" t="s">
        <v>7878</v>
      </c>
      <c r="C272" s="74" t="s">
        <v>4308</v>
      </c>
      <c r="J272" t="s">
        <v>11497</v>
      </c>
      <c r="K272" s="72" t="s">
        <v>4946</v>
      </c>
      <c r="M272" t="s">
        <v>4353</v>
      </c>
      <c r="N272" s="71" t="s">
        <v>4353</v>
      </c>
      <c r="Q272" t="str">
        <f>IF(COUNTIFS(HCP_evidence!$A:$A, M272, HCP_evidence!$AB:$AB, "&lt;&gt;")&gt;0, "Yes", "")</f>
        <v/>
      </c>
      <c r="V272"/>
      <c r="W272" t="s">
        <v>10151</v>
      </c>
      <c r="X272" t="s">
        <v>1471</v>
      </c>
      <c r="BB272" s="74"/>
    </row>
    <row r="273" spans="1:54">
      <c r="J273" t="s">
        <v>11471</v>
      </c>
      <c r="K273" s="72" t="s">
        <v>7833</v>
      </c>
      <c r="M273" t="s">
        <v>4022</v>
      </c>
      <c r="N273" s="73"/>
      <c r="Q273" t="str">
        <f>IF(COUNTIFS(HCP_evidence!$A:$A, M273, HCP_evidence!$AB:$AB, "&lt;&gt;")&gt;0, "Yes", "")</f>
        <v/>
      </c>
      <c r="V273"/>
      <c r="W273" t="s">
        <v>4558</v>
      </c>
      <c r="X273" t="s">
        <v>4291</v>
      </c>
      <c r="AC273" t="s">
        <v>4283</v>
      </c>
      <c r="BB273" s="74"/>
    </row>
    <row r="274" spans="1:54" hidden="1">
      <c r="B274" t="s">
        <v>7878</v>
      </c>
      <c r="C274" s="74" t="s">
        <v>4311</v>
      </c>
      <c r="J274" t="s">
        <v>8489</v>
      </c>
      <c r="K274" s="72" t="s">
        <v>4955</v>
      </c>
      <c r="M274" t="s">
        <v>1198</v>
      </c>
      <c r="N274" t="s">
        <v>1198</v>
      </c>
      <c r="Q274" t="str">
        <f>IF(COUNTIFS(HCP_evidence!$A:$A, M274, HCP_evidence!$AB:$AB, "&lt;&gt;")&gt;0, "Yes", "")</f>
        <v>Yes</v>
      </c>
      <c r="V274"/>
      <c r="W274" t="s">
        <v>3775</v>
      </c>
      <c r="X274" t="s">
        <v>3302</v>
      </c>
      <c r="AC274" t="s">
        <v>4283</v>
      </c>
      <c r="AW274" t="str">
        <f>IF(COUNTIFS(HCP_evidence!$A:$A, M274, HCP_evidence!$AH:$AH, "&lt;&gt;")&gt;0, "Yes", "")</f>
        <v/>
      </c>
      <c r="BB274" s="74"/>
    </row>
    <row r="275" spans="1:54" hidden="1">
      <c r="J275" t="s">
        <v>8141</v>
      </c>
      <c r="K275" s="72" t="s">
        <v>8145</v>
      </c>
      <c r="M275" t="s">
        <v>8146</v>
      </c>
      <c r="N275" s="71" t="s">
        <v>8146</v>
      </c>
      <c r="Q275" t="str">
        <f>IF(COUNTIFS(HCP_evidence!$A:$A, M275, HCP_evidence!$AB:$AB, "&lt;&gt;")&gt;0, "Yes", "")</f>
        <v/>
      </c>
      <c r="V275"/>
      <c r="W275" t="s">
        <v>3775</v>
      </c>
      <c r="X275" s="12" t="s">
        <v>3302</v>
      </c>
    </row>
    <row r="276" spans="1:54" hidden="1">
      <c r="I276" t="s">
        <v>5153</v>
      </c>
      <c r="J276" t="s">
        <v>8050</v>
      </c>
      <c r="K276" s="72" t="s">
        <v>8048</v>
      </c>
      <c r="M276" t="s">
        <v>8049</v>
      </c>
      <c r="N276" s="74"/>
      <c r="Q276" t="str">
        <f>IF(COUNTIFS(HCP_evidence!$A:$A, M276, HCP_evidence!$AB:$AB, "&lt;&gt;")&gt;0, "Yes", "")</f>
        <v>Yes</v>
      </c>
      <c r="V276"/>
      <c r="W276" t="s">
        <v>3779</v>
      </c>
      <c r="X276" s="81" t="s">
        <v>4852</v>
      </c>
    </row>
    <row r="277" spans="1:54" hidden="1">
      <c r="B277" t="s">
        <v>7878</v>
      </c>
      <c r="C277" s="74" t="s">
        <v>4314</v>
      </c>
      <c r="J277" t="s">
        <v>4792</v>
      </c>
      <c r="K277" s="72" t="s">
        <v>4953</v>
      </c>
      <c r="M277" t="s">
        <v>1185</v>
      </c>
      <c r="N277" t="s">
        <v>1185</v>
      </c>
      <c r="Q277" t="str">
        <f>IF(COUNTIFS(HCP_evidence!$A:$A, M277, HCP_evidence!$AB:$AB, "&lt;&gt;")&gt;0, "Yes", "")</f>
        <v/>
      </c>
      <c r="S277" t="s">
        <v>4306</v>
      </c>
      <c r="V277"/>
      <c r="W277" t="s">
        <v>4560</v>
      </c>
      <c r="X277" t="s">
        <v>4293</v>
      </c>
      <c r="AC277" t="s">
        <v>4283</v>
      </c>
      <c r="AV277" s="13" t="s">
        <v>8618</v>
      </c>
      <c r="AW277" t="str">
        <f>IF(COUNTIFS(HCP_evidence!$A:$A, M277, HCP_evidence!$AH:$AH, "&lt;&gt;")&gt;0, "Yes", "")</f>
        <v/>
      </c>
      <c r="BB277" s="74"/>
    </row>
    <row r="278" spans="1:54" hidden="1">
      <c r="B278" t="s">
        <v>7878</v>
      </c>
      <c r="C278" s="74" t="s">
        <v>4311</v>
      </c>
      <c r="J278" t="s">
        <v>8054</v>
      </c>
      <c r="K278" s="72" t="s">
        <v>4968</v>
      </c>
      <c r="M278" t="s">
        <v>8621</v>
      </c>
      <c r="N278" s="74"/>
      <c r="Q278" t="str">
        <f>IF(COUNTIFS(HCP_evidence!$A:$A, M278, HCP_evidence!$AB:$AB, "&lt;&gt;")&gt;0, "Yes", "")</f>
        <v>Yes</v>
      </c>
      <c r="S278" t="s">
        <v>4306</v>
      </c>
      <c r="V278"/>
      <c r="W278" t="s">
        <v>4561</v>
      </c>
      <c r="X278" t="s">
        <v>4297</v>
      </c>
      <c r="AC278" t="s">
        <v>4283</v>
      </c>
      <c r="AV278" s="13" t="s">
        <v>8620</v>
      </c>
      <c r="BB278" s="74"/>
    </row>
    <row r="279" spans="1:54" hidden="1">
      <c r="I279" t="s">
        <v>5156</v>
      </c>
      <c r="J279" t="s">
        <v>8057</v>
      </c>
      <c r="K279" s="72" t="s">
        <v>8055</v>
      </c>
      <c r="M279" t="s">
        <v>8056</v>
      </c>
      <c r="N279" t="s">
        <v>8056</v>
      </c>
      <c r="Q279" t="str">
        <f>IF(COUNTIFS(HCP_evidence!$A:$A, M279, HCP_evidence!$AB:$AB, "&lt;&gt;")&gt;0, "Yes", "")</f>
        <v/>
      </c>
      <c r="V279"/>
      <c r="W279" t="s">
        <v>4561</v>
      </c>
      <c r="X279" s="89" t="s">
        <v>4297</v>
      </c>
    </row>
    <row r="280" spans="1:54" hidden="1">
      <c r="I280" t="s">
        <v>5156</v>
      </c>
      <c r="J280" t="s">
        <v>11396</v>
      </c>
      <c r="K280" s="72" t="s">
        <v>7961</v>
      </c>
      <c r="M280" t="s">
        <v>7962</v>
      </c>
      <c r="N280" s="74"/>
      <c r="Q280" t="str">
        <f>IF(COUNTIFS(HCP_evidence!$A:$A, M280, HCP_evidence!$AB:$AB, "&lt;&gt;")&gt;0, "Yes", "")</f>
        <v/>
      </c>
      <c r="V280"/>
      <c r="W280" t="s">
        <v>3781</v>
      </c>
      <c r="X280" s="12" t="s">
        <v>280</v>
      </c>
    </row>
    <row r="281" spans="1:54" ht="15" hidden="1">
      <c r="B281" t="s">
        <v>7878</v>
      </c>
      <c r="C281" s="74" t="s">
        <v>4311</v>
      </c>
      <c r="J281" t="s">
        <v>8092</v>
      </c>
      <c r="K281" s="72" t="s">
        <v>4948</v>
      </c>
      <c r="M281" t="s">
        <v>3941</v>
      </c>
      <c r="N281" s="74" t="s">
        <v>3941</v>
      </c>
      <c r="Q281" t="str">
        <f>IF(COUNTIFS(HCP_evidence!$A:$A, M281, HCP_evidence!$AB:$AB, "&lt;&gt;")&gt;0, "Yes", "")</f>
        <v/>
      </c>
      <c r="S281" s="52" t="s">
        <v>4306</v>
      </c>
      <c r="V281"/>
      <c r="W281" t="s">
        <v>3783</v>
      </c>
      <c r="X281" t="s">
        <v>301</v>
      </c>
      <c r="AC281" t="s">
        <v>4283</v>
      </c>
      <c r="BB281" s="74"/>
    </row>
    <row r="282" spans="1:54" hidden="1">
      <c r="J282" t="s">
        <v>8093</v>
      </c>
      <c r="K282" s="72" t="s">
        <v>7952</v>
      </c>
      <c r="M282" t="s">
        <v>7953</v>
      </c>
      <c r="N282" s="74"/>
      <c r="Q282" t="str">
        <f>IF(COUNTIFS(HCP_evidence!$A:$A, M282, HCP_evidence!$AB:$AB, "&lt;&gt;")&gt;0, "Yes", "")</f>
        <v/>
      </c>
      <c r="V282"/>
      <c r="W282" t="s">
        <v>3783</v>
      </c>
      <c r="X282" t="s">
        <v>301</v>
      </c>
    </row>
    <row r="283" spans="1:54" hidden="1">
      <c r="A283">
        <v>174</v>
      </c>
      <c r="I283" t="s">
        <v>5153</v>
      </c>
      <c r="J283" t="s">
        <v>11349</v>
      </c>
      <c r="K283" s="72" t="s">
        <v>8083</v>
      </c>
      <c r="M283" t="s">
        <v>1129</v>
      </c>
      <c r="N283" s="71" t="s">
        <v>1129</v>
      </c>
      <c r="Q283" t="str">
        <f>IF(COUNTIFS(HCP_evidence!$A:$A, M283, HCP_evidence!$AB:$AB, "&lt;&gt;")&gt;0, "Yes", "")</f>
        <v>Yes</v>
      </c>
      <c r="V283"/>
      <c r="W283" t="s">
        <v>3783</v>
      </c>
      <c r="X283" t="s">
        <v>301</v>
      </c>
      <c r="AC283" t="s">
        <v>4283</v>
      </c>
      <c r="AW283" t="str">
        <f>IF(COUNTIFS(HCP_evidence!$A:$A, M283, HCP_evidence!$AH:$AH, "&lt;&gt;")&gt;0, "Yes", "")</f>
        <v/>
      </c>
      <c r="BB283" s="74"/>
    </row>
    <row r="284" spans="1:54" hidden="1">
      <c r="J284" t="s">
        <v>8096</v>
      </c>
      <c r="K284" s="72" t="s">
        <v>8094</v>
      </c>
      <c r="M284" t="s">
        <v>8095</v>
      </c>
      <c r="N284" s="71" t="s">
        <v>8095</v>
      </c>
      <c r="Q284" t="str">
        <f>IF(COUNTIFS(HCP_evidence!$A:$A, M284, HCP_evidence!$AB:$AB, "&lt;&gt;")&gt;0, "Yes", "")</f>
        <v/>
      </c>
      <c r="V284"/>
      <c r="W284" t="s">
        <v>3783</v>
      </c>
      <c r="X284" t="s">
        <v>301</v>
      </c>
    </row>
    <row r="285" spans="1:54" hidden="1">
      <c r="I285" t="s">
        <v>5156</v>
      </c>
      <c r="J285" t="s">
        <v>11494</v>
      </c>
      <c r="K285" s="72" t="s">
        <v>7845</v>
      </c>
      <c r="M285" t="s">
        <v>4117</v>
      </c>
      <c r="N285" s="74"/>
      <c r="Q285" t="str">
        <f>IF(COUNTIFS(HCP_evidence!$A:$A, M285, HCP_evidence!$AB:$AB, "&lt;&gt;")&gt;0, "Yes", "")</f>
        <v/>
      </c>
      <c r="V285"/>
      <c r="W285" t="s">
        <v>3784</v>
      </c>
      <c r="X285" t="s">
        <v>4281</v>
      </c>
      <c r="AC285" t="s">
        <v>4283</v>
      </c>
      <c r="BB285" s="74"/>
    </row>
    <row r="286" spans="1:54" hidden="1">
      <c r="D286" t="s">
        <v>414</v>
      </c>
      <c r="I286" t="s">
        <v>4896</v>
      </c>
      <c r="J286" t="s">
        <v>4896</v>
      </c>
      <c r="K286" s="72" t="s">
        <v>4894</v>
      </c>
      <c r="L286" s="72" t="s">
        <v>4893</v>
      </c>
      <c r="M286" t="s">
        <v>4895</v>
      </c>
      <c r="N286" t="s">
        <v>4895</v>
      </c>
      <c r="Q286" t="str">
        <f>IF(COUNTIFS(HCP_evidence!$A:$A, M286, HCP_evidence!$AB:$AB, "&lt;&gt;")&gt;0, "Yes", "")</f>
        <v/>
      </c>
      <c r="V286"/>
      <c r="W286" t="s">
        <v>3786</v>
      </c>
      <c r="X286" t="s">
        <v>4301</v>
      </c>
      <c r="BB286" s="74"/>
    </row>
    <row r="287" spans="1:54" hidden="1">
      <c r="D287" t="s">
        <v>414</v>
      </c>
      <c r="I287" t="s">
        <v>4896</v>
      </c>
      <c r="J287" t="s">
        <v>4896</v>
      </c>
      <c r="K287" s="72" t="s">
        <v>4898</v>
      </c>
      <c r="L287" s="72" t="s">
        <v>4897</v>
      </c>
      <c r="M287" t="s">
        <v>4899</v>
      </c>
      <c r="N287" s="74"/>
      <c r="Q287" t="str">
        <f>IF(COUNTIFS(HCP_evidence!$A:$A, M287, HCP_evidence!$AB:$AB, "&lt;&gt;")&gt;0, "Yes", "")</f>
        <v/>
      </c>
      <c r="V287"/>
      <c r="W287" t="s">
        <v>3786</v>
      </c>
      <c r="X287" t="s">
        <v>4301</v>
      </c>
      <c r="BB287" s="74"/>
    </row>
    <row r="288" spans="1:54" hidden="1">
      <c r="I288" t="s">
        <v>4896</v>
      </c>
      <c r="J288" t="s">
        <v>4902</v>
      </c>
      <c r="K288" s="72" t="s">
        <v>4900</v>
      </c>
      <c r="L288" s="72" t="s">
        <v>4901</v>
      </c>
      <c r="M288" t="s">
        <v>4131</v>
      </c>
      <c r="N288" s="74"/>
      <c r="Q288" t="str">
        <f>IF(COUNTIFS(HCP_evidence!$A:$A, M288, HCP_evidence!$AB:$AB, "&lt;&gt;")&gt;0, "Yes", "")</f>
        <v/>
      </c>
      <c r="V288"/>
      <c r="W288" t="s">
        <v>3786</v>
      </c>
      <c r="X288" t="s">
        <v>4301</v>
      </c>
      <c r="BB288" s="74"/>
    </row>
    <row r="289" spans="2:54" hidden="1">
      <c r="I289" t="s">
        <v>4896</v>
      </c>
      <c r="J289" t="s">
        <v>4896</v>
      </c>
      <c r="K289" s="72" t="s">
        <v>4911</v>
      </c>
      <c r="M289" t="s">
        <v>4912</v>
      </c>
      <c r="N289" s="74"/>
      <c r="Q289" t="str">
        <f>IF(COUNTIFS(HCP_evidence!$A:$A, M289, HCP_evidence!$AB:$AB, "&lt;&gt;")&gt;0, "Yes", "")</f>
        <v/>
      </c>
      <c r="V289"/>
      <c r="W289" t="s">
        <v>3786</v>
      </c>
      <c r="X289" t="s">
        <v>4301</v>
      </c>
      <c r="BB289" s="74"/>
    </row>
    <row r="290" spans="2:54" hidden="1">
      <c r="I290" t="s">
        <v>4896</v>
      </c>
      <c r="J290" t="s">
        <v>4896</v>
      </c>
      <c r="K290" s="72" t="s">
        <v>4913</v>
      </c>
      <c r="M290" t="s">
        <v>4914</v>
      </c>
      <c r="N290" s="74"/>
      <c r="Q290" t="str">
        <f>IF(COUNTIFS(HCP_evidence!$A:$A, M290, HCP_evidence!$AB:$AB, "&lt;&gt;")&gt;0, "Yes", "")</f>
        <v/>
      </c>
      <c r="V290"/>
      <c r="W290" t="s">
        <v>3786</v>
      </c>
      <c r="X290" t="s">
        <v>4301</v>
      </c>
      <c r="BB290" s="74"/>
    </row>
    <row r="291" spans="2:54" hidden="1">
      <c r="J291" t="s">
        <v>5116</v>
      </c>
      <c r="K291" s="72" t="s">
        <v>7847</v>
      </c>
      <c r="M291" t="s">
        <v>3980</v>
      </c>
      <c r="N291" s="71" t="s">
        <v>3980</v>
      </c>
      <c r="Q291" t="str">
        <f>IF(COUNTIFS(HCP_evidence!$A:$A, M291, HCP_evidence!$AB:$AB, "&lt;&gt;")&gt;0, "Yes", "")</f>
        <v/>
      </c>
      <c r="V291"/>
      <c r="W291" t="s">
        <v>3787</v>
      </c>
      <c r="X291" t="s">
        <v>7848</v>
      </c>
      <c r="AC291" t="s">
        <v>4283</v>
      </c>
      <c r="BB291" s="74"/>
    </row>
    <row r="292" spans="2:54" hidden="1">
      <c r="B292" t="s">
        <v>7878</v>
      </c>
      <c r="C292" s="74" t="s">
        <v>4311</v>
      </c>
      <c r="J292" t="s">
        <v>8394</v>
      </c>
      <c r="K292" s="72" t="s">
        <v>4970</v>
      </c>
      <c r="M292" t="s">
        <v>4133</v>
      </c>
      <c r="N292" t="s">
        <v>4133</v>
      </c>
      <c r="Q292" t="str">
        <f>IF(COUNTIFS(HCP_evidence!$A:$A, M292, HCP_evidence!$AB:$AB, "&lt;&gt;")&gt;0, "Yes", "")</f>
        <v/>
      </c>
      <c r="S292" t="s">
        <v>4305</v>
      </c>
      <c r="V292"/>
      <c r="W292" t="s">
        <v>4564</v>
      </c>
      <c r="X292" t="s">
        <v>4885</v>
      </c>
      <c r="AC292" t="s">
        <v>4283</v>
      </c>
      <c r="BB292" s="74"/>
    </row>
    <row r="293" spans="2:54" hidden="1">
      <c r="J293" t="s">
        <v>5116</v>
      </c>
      <c r="K293" s="72" t="s">
        <v>7855</v>
      </c>
      <c r="M293" t="s">
        <v>4071</v>
      </c>
      <c r="N293" s="74"/>
      <c r="Q293" t="str">
        <f>IF(COUNTIFS(HCP_evidence!$A:$A, M293, HCP_evidence!$AB:$AB, "&lt;&gt;")&gt;0, "Yes", "")</f>
        <v/>
      </c>
      <c r="V293"/>
      <c r="W293" t="s">
        <v>4564</v>
      </c>
      <c r="X293" t="s">
        <v>4885</v>
      </c>
      <c r="AC293" t="s">
        <v>4283</v>
      </c>
      <c r="BB293" s="74"/>
    </row>
    <row r="294" spans="2:54" hidden="1">
      <c r="J294" t="s">
        <v>4611</v>
      </c>
      <c r="K294" s="72" t="s">
        <v>4920</v>
      </c>
      <c r="M294" t="s">
        <v>4050</v>
      </c>
      <c r="N294" t="s">
        <v>4050</v>
      </c>
      <c r="Q294" t="str">
        <f>IF(COUNTIFS(HCP_evidence!$A:$A, M294, HCP_evidence!$AB:$AB, "&lt;&gt;")&gt;0, "Yes", "")</f>
        <v/>
      </c>
      <c r="V294"/>
      <c r="W294" t="s">
        <v>4565</v>
      </c>
      <c r="X294" t="s">
        <v>395</v>
      </c>
      <c r="AC294" t="s">
        <v>4283</v>
      </c>
      <c r="BB294" s="74"/>
    </row>
    <row r="295" spans="2:54" hidden="1">
      <c r="J295" t="s">
        <v>4611</v>
      </c>
      <c r="K295" s="72" t="s">
        <v>4921</v>
      </c>
      <c r="M295" t="s">
        <v>4922</v>
      </c>
      <c r="N295" s="74"/>
      <c r="Q295" t="str">
        <f>IF(COUNTIFS(HCP_evidence!$A:$A, M295, HCP_evidence!$AB:$AB, "&lt;&gt;")&gt;0, "Yes", "")</f>
        <v/>
      </c>
      <c r="V295"/>
      <c r="W295" t="s">
        <v>4565</v>
      </c>
      <c r="X295" t="s">
        <v>395</v>
      </c>
      <c r="BB295" s="74"/>
    </row>
    <row r="296" spans="2:54" hidden="1">
      <c r="J296" t="s">
        <v>4611</v>
      </c>
      <c r="K296" s="72" t="s">
        <v>4923</v>
      </c>
      <c r="M296" t="s">
        <v>4924</v>
      </c>
      <c r="N296" s="74"/>
      <c r="Q296" t="str">
        <f>IF(COUNTIFS(HCP_evidence!$A:$A, M296, HCP_evidence!$AB:$AB, "&lt;&gt;")&gt;0, "Yes", "")</f>
        <v/>
      </c>
      <c r="V296"/>
      <c r="W296" t="s">
        <v>4565</v>
      </c>
      <c r="X296" t="s">
        <v>395</v>
      </c>
      <c r="BB296" s="74"/>
    </row>
    <row r="297" spans="2:54" hidden="1">
      <c r="J297" t="s">
        <v>4611</v>
      </c>
      <c r="K297" s="72" t="s">
        <v>4925</v>
      </c>
      <c r="M297" t="s">
        <v>4926</v>
      </c>
      <c r="N297" s="74"/>
      <c r="Q297" t="str">
        <f>IF(COUNTIFS(HCP_evidence!$A:$A, M297, HCP_evidence!$AB:$AB, "&lt;&gt;")&gt;0, "Yes", "")</f>
        <v/>
      </c>
      <c r="V297"/>
      <c r="W297" t="s">
        <v>4565</v>
      </c>
      <c r="X297" t="s">
        <v>395</v>
      </c>
      <c r="BB297" s="74"/>
    </row>
    <row r="298" spans="2:54" hidden="1">
      <c r="B298" t="s">
        <v>7878</v>
      </c>
      <c r="C298" s="74" t="s">
        <v>4311</v>
      </c>
      <c r="D298" t="s">
        <v>414</v>
      </c>
      <c r="J298" t="s">
        <v>8442</v>
      </c>
      <c r="K298" s="72" t="s">
        <v>4903</v>
      </c>
      <c r="L298" s="72" t="s">
        <v>4904</v>
      </c>
      <c r="M298" t="s">
        <v>4104</v>
      </c>
      <c r="N298" t="s">
        <v>4104</v>
      </c>
      <c r="Q298" t="str">
        <f>IF(COUNTIFS(HCP_evidence!$A:$A, M298, HCP_evidence!$AB:$AB, "&lt;&gt;")&gt;0, "Yes", "")</f>
        <v/>
      </c>
      <c r="S298" t="s">
        <v>4306</v>
      </c>
      <c r="V298"/>
      <c r="W298" t="s">
        <v>4566</v>
      </c>
      <c r="X298" t="s">
        <v>4905</v>
      </c>
      <c r="AC298" t="s">
        <v>4283</v>
      </c>
      <c r="BB298" s="74"/>
    </row>
    <row r="299" spans="2:54" hidden="1">
      <c r="B299" t="s">
        <v>7878</v>
      </c>
      <c r="C299" s="74" t="s">
        <v>4311</v>
      </c>
      <c r="D299" t="s">
        <v>414</v>
      </c>
      <c r="J299" t="s">
        <v>4896</v>
      </c>
      <c r="K299" s="72" t="s">
        <v>4906</v>
      </c>
      <c r="L299" s="72" t="s">
        <v>4907</v>
      </c>
      <c r="M299" t="s">
        <v>4315</v>
      </c>
      <c r="N299" t="s">
        <v>4315</v>
      </c>
      <c r="Q299" t="str">
        <f>IF(COUNTIFS(HCP_evidence!$A:$A, M299, HCP_evidence!$AB:$AB, "&lt;&gt;")&gt;0, "Yes", "")</f>
        <v/>
      </c>
      <c r="S299" t="s">
        <v>4306</v>
      </c>
      <c r="V299"/>
      <c r="W299" t="s">
        <v>4566</v>
      </c>
      <c r="X299" t="s">
        <v>4905</v>
      </c>
      <c r="AC299" t="s">
        <v>4283</v>
      </c>
      <c r="BB299" s="74"/>
    </row>
    <row r="300" spans="2:54" hidden="1">
      <c r="D300" t="s">
        <v>414</v>
      </c>
      <c r="J300" t="s">
        <v>4896</v>
      </c>
      <c r="K300" s="72" t="s">
        <v>4908</v>
      </c>
      <c r="L300" s="72" t="s">
        <v>4910</v>
      </c>
      <c r="M300" t="s">
        <v>4909</v>
      </c>
      <c r="N300" s="71" t="s">
        <v>4909</v>
      </c>
      <c r="Q300" t="str">
        <f>IF(COUNTIFS(HCP_evidence!$A:$A, M300, HCP_evidence!$AB:$AB, "&lt;&gt;")&gt;0, "Yes", "")</f>
        <v/>
      </c>
      <c r="V300"/>
      <c r="W300" t="s">
        <v>4566</v>
      </c>
      <c r="X300" t="s">
        <v>4905</v>
      </c>
      <c r="BB300" s="74"/>
    </row>
    <row r="301" spans="2:54" hidden="1">
      <c r="E301" t="s">
        <v>414</v>
      </c>
      <c r="J301" t="s">
        <v>4896</v>
      </c>
      <c r="K301" s="72" t="s">
        <v>4915</v>
      </c>
      <c r="L301" s="72" t="s">
        <v>4916</v>
      </c>
      <c r="M301" t="s">
        <v>4329</v>
      </c>
      <c r="N301" s="74"/>
      <c r="Q301" t="str">
        <f>IF(COUNTIFS(HCP_evidence!$A:$A, M301, HCP_evidence!$AB:$AB, "&lt;&gt;")&gt;0, "Yes", "")</f>
        <v/>
      </c>
      <c r="V301"/>
      <c r="W301" t="s">
        <v>4566</v>
      </c>
      <c r="X301" t="s">
        <v>4905</v>
      </c>
      <c r="BB301" s="74"/>
    </row>
    <row r="302" spans="2:54" hidden="1">
      <c r="E302" t="s">
        <v>414</v>
      </c>
      <c r="J302" t="s">
        <v>8003</v>
      </c>
      <c r="K302" s="72" t="s">
        <v>4917</v>
      </c>
      <c r="L302" s="72" t="s">
        <v>4919</v>
      </c>
      <c r="M302" t="s">
        <v>4918</v>
      </c>
      <c r="N302" s="74"/>
      <c r="Q302" t="str">
        <f>IF(COUNTIFS(HCP_evidence!$A:$A, M302, HCP_evidence!$AB:$AB, "&lt;&gt;")&gt;0, "Yes", "")</f>
        <v/>
      </c>
      <c r="V302"/>
      <c r="W302" t="s">
        <v>4566</v>
      </c>
      <c r="X302" t="s">
        <v>4905</v>
      </c>
      <c r="BB302" s="74"/>
    </row>
    <row r="303" spans="2:54" hidden="1">
      <c r="K303" s="72" t="s">
        <v>8131</v>
      </c>
      <c r="M303" t="s">
        <v>8132</v>
      </c>
      <c r="N303" s="71" t="s">
        <v>8132</v>
      </c>
      <c r="Q303" t="str">
        <f>IF(COUNTIFS(HCP_evidence!$A:$A, M303, HCP_evidence!$AB:$AB, "&lt;&gt;")&gt;0, "Yes", "")</f>
        <v/>
      </c>
      <c r="V303"/>
      <c r="W303" t="s">
        <v>4566</v>
      </c>
      <c r="X303" t="s">
        <v>4905</v>
      </c>
    </row>
    <row r="304" spans="2:54" hidden="1">
      <c r="I304" t="s">
        <v>5153</v>
      </c>
      <c r="J304" t="s">
        <v>4933</v>
      </c>
      <c r="K304" s="72" t="s">
        <v>4931</v>
      </c>
      <c r="M304" t="s">
        <v>4337</v>
      </c>
      <c r="N304" s="74" t="s">
        <v>4337</v>
      </c>
      <c r="Q304" t="str">
        <f>IF(COUNTIFS(HCP_evidence!$A:$A, M304, HCP_evidence!$AB:$AB, "&lt;&gt;")&gt;0, "Yes", "")</f>
        <v>Yes</v>
      </c>
      <c r="V304"/>
      <c r="W304" t="s">
        <v>3789</v>
      </c>
      <c r="X304" t="s">
        <v>4932</v>
      </c>
      <c r="BB304" s="74"/>
    </row>
    <row r="305" spans="1:55" hidden="1">
      <c r="D305" t="s">
        <v>414</v>
      </c>
      <c r="I305" t="s">
        <v>4896</v>
      </c>
      <c r="J305" t="s">
        <v>4792</v>
      </c>
      <c r="K305" s="72" t="s">
        <v>7836</v>
      </c>
      <c r="L305" s="72" t="s">
        <v>8271</v>
      </c>
      <c r="M305" t="s">
        <v>4059</v>
      </c>
      <c r="N305" t="s">
        <v>7918</v>
      </c>
      <c r="Q305" t="str">
        <f>IF(COUNTIFS(HCP_evidence!$A:$A, M305, HCP_evidence!$AB:$AB, "&lt;&gt;")&gt;0, "Yes", "")</f>
        <v/>
      </c>
      <c r="V305"/>
      <c r="W305" t="s">
        <v>3789</v>
      </c>
      <c r="X305" t="s">
        <v>4932</v>
      </c>
      <c r="AC305" t="s">
        <v>4283</v>
      </c>
      <c r="BB305" s="74"/>
    </row>
    <row r="306" spans="1:55" hidden="1">
      <c r="B306" t="s">
        <v>7878</v>
      </c>
      <c r="C306" s="74" t="s">
        <v>4311</v>
      </c>
      <c r="J306" t="s">
        <v>8066</v>
      </c>
      <c r="K306" s="72" t="s">
        <v>4952</v>
      </c>
      <c r="L306" s="72" t="s">
        <v>8067</v>
      </c>
      <c r="M306" t="s">
        <v>3962</v>
      </c>
      <c r="N306" t="s">
        <v>3962</v>
      </c>
      <c r="Q306" t="str">
        <f>IF(COUNTIFS(HCP_evidence!$A:$A, M306, HCP_evidence!$AB:$AB, "&lt;&gt;")&gt;0, "Yes", "")</f>
        <v/>
      </c>
      <c r="S306" t="s">
        <v>4306</v>
      </c>
      <c r="V306"/>
      <c r="W306" t="s">
        <v>3790</v>
      </c>
      <c r="X306" t="s">
        <v>4303</v>
      </c>
      <c r="AC306" t="s">
        <v>4283</v>
      </c>
      <c r="BB306" s="74"/>
    </row>
    <row r="307" spans="1:55" hidden="1">
      <c r="B307" t="s">
        <v>7878</v>
      </c>
      <c r="C307" s="74" t="s">
        <v>4308</v>
      </c>
      <c r="J307" t="s">
        <v>8064</v>
      </c>
      <c r="K307" s="72" t="s">
        <v>4971</v>
      </c>
      <c r="M307" t="s">
        <v>4276</v>
      </c>
      <c r="N307" t="s">
        <v>4276</v>
      </c>
      <c r="Q307" t="str">
        <f>IF(COUNTIFS(HCP_evidence!$A:$A, M307, HCP_evidence!$AB:$AB, "&lt;&gt;")&gt;0, "Yes", "")</f>
        <v>Yes</v>
      </c>
      <c r="S307" t="s">
        <v>4309</v>
      </c>
      <c r="V307"/>
      <c r="W307" t="s">
        <v>3790</v>
      </c>
      <c r="X307" t="s">
        <v>4303</v>
      </c>
      <c r="AC307" t="s">
        <v>4283</v>
      </c>
      <c r="BB307" s="74"/>
    </row>
    <row r="308" spans="1:55" hidden="1">
      <c r="I308" t="s">
        <v>5156</v>
      </c>
      <c r="J308" t="s">
        <v>8062</v>
      </c>
      <c r="K308" s="72" t="s">
        <v>8060</v>
      </c>
      <c r="L308" s="72" t="s">
        <v>8063</v>
      </c>
      <c r="M308" t="s">
        <v>8061</v>
      </c>
      <c r="N308" s="74"/>
      <c r="Q308" t="str">
        <f>IF(COUNTIFS(HCP_evidence!$A:$A, M308, HCP_evidence!$AB:$AB, "&lt;&gt;")&gt;0, "Yes", "")</f>
        <v/>
      </c>
      <c r="V308"/>
      <c r="W308" t="s">
        <v>3790</v>
      </c>
      <c r="X308" t="s">
        <v>4303</v>
      </c>
    </row>
    <row r="309" spans="1:55" hidden="1">
      <c r="I309" t="s">
        <v>5156</v>
      </c>
      <c r="J309" t="s">
        <v>8071</v>
      </c>
      <c r="K309" s="72" t="s">
        <v>8068</v>
      </c>
      <c r="L309" s="72" t="s">
        <v>8070</v>
      </c>
      <c r="M309" t="s">
        <v>8069</v>
      </c>
      <c r="N309" s="71" t="s">
        <v>8527</v>
      </c>
      <c r="Q309" t="str">
        <f>IF(COUNTIFS(HCP_evidence!$A:$A, M309, HCP_evidence!$AB:$AB, "&lt;&gt;")&gt;0, "Yes", "")</f>
        <v/>
      </c>
      <c r="V309"/>
      <c r="W309" t="s">
        <v>3790</v>
      </c>
      <c r="X309" t="s">
        <v>4303</v>
      </c>
    </row>
    <row r="310" spans="1:55" hidden="1">
      <c r="D310" t="s">
        <v>414</v>
      </c>
      <c r="J310" t="s">
        <v>8075</v>
      </c>
      <c r="K310" s="72" t="s">
        <v>8072</v>
      </c>
      <c r="L310" s="72" t="s">
        <v>8074</v>
      </c>
      <c r="M310" t="s">
        <v>8073</v>
      </c>
      <c r="N310" s="74"/>
      <c r="Q310" t="str">
        <f>IF(COUNTIFS(HCP_evidence!$A:$A, M310, HCP_evidence!$AB:$AB, "&lt;&gt;")&gt;0, "Yes", "")</f>
        <v>Yes</v>
      </c>
      <c r="V310"/>
      <c r="W310" t="s">
        <v>3790</v>
      </c>
      <c r="X310" t="s">
        <v>4303</v>
      </c>
    </row>
    <row r="311" spans="1:55" hidden="1">
      <c r="A311">
        <v>173</v>
      </c>
      <c r="B311" t="s">
        <v>7878</v>
      </c>
      <c r="C311" s="74" t="s">
        <v>4311</v>
      </c>
      <c r="J311" t="s">
        <v>8518</v>
      </c>
      <c r="K311" s="72" t="s">
        <v>4957</v>
      </c>
      <c r="M311" t="s">
        <v>1128</v>
      </c>
      <c r="N311" s="74" t="s">
        <v>3996</v>
      </c>
      <c r="Q311" t="str">
        <f>IF(COUNTIFS(HCP_evidence!$A:$A, M311, HCP_evidence!$AB:$AB, "&lt;&gt;")&gt;0, "Yes", "")</f>
        <v>Yes</v>
      </c>
      <c r="V311"/>
      <c r="W311" t="s">
        <v>3791</v>
      </c>
      <c r="X311" t="s">
        <v>1290</v>
      </c>
      <c r="AC311" t="s">
        <v>4283</v>
      </c>
      <c r="AW311" t="str">
        <f>IF(COUNTIFS(HCP_evidence!$A:$A, M311, HCP_evidence!$AH:$AH, "&lt;&gt;")&gt;0, "Yes", "")</f>
        <v/>
      </c>
      <c r="BB311" s="74"/>
    </row>
    <row r="312" spans="1:55" ht="15.6" hidden="1">
      <c r="A312">
        <v>152</v>
      </c>
      <c r="B312" t="s">
        <v>7878</v>
      </c>
      <c r="C312" s="74" t="s">
        <v>4311</v>
      </c>
      <c r="J312" t="s">
        <v>11480</v>
      </c>
      <c r="K312" s="72" t="s">
        <v>4964</v>
      </c>
      <c r="M312" t="s">
        <v>1109</v>
      </c>
      <c r="N312" s="74" t="s">
        <v>1109</v>
      </c>
      <c r="Q312" t="str">
        <f>IF(COUNTIFS(HCP_evidence!$A:$A, M312, HCP_evidence!$AB:$AB, "&lt;&gt;")&gt;0, "Yes", "")</f>
        <v/>
      </c>
      <c r="S312" s="56" t="s">
        <v>4306</v>
      </c>
      <c r="V312"/>
      <c r="W312" t="s">
        <v>4567</v>
      </c>
      <c r="X312" t="s">
        <v>4299</v>
      </c>
      <c r="AC312" t="s">
        <v>4283</v>
      </c>
      <c r="AW312" t="str">
        <f>IF(COUNTIFS(HCP_evidence!$A:$A, M312, HCP_evidence!$AH:$AH, "&lt;&gt;")&gt;0, "Yes", "")</f>
        <v/>
      </c>
      <c r="BB312" s="74"/>
    </row>
    <row r="313" spans="1:55" hidden="1">
      <c r="J313" t="s">
        <v>11479</v>
      </c>
      <c r="K313" s="72" t="s">
        <v>5117</v>
      </c>
      <c r="M313" t="s">
        <v>3933</v>
      </c>
      <c r="N313" s="74" t="s">
        <v>3933</v>
      </c>
      <c r="Q313" t="str">
        <f>IF(COUNTIFS(HCP_evidence!$A:$A, M313, HCP_evidence!$AB:$AB, "&lt;&gt;")&gt;0, "Yes", "")</f>
        <v/>
      </c>
      <c r="V313"/>
      <c r="W313" t="s">
        <v>4567</v>
      </c>
      <c r="X313" t="s">
        <v>4299</v>
      </c>
      <c r="AC313" t="s">
        <v>4283</v>
      </c>
      <c r="AW313" t="str">
        <f>IF(COUNTIFS(HCP_evidence!$A:$A, M313, HCP_evidence!$AH:$AH, "&lt;&gt;")&gt;0, "Yes", "")</f>
        <v/>
      </c>
      <c r="BB313" s="74"/>
    </row>
    <row r="314" spans="1:55" hidden="1">
      <c r="J314" t="s">
        <v>11478</v>
      </c>
      <c r="K314" s="72" t="s">
        <v>7970</v>
      </c>
      <c r="M314" t="s">
        <v>7971</v>
      </c>
      <c r="N314" s="74"/>
      <c r="Q314" t="str">
        <f>IF(COUNTIFS(HCP_evidence!$A:$A, M314, HCP_evidence!$AB:$AB, "&lt;&gt;")&gt;0, "Yes", "")</f>
        <v/>
      </c>
      <c r="V314"/>
      <c r="W314" t="s">
        <v>4567</v>
      </c>
      <c r="X314" t="s">
        <v>4299</v>
      </c>
    </row>
    <row r="315" spans="1:55" hidden="1">
      <c r="B315" t="s">
        <v>7878</v>
      </c>
      <c r="C315" s="74" t="s">
        <v>4308</v>
      </c>
      <c r="I315" t="s">
        <v>5156</v>
      </c>
      <c r="J315" t="s">
        <v>8340</v>
      </c>
      <c r="K315" s="72" t="s">
        <v>4972</v>
      </c>
      <c r="L315" s="72" t="s">
        <v>8342</v>
      </c>
      <c r="M315" t="s">
        <v>4310</v>
      </c>
      <c r="N315" t="s">
        <v>4310</v>
      </c>
      <c r="Q315" t="str">
        <f>IF(COUNTIFS(HCP_evidence!$A:$A, M315, HCP_evidence!$AB:$AB, "&lt;&gt;")&gt;0, "Yes", "")</f>
        <v/>
      </c>
      <c r="S315" t="s">
        <v>4306</v>
      </c>
      <c r="V315"/>
      <c r="W315" t="s">
        <v>3792</v>
      </c>
      <c r="X315" t="s">
        <v>1288</v>
      </c>
      <c r="AC315" t="s">
        <v>4283</v>
      </c>
      <c r="BB315" s="74"/>
    </row>
    <row r="316" spans="1:55" hidden="1">
      <c r="B316" t="s">
        <v>7878</v>
      </c>
      <c r="C316" s="74" t="s">
        <v>4311</v>
      </c>
      <c r="K316" s="72" t="s">
        <v>4973</v>
      </c>
      <c r="M316" t="s">
        <v>4316</v>
      </c>
      <c r="N316" t="s">
        <v>4316</v>
      </c>
      <c r="Q316" t="str">
        <f>IF(COUNTIFS(HCP_evidence!$A:$A, M316, HCP_evidence!$AB:$AB, "&lt;&gt;")&gt;0, "Yes", "")</f>
        <v/>
      </c>
      <c r="S316" t="s">
        <v>4306</v>
      </c>
      <c r="V316"/>
      <c r="W316" t="s">
        <v>3793</v>
      </c>
      <c r="X316" t="s">
        <v>4286</v>
      </c>
      <c r="AC316" t="s">
        <v>4283</v>
      </c>
      <c r="BB316" s="74"/>
    </row>
    <row r="317" spans="1:55" hidden="1">
      <c r="J317" t="s">
        <v>7935</v>
      </c>
      <c r="K317" s="72" t="s">
        <v>7991</v>
      </c>
      <c r="M317" t="s">
        <v>7992</v>
      </c>
      <c r="N317" s="74"/>
      <c r="Q317" t="str">
        <f>IF(COUNTIFS(HCP_evidence!$A:$A, M317, HCP_evidence!$AB:$AB, "&lt;&gt;")&gt;0, "Yes", "")</f>
        <v/>
      </c>
      <c r="V317"/>
      <c r="W317" t="s">
        <v>3793</v>
      </c>
      <c r="X317" t="s">
        <v>4286</v>
      </c>
    </row>
    <row r="318" spans="1:55" hidden="1">
      <c r="B318" t="s">
        <v>7878</v>
      </c>
      <c r="C318" s="74" t="s">
        <v>4314</v>
      </c>
      <c r="J318" t="s">
        <v>11280</v>
      </c>
      <c r="K318" s="72" t="s">
        <v>4975</v>
      </c>
      <c r="M318" t="s">
        <v>4318</v>
      </c>
      <c r="N318" t="s">
        <v>4318</v>
      </c>
      <c r="Q318" t="str">
        <f>IF(COUNTIFS(HCP_evidence!$A:$A, M318, HCP_evidence!$AB:$AB, "&lt;&gt;")&gt;0, "Yes", "")</f>
        <v/>
      </c>
      <c r="S318" t="s">
        <v>4305</v>
      </c>
      <c r="V318"/>
      <c r="W318" t="s">
        <v>3794</v>
      </c>
      <c r="X318" t="s">
        <v>4976</v>
      </c>
      <c r="AC318" t="s">
        <v>4283</v>
      </c>
      <c r="BB318" s="74"/>
    </row>
    <row r="319" spans="1:55" hidden="1">
      <c r="B319" t="s">
        <v>7878</v>
      </c>
      <c r="C319" s="74" t="s">
        <v>4308</v>
      </c>
      <c r="K319" s="72" t="s">
        <v>4944</v>
      </c>
      <c r="M319" t="s">
        <v>4945</v>
      </c>
      <c r="N319" t="s">
        <v>4945</v>
      </c>
      <c r="Q319" t="str">
        <f>IF(COUNTIFS(HCP_evidence!$A:$A, M319, HCP_evidence!$AB:$AB, "&lt;&gt;")&gt;0, "Yes", "")</f>
        <v/>
      </c>
      <c r="V319"/>
      <c r="W319" t="s">
        <v>3795</v>
      </c>
      <c r="X319" t="s">
        <v>3481</v>
      </c>
      <c r="BB319" s="74"/>
    </row>
    <row r="320" spans="1:55" hidden="1">
      <c r="K320" s="72" t="s">
        <v>5126</v>
      </c>
      <c r="M320" t="s">
        <v>5127</v>
      </c>
      <c r="N320" t="s">
        <v>7919</v>
      </c>
      <c r="Q320" t="str">
        <f>IF(COUNTIFS(HCP_evidence!$A:$A, M320, HCP_evidence!$AB:$AB, "&lt;&gt;")&gt;0, "Yes", "")</f>
        <v/>
      </c>
      <c r="V320"/>
      <c r="W320" t="s">
        <v>3799</v>
      </c>
      <c r="X320" t="s">
        <v>5128</v>
      </c>
      <c r="BB320" s="74" t="s">
        <v>414</v>
      </c>
      <c r="BC320" t="s">
        <v>414</v>
      </c>
    </row>
    <row r="321" spans="1:55" hidden="1">
      <c r="K321" s="72" t="s">
        <v>5130</v>
      </c>
      <c r="M321" t="s">
        <v>5131</v>
      </c>
      <c r="N321" s="74"/>
      <c r="Q321" t="str">
        <f>IF(COUNTIFS(HCP_evidence!$A:$A, M321, HCP_evidence!$AB:$AB, "&lt;&gt;")&gt;0, "Yes", "")</f>
        <v/>
      </c>
      <c r="V321"/>
      <c r="W321" t="s">
        <v>3800</v>
      </c>
      <c r="X321" t="s">
        <v>5132</v>
      </c>
      <c r="BB321" s="74" t="s">
        <v>414</v>
      </c>
    </row>
    <row r="322" spans="1:55" hidden="1">
      <c r="J322" t="s">
        <v>11122</v>
      </c>
      <c r="K322" s="72" t="s">
        <v>5136</v>
      </c>
      <c r="M322" t="s">
        <v>5137</v>
      </c>
      <c r="N322" s="74"/>
      <c r="Q322" t="str">
        <f>IF(COUNTIFS(HCP_evidence!$A:$A, M322, HCP_evidence!$AB:$AB, "&lt;&gt;")&gt;0, "Yes", "")</f>
        <v/>
      </c>
      <c r="V322"/>
      <c r="W322" t="s">
        <v>5139</v>
      </c>
      <c r="X322" t="s">
        <v>5138</v>
      </c>
      <c r="AC322" t="s">
        <v>4283</v>
      </c>
    </row>
    <row r="323" spans="1:55" hidden="1">
      <c r="J323" t="s">
        <v>11123</v>
      </c>
      <c r="K323" s="72" t="s">
        <v>5141</v>
      </c>
      <c r="M323" t="s">
        <v>5142</v>
      </c>
      <c r="N323" s="74"/>
      <c r="Q323" t="str">
        <f>IF(COUNTIFS(HCP_evidence!$A:$A, M323, HCP_evidence!$AB:$AB, "&lt;&gt;")&gt;0, "Yes", "")</f>
        <v/>
      </c>
      <c r="V323"/>
      <c r="W323" t="s">
        <v>5139</v>
      </c>
      <c r="X323" t="s">
        <v>5138</v>
      </c>
      <c r="AC323" t="s">
        <v>4283</v>
      </c>
    </row>
    <row r="324" spans="1:55" hidden="1">
      <c r="K324" s="72" t="s">
        <v>7809</v>
      </c>
      <c r="M324" t="s">
        <v>7810</v>
      </c>
      <c r="N324" s="74"/>
      <c r="Q324" t="str">
        <f>IF(COUNTIFS(HCP_evidence!$A:$A, M324, HCP_evidence!$AB:$AB, "&lt;&gt;")&gt;0, "Yes", "")</f>
        <v/>
      </c>
      <c r="V324"/>
      <c r="W324" t="s">
        <v>3801</v>
      </c>
      <c r="X324" t="s">
        <v>7815</v>
      </c>
      <c r="BC324" t="s">
        <v>414</v>
      </c>
    </row>
    <row r="325" spans="1:55" hidden="1">
      <c r="J325" t="s">
        <v>11138</v>
      </c>
      <c r="K325" s="72" t="s">
        <v>7813</v>
      </c>
      <c r="M325" t="s">
        <v>7814</v>
      </c>
      <c r="N325" s="74"/>
      <c r="Q325" t="str">
        <f>IF(COUNTIFS(HCP_evidence!$A:$A, M325, HCP_evidence!$AB:$AB, "&lt;&gt;")&gt;0, "Yes", "")</f>
        <v/>
      </c>
      <c r="V325"/>
      <c r="W325" t="s">
        <v>10301</v>
      </c>
      <c r="X325" s="114" t="s">
        <v>1639</v>
      </c>
      <c r="BC325" t="s">
        <v>414</v>
      </c>
    </row>
    <row r="326" spans="1:55" hidden="1">
      <c r="K326" s="72" t="s">
        <v>7819</v>
      </c>
      <c r="M326" t="s">
        <v>4346</v>
      </c>
      <c r="N326" t="s">
        <v>4346</v>
      </c>
      <c r="Q326" t="str">
        <f>IF(COUNTIFS(HCP_evidence!$A:$A, M326, HCP_evidence!$AB:$AB, "&lt;&gt;")&gt;0, "Yes", "")</f>
        <v/>
      </c>
      <c r="V326"/>
      <c r="W326" t="s">
        <v>3802</v>
      </c>
      <c r="X326" t="s">
        <v>7820</v>
      </c>
      <c r="BC326" t="s">
        <v>414</v>
      </c>
    </row>
    <row r="327" spans="1:55" hidden="1">
      <c r="K327" s="72" t="s">
        <v>7821</v>
      </c>
      <c r="M327" t="s">
        <v>3959</v>
      </c>
      <c r="N327" t="s">
        <v>3959</v>
      </c>
      <c r="Q327" t="str">
        <f>IF(COUNTIFS(HCP_evidence!$A:$A, M327, HCP_evidence!$AB:$AB, "&lt;&gt;")&gt;0, "Yes", "")</f>
        <v/>
      </c>
      <c r="V327"/>
      <c r="W327" t="s">
        <v>7823</v>
      </c>
      <c r="X327" t="s">
        <v>7822</v>
      </c>
      <c r="AC327" t="s">
        <v>4283</v>
      </c>
      <c r="BB327" s="74"/>
      <c r="BC327" t="s">
        <v>414</v>
      </c>
    </row>
    <row r="328" spans="1:55" hidden="1">
      <c r="J328" t="s">
        <v>5116</v>
      </c>
      <c r="K328" s="72" t="s">
        <v>7839</v>
      </c>
      <c r="M328" t="s">
        <v>3987</v>
      </c>
      <c r="N328" s="73"/>
      <c r="Q328" t="str">
        <f>IF(COUNTIFS(HCP_evidence!$A:$A, M328, HCP_evidence!$AB:$AB, "&lt;&gt;")&gt;0, "Yes", "")</f>
        <v/>
      </c>
      <c r="V328"/>
      <c r="W328" t="s">
        <v>3803</v>
      </c>
      <c r="X328" t="s">
        <v>7840</v>
      </c>
      <c r="AC328" t="s">
        <v>4283</v>
      </c>
      <c r="BB328" s="74"/>
    </row>
    <row r="329" spans="1:55" hidden="1">
      <c r="J329" t="s">
        <v>7935</v>
      </c>
      <c r="K329" s="72" t="s">
        <v>7933</v>
      </c>
      <c r="M329" t="s">
        <v>7934</v>
      </c>
      <c r="N329" s="74"/>
      <c r="Q329" t="str">
        <f>IF(COUNTIFS(HCP_evidence!$A:$A, M329, HCP_evidence!$AB:$AB, "&lt;&gt;")&gt;0, "Yes", "")</f>
        <v/>
      </c>
      <c r="V329"/>
      <c r="W329" t="s">
        <v>7937</v>
      </c>
      <c r="X329" t="s">
        <v>7936</v>
      </c>
    </row>
    <row r="330" spans="1:55" hidden="1">
      <c r="J330" t="s">
        <v>7935</v>
      </c>
      <c r="K330" s="72" t="s">
        <v>7939</v>
      </c>
      <c r="M330" t="s">
        <v>7940</v>
      </c>
      <c r="N330" s="74"/>
      <c r="Q330" t="str">
        <f>IF(COUNTIFS(HCP_evidence!$A:$A, M330, HCP_evidence!$AB:$AB, "&lt;&gt;")&gt;0, "Yes", "")</f>
        <v/>
      </c>
      <c r="V330"/>
      <c r="W330" t="s">
        <v>7942</v>
      </c>
      <c r="X330" t="s">
        <v>7941</v>
      </c>
    </row>
    <row r="331" spans="1:55" hidden="1">
      <c r="A331">
        <v>164</v>
      </c>
      <c r="J331" t="s">
        <v>7935</v>
      </c>
      <c r="K331" s="72" t="s">
        <v>7943</v>
      </c>
      <c r="M331" t="s">
        <v>1119</v>
      </c>
      <c r="N331" s="74"/>
      <c r="Q331" t="str">
        <f>IF(COUNTIFS(HCP_evidence!$A:$A, M331, HCP_evidence!$AB:$AB, "&lt;&gt;")&gt;0, "Yes", "")</f>
        <v/>
      </c>
      <c r="V331"/>
      <c r="W331" t="s">
        <v>3805</v>
      </c>
      <c r="X331" t="s">
        <v>7944</v>
      </c>
      <c r="AC331" t="s">
        <v>4283</v>
      </c>
      <c r="AW331" t="str">
        <f>IF(COUNTIFS(HCP_evidence!$A:$A, M331, HCP_evidence!$AH:$AH, "&lt;&gt;")&gt;0, "Yes", "")</f>
        <v/>
      </c>
      <c r="BB331" s="74"/>
    </row>
    <row r="332" spans="1:55" hidden="1">
      <c r="I332" t="s">
        <v>5156</v>
      </c>
      <c r="J332" t="s">
        <v>11501</v>
      </c>
      <c r="K332" s="72" t="s">
        <v>7946</v>
      </c>
      <c r="M332" t="s">
        <v>4035</v>
      </c>
      <c r="N332" s="71" t="s">
        <v>8529</v>
      </c>
      <c r="Q332" t="str">
        <f>IF(COUNTIFS(HCP_evidence!$A:$A, M332, HCP_evidence!$AB:$AB, "&lt;&gt;")&gt;0, "Yes", "")</f>
        <v/>
      </c>
      <c r="V332"/>
      <c r="W332" t="s">
        <v>7948</v>
      </c>
      <c r="X332" t="s">
        <v>7947</v>
      </c>
      <c r="AC332" t="s">
        <v>4283</v>
      </c>
      <c r="BB332" s="74"/>
    </row>
    <row r="333" spans="1:55" hidden="1">
      <c r="A333">
        <v>200</v>
      </c>
      <c r="J333" t="s">
        <v>8399</v>
      </c>
      <c r="K333" s="72" t="s">
        <v>8155</v>
      </c>
      <c r="M333" t="s">
        <v>1154</v>
      </c>
      <c r="N333" s="74"/>
      <c r="Q333" t="str">
        <f>IF(COUNTIFS(HCP_evidence!$A:$A, M333, HCP_evidence!$AB:$AB, "&lt;&gt;")&gt;0, "Yes", "")</f>
        <v>Yes</v>
      </c>
      <c r="V333"/>
      <c r="W333" t="s">
        <v>7948</v>
      </c>
      <c r="X333" t="s">
        <v>7947</v>
      </c>
      <c r="AC333" t="s">
        <v>4283</v>
      </c>
      <c r="AW333" t="str">
        <f>IF(COUNTIFS(HCP_evidence!$A:$A, M333, HCP_evidence!$AH:$AH, "&lt;&gt;")&gt;0, "Yes", "")</f>
        <v/>
      </c>
      <c r="BB333" s="74"/>
    </row>
    <row r="334" spans="1:55" hidden="1">
      <c r="J334" t="s">
        <v>8141</v>
      </c>
      <c r="K334" s="72" t="s">
        <v>8163</v>
      </c>
      <c r="M334" t="s">
        <v>8164</v>
      </c>
      <c r="N334" s="74"/>
      <c r="Q334" t="str">
        <f>IF(COUNTIFS(HCP_evidence!$A:$A, M334, HCP_evidence!$AB:$AB, "&lt;&gt;")&gt;0, "Yes", "")</f>
        <v/>
      </c>
      <c r="V334"/>
      <c r="W334" t="s">
        <v>7948</v>
      </c>
      <c r="X334" t="s">
        <v>7947</v>
      </c>
    </row>
    <row r="335" spans="1:55" hidden="1">
      <c r="J335" t="s">
        <v>7935</v>
      </c>
      <c r="K335" s="72" t="s">
        <v>7956</v>
      </c>
      <c r="M335" t="s">
        <v>7957</v>
      </c>
      <c r="N335" s="74"/>
      <c r="Q335" t="str">
        <f>IF(COUNTIFS(HCP_evidence!$A:$A, M335, HCP_evidence!$AB:$AB, "&lt;&gt;")&gt;0, "Yes", "")</f>
        <v/>
      </c>
      <c r="V335"/>
      <c r="W335" t="s">
        <v>7959</v>
      </c>
      <c r="X335" t="s">
        <v>7958</v>
      </c>
    </row>
    <row r="336" spans="1:55" hidden="1">
      <c r="J336" t="s">
        <v>11416</v>
      </c>
      <c r="K336" s="72" t="s">
        <v>7964</v>
      </c>
      <c r="M336" t="s">
        <v>7965</v>
      </c>
      <c r="N336" s="74"/>
      <c r="Q336" t="str">
        <f>IF(COUNTIFS(HCP_evidence!$A:$A, M336, HCP_evidence!$AB:$AB, "&lt;&gt;")&gt;0, "Yes", "")</f>
        <v/>
      </c>
      <c r="V336"/>
      <c r="W336" t="s">
        <v>10282</v>
      </c>
      <c r="X336" s="115" t="s">
        <v>8680</v>
      </c>
    </row>
    <row r="337" spans="1:54" hidden="1">
      <c r="J337" t="s">
        <v>11396</v>
      </c>
      <c r="K337" s="72" t="s">
        <v>7972</v>
      </c>
      <c r="M337" t="s">
        <v>7974</v>
      </c>
      <c r="N337" s="74"/>
      <c r="Q337" t="str">
        <f>IF(COUNTIFS(HCP_evidence!$A:$A, M337, HCP_evidence!$AB:$AB, "&lt;&gt;")&gt;0, "Yes", "")</f>
        <v/>
      </c>
      <c r="V337"/>
      <c r="W337" t="s">
        <v>3806</v>
      </c>
      <c r="X337" t="s">
        <v>7973</v>
      </c>
    </row>
    <row r="338" spans="1:54" hidden="1">
      <c r="J338" t="s">
        <v>7935</v>
      </c>
      <c r="K338" s="72" t="s">
        <v>7975</v>
      </c>
      <c r="M338" t="s">
        <v>7976</v>
      </c>
      <c r="N338" s="74"/>
      <c r="Q338" t="str">
        <f>IF(COUNTIFS(HCP_evidence!$A:$A, M338, HCP_evidence!$AB:$AB, "&lt;&gt;")&gt;0, "Yes", "")</f>
        <v/>
      </c>
      <c r="V338"/>
      <c r="W338" t="s">
        <v>3807</v>
      </c>
      <c r="X338" t="s">
        <v>7977</v>
      </c>
    </row>
    <row r="339" spans="1:54" hidden="1">
      <c r="J339" t="s">
        <v>7935</v>
      </c>
      <c r="K339" s="72" t="s">
        <v>7978</v>
      </c>
      <c r="M339" t="s">
        <v>7980</v>
      </c>
      <c r="N339" s="74"/>
      <c r="Q339" t="str">
        <f>IF(COUNTIFS(HCP_evidence!$A:$A, M339, HCP_evidence!$AB:$AB, "&lt;&gt;")&gt;0, "Yes", "")</f>
        <v/>
      </c>
      <c r="S339" s="55"/>
      <c r="V339"/>
      <c r="W339" t="s">
        <v>3808</v>
      </c>
      <c r="X339" t="s">
        <v>7979</v>
      </c>
    </row>
    <row r="340" spans="1:54" hidden="1">
      <c r="J340" t="s">
        <v>11470</v>
      </c>
      <c r="K340" s="72" t="s">
        <v>7981</v>
      </c>
      <c r="M340" t="s">
        <v>7982</v>
      </c>
      <c r="N340" s="74"/>
      <c r="Q340" t="str">
        <f>IF(COUNTIFS(HCP_evidence!$A:$A, M340, HCP_evidence!$AB:$AB, "&lt;&gt;")&gt;0, "Yes", "")</f>
        <v/>
      </c>
      <c r="V340"/>
      <c r="W340" t="s">
        <v>3809</v>
      </c>
      <c r="X340" t="s">
        <v>7983</v>
      </c>
    </row>
    <row r="341" spans="1:54" hidden="1">
      <c r="J341" t="s">
        <v>7935</v>
      </c>
      <c r="K341" s="72" t="s">
        <v>7988</v>
      </c>
      <c r="M341" t="s">
        <v>7989</v>
      </c>
      <c r="N341" s="74"/>
      <c r="Q341" t="str">
        <f>IF(COUNTIFS(HCP_evidence!$A:$A, M341, HCP_evidence!$AB:$AB, "&lt;&gt;")&gt;0, "Yes", "")</f>
        <v/>
      </c>
      <c r="V341"/>
      <c r="W341" t="s">
        <v>3810</v>
      </c>
      <c r="X341" t="s">
        <v>7990</v>
      </c>
    </row>
    <row r="342" spans="1:54" hidden="1">
      <c r="J342" t="s">
        <v>7935</v>
      </c>
      <c r="K342" s="72" t="s">
        <v>7995</v>
      </c>
      <c r="M342" t="s">
        <v>7999</v>
      </c>
      <c r="N342" s="74"/>
      <c r="Q342" t="str">
        <f>IF(COUNTIFS(HCP_evidence!$A:$A, M342, HCP_evidence!$AB:$AB, "&lt;&gt;")&gt;0, "Yes", "")</f>
        <v/>
      </c>
      <c r="V342"/>
      <c r="W342" t="s">
        <v>7997</v>
      </c>
      <c r="X342" t="s">
        <v>7996</v>
      </c>
    </row>
    <row r="343" spans="1:54" hidden="1">
      <c r="J343" t="s">
        <v>8091</v>
      </c>
      <c r="K343" s="72" t="s">
        <v>8085</v>
      </c>
      <c r="M343" t="s">
        <v>8086</v>
      </c>
      <c r="N343" s="71" t="s">
        <v>8532</v>
      </c>
      <c r="Q343" t="str">
        <f>IF(COUNTIFS(HCP_evidence!$A:$A, M343, HCP_evidence!$AB:$AB, "&lt;&gt;")&gt;0, "Yes", "")</f>
        <v/>
      </c>
      <c r="V343"/>
      <c r="W343" t="s">
        <v>8088</v>
      </c>
      <c r="X343" t="s">
        <v>8087</v>
      </c>
    </row>
    <row r="344" spans="1:54" hidden="1">
      <c r="J344" t="s">
        <v>11500</v>
      </c>
      <c r="K344" s="72" t="s">
        <v>8100</v>
      </c>
      <c r="M344" t="s">
        <v>8101</v>
      </c>
      <c r="N344" s="88" t="s">
        <v>8535</v>
      </c>
      <c r="Q344" t="str">
        <f>IF(COUNTIFS(HCP_evidence!$A:$A, M344, HCP_evidence!$AB:$AB, "&lt;&gt;")&gt;0, "Yes", "")</f>
        <v/>
      </c>
      <c r="V344"/>
      <c r="W344" t="s">
        <v>3813</v>
      </c>
      <c r="X344" t="s">
        <v>8098</v>
      </c>
    </row>
    <row r="345" spans="1:54" hidden="1">
      <c r="J345" t="s">
        <v>8102</v>
      </c>
      <c r="K345" s="72" t="s">
        <v>8103</v>
      </c>
      <c r="M345" t="s">
        <v>8104</v>
      </c>
      <c r="N345" s="74"/>
      <c r="Q345" t="str">
        <f>IF(COUNTIFS(HCP_evidence!$A:$A, M345, HCP_evidence!$AB:$AB, "&lt;&gt;")&gt;0, "Yes", "")</f>
        <v/>
      </c>
      <c r="V345"/>
      <c r="W345" t="s">
        <v>3813</v>
      </c>
      <c r="X345" t="s">
        <v>8098</v>
      </c>
    </row>
    <row r="346" spans="1:54" hidden="1">
      <c r="J346" t="s">
        <v>11434</v>
      </c>
      <c r="K346" s="72" t="s">
        <v>8147</v>
      </c>
      <c r="M346" t="s">
        <v>8148</v>
      </c>
      <c r="N346" s="74"/>
      <c r="Q346" t="str">
        <f>IF(COUNTIFS(HCP_evidence!$A:$A, M346, HCP_evidence!$AB:$AB, "&lt;&gt;")&gt;0, "Yes", "")</f>
        <v/>
      </c>
      <c r="V346"/>
      <c r="W346" t="s">
        <v>8150</v>
      </c>
      <c r="X346" t="s">
        <v>8149</v>
      </c>
    </row>
    <row r="347" spans="1:54" hidden="1">
      <c r="A347">
        <v>179</v>
      </c>
      <c r="J347" t="s">
        <v>8141</v>
      </c>
      <c r="K347" s="72" t="s">
        <v>8160</v>
      </c>
      <c r="M347" t="s">
        <v>1134</v>
      </c>
      <c r="N347" s="74"/>
      <c r="Q347" t="str">
        <f>IF(COUNTIFS(HCP_evidence!$A:$A, M347, HCP_evidence!$AB:$AB, "&lt;&gt;")&gt;0, "Yes", "")</f>
        <v/>
      </c>
      <c r="V347"/>
      <c r="W347" t="s">
        <v>8162</v>
      </c>
      <c r="X347" t="s">
        <v>8161</v>
      </c>
      <c r="AC347" t="s">
        <v>4283</v>
      </c>
      <c r="AW347" t="str">
        <f>IF(COUNTIFS(HCP_evidence!$A:$A, M347, HCP_evidence!$AH:$AH, "&lt;&gt;")&gt;0, "Yes", "")</f>
        <v/>
      </c>
      <c r="BB347" s="74"/>
    </row>
    <row r="348" spans="1:54" hidden="1">
      <c r="J348" t="s">
        <v>8141</v>
      </c>
      <c r="K348" s="72" t="s">
        <v>8165</v>
      </c>
      <c r="M348" t="s">
        <v>8166</v>
      </c>
      <c r="N348" s="74"/>
      <c r="Q348" t="str">
        <f>IF(COUNTIFS(HCP_evidence!$A:$A, M348, HCP_evidence!$AB:$AB, "&lt;&gt;")&gt;0, "Yes", "")</f>
        <v/>
      </c>
      <c r="V348"/>
      <c r="W348" t="s">
        <v>8168</v>
      </c>
      <c r="X348" t="s">
        <v>8167</v>
      </c>
    </row>
    <row r="349" spans="1:54" hidden="1">
      <c r="D349" t="s">
        <v>414</v>
      </c>
      <c r="E349" t="s">
        <v>414</v>
      </c>
      <c r="J349" t="s">
        <v>8195</v>
      </c>
      <c r="K349" s="72" t="s">
        <v>8192</v>
      </c>
      <c r="L349" s="72" t="s">
        <v>8194</v>
      </c>
      <c r="M349" t="s">
        <v>8193</v>
      </c>
      <c r="N349" s="74"/>
      <c r="Q349" t="str">
        <f>IF(COUNTIFS(HCP_evidence!$A:$A, M349, HCP_evidence!$AB:$AB, "&lt;&gt;")&gt;0, "Yes", "")</f>
        <v/>
      </c>
      <c r="V349"/>
      <c r="W349" t="s">
        <v>8190</v>
      </c>
      <c r="X349" t="s">
        <v>8189</v>
      </c>
    </row>
    <row r="350" spans="1:54" hidden="1">
      <c r="D350" t="s">
        <v>414</v>
      </c>
      <c r="E350" t="s">
        <v>414</v>
      </c>
      <c r="J350" t="s">
        <v>8199</v>
      </c>
      <c r="K350" s="72" t="s">
        <v>8196</v>
      </c>
      <c r="L350" s="72" t="s">
        <v>8198</v>
      </c>
      <c r="M350" t="s">
        <v>8197</v>
      </c>
      <c r="N350" s="74"/>
      <c r="Q350" t="str">
        <f>IF(COUNTIFS(HCP_evidence!$A:$A, M350, HCP_evidence!$AB:$AB, "&lt;&gt;")&gt;0, "Yes", "")</f>
        <v/>
      </c>
      <c r="V350"/>
      <c r="W350" t="s">
        <v>8190</v>
      </c>
      <c r="X350" t="s">
        <v>8189</v>
      </c>
    </row>
    <row r="351" spans="1:54" hidden="1">
      <c r="E351" t="s">
        <v>414</v>
      </c>
      <c r="J351" t="s">
        <v>8225</v>
      </c>
      <c r="K351" s="72" t="s">
        <v>8223</v>
      </c>
      <c r="L351" s="72" t="s">
        <v>8224</v>
      </c>
      <c r="M351" t="s">
        <v>8222</v>
      </c>
      <c r="N351" s="74"/>
      <c r="Q351" t="str">
        <f>IF(COUNTIFS(HCP_evidence!$A:$A, M351, HCP_evidence!$AB:$AB, "&lt;&gt;")&gt;0, "Yes", "")</f>
        <v/>
      </c>
      <c r="V351"/>
      <c r="W351" t="s">
        <v>8220</v>
      </c>
      <c r="X351" t="s">
        <v>8221</v>
      </c>
    </row>
    <row r="352" spans="1:54" hidden="1">
      <c r="E352" t="s">
        <v>414</v>
      </c>
      <c r="J352" t="s">
        <v>8225</v>
      </c>
      <c r="K352" s="72" t="s">
        <v>8226</v>
      </c>
      <c r="L352" s="72" t="s">
        <v>8231</v>
      </c>
      <c r="M352" t="s">
        <v>8227</v>
      </c>
      <c r="N352" s="74"/>
      <c r="Q352" t="str">
        <f>IF(COUNTIFS(HCP_evidence!$A:$A, M352, HCP_evidence!$AB:$AB, "&lt;&gt;")&gt;0, "Yes", "")</f>
        <v/>
      </c>
      <c r="V352"/>
      <c r="W352" t="s">
        <v>8220</v>
      </c>
      <c r="X352" t="s">
        <v>8221</v>
      </c>
    </row>
    <row r="353" spans="1:54" hidden="1">
      <c r="E353" t="s">
        <v>414</v>
      </c>
      <c r="J353" t="s">
        <v>8225</v>
      </c>
      <c r="K353" s="72" t="s">
        <v>8228</v>
      </c>
      <c r="L353" s="72" t="s">
        <v>8230</v>
      </c>
      <c r="M353" t="s">
        <v>8229</v>
      </c>
      <c r="N353" s="74"/>
      <c r="Q353" t="str">
        <f>IF(COUNTIFS(HCP_evidence!$A:$A, M353, HCP_evidence!$AB:$AB, "&lt;&gt;")&gt;0, "Yes", "")</f>
        <v/>
      </c>
      <c r="V353"/>
      <c r="W353" t="s">
        <v>8220</v>
      </c>
      <c r="X353" t="s">
        <v>8221</v>
      </c>
    </row>
    <row r="354" spans="1:54" hidden="1">
      <c r="A354">
        <v>159</v>
      </c>
      <c r="J354" t="s">
        <v>11226</v>
      </c>
      <c r="K354" s="72" t="s">
        <v>11222</v>
      </c>
      <c r="M354" t="s">
        <v>1114</v>
      </c>
      <c r="N354" s="74"/>
      <c r="Q354" t="str">
        <f>IF(COUNTIFS(HCP_evidence!$A:$A, M354, HCP_evidence!$AB:$AB, "&lt;&gt;")&gt;0, "Yes", "")</f>
        <v/>
      </c>
      <c r="R354" t="s">
        <v>4307</v>
      </c>
      <c r="V354" s="72" t="s">
        <v>11224</v>
      </c>
      <c r="X354" t="s">
        <v>11223</v>
      </c>
      <c r="AC354" t="s">
        <v>4283</v>
      </c>
      <c r="AW354" t="str">
        <f>IF(COUNTIFS(HCP_evidence!$A:$A, M354, HCP_evidence!$AH:$AH, "&lt;&gt;")&gt;0, "Yes", "")</f>
        <v/>
      </c>
      <c r="BB354" s="74"/>
    </row>
    <row r="355" spans="1:54" hidden="1">
      <c r="A355">
        <v>176</v>
      </c>
      <c r="J355" t="s">
        <v>11226</v>
      </c>
      <c r="K355" s="72" t="s">
        <v>11225</v>
      </c>
      <c r="M355" t="s">
        <v>1131</v>
      </c>
      <c r="N355" s="74"/>
      <c r="Q355" t="str">
        <f>IF(COUNTIFS(HCP_evidence!$A:$A, M355, HCP_evidence!$AB:$AB, "&lt;&gt;")&gt;0, "Yes", "")</f>
        <v>Yes</v>
      </c>
      <c r="R355" t="s">
        <v>4307</v>
      </c>
      <c r="V355" s="72" t="s">
        <v>11229</v>
      </c>
      <c r="W355" t="s">
        <v>3838</v>
      </c>
      <c r="X355" t="s">
        <v>1346</v>
      </c>
      <c r="AC355" t="s">
        <v>4283</v>
      </c>
      <c r="AW355" t="str">
        <f>IF(COUNTIFS(HCP_evidence!$A:$A, M355, HCP_evidence!$AH:$AH, "&lt;&gt;")&gt;0, "Yes", "")</f>
        <v/>
      </c>
      <c r="BB355" s="74"/>
    </row>
    <row r="356" spans="1:54" hidden="1">
      <c r="A356">
        <v>207</v>
      </c>
      <c r="J356" t="s">
        <v>11232</v>
      </c>
      <c r="K356" s="72" t="s">
        <v>11230</v>
      </c>
      <c r="L356" s="116" t="s">
        <v>11231</v>
      </c>
      <c r="M356" t="s">
        <v>1160</v>
      </c>
      <c r="N356" s="74"/>
      <c r="Q356" t="str">
        <f>IF(COUNTIFS(HCP_evidence!$A:$A, M356, HCP_evidence!$AB:$AB, "&lt;&gt;")&gt;0, "Yes", "")</f>
        <v/>
      </c>
      <c r="R356" t="s">
        <v>4412</v>
      </c>
      <c r="S356" t="s">
        <v>11234</v>
      </c>
      <c r="V356" s="72" t="s">
        <v>11233</v>
      </c>
      <c r="X356" t="s">
        <v>4293</v>
      </c>
      <c r="AC356" t="s">
        <v>4283</v>
      </c>
      <c r="AW356" t="str">
        <f>IF(COUNTIFS(HCP_evidence!$A:$A, M356, HCP_evidence!$AH:$AH, "&lt;&gt;")&gt;0, "Yes", "")</f>
        <v/>
      </c>
      <c r="BB356" s="74"/>
    </row>
    <row r="357" spans="1:54" hidden="1">
      <c r="A357">
        <v>199</v>
      </c>
      <c r="J357" t="s">
        <v>11226</v>
      </c>
      <c r="K357" s="72" t="s">
        <v>11238</v>
      </c>
      <c r="M357" t="s">
        <v>1153</v>
      </c>
      <c r="N357" s="74"/>
      <c r="Q357" t="str">
        <f>IF(COUNTIFS(HCP_evidence!$A:$A, M357, HCP_evidence!$AB:$AB, "&lt;&gt;")&gt;0, "Yes", "")</f>
        <v/>
      </c>
      <c r="R357" t="s">
        <v>4305</v>
      </c>
      <c r="V357" s="72" t="s">
        <v>11240</v>
      </c>
      <c r="X357" t="s">
        <v>11239</v>
      </c>
      <c r="AC357" t="s">
        <v>4283</v>
      </c>
      <c r="AW357" t="str">
        <f>IF(COUNTIFS(HCP_evidence!$A:$A, M357, HCP_evidence!$AH:$AH, "&lt;&gt;")&gt;0, "Yes", "")</f>
        <v/>
      </c>
      <c r="BB357" s="74"/>
    </row>
    <row r="358" spans="1:54" hidden="1">
      <c r="A358">
        <v>133</v>
      </c>
      <c r="M358" t="s">
        <v>1095</v>
      </c>
      <c r="N358" s="71" t="s">
        <v>8536</v>
      </c>
      <c r="Q358" t="str">
        <f>IF(COUNTIFS(HCP_evidence!$A:$A, M358, HCP_evidence!$AB:$AB, "&lt;&gt;")&gt;0, "Yes", "")</f>
        <v/>
      </c>
      <c r="AC358" t="s">
        <v>4283</v>
      </c>
      <c r="AW358" t="str">
        <f>IF(COUNTIFS(HCP_evidence!$A:$A, M358, HCP_evidence!$AH:$AH, "&lt;&gt;")&gt;0, "Yes", "")</f>
        <v/>
      </c>
      <c r="BB358" s="74"/>
    </row>
    <row r="359" spans="1:54" hidden="1">
      <c r="A359">
        <v>168</v>
      </c>
      <c r="M359" t="s">
        <v>1123</v>
      </c>
      <c r="N359" s="71" t="s">
        <v>1123</v>
      </c>
      <c r="Q359" t="str">
        <f>IF(COUNTIFS(HCP_evidence!$A:$A, M359, HCP_evidence!$AB:$AB, "&lt;&gt;")&gt;0, "Yes", "")</f>
        <v/>
      </c>
      <c r="AC359" t="s">
        <v>4283</v>
      </c>
      <c r="AW359" t="str">
        <f>IF(COUNTIFS(HCP_evidence!$A:$A, M359, HCP_evidence!$AH:$AH, "&lt;&gt;")&gt;0, "Yes", "")</f>
        <v/>
      </c>
      <c r="BB359" s="74"/>
    </row>
    <row r="360" spans="1:54" hidden="1">
      <c r="A360">
        <v>162</v>
      </c>
      <c r="M360" t="s">
        <v>1117</v>
      </c>
      <c r="N360" s="71" t="s">
        <v>1117</v>
      </c>
      <c r="Q360" t="str">
        <f>IF(COUNTIFS(HCP_evidence!$A:$A, M360, HCP_evidence!$AB:$AB, "&lt;&gt;")&gt;0, "Yes", "")</f>
        <v/>
      </c>
      <c r="AC360" t="s">
        <v>4283</v>
      </c>
      <c r="AW360" t="str">
        <f>IF(COUNTIFS(HCP_evidence!$A:$A, M360, HCP_evidence!$AH:$AH, "&lt;&gt;")&gt;0, "Yes", "")</f>
        <v/>
      </c>
      <c r="BB360" s="74"/>
    </row>
    <row r="361" spans="1:54" hidden="1">
      <c r="A361">
        <v>169</v>
      </c>
      <c r="M361" t="s">
        <v>1124</v>
      </c>
      <c r="N361" s="74"/>
      <c r="Q361" t="str">
        <f>IF(COUNTIFS(HCP_evidence!$A:$A, M361, HCP_evidence!$AB:$AB, "&lt;&gt;")&gt;0, "Yes", "")</f>
        <v/>
      </c>
      <c r="AC361" t="s">
        <v>4283</v>
      </c>
      <c r="AW361" t="str">
        <f>IF(COUNTIFS(HCP_evidence!$A:$A, M361, HCP_evidence!$AH:$AH, "&lt;&gt;")&gt;0, "Yes", "")</f>
        <v/>
      </c>
      <c r="BB361" s="74"/>
    </row>
    <row r="362" spans="1:54" hidden="1">
      <c r="A362">
        <v>180</v>
      </c>
      <c r="M362" t="s">
        <v>1135</v>
      </c>
      <c r="N362" s="74"/>
      <c r="Q362" t="str">
        <f>IF(COUNTIFS(HCP_evidence!$A:$A, M362, HCP_evidence!$AB:$AB, "&lt;&gt;")&gt;0, "Yes", "")</f>
        <v/>
      </c>
      <c r="AC362" t="s">
        <v>4283</v>
      </c>
      <c r="AW362" t="str">
        <f>IF(COUNTIFS(HCP_evidence!$A:$A, M362, HCP_evidence!$AH:$AH, "&lt;&gt;")&gt;0, "Yes", "")</f>
        <v/>
      </c>
      <c r="BB362" s="74"/>
    </row>
    <row r="363" spans="1:54" hidden="1">
      <c r="A363">
        <v>156</v>
      </c>
      <c r="M363" t="s">
        <v>1112</v>
      </c>
      <c r="N363" s="71" t="s">
        <v>1112</v>
      </c>
      <c r="Q363" t="str">
        <f>IF(COUNTIFS(HCP_evidence!$A:$A, M363, HCP_evidence!$AB:$AB, "&lt;&gt;")&gt;0, "Yes", "")</f>
        <v/>
      </c>
      <c r="AC363" t="s">
        <v>4283</v>
      </c>
      <c r="AW363" t="str">
        <f>IF(COUNTIFS(HCP_evidence!$A:$A, M363, HCP_evidence!$AH:$AH, "&lt;&gt;")&gt;0, "Yes", "")</f>
        <v/>
      </c>
      <c r="BB363" s="74"/>
    </row>
    <row r="364" spans="1:54" hidden="1">
      <c r="A364">
        <v>138</v>
      </c>
      <c r="M364" t="s">
        <v>1098</v>
      </c>
      <c r="N364" s="74"/>
      <c r="Q364" t="str">
        <f>IF(COUNTIFS(HCP_evidence!$A:$A, M364, HCP_evidence!$AB:$AB, "&lt;&gt;")&gt;0, "Yes", "")</f>
        <v/>
      </c>
      <c r="AC364" t="s">
        <v>4283</v>
      </c>
      <c r="AW364" t="str">
        <f>IF(COUNTIFS(HCP_evidence!$A:$A, M364, HCP_evidence!$AH:$AH, "&lt;&gt;")&gt;0, "Yes", "")</f>
        <v/>
      </c>
      <c r="BB364" s="74"/>
    </row>
    <row r="365" spans="1:54" hidden="1">
      <c r="A365">
        <v>160</v>
      </c>
      <c r="M365" t="s">
        <v>1115</v>
      </c>
      <c r="N365" s="74"/>
      <c r="Q365" t="str">
        <f>IF(COUNTIFS(HCP_evidence!$A:$A, M365, HCP_evidence!$AB:$AB, "&lt;&gt;")&gt;0, "Yes", "")</f>
        <v/>
      </c>
      <c r="AC365" t="s">
        <v>4283</v>
      </c>
      <c r="AW365" t="str">
        <f>IF(COUNTIFS(HCP_evidence!$A:$A, M365, HCP_evidence!$AH:$AH, "&lt;&gt;")&gt;0, "Yes", "")</f>
        <v/>
      </c>
      <c r="BB365" s="74"/>
    </row>
    <row r="366" spans="1:54" hidden="1">
      <c r="A366">
        <v>205</v>
      </c>
      <c r="M366" t="s">
        <v>1158</v>
      </c>
      <c r="N366" s="71" t="s">
        <v>8538</v>
      </c>
      <c r="Q366" t="str">
        <f>IF(COUNTIFS(HCP_evidence!$A:$A, M366, HCP_evidence!$AB:$AB, "&lt;&gt;")&gt;0, "Yes", "")</f>
        <v/>
      </c>
      <c r="AC366" t="s">
        <v>4283</v>
      </c>
      <c r="AW366" t="str">
        <f>IF(COUNTIFS(HCP_evidence!$A:$A, M366, HCP_evidence!$AH:$AH, "&lt;&gt;")&gt;0, "Yes", "")</f>
        <v/>
      </c>
      <c r="BB366" s="74"/>
    </row>
    <row r="367" spans="1:54" hidden="1">
      <c r="A367">
        <v>210</v>
      </c>
      <c r="M367" t="s">
        <v>1163</v>
      </c>
      <c r="N367" s="74"/>
      <c r="Q367" t="str">
        <f>IF(COUNTIFS(HCP_evidence!$A:$A, M367, HCP_evidence!$AB:$AB, "&lt;&gt;")&gt;0, "Yes", "")</f>
        <v/>
      </c>
      <c r="AC367" t="s">
        <v>4283</v>
      </c>
      <c r="AW367" t="str">
        <f>IF(COUNTIFS(HCP_evidence!$A:$A, M367, HCP_evidence!$AH:$AH, "&lt;&gt;")&gt;0, "Yes", "")</f>
        <v/>
      </c>
      <c r="BB367" s="74"/>
    </row>
    <row r="368" spans="1:54" hidden="1">
      <c r="A368">
        <v>154</v>
      </c>
      <c r="M368" t="s">
        <v>1110</v>
      </c>
      <c r="N368" s="74"/>
      <c r="Q368" t="str">
        <f>IF(COUNTIFS(HCP_evidence!$A:$A, M368, HCP_evidence!$AB:$AB, "&lt;&gt;")&gt;0, "Yes", "")</f>
        <v/>
      </c>
      <c r="AC368" t="s">
        <v>4283</v>
      </c>
      <c r="AW368" t="str">
        <f>IF(COUNTIFS(HCP_evidence!$A:$A, M368, HCP_evidence!$AH:$AH, "&lt;&gt;")&gt;0, "Yes", "")</f>
        <v/>
      </c>
      <c r="BB368" s="74"/>
    </row>
    <row r="369" spans="1:54" hidden="1">
      <c r="A369">
        <v>171</v>
      </c>
      <c r="M369" t="s">
        <v>1126</v>
      </c>
      <c r="N369" s="74"/>
      <c r="Q369" t="str">
        <f>IF(COUNTIFS(HCP_evidence!$A:$A, M369, HCP_evidence!$AB:$AB, "&lt;&gt;")&gt;0, "Yes", "")</f>
        <v/>
      </c>
      <c r="V369"/>
      <c r="AC369" t="s">
        <v>4283</v>
      </c>
      <c r="AW369" t="str">
        <f>IF(COUNTIFS(HCP_evidence!$A:$A, M369, HCP_evidence!$AH:$AH, "&lt;&gt;")&gt;0, "Yes", "")</f>
        <v/>
      </c>
      <c r="BB369" s="74"/>
    </row>
    <row r="370" spans="1:54" hidden="1">
      <c r="A370">
        <v>185</v>
      </c>
      <c r="M370" t="s">
        <v>1140</v>
      </c>
      <c r="N370" s="74"/>
      <c r="Q370" t="str">
        <f>IF(COUNTIFS(HCP_evidence!$A:$A, M370, HCP_evidence!$AB:$AB, "&lt;&gt;")&gt;0, "Yes", "")</f>
        <v/>
      </c>
      <c r="V370"/>
      <c r="AC370" t="s">
        <v>4283</v>
      </c>
      <c r="AW370" t="str">
        <f>IF(COUNTIFS(HCP_evidence!$A:$A, M370, HCP_evidence!$AH:$AH, "&lt;&gt;")&gt;0, "Yes", "")</f>
        <v/>
      </c>
      <c r="BB370" s="74"/>
    </row>
    <row r="371" spans="1:54" hidden="1">
      <c r="A371">
        <v>175</v>
      </c>
      <c r="J371" t="s">
        <v>8394</v>
      </c>
      <c r="K371" s="72" t="s">
        <v>8522</v>
      </c>
      <c r="M371" t="s">
        <v>1130</v>
      </c>
      <c r="N371" s="71" t="s">
        <v>1130</v>
      </c>
      <c r="Q371" t="str">
        <f>IF(COUNTIFS(HCP_evidence!$A:$A, M371, HCP_evidence!$AB:$AB, "&lt;&gt;")&gt;0, "Yes", "")</f>
        <v/>
      </c>
      <c r="V371"/>
      <c r="W371" t="s">
        <v>3825</v>
      </c>
      <c r="X371" t="s">
        <v>8524</v>
      </c>
      <c r="AC371" t="s">
        <v>4283</v>
      </c>
      <c r="AW371" t="str">
        <f>IF(COUNTIFS(HCP_evidence!$A:$A, M371, HCP_evidence!$AH:$AH, "&lt;&gt;")&gt;0, "Yes", "")</f>
        <v/>
      </c>
      <c r="BB371" s="74"/>
    </row>
    <row r="372" spans="1:54" hidden="1">
      <c r="A372">
        <v>167</v>
      </c>
      <c r="M372" t="s">
        <v>1122</v>
      </c>
      <c r="N372" s="74"/>
      <c r="Q372" t="str">
        <f>IF(COUNTIFS(HCP_evidence!$A:$A, M372, HCP_evidence!$AB:$AB, "&lt;&gt;")&gt;0, "Yes", "")</f>
        <v/>
      </c>
      <c r="V372"/>
      <c r="AC372" t="s">
        <v>4283</v>
      </c>
      <c r="AW372" t="str">
        <f>IF(COUNTIFS(HCP_evidence!$A:$A, M372, HCP_evidence!$AH:$AH, "&lt;&gt;")&gt;0, "Yes", "")</f>
        <v/>
      </c>
      <c r="BB372" s="74"/>
    </row>
    <row r="373" spans="1:54" hidden="1">
      <c r="A373">
        <v>165</v>
      </c>
      <c r="M373" t="s">
        <v>1120</v>
      </c>
      <c r="N373" s="74"/>
      <c r="Q373" t="str">
        <f>IF(COUNTIFS(HCP_evidence!$A:$A, M373, HCP_evidence!$AB:$AB, "&lt;&gt;")&gt;0, "Yes", "")</f>
        <v/>
      </c>
      <c r="V373"/>
      <c r="AC373" t="s">
        <v>4283</v>
      </c>
      <c r="AW373" t="str">
        <f>IF(COUNTIFS(HCP_evidence!$A:$A, M373, HCP_evidence!$AH:$AH, "&lt;&gt;")&gt;0, "Yes", "")</f>
        <v/>
      </c>
      <c r="BB373" s="74"/>
    </row>
    <row r="374" spans="1:54" hidden="1">
      <c r="A374">
        <v>182</v>
      </c>
      <c r="M374" t="s">
        <v>1137</v>
      </c>
      <c r="N374" s="71" t="s">
        <v>1137</v>
      </c>
      <c r="Q374" t="str">
        <f>IF(COUNTIFS(HCP_evidence!$A:$A, M374, HCP_evidence!$AB:$AB, "&lt;&gt;")&gt;0, "Yes", "")</f>
        <v/>
      </c>
      <c r="V374"/>
      <c r="AC374" t="s">
        <v>4283</v>
      </c>
      <c r="AW374" t="str">
        <f>IF(COUNTIFS(HCP_evidence!$A:$A, M374, HCP_evidence!$AH:$AH, "&lt;&gt;")&gt;0, "Yes", "")</f>
        <v/>
      </c>
      <c r="BB374" s="74"/>
    </row>
    <row r="375" spans="1:54" hidden="1">
      <c r="A375">
        <v>211</v>
      </c>
      <c r="J375" t="s">
        <v>8394</v>
      </c>
      <c r="K375" s="72" t="s">
        <v>8530</v>
      </c>
      <c r="M375" t="s">
        <v>1164</v>
      </c>
      <c r="N375" s="74"/>
      <c r="Q375" t="str">
        <f>IF(COUNTIFS(HCP_evidence!$A:$A, M375, HCP_evidence!$AB:$AB, "&lt;&gt;")&gt;0, "Yes", "")</f>
        <v/>
      </c>
      <c r="V375"/>
      <c r="W375" t="s">
        <v>8533</v>
      </c>
      <c r="X375" t="s">
        <v>8531</v>
      </c>
      <c r="AC375" t="s">
        <v>4283</v>
      </c>
      <c r="AW375" t="str">
        <f>IF(COUNTIFS(HCP_evidence!$A:$A, M375, HCP_evidence!$AH:$AH, "&lt;&gt;")&gt;0, "Yes", "")</f>
        <v/>
      </c>
      <c r="BB375" s="74"/>
    </row>
    <row r="376" spans="1:54" hidden="1">
      <c r="A376">
        <v>177</v>
      </c>
      <c r="M376" t="s">
        <v>1132</v>
      </c>
      <c r="N376" s="74"/>
      <c r="Q376" t="str">
        <f>IF(COUNTIFS(HCP_evidence!$A:$A, M376, HCP_evidence!$AB:$AB, "&lt;&gt;")&gt;0, "Yes", "")</f>
        <v/>
      </c>
      <c r="V376"/>
      <c r="AC376" t="s">
        <v>4283</v>
      </c>
      <c r="AW376" t="str">
        <f>IF(COUNTIFS(HCP_evidence!$A:$A, M376, HCP_evidence!$AH:$AH, "&lt;&gt;")&gt;0, "Yes", "")</f>
        <v/>
      </c>
      <c r="BB376" s="74"/>
    </row>
    <row r="377" spans="1:54" hidden="1">
      <c r="A377">
        <v>201</v>
      </c>
      <c r="M377" t="s">
        <v>1155</v>
      </c>
      <c r="N377" s="74"/>
      <c r="Q377" t="str">
        <f>IF(COUNTIFS(HCP_evidence!$A:$A, M377, HCP_evidence!$AB:$AB, "&lt;&gt;")&gt;0, "Yes", "")</f>
        <v/>
      </c>
      <c r="V377"/>
      <c r="AC377" t="s">
        <v>4283</v>
      </c>
      <c r="AW377" t="str">
        <f>IF(COUNTIFS(HCP_evidence!$A:$A, M377, HCP_evidence!$AH:$AH, "&lt;&gt;")&gt;0, "Yes", "")</f>
        <v/>
      </c>
      <c r="BB377" s="74"/>
    </row>
    <row r="378" spans="1:54" hidden="1">
      <c r="A378">
        <v>157</v>
      </c>
      <c r="M378" t="s">
        <v>1113</v>
      </c>
      <c r="N378" s="74"/>
      <c r="Q378" t="str">
        <f>IF(COUNTIFS(HCP_evidence!$A:$A, M378, HCP_evidence!$AB:$AB, "&lt;&gt;")&gt;0, "Yes", "")</f>
        <v/>
      </c>
      <c r="V378"/>
      <c r="AC378" t="s">
        <v>4283</v>
      </c>
      <c r="AW378" t="str">
        <f>IF(COUNTIFS(HCP_evidence!$A:$A, M378, HCP_evidence!$AH:$AH, "&lt;&gt;")&gt;0, "Yes", "")</f>
        <v/>
      </c>
      <c r="BB378" s="74"/>
    </row>
    <row r="379" spans="1:54" hidden="1">
      <c r="A379">
        <v>178</v>
      </c>
      <c r="M379" t="s">
        <v>1133</v>
      </c>
      <c r="N379" s="74"/>
      <c r="Q379" t="str">
        <f>IF(COUNTIFS(HCP_evidence!$A:$A, M379, HCP_evidence!$AB:$AB, "&lt;&gt;")&gt;0, "Yes", "")</f>
        <v/>
      </c>
      <c r="V379"/>
      <c r="AC379" t="s">
        <v>4283</v>
      </c>
      <c r="AW379" t="str">
        <f>IF(COUNTIFS(HCP_evidence!$A:$A, M379, HCP_evidence!$AH:$AH, "&lt;&gt;")&gt;0, "Yes", "")</f>
        <v/>
      </c>
      <c r="BB379" s="74"/>
    </row>
    <row r="380" spans="1:54" hidden="1">
      <c r="A380">
        <v>195</v>
      </c>
      <c r="M380" t="s">
        <v>1149</v>
      </c>
      <c r="N380" s="74"/>
      <c r="Q380" t="str">
        <f>IF(COUNTIFS(HCP_evidence!$A:$A, M380, HCP_evidence!$AB:$AB, "&lt;&gt;")&gt;0, "Yes", "")</f>
        <v/>
      </c>
      <c r="V380"/>
      <c r="AC380" t="s">
        <v>4283</v>
      </c>
      <c r="AW380" t="str">
        <f>IF(COUNTIFS(HCP_evidence!$A:$A, M380, HCP_evidence!$AH:$AH, "&lt;&gt;")&gt;0, "Yes", "")</f>
        <v/>
      </c>
      <c r="BB380" s="74"/>
    </row>
    <row r="381" spans="1:54" hidden="1">
      <c r="A381">
        <v>166</v>
      </c>
      <c r="M381" t="s">
        <v>1121</v>
      </c>
      <c r="N381" s="71" t="s">
        <v>1121</v>
      </c>
      <c r="Q381" t="str">
        <f>IF(COUNTIFS(HCP_evidence!$A:$A, M381, HCP_evidence!$AB:$AB, "&lt;&gt;")&gt;0, "Yes", "")</f>
        <v/>
      </c>
      <c r="V381"/>
      <c r="AC381" t="s">
        <v>4283</v>
      </c>
      <c r="AW381" t="str">
        <f>IF(COUNTIFS(HCP_evidence!$A:$A, M381, HCP_evidence!$AH:$AH, "&lt;&gt;")&gt;0, "Yes", "")</f>
        <v/>
      </c>
      <c r="BB381" s="74"/>
    </row>
    <row r="382" spans="1:54" hidden="1">
      <c r="A382">
        <v>204</v>
      </c>
      <c r="J382" t="s">
        <v>4792</v>
      </c>
      <c r="K382" s="72" t="s">
        <v>11345</v>
      </c>
      <c r="M382" t="s">
        <v>1157</v>
      </c>
      <c r="N382" s="74"/>
      <c r="Q382" t="str">
        <f>IF(COUNTIFS(HCP_evidence!$A:$A, M382, HCP_evidence!$AB:$AB, "&lt;&gt;")&gt;0, "Yes", "")</f>
        <v/>
      </c>
      <c r="V382"/>
      <c r="W382" t="s">
        <v>8203</v>
      </c>
      <c r="X382" t="s">
        <v>8234</v>
      </c>
      <c r="AC382" t="s">
        <v>4283</v>
      </c>
      <c r="AW382" t="str">
        <f>IF(COUNTIFS(HCP_evidence!$A:$A, M382, HCP_evidence!$AH:$AH, "&lt;&gt;")&gt;0, "Yes", "")</f>
        <v/>
      </c>
      <c r="BB382" s="74"/>
    </row>
    <row r="383" spans="1:54" hidden="1">
      <c r="A383">
        <v>189</v>
      </c>
      <c r="M383" t="s">
        <v>1144</v>
      </c>
      <c r="N383" s="71" t="s">
        <v>1144</v>
      </c>
      <c r="Q383" t="str">
        <f>IF(COUNTIFS(HCP_evidence!$A:$A, M383, HCP_evidence!$AB:$AB, "&lt;&gt;")&gt;0, "Yes", "")</f>
        <v/>
      </c>
      <c r="V383"/>
      <c r="AC383" t="s">
        <v>4283</v>
      </c>
      <c r="AW383" t="str">
        <f>IF(COUNTIFS(HCP_evidence!$A:$A, M383, HCP_evidence!$AH:$AH, "&lt;&gt;")&gt;0, "Yes", "")</f>
        <v/>
      </c>
      <c r="BB383" s="74"/>
    </row>
    <row r="384" spans="1:54" hidden="1">
      <c r="A384">
        <v>203</v>
      </c>
      <c r="M384" t="s">
        <v>1156</v>
      </c>
      <c r="N384" s="88" t="s">
        <v>1156</v>
      </c>
      <c r="Q384" t="str">
        <f>IF(COUNTIFS(HCP_evidence!$A:$A, M384, HCP_evidence!$AB:$AB, "&lt;&gt;")&gt;0, "Yes", "")</f>
        <v/>
      </c>
      <c r="V384"/>
      <c r="AC384" t="s">
        <v>4283</v>
      </c>
      <c r="AW384" t="str">
        <f>IF(COUNTIFS(HCP_evidence!$A:$A, M384, HCP_evidence!$AH:$AH, "&lt;&gt;")&gt;0, "Yes", "")</f>
        <v/>
      </c>
      <c r="BB384" s="74"/>
    </row>
    <row r="385" spans="1:54" hidden="1">
      <c r="A385">
        <v>151</v>
      </c>
      <c r="M385" t="s">
        <v>1108</v>
      </c>
      <c r="Q385" t="str">
        <f>IF(COUNTIFS(HCP_evidence!$A:$A, M385, HCP_evidence!$AB:$AB, "&lt;&gt;")&gt;0, "Yes", "")</f>
        <v/>
      </c>
      <c r="V385"/>
      <c r="AC385" t="s">
        <v>4283</v>
      </c>
      <c r="AW385" t="str">
        <f>IF(COUNTIFS(HCP_evidence!$A:$A, M385, HCP_evidence!$AH:$AH, "&lt;&gt;")&gt;0, "Yes", "")</f>
        <v/>
      </c>
      <c r="BB385" s="74"/>
    </row>
    <row r="386" spans="1:54" hidden="1">
      <c r="A386">
        <v>172</v>
      </c>
      <c r="M386" t="s">
        <v>1127</v>
      </c>
      <c r="Q386" t="str">
        <f>IF(COUNTIFS(HCP_evidence!$A:$A, M386, HCP_evidence!$AB:$AB, "&lt;&gt;")&gt;0, "Yes", "")</f>
        <v/>
      </c>
      <c r="V386"/>
      <c r="AC386" t="s">
        <v>4283</v>
      </c>
      <c r="AW386" t="str">
        <f>IF(COUNTIFS(HCP_evidence!$A:$A, M386, HCP_evidence!$AH:$AH, "&lt;&gt;")&gt;0, "Yes", "")</f>
        <v/>
      </c>
      <c r="BB386" s="74"/>
    </row>
    <row r="387" spans="1:54" hidden="1">
      <c r="A387">
        <v>149</v>
      </c>
      <c r="M387" t="s">
        <v>1107</v>
      </c>
      <c r="Q387" t="str">
        <f>IF(COUNTIFS(HCP_evidence!$A:$A, M387, HCP_evidence!$AB:$AB, "&lt;&gt;")&gt;0, "Yes", "")</f>
        <v/>
      </c>
      <c r="V387"/>
      <c r="AC387" t="s">
        <v>4283</v>
      </c>
      <c r="AW387" t="str">
        <f>IF(COUNTIFS(HCP_evidence!$A:$A, M387, HCP_evidence!$AH:$AH, "&lt;&gt;")&gt;0, "Yes", "")</f>
        <v/>
      </c>
      <c r="BB387" s="74"/>
    </row>
    <row r="388" spans="1:54" hidden="1">
      <c r="A388">
        <v>186</v>
      </c>
      <c r="M388" t="s">
        <v>1141</v>
      </c>
      <c r="Q388" t="str">
        <f>IF(COUNTIFS(HCP_evidence!$A:$A, M388, HCP_evidence!$AB:$AB, "&lt;&gt;")&gt;0, "Yes", "")</f>
        <v/>
      </c>
      <c r="V388"/>
      <c r="AC388" t="s">
        <v>4283</v>
      </c>
      <c r="AW388" t="str">
        <f>IF(COUNTIFS(HCP_evidence!$A:$A, M388, HCP_evidence!$AH:$AH, "&lt;&gt;")&gt;0, "Yes", "")</f>
        <v/>
      </c>
      <c r="BB388" s="74"/>
    </row>
    <row r="389" spans="1:54" hidden="1">
      <c r="A389">
        <v>208</v>
      </c>
      <c r="J389" t="s">
        <v>8352</v>
      </c>
      <c r="K389" s="72" t="s">
        <v>8349</v>
      </c>
      <c r="M389" t="s">
        <v>1161</v>
      </c>
      <c r="Q389" t="str">
        <f>IF(COUNTIFS(HCP_evidence!$A:$A, M389, HCP_evidence!$AB:$AB, "&lt;&gt;")&gt;0, "Yes", "")</f>
        <v/>
      </c>
      <c r="V389"/>
      <c r="W389" t="s">
        <v>3793</v>
      </c>
      <c r="X389" t="s">
        <v>4286</v>
      </c>
      <c r="AC389" t="s">
        <v>4283</v>
      </c>
      <c r="AW389" t="str">
        <f>IF(COUNTIFS(HCP_evidence!$A:$A, M389, HCP_evidence!$AH:$AH, "&lt;&gt;")&gt;0, "Yes", "")</f>
        <v/>
      </c>
      <c r="BB389" s="74"/>
    </row>
    <row r="390" spans="1:54" hidden="1">
      <c r="A390">
        <v>184</v>
      </c>
      <c r="M390" t="s">
        <v>1139</v>
      </c>
      <c r="Q390" t="str">
        <f>IF(COUNTIFS(HCP_evidence!$A:$A, M390, HCP_evidence!$AB:$AB, "&lt;&gt;")&gt;0, "Yes", "")</f>
        <v/>
      </c>
      <c r="V390"/>
      <c r="AC390" t="s">
        <v>4283</v>
      </c>
      <c r="AW390" t="str">
        <f>IF(COUNTIFS(HCP_evidence!$A:$A, M390, HCP_evidence!$AH:$AH, "&lt;&gt;")&gt;0, "Yes", "")</f>
        <v/>
      </c>
      <c r="BB390" s="74"/>
    </row>
    <row r="391" spans="1:54" hidden="1">
      <c r="A391">
        <v>170</v>
      </c>
      <c r="J391" t="s">
        <v>11336</v>
      </c>
      <c r="K391" s="72" t="s">
        <v>11323</v>
      </c>
      <c r="M391" t="s">
        <v>1125</v>
      </c>
      <c r="Q391" t="str">
        <f>IF(COUNTIFS(HCP_evidence!$A:$A, M391, HCP_evidence!$AB:$AB, "&lt;&gt;")&gt;0, "Yes", "")</f>
        <v>Yes</v>
      </c>
      <c r="V391" t="s">
        <v>11324</v>
      </c>
      <c r="W391" t="s">
        <v>3845</v>
      </c>
      <c r="X391" t="s">
        <v>1379</v>
      </c>
      <c r="AC391" t="s">
        <v>4283</v>
      </c>
      <c r="AW391" t="str">
        <f>IF(COUNTIFS(HCP_evidence!$A:$A, M391, HCP_evidence!$AH:$AH, "&lt;&gt;")&gt;0, "Yes", "")</f>
        <v/>
      </c>
      <c r="BB391" s="74"/>
    </row>
    <row r="392" spans="1:54" hidden="1">
      <c r="A392">
        <v>163</v>
      </c>
      <c r="M392" t="s">
        <v>1118</v>
      </c>
      <c r="Q392" t="str">
        <f>IF(COUNTIFS(HCP_evidence!$A:$A, M392, HCP_evidence!$AB:$AB, "&lt;&gt;")&gt;0, "Yes", "")</f>
        <v/>
      </c>
      <c r="V392"/>
      <c r="AC392" t="s">
        <v>4283</v>
      </c>
      <c r="AW392" t="str">
        <f>IF(COUNTIFS(HCP_evidence!$A:$A, M392, HCP_evidence!$AH:$AH, "&lt;&gt;")&gt;0, "Yes", "")</f>
        <v/>
      </c>
      <c r="BB392" s="74"/>
    </row>
    <row r="393" spans="1:54" hidden="1">
      <c r="A393">
        <v>181</v>
      </c>
      <c r="M393" t="s">
        <v>1136</v>
      </c>
      <c r="Q393" t="str">
        <f>IF(COUNTIFS(HCP_evidence!$A:$A, M393, HCP_evidence!$AB:$AB, "&lt;&gt;")&gt;0, "Yes", "")</f>
        <v/>
      </c>
      <c r="V393"/>
      <c r="AC393" t="s">
        <v>4283</v>
      </c>
      <c r="AW393" t="str">
        <f>IF(COUNTIFS(HCP_evidence!$A:$A, M393, HCP_evidence!$AH:$AH, "&lt;&gt;")&gt;0, "Yes", "")</f>
        <v/>
      </c>
      <c r="BB393" s="74"/>
    </row>
    <row r="394" spans="1:54" hidden="1">
      <c r="A394">
        <v>183</v>
      </c>
      <c r="J394" t="s">
        <v>11495</v>
      </c>
      <c r="K394" s="72" t="s">
        <v>8244</v>
      </c>
      <c r="M394" t="s">
        <v>1138</v>
      </c>
      <c r="N394" s="71" t="s">
        <v>1138</v>
      </c>
      <c r="Q394" t="str">
        <f>IF(COUNTIFS(HCP_evidence!$A:$A, M394, HCP_evidence!$AB:$AB, "&lt;&gt;")&gt;0, "Yes", "")</f>
        <v/>
      </c>
      <c r="V394"/>
      <c r="W394" t="s">
        <v>8203</v>
      </c>
      <c r="X394" t="s">
        <v>8234</v>
      </c>
      <c r="AC394" t="s">
        <v>4283</v>
      </c>
      <c r="AW394" t="str">
        <f>IF(COUNTIFS(HCP_evidence!$A:$A, M394, HCP_evidence!$AH:$AH, "&lt;&gt;")&gt;0, "Yes", "")</f>
        <v/>
      </c>
      <c r="BB394" s="74"/>
    </row>
    <row r="395" spans="1:54" hidden="1">
      <c r="M395" t="s">
        <v>1210</v>
      </c>
      <c r="Q395" t="str">
        <f>IF(COUNTIFS(HCP_evidence!$A:$A, M395, HCP_evidence!$AB:$AB, "&lt;&gt;")&gt;0, "Yes", "")</f>
        <v/>
      </c>
      <c r="V395"/>
      <c r="AC395" t="s">
        <v>4283</v>
      </c>
      <c r="AW395" t="str">
        <f>IF(COUNTIFS(HCP_evidence!$A:$A, M395, HCP_evidence!$AH:$AH, "&lt;&gt;")&gt;0, "Yes", "")</f>
        <v/>
      </c>
      <c r="BB395" s="74"/>
    </row>
    <row r="396" spans="1:54" hidden="1">
      <c r="M396" t="s">
        <v>1205</v>
      </c>
      <c r="Q396" t="str">
        <f>IF(COUNTIFS(HCP_evidence!$A:$A, M396, HCP_evidence!$AB:$AB, "&lt;&gt;")&gt;0, "Yes", "")</f>
        <v/>
      </c>
      <c r="V396"/>
      <c r="AC396" t="s">
        <v>4283</v>
      </c>
      <c r="AW396" t="str">
        <f>IF(COUNTIFS(HCP_evidence!$A:$A, M396, HCP_evidence!$AH:$AH, "&lt;&gt;")&gt;0, "Yes", "")</f>
        <v/>
      </c>
      <c r="BB396" s="74"/>
    </row>
    <row r="397" spans="1:54" hidden="1">
      <c r="M397" t="s">
        <v>1207</v>
      </c>
      <c r="Q397" t="str">
        <f>IF(COUNTIFS(HCP_evidence!$A:$A, M397, HCP_evidence!$AB:$AB, "&lt;&gt;")&gt;0, "Yes", "")</f>
        <v/>
      </c>
      <c r="V397"/>
      <c r="AC397" t="s">
        <v>4283</v>
      </c>
      <c r="AW397" t="str">
        <f>IF(COUNTIFS(HCP_evidence!$A:$A, M397, HCP_evidence!$AH:$AH, "&lt;&gt;")&gt;0, "Yes", "")</f>
        <v/>
      </c>
      <c r="BB397" s="74"/>
    </row>
    <row r="398" spans="1:54" hidden="1">
      <c r="M398" t="s">
        <v>1213</v>
      </c>
      <c r="Q398" t="str">
        <f>IF(COUNTIFS(HCP_evidence!$A:$A, M398, HCP_evidence!$AB:$AB, "&lt;&gt;")&gt;0, "Yes", "")</f>
        <v/>
      </c>
      <c r="V398"/>
      <c r="AC398" t="s">
        <v>4283</v>
      </c>
      <c r="AW398" t="str">
        <f>IF(COUNTIFS(HCP_evidence!$A:$A, M398, HCP_evidence!$AH:$AH, "&lt;&gt;")&gt;0, "Yes", "")</f>
        <v/>
      </c>
      <c r="BB398" s="74"/>
    </row>
    <row r="399" spans="1:54" hidden="1">
      <c r="M399" t="s">
        <v>1214</v>
      </c>
      <c r="Q399" t="str">
        <f>IF(COUNTIFS(HCP_evidence!$A:$A, M399, HCP_evidence!$AB:$AB, "&lt;&gt;")&gt;0, "Yes", "")</f>
        <v/>
      </c>
      <c r="V399"/>
      <c r="AC399" t="s">
        <v>4283</v>
      </c>
      <c r="AW399" t="str">
        <f>IF(COUNTIFS(HCP_evidence!$A:$A, M399, HCP_evidence!$AH:$AH, "&lt;&gt;")&gt;0, "Yes", "")</f>
        <v/>
      </c>
      <c r="BB399" s="74"/>
    </row>
    <row r="400" spans="1:54" hidden="1">
      <c r="J400" t="s">
        <v>2972</v>
      </c>
      <c r="M400" s="80" t="s">
        <v>2974</v>
      </c>
      <c r="Q400" t="str">
        <f>IF(COUNTIFS(HCP_evidence!$A:$A, M400, HCP_evidence!$AB:$AB, "&lt;&gt;")&gt;0, "Yes", "")</f>
        <v/>
      </c>
      <c r="V400"/>
      <c r="X400" t="s">
        <v>2975</v>
      </c>
      <c r="AC400" t="s">
        <v>4283</v>
      </c>
      <c r="AW400" t="str">
        <f>IF(COUNTIFS(HCP_evidence!$A:$A, M400, HCP_evidence!$AH:$AH, "&lt;&gt;")&gt;0, "Yes", "")</f>
        <v/>
      </c>
      <c r="BB400" s="74"/>
    </row>
    <row r="401" spans="10:54" hidden="1">
      <c r="J401" t="s">
        <v>2972</v>
      </c>
      <c r="M401" s="80" t="s">
        <v>2976</v>
      </c>
      <c r="Q401" t="str">
        <f>IF(COUNTIFS(HCP_evidence!$A:$A, M401, HCP_evidence!$AB:$AB, "&lt;&gt;")&gt;0, "Yes", "")</f>
        <v/>
      </c>
      <c r="V401"/>
      <c r="X401" t="s">
        <v>42</v>
      </c>
      <c r="AC401" t="s">
        <v>4283</v>
      </c>
      <c r="AW401" t="str">
        <f>IF(COUNTIFS(HCP_evidence!$A:$A, M401, HCP_evidence!$AH:$AH, "&lt;&gt;")&gt;0, "Yes", "")</f>
        <v/>
      </c>
      <c r="BB401" s="74"/>
    </row>
    <row r="402" spans="10:54" hidden="1">
      <c r="J402" t="s">
        <v>2972</v>
      </c>
      <c r="M402" s="80" t="s">
        <v>2977</v>
      </c>
      <c r="Q402" t="str">
        <f>IF(COUNTIFS(HCP_evidence!$A:$A, M402, HCP_evidence!$AB:$AB, "&lt;&gt;")&gt;0, "Yes", "")</f>
        <v/>
      </c>
      <c r="V402"/>
      <c r="X402" t="s">
        <v>42</v>
      </c>
      <c r="AC402" t="s">
        <v>4283</v>
      </c>
      <c r="AW402" t="str">
        <f>IF(COUNTIFS(HCP_evidence!$A:$A, M402, HCP_evidence!$AH:$AH, "&lt;&gt;")&gt;0, "Yes", "")</f>
        <v/>
      </c>
      <c r="BB402" s="74"/>
    </row>
    <row r="403" spans="10:54" hidden="1">
      <c r="J403" t="s">
        <v>2972</v>
      </c>
      <c r="M403" s="80" t="s">
        <v>2978</v>
      </c>
      <c r="Q403" t="str">
        <f>IF(COUNTIFS(HCP_evidence!$A:$A, M403, HCP_evidence!$AB:$AB, "&lt;&gt;")&gt;0, "Yes", "")</f>
        <v/>
      </c>
      <c r="V403"/>
      <c r="X403" t="s">
        <v>42</v>
      </c>
      <c r="AC403" t="s">
        <v>4283</v>
      </c>
      <c r="AW403" t="str">
        <f>IF(COUNTIFS(HCP_evidence!$A:$A, M403, HCP_evidence!$AH:$AH, "&lt;&gt;")&gt;0, "Yes", "")</f>
        <v/>
      </c>
      <c r="BB403" s="74"/>
    </row>
    <row r="404" spans="10:54" hidden="1">
      <c r="J404" t="s">
        <v>2972</v>
      </c>
      <c r="M404" s="80" t="s">
        <v>2979</v>
      </c>
      <c r="Q404" t="str">
        <f>IF(COUNTIFS(HCP_evidence!$A:$A, M404, HCP_evidence!$AB:$AB, "&lt;&gt;")&gt;0, "Yes", "")</f>
        <v/>
      </c>
      <c r="V404"/>
      <c r="X404" t="s">
        <v>52</v>
      </c>
      <c r="AC404" t="s">
        <v>4283</v>
      </c>
      <c r="AW404" t="str">
        <f>IF(COUNTIFS(HCP_evidence!$A:$A, M404, HCP_evidence!$AH:$AH, "&lt;&gt;")&gt;0, "Yes", "")</f>
        <v/>
      </c>
      <c r="BB404" s="74"/>
    </row>
    <row r="405" spans="10:54" hidden="1">
      <c r="J405" t="s">
        <v>2972</v>
      </c>
      <c r="M405" s="80" t="s">
        <v>2980</v>
      </c>
      <c r="Q405" t="str">
        <f>IF(COUNTIFS(HCP_evidence!$A:$A, M405, HCP_evidence!$AB:$AB, "&lt;&gt;")&gt;0, "Yes", "")</f>
        <v/>
      </c>
      <c r="V405"/>
      <c r="X405" t="s">
        <v>52</v>
      </c>
      <c r="AC405" t="s">
        <v>4283</v>
      </c>
      <c r="AW405" t="str">
        <f>IF(COUNTIFS(HCP_evidence!$A:$A, M405, HCP_evidence!$AH:$AH, "&lt;&gt;")&gt;0, "Yes", "")</f>
        <v/>
      </c>
      <c r="BB405" s="74"/>
    </row>
    <row r="406" spans="10:54" hidden="1">
      <c r="J406" t="s">
        <v>2972</v>
      </c>
      <c r="M406" s="80" t="s">
        <v>2982</v>
      </c>
      <c r="Q406" t="str">
        <f>IF(COUNTIFS(HCP_evidence!$A:$A, M406, HCP_evidence!$AB:$AB, "&lt;&gt;")&gt;0, "Yes", "")</f>
        <v/>
      </c>
      <c r="V406"/>
      <c r="X406" t="s">
        <v>2981</v>
      </c>
      <c r="AC406" t="s">
        <v>4283</v>
      </c>
      <c r="AW406" t="str">
        <f>IF(COUNTIFS(HCP_evidence!$A:$A, M406, HCP_evidence!$AH:$AH, "&lt;&gt;")&gt;0, "Yes", "")</f>
        <v/>
      </c>
      <c r="BB406" s="74"/>
    </row>
    <row r="407" spans="10:54" hidden="1">
      <c r="J407" t="s">
        <v>2972</v>
      </c>
      <c r="M407" s="80" t="s">
        <v>2983</v>
      </c>
      <c r="Q407" t="str">
        <f>IF(COUNTIFS(HCP_evidence!$A:$A, M407, HCP_evidence!$AB:$AB, "&lt;&gt;")&gt;0, "Yes", "")</f>
        <v/>
      </c>
      <c r="V407"/>
      <c r="X407" t="s">
        <v>2981</v>
      </c>
      <c r="AC407" t="s">
        <v>4283</v>
      </c>
      <c r="AW407" t="str">
        <f>IF(COUNTIFS(HCP_evidence!$A:$A, M407, HCP_evidence!$AH:$AH, "&lt;&gt;")&gt;0, "Yes", "")</f>
        <v/>
      </c>
      <c r="BB407" s="74"/>
    </row>
    <row r="408" spans="10:54" hidden="1">
      <c r="J408" t="s">
        <v>2972</v>
      </c>
      <c r="M408" s="80" t="s">
        <v>2984</v>
      </c>
      <c r="Q408" t="str">
        <f>IF(COUNTIFS(HCP_evidence!$A:$A, M408, HCP_evidence!$AB:$AB, "&lt;&gt;")&gt;0, "Yes", "")</f>
        <v/>
      </c>
      <c r="V408"/>
      <c r="X408" t="s">
        <v>68</v>
      </c>
      <c r="AC408" t="s">
        <v>4283</v>
      </c>
      <c r="AW408" t="str">
        <f>IF(COUNTIFS(HCP_evidence!$A:$A, M408, HCP_evidence!$AH:$AH, "&lt;&gt;")&gt;0, "Yes", "")</f>
        <v/>
      </c>
      <c r="BB408" s="74"/>
    </row>
    <row r="409" spans="10:54" hidden="1">
      <c r="J409" t="s">
        <v>2972</v>
      </c>
      <c r="M409" s="80" t="s">
        <v>2985</v>
      </c>
      <c r="Q409" t="str">
        <f>IF(COUNTIFS(HCP_evidence!$A:$A, M409, HCP_evidence!$AB:$AB, "&lt;&gt;")&gt;0, "Yes", "")</f>
        <v/>
      </c>
      <c r="V409"/>
      <c r="X409" t="s">
        <v>68</v>
      </c>
      <c r="AC409" t="s">
        <v>4283</v>
      </c>
      <c r="AW409" t="str">
        <f>IF(COUNTIFS(HCP_evidence!$A:$A, M409, HCP_evidence!$AH:$AH, "&lt;&gt;")&gt;0, "Yes", "")</f>
        <v/>
      </c>
      <c r="BB409" s="74"/>
    </row>
    <row r="410" spans="10:54" hidden="1">
      <c r="J410" t="s">
        <v>2972</v>
      </c>
      <c r="M410" s="80" t="s">
        <v>2986</v>
      </c>
      <c r="Q410" t="str">
        <f>IF(COUNTIFS(HCP_evidence!$A:$A, M410, HCP_evidence!$AB:$AB, "&lt;&gt;")&gt;0, "Yes", "")</f>
        <v/>
      </c>
      <c r="V410"/>
      <c r="X410" t="s">
        <v>68</v>
      </c>
      <c r="AC410" t="s">
        <v>4283</v>
      </c>
      <c r="AW410" t="str">
        <f>IF(COUNTIFS(HCP_evidence!$A:$A, M410, HCP_evidence!$AH:$AH, "&lt;&gt;")&gt;0, "Yes", "")</f>
        <v/>
      </c>
      <c r="BB410" s="74"/>
    </row>
    <row r="411" spans="10:54" hidden="1">
      <c r="J411" t="s">
        <v>2972</v>
      </c>
      <c r="M411" s="80" t="s">
        <v>2988</v>
      </c>
      <c r="Q411" t="str">
        <f>IF(COUNTIFS(HCP_evidence!$A:$A, M411, HCP_evidence!$AB:$AB, "&lt;&gt;")&gt;0, "Yes", "")</f>
        <v/>
      </c>
      <c r="V411"/>
      <c r="X411" t="s">
        <v>2987</v>
      </c>
      <c r="AC411" t="s">
        <v>4283</v>
      </c>
      <c r="AW411" t="str">
        <f>IF(COUNTIFS(HCP_evidence!$A:$A, M411, HCP_evidence!$AH:$AH, "&lt;&gt;")&gt;0, "Yes", "")</f>
        <v/>
      </c>
      <c r="BB411" s="74"/>
    </row>
    <row r="412" spans="10:54" hidden="1">
      <c r="J412" t="s">
        <v>2972</v>
      </c>
      <c r="M412" s="80" t="s">
        <v>2990</v>
      </c>
      <c r="Q412" t="str">
        <f>IF(COUNTIFS(HCP_evidence!$A:$A, M412, HCP_evidence!$AB:$AB, "&lt;&gt;")&gt;0, "Yes", "")</f>
        <v/>
      </c>
      <c r="V412"/>
      <c r="X412" t="s">
        <v>2989</v>
      </c>
      <c r="AC412" t="s">
        <v>4283</v>
      </c>
      <c r="AW412" t="str">
        <f>IF(COUNTIFS(HCP_evidence!$A:$A, M412, HCP_evidence!$AH:$AH, "&lt;&gt;")&gt;0, "Yes", "")</f>
        <v/>
      </c>
      <c r="BB412" s="74"/>
    </row>
    <row r="413" spans="10:54" hidden="1">
      <c r="J413" t="s">
        <v>2972</v>
      </c>
      <c r="M413" s="80" t="s">
        <v>2991</v>
      </c>
      <c r="Q413" t="str">
        <f>IF(COUNTIFS(HCP_evidence!$A:$A, M413, HCP_evidence!$AB:$AB, "&lt;&gt;")&gt;0, "Yes", "")</f>
        <v/>
      </c>
      <c r="V413"/>
      <c r="X413" t="s">
        <v>2989</v>
      </c>
      <c r="AC413" t="s">
        <v>4283</v>
      </c>
      <c r="AW413" t="str">
        <f>IF(COUNTIFS(HCP_evidence!$A:$A, M413, HCP_evidence!$AH:$AH, "&lt;&gt;")&gt;0, "Yes", "")</f>
        <v/>
      </c>
      <c r="BB413" s="74"/>
    </row>
    <row r="414" spans="10:54" hidden="1">
      <c r="J414" t="s">
        <v>2972</v>
      </c>
      <c r="M414" s="80" t="s">
        <v>2992</v>
      </c>
      <c r="Q414" t="str">
        <f>IF(COUNTIFS(HCP_evidence!$A:$A, M414, HCP_evidence!$AB:$AB, "&lt;&gt;")&gt;0, "Yes", "")</f>
        <v/>
      </c>
      <c r="V414"/>
      <c r="X414" t="s">
        <v>2989</v>
      </c>
      <c r="AC414" t="s">
        <v>4283</v>
      </c>
      <c r="AW414" t="str">
        <f>IF(COUNTIFS(HCP_evidence!$A:$A, M414, HCP_evidence!$AH:$AH, "&lt;&gt;")&gt;0, "Yes", "")</f>
        <v/>
      </c>
      <c r="BB414" s="74"/>
    </row>
    <row r="415" spans="10:54" hidden="1">
      <c r="J415" t="s">
        <v>2972</v>
      </c>
      <c r="M415" s="80" t="s">
        <v>2993</v>
      </c>
      <c r="Q415" t="str">
        <f>IF(COUNTIFS(HCP_evidence!$A:$A, M415, HCP_evidence!$AB:$AB, "&lt;&gt;")&gt;0, "Yes", "")</f>
        <v/>
      </c>
      <c r="V415"/>
      <c r="X415" t="s">
        <v>2995</v>
      </c>
      <c r="AC415" t="s">
        <v>4283</v>
      </c>
      <c r="AW415" t="str">
        <f>IF(COUNTIFS(HCP_evidence!$A:$A, M415, HCP_evidence!$AH:$AH, "&lt;&gt;")&gt;0, "Yes", "")</f>
        <v/>
      </c>
      <c r="BB415" s="74"/>
    </row>
    <row r="416" spans="10:54" hidden="1">
      <c r="J416" t="s">
        <v>2972</v>
      </c>
      <c r="M416" s="80" t="s">
        <v>2994</v>
      </c>
      <c r="Q416" t="str">
        <f>IF(COUNTIFS(HCP_evidence!$A:$A, M416, HCP_evidence!$AB:$AB, "&lt;&gt;")&gt;0, "Yes", "")</f>
        <v/>
      </c>
      <c r="V416"/>
      <c r="X416" t="s">
        <v>2995</v>
      </c>
      <c r="AC416" t="s">
        <v>4283</v>
      </c>
      <c r="AW416" t="str">
        <f>IF(COUNTIFS(HCP_evidence!$A:$A, M416, HCP_evidence!$AH:$AH, "&lt;&gt;")&gt;0, "Yes", "")</f>
        <v/>
      </c>
      <c r="BB416" s="74"/>
    </row>
    <row r="417" spans="10:54" hidden="1">
      <c r="J417" t="s">
        <v>2972</v>
      </c>
      <c r="M417" s="80" t="s">
        <v>2996</v>
      </c>
      <c r="Q417" t="str">
        <f>IF(COUNTIFS(HCP_evidence!$A:$A, M417, HCP_evidence!$AB:$AB, "&lt;&gt;")&gt;0, "Yes", "")</f>
        <v/>
      </c>
      <c r="V417"/>
      <c r="X417" t="s">
        <v>101</v>
      </c>
      <c r="AC417" t="s">
        <v>4283</v>
      </c>
      <c r="AW417" t="str">
        <f>IF(COUNTIFS(HCP_evidence!$A:$A, M417, HCP_evidence!$AH:$AH, "&lt;&gt;")&gt;0, "Yes", "")</f>
        <v/>
      </c>
      <c r="BB417" s="74"/>
    </row>
    <row r="418" spans="10:54" hidden="1">
      <c r="J418" t="s">
        <v>2972</v>
      </c>
      <c r="M418" s="80" t="s">
        <v>2997</v>
      </c>
      <c r="Q418" t="str">
        <f>IF(COUNTIFS(HCP_evidence!$A:$A, M418, HCP_evidence!$AB:$AB, "&lt;&gt;")&gt;0, "Yes", "")</f>
        <v/>
      </c>
      <c r="V418"/>
      <c r="X418" t="s">
        <v>3000</v>
      </c>
      <c r="AC418" t="s">
        <v>4283</v>
      </c>
      <c r="AW418" t="str">
        <f>IF(COUNTIFS(HCP_evidence!$A:$A, M418, HCP_evidence!$AH:$AH, "&lt;&gt;")&gt;0, "Yes", "")</f>
        <v/>
      </c>
      <c r="BB418" s="74"/>
    </row>
    <row r="419" spans="10:54" hidden="1">
      <c r="J419" t="s">
        <v>2972</v>
      </c>
      <c r="M419" s="80" t="s">
        <v>2998</v>
      </c>
      <c r="Q419" t="str">
        <f>IF(COUNTIFS(HCP_evidence!$A:$A, M419, HCP_evidence!$AB:$AB, "&lt;&gt;")&gt;0, "Yes", "")</f>
        <v/>
      </c>
      <c r="V419"/>
      <c r="X419" t="s">
        <v>3000</v>
      </c>
      <c r="AC419" t="s">
        <v>4283</v>
      </c>
      <c r="AW419" t="str">
        <f>IF(COUNTIFS(HCP_evidence!$A:$A, M419, HCP_evidence!$AH:$AH, "&lt;&gt;")&gt;0, "Yes", "")</f>
        <v/>
      </c>
      <c r="BB419" s="74"/>
    </row>
    <row r="420" spans="10:54" hidden="1">
      <c r="J420" t="s">
        <v>2972</v>
      </c>
      <c r="M420" s="80" t="s">
        <v>2999</v>
      </c>
      <c r="Q420" t="str">
        <f>IF(COUNTIFS(HCP_evidence!$A:$A, M420, HCP_evidence!$AB:$AB, "&lt;&gt;")&gt;0, "Yes", "")</f>
        <v/>
      </c>
      <c r="V420"/>
      <c r="X420" t="s">
        <v>3000</v>
      </c>
      <c r="AC420" t="s">
        <v>4283</v>
      </c>
      <c r="AW420" t="str">
        <f>IF(COUNTIFS(HCP_evidence!$A:$A, M420, HCP_evidence!$AH:$AH, "&lt;&gt;")&gt;0, "Yes", "")</f>
        <v/>
      </c>
      <c r="BB420" s="74"/>
    </row>
    <row r="421" spans="10:54" hidden="1">
      <c r="J421" t="s">
        <v>2972</v>
      </c>
      <c r="M421" s="80" t="s">
        <v>3001</v>
      </c>
      <c r="Q421" t="str">
        <f>IF(COUNTIFS(HCP_evidence!$A:$A, M421, HCP_evidence!$AB:$AB, "&lt;&gt;")&gt;0, "Yes", "")</f>
        <v/>
      </c>
      <c r="V421"/>
      <c r="X421" t="s">
        <v>3002</v>
      </c>
      <c r="AC421" t="s">
        <v>4283</v>
      </c>
      <c r="AW421" t="str">
        <f>IF(COUNTIFS(HCP_evidence!$A:$A, M421, HCP_evidence!$AH:$AH, "&lt;&gt;")&gt;0, "Yes", "")</f>
        <v/>
      </c>
      <c r="BB421" s="74"/>
    </row>
    <row r="422" spans="10:54" hidden="1">
      <c r="J422" t="s">
        <v>2972</v>
      </c>
      <c r="M422" s="80" t="s">
        <v>3003</v>
      </c>
      <c r="Q422" t="str">
        <f>IF(COUNTIFS(HCP_evidence!$A:$A, M422, HCP_evidence!$AB:$AB, "&lt;&gt;")&gt;0, "Yes", "")</f>
        <v/>
      </c>
      <c r="V422"/>
      <c r="X422" t="s">
        <v>3004</v>
      </c>
      <c r="AC422" t="s">
        <v>4283</v>
      </c>
      <c r="AW422" t="str">
        <f>IF(COUNTIFS(HCP_evidence!$A:$A, M422, HCP_evidence!$AH:$AH, "&lt;&gt;")&gt;0, "Yes", "")</f>
        <v/>
      </c>
      <c r="BB422" s="74"/>
    </row>
    <row r="423" spans="10:54" hidden="1">
      <c r="J423" t="s">
        <v>2972</v>
      </c>
      <c r="M423" s="80" t="s">
        <v>3005</v>
      </c>
      <c r="Q423" t="str">
        <f>IF(COUNTIFS(HCP_evidence!$A:$A, M423, HCP_evidence!$AB:$AB, "&lt;&gt;")&gt;0, "Yes", "")</f>
        <v/>
      </c>
      <c r="V423"/>
      <c r="X423" t="s">
        <v>3004</v>
      </c>
      <c r="AC423" t="s">
        <v>4283</v>
      </c>
      <c r="AW423" t="str">
        <f>IF(COUNTIFS(HCP_evidence!$A:$A, M423, HCP_evidence!$AH:$AH, "&lt;&gt;")&gt;0, "Yes", "")</f>
        <v/>
      </c>
      <c r="BB423" s="74"/>
    </row>
    <row r="424" spans="10:54" hidden="1">
      <c r="J424" t="s">
        <v>2972</v>
      </c>
      <c r="M424" s="80" t="s">
        <v>3006</v>
      </c>
      <c r="Q424" t="str">
        <f>IF(COUNTIFS(HCP_evidence!$A:$A, M424, HCP_evidence!$AB:$AB, "&lt;&gt;")&gt;0, "Yes", "")</f>
        <v/>
      </c>
      <c r="V424"/>
      <c r="X424" t="s">
        <v>3007</v>
      </c>
      <c r="AC424" t="s">
        <v>4283</v>
      </c>
      <c r="AW424" t="str">
        <f>IF(COUNTIFS(HCP_evidence!$A:$A, M424, HCP_evidence!$AH:$AH, "&lt;&gt;")&gt;0, "Yes", "")</f>
        <v/>
      </c>
      <c r="BB424" s="74"/>
    </row>
    <row r="425" spans="10:54" hidden="1">
      <c r="J425" t="s">
        <v>2972</v>
      </c>
      <c r="M425" s="80" t="s">
        <v>3008</v>
      </c>
      <c r="Q425" t="str">
        <f>IF(COUNTIFS(HCP_evidence!$A:$A, M425, HCP_evidence!$AB:$AB, "&lt;&gt;")&gt;0, "Yes", "")</f>
        <v/>
      </c>
      <c r="V425"/>
      <c r="X425" t="s">
        <v>3009</v>
      </c>
      <c r="AC425" t="s">
        <v>4283</v>
      </c>
      <c r="AW425" t="str">
        <f>IF(COUNTIFS(HCP_evidence!$A:$A, M425, HCP_evidence!$AH:$AH, "&lt;&gt;")&gt;0, "Yes", "")</f>
        <v/>
      </c>
      <c r="BB425" s="74"/>
    </row>
    <row r="426" spans="10:54" hidden="1">
      <c r="J426" t="s">
        <v>2972</v>
      </c>
      <c r="M426" s="80" t="s">
        <v>3010</v>
      </c>
      <c r="Q426" t="str">
        <f>IF(COUNTIFS(HCP_evidence!$A:$A, M426, HCP_evidence!$AB:$AB, "&lt;&gt;")&gt;0, "Yes", "")</f>
        <v/>
      </c>
      <c r="V426"/>
      <c r="X426" t="s">
        <v>3012</v>
      </c>
      <c r="AC426" t="s">
        <v>4283</v>
      </c>
      <c r="AW426" t="str">
        <f>IF(COUNTIFS(HCP_evidence!$A:$A, M426, HCP_evidence!$AH:$AH, "&lt;&gt;")&gt;0, "Yes", "")</f>
        <v/>
      </c>
      <c r="BB426" s="74"/>
    </row>
    <row r="427" spans="10:54" hidden="1">
      <c r="J427" t="s">
        <v>2972</v>
      </c>
      <c r="M427" s="80" t="s">
        <v>3011</v>
      </c>
      <c r="Q427" t="str">
        <f>IF(COUNTIFS(HCP_evidence!$A:$A, M427, HCP_evidence!$AB:$AB, "&lt;&gt;")&gt;0, "Yes", "")</f>
        <v/>
      </c>
      <c r="V427"/>
      <c r="X427" t="s">
        <v>3012</v>
      </c>
      <c r="AC427" t="s">
        <v>4283</v>
      </c>
      <c r="AW427" t="str">
        <f>IF(COUNTIFS(HCP_evidence!$A:$A, M427, HCP_evidence!$AH:$AH, "&lt;&gt;")&gt;0, "Yes", "")</f>
        <v/>
      </c>
      <c r="BB427" s="74"/>
    </row>
    <row r="428" spans="10:54" hidden="1">
      <c r="J428" t="s">
        <v>2972</v>
      </c>
      <c r="M428" s="80" t="s">
        <v>3013</v>
      </c>
      <c r="Q428" t="str">
        <f>IF(COUNTIFS(HCP_evidence!$A:$A, M428, HCP_evidence!$AB:$AB, "&lt;&gt;")&gt;0, "Yes", "")</f>
        <v/>
      </c>
      <c r="V428"/>
      <c r="X428" t="s">
        <v>151</v>
      </c>
      <c r="AC428" t="s">
        <v>4283</v>
      </c>
      <c r="AW428" t="str">
        <f>IF(COUNTIFS(HCP_evidence!$A:$A, M428, HCP_evidence!$AH:$AH, "&lt;&gt;")&gt;0, "Yes", "")</f>
        <v/>
      </c>
      <c r="BB428" s="74"/>
    </row>
    <row r="429" spans="10:54" hidden="1">
      <c r="J429" t="s">
        <v>2972</v>
      </c>
      <c r="M429" s="80" t="s">
        <v>3014</v>
      </c>
      <c r="Q429" t="str">
        <f>IF(COUNTIFS(HCP_evidence!$A:$A, M429, HCP_evidence!$AB:$AB, "&lt;&gt;")&gt;0, "Yes", "")</f>
        <v/>
      </c>
      <c r="V429"/>
      <c r="X429" t="s">
        <v>151</v>
      </c>
      <c r="AC429" t="s">
        <v>4283</v>
      </c>
      <c r="AW429" t="str">
        <f>IF(COUNTIFS(HCP_evidence!$A:$A, M429, HCP_evidence!$AH:$AH, "&lt;&gt;")&gt;0, "Yes", "")</f>
        <v/>
      </c>
      <c r="BB429" s="74"/>
    </row>
    <row r="430" spans="10:54" hidden="1">
      <c r="J430" t="s">
        <v>2972</v>
      </c>
      <c r="M430" s="80" t="s">
        <v>3015</v>
      </c>
      <c r="Q430" t="str">
        <f>IF(COUNTIFS(HCP_evidence!$A:$A, M430, HCP_evidence!$AB:$AB, "&lt;&gt;")&gt;0, "Yes", "")</f>
        <v/>
      </c>
      <c r="V430"/>
      <c r="X430" t="s">
        <v>151</v>
      </c>
      <c r="AC430" t="s">
        <v>4283</v>
      </c>
      <c r="AW430" t="str">
        <f>IF(COUNTIFS(HCP_evidence!$A:$A, M430, HCP_evidence!$AH:$AH, "&lt;&gt;")&gt;0, "Yes", "")</f>
        <v/>
      </c>
      <c r="BB430" s="74"/>
    </row>
    <row r="431" spans="10:54" hidden="1">
      <c r="J431" t="s">
        <v>2972</v>
      </c>
      <c r="M431" s="80" t="s">
        <v>3017</v>
      </c>
      <c r="Q431" t="str">
        <f>IF(COUNTIFS(HCP_evidence!$A:$A, M431, HCP_evidence!$AB:$AB, "&lt;&gt;")&gt;0, "Yes", "")</f>
        <v/>
      </c>
      <c r="S431" s="55"/>
      <c r="V431"/>
      <c r="X431" t="s">
        <v>3016</v>
      </c>
      <c r="AC431" t="s">
        <v>4283</v>
      </c>
      <c r="AW431" t="str">
        <f>IF(COUNTIFS(HCP_evidence!$A:$A, M431, HCP_evidence!$AH:$AH, "&lt;&gt;")&gt;0, "Yes", "")</f>
        <v/>
      </c>
      <c r="BB431" s="74"/>
    </row>
    <row r="432" spans="10:54" hidden="1">
      <c r="J432" t="s">
        <v>2972</v>
      </c>
      <c r="M432" s="80" t="s">
        <v>3019</v>
      </c>
      <c r="Q432" t="str">
        <f>IF(COUNTIFS(HCP_evidence!$A:$A, M432, HCP_evidence!$AB:$AB, "&lt;&gt;")&gt;0, "Yes", "")</f>
        <v/>
      </c>
      <c r="V432"/>
      <c r="X432" t="s">
        <v>3018</v>
      </c>
      <c r="AC432" t="s">
        <v>4283</v>
      </c>
      <c r="AW432" t="str">
        <f>IF(COUNTIFS(HCP_evidence!$A:$A, M432, HCP_evidence!$AH:$AH, "&lt;&gt;")&gt;0, "Yes", "")</f>
        <v/>
      </c>
      <c r="BB432" s="74"/>
    </row>
    <row r="433" spans="10:54" hidden="1">
      <c r="J433" t="s">
        <v>2972</v>
      </c>
      <c r="M433" s="80" t="s">
        <v>3020</v>
      </c>
      <c r="Q433" t="str">
        <f>IF(COUNTIFS(HCP_evidence!$A:$A, M433, HCP_evidence!$AB:$AB, "&lt;&gt;")&gt;0, "Yes", "")</f>
        <v/>
      </c>
      <c r="V433"/>
      <c r="X433" t="s">
        <v>3018</v>
      </c>
      <c r="AC433" t="s">
        <v>4283</v>
      </c>
      <c r="AW433" t="str">
        <f>IF(COUNTIFS(HCP_evidence!$A:$A, M433, HCP_evidence!$AH:$AH, "&lt;&gt;")&gt;0, "Yes", "")</f>
        <v/>
      </c>
      <c r="BB433" s="74"/>
    </row>
    <row r="434" spans="10:54" hidden="1">
      <c r="J434" t="s">
        <v>2972</v>
      </c>
      <c r="M434" s="80" t="s">
        <v>3021</v>
      </c>
      <c r="Q434" t="str">
        <f>IF(COUNTIFS(HCP_evidence!$A:$A, M434, HCP_evidence!$AB:$AB, "&lt;&gt;")&gt;0, "Yes", "")</f>
        <v/>
      </c>
      <c r="V434"/>
      <c r="X434" t="s">
        <v>174</v>
      </c>
      <c r="AC434" t="s">
        <v>4283</v>
      </c>
      <c r="AW434" t="str">
        <f>IF(COUNTIFS(HCP_evidence!$A:$A, M434, HCP_evidence!$AH:$AH, "&lt;&gt;")&gt;0, "Yes", "")</f>
        <v>Yes</v>
      </c>
      <c r="BB434" s="74"/>
    </row>
    <row r="435" spans="10:54" hidden="1">
      <c r="J435" t="s">
        <v>2972</v>
      </c>
      <c r="M435" s="80" t="s">
        <v>3022</v>
      </c>
      <c r="Q435" t="str">
        <f>IF(COUNTIFS(HCP_evidence!$A:$A, M435, HCP_evidence!$AB:$AB, "&lt;&gt;")&gt;0, "Yes", "")</f>
        <v/>
      </c>
      <c r="V435"/>
      <c r="X435" t="s">
        <v>174</v>
      </c>
      <c r="AC435" t="s">
        <v>4283</v>
      </c>
      <c r="AW435" t="str">
        <f>IF(COUNTIFS(HCP_evidence!$A:$A, M435, HCP_evidence!$AH:$AH, "&lt;&gt;")&gt;0, "Yes", "")</f>
        <v/>
      </c>
      <c r="BB435" s="74"/>
    </row>
    <row r="436" spans="10:54" hidden="1">
      <c r="J436" t="s">
        <v>2972</v>
      </c>
      <c r="M436" s="80" t="s">
        <v>3023</v>
      </c>
      <c r="Q436" t="str">
        <f>IF(COUNTIFS(HCP_evidence!$A:$A, M436, HCP_evidence!$AB:$AB, "&lt;&gt;")&gt;0, "Yes", "")</f>
        <v/>
      </c>
      <c r="V436"/>
      <c r="X436" t="s">
        <v>174</v>
      </c>
      <c r="AC436" t="s">
        <v>4283</v>
      </c>
      <c r="AW436" t="str">
        <f>IF(COUNTIFS(HCP_evidence!$A:$A, M436, HCP_evidence!$AH:$AH, "&lt;&gt;")&gt;0, "Yes", "")</f>
        <v/>
      </c>
      <c r="BB436" s="74"/>
    </row>
    <row r="437" spans="10:54" hidden="1">
      <c r="J437" t="s">
        <v>2972</v>
      </c>
      <c r="M437" s="80" t="s">
        <v>3025</v>
      </c>
      <c r="Q437" t="str">
        <f>IF(COUNTIFS(HCP_evidence!$A:$A, M437, HCP_evidence!$AB:$AB, "&lt;&gt;")&gt;0, "Yes", "")</f>
        <v/>
      </c>
      <c r="V437"/>
      <c r="X437" t="s">
        <v>3024</v>
      </c>
      <c r="AC437" t="s">
        <v>4283</v>
      </c>
      <c r="AW437" t="str">
        <f>IF(COUNTIFS(HCP_evidence!$A:$A, M437, HCP_evidence!$AH:$AH, "&lt;&gt;")&gt;0, "Yes", "")</f>
        <v/>
      </c>
      <c r="BB437" s="74"/>
    </row>
    <row r="438" spans="10:54" hidden="1">
      <c r="J438" t="s">
        <v>2972</v>
      </c>
      <c r="M438" s="80" t="s">
        <v>3026</v>
      </c>
      <c r="Q438" t="str">
        <f>IF(COUNTIFS(HCP_evidence!$A:$A, M438, HCP_evidence!$AB:$AB, "&lt;&gt;")&gt;0, "Yes", "")</f>
        <v/>
      </c>
      <c r="V438"/>
      <c r="X438" t="s">
        <v>3024</v>
      </c>
      <c r="AC438" t="s">
        <v>4283</v>
      </c>
      <c r="AW438" t="str">
        <f>IF(COUNTIFS(HCP_evidence!$A:$A, M438, HCP_evidence!$AH:$AH, "&lt;&gt;")&gt;0, "Yes", "")</f>
        <v/>
      </c>
      <c r="BB438" s="74"/>
    </row>
    <row r="439" spans="10:54" hidden="1">
      <c r="J439" t="s">
        <v>2972</v>
      </c>
      <c r="M439" s="80" t="s">
        <v>3027</v>
      </c>
      <c r="Q439" t="str">
        <f>IF(COUNTIFS(HCP_evidence!$A:$A, M439, HCP_evidence!$AB:$AB, "&lt;&gt;")&gt;0, "Yes", "")</f>
        <v/>
      </c>
      <c r="V439"/>
      <c r="X439" t="s">
        <v>3024</v>
      </c>
      <c r="AC439" t="s">
        <v>4283</v>
      </c>
      <c r="AW439" t="str">
        <f>IF(COUNTIFS(HCP_evidence!$A:$A, M439, HCP_evidence!$AH:$AH, "&lt;&gt;")&gt;0, "Yes", "")</f>
        <v/>
      </c>
      <c r="BB439" s="74"/>
    </row>
    <row r="440" spans="10:54" hidden="1">
      <c r="J440" t="s">
        <v>2972</v>
      </c>
      <c r="M440" s="80" t="s">
        <v>3028</v>
      </c>
      <c r="Q440" t="str">
        <f>IF(COUNTIFS(HCP_evidence!$A:$A, M440, HCP_evidence!$AB:$AB, "&lt;&gt;")&gt;0, "Yes", "")</f>
        <v/>
      </c>
      <c r="V440"/>
      <c r="X440" t="s">
        <v>3031</v>
      </c>
      <c r="AC440" t="s">
        <v>4283</v>
      </c>
      <c r="AW440" t="str">
        <f>IF(COUNTIFS(HCP_evidence!$A:$A, M440, HCP_evidence!$AH:$AH, "&lt;&gt;")&gt;0, "Yes", "")</f>
        <v/>
      </c>
      <c r="BB440" s="74"/>
    </row>
    <row r="441" spans="10:54" hidden="1">
      <c r="J441" t="s">
        <v>2972</v>
      </c>
      <c r="M441" s="80" t="s">
        <v>3029</v>
      </c>
      <c r="Q441" t="str">
        <f>IF(COUNTIFS(HCP_evidence!$A:$A, M441, HCP_evidence!$AB:$AB, "&lt;&gt;")&gt;0, "Yes", "")</f>
        <v/>
      </c>
      <c r="V441"/>
      <c r="X441" t="s">
        <v>3031</v>
      </c>
      <c r="AC441" t="s">
        <v>4283</v>
      </c>
      <c r="AW441" t="str">
        <f>IF(COUNTIFS(HCP_evidence!$A:$A, M441, HCP_evidence!$AH:$AH, "&lt;&gt;")&gt;0, "Yes", "")</f>
        <v/>
      </c>
      <c r="BB441" s="74"/>
    </row>
    <row r="442" spans="10:54" hidden="1">
      <c r="J442" t="s">
        <v>2972</v>
      </c>
      <c r="M442" s="80" t="s">
        <v>3030</v>
      </c>
      <c r="Q442" t="str">
        <f>IF(COUNTIFS(HCP_evidence!$A:$A, M442, HCP_evidence!$AB:$AB, "&lt;&gt;")&gt;0, "Yes", "")</f>
        <v/>
      </c>
      <c r="V442"/>
      <c r="X442" t="s">
        <v>3031</v>
      </c>
      <c r="AC442" t="s">
        <v>4283</v>
      </c>
      <c r="AW442" t="str">
        <f>IF(COUNTIFS(HCP_evidence!$A:$A, M442, HCP_evidence!$AH:$AH, "&lt;&gt;")&gt;0, "Yes", "")</f>
        <v/>
      </c>
      <c r="BB442" s="74"/>
    </row>
    <row r="443" spans="10:54" hidden="1">
      <c r="J443" t="s">
        <v>2972</v>
      </c>
      <c r="M443" s="80" t="s">
        <v>3032</v>
      </c>
      <c r="Q443" t="str">
        <f>IF(COUNTIFS(HCP_evidence!$A:$A, M443, HCP_evidence!$AB:$AB, "&lt;&gt;")&gt;0, "Yes", "")</f>
        <v/>
      </c>
      <c r="V443"/>
      <c r="X443" t="s">
        <v>3033</v>
      </c>
      <c r="AC443" t="s">
        <v>4283</v>
      </c>
      <c r="AW443" t="str">
        <f>IF(COUNTIFS(HCP_evidence!$A:$A, M443, HCP_evidence!$AH:$AH, "&lt;&gt;")&gt;0, "Yes", "")</f>
        <v/>
      </c>
      <c r="BB443" s="74"/>
    </row>
    <row r="444" spans="10:54" hidden="1">
      <c r="J444" t="s">
        <v>2972</v>
      </c>
      <c r="M444" s="80" t="s">
        <v>3034</v>
      </c>
      <c r="Q444" t="str">
        <f>IF(COUNTIFS(HCP_evidence!$A:$A, M444, HCP_evidence!$AB:$AB, "&lt;&gt;")&gt;0, "Yes", "")</f>
        <v/>
      </c>
      <c r="V444"/>
      <c r="X444" t="s">
        <v>3033</v>
      </c>
      <c r="AC444" t="s">
        <v>4283</v>
      </c>
      <c r="AW444" t="str">
        <f>IF(COUNTIFS(HCP_evidence!$A:$A, M444, HCP_evidence!$AH:$AH, "&lt;&gt;")&gt;0, "Yes", "")</f>
        <v/>
      </c>
      <c r="BB444" s="74"/>
    </row>
    <row r="445" spans="10:54" hidden="1">
      <c r="J445" t="s">
        <v>2972</v>
      </c>
      <c r="M445" s="80" t="s">
        <v>3035</v>
      </c>
      <c r="Q445" t="str">
        <f>IF(COUNTIFS(HCP_evidence!$A:$A, M445, HCP_evidence!$AB:$AB, "&lt;&gt;")&gt;0, "Yes", "")</f>
        <v/>
      </c>
      <c r="V445"/>
      <c r="X445" t="s">
        <v>3033</v>
      </c>
      <c r="AC445" t="s">
        <v>4283</v>
      </c>
      <c r="AW445" t="str">
        <f>IF(COUNTIFS(HCP_evidence!$A:$A, M445, HCP_evidence!$AH:$AH, "&lt;&gt;")&gt;0, "Yes", "")</f>
        <v/>
      </c>
      <c r="BB445" s="74"/>
    </row>
    <row r="446" spans="10:54" hidden="1">
      <c r="J446" t="s">
        <v>2972</v>
      </c>
      <c r="M446" s="80" t="s">
        <v>3036</v>
      </c>
      <c r="Q446" t="str">
        <f>IF(COUNTIFS(HCP_evidence!$A:$A, M446, HCP_evidence!$AB:$AB, "&lt;&gt;")&gt;0, "Yes", "")</f>
        <v/>
      </c>
      <c r="V446"/>
      <c r="X446" t="s">
        <v>3033</v>
      </c>
      <c r="AC446" t="s">
        <v>4283</v>
      </c>
      <c r="AW446" t="str">
        <f>IF(COUNTIFS(HCP_evidence!$A:$A, M446, HCP_evidence!$AH:$AH, "&lt;&gt;")&gt;0, "Yes", "")</f>
        <v/>
      </c>
      <c r="BB446" s="74"/>
    </row>
    <row r="447" spans="10:54" hidden="1">
      <c r="J447" t="s">
        <v>2972</v>
      </c>
      <c r="M447" s="80" t="s">
        <v>3038</v>
      </c>
      <c r="Q447" t="str">
        <f>IF(COUNTIFS(HCP_evidence!$A:$A, M447, HCP_evidence!$AB:$AB, "&lt;&gt;")&gt;0, "Yes", "")</f>
        <v/>
      </c>
      <c r="V447"/>
      <c r="X447" t="s">
        <v>3037</v>
      </c>
      <c r="AC447" t="s">
        <v>4283</v>
      </c>
      <c r="AW447" t="str">
        <f>IF(COUNTIFS(HCP_evidence!$A:$A, M447, HCP_evidence!$AH:$AH, "&lt;&gt;")&gt;0, "Yes", "")</f>
        <v/>
      </c>
      <c r="BB447" s="74"/>
    </row>
    <row r="448" spans="10:54" hidden="1">
      <c r="J448" t="s">
        <v>2972</v>
      </c>
      <c r="M448" s="80" t="s">
        <v>3039</v>
      </c>
      <c r="Q448" t="str">
        <f>IF(COUNTIFS(HCP_evidence!$A:$A, M448, HCP_evidence!$AB:$AB, "&lt;&gt;")&gt;0, "Yes", "")</f>
        <v/>
      </c>
      <c r="V448"/>
      <c r="X448" t="s">
        <v>3037</v>
      </c>
      <c r="AC448" t="s">
        <v>4283</v>
      </c>
      <c r="AW448" t="str">
        <f>IF(COUNTIFS(HCP_evidence!$A:$A, M448, HCP_evidence!$AH:$AH, "&lt;&gt;")&gt;0, "Yes", "")</f>
        <v/>
      </c>
      <c r="BB448" s="74"/>
    </row>
    <row r="449" spans="10:54" hidden="1">
      <c r="J449" t="s">
        <v>2972</v>
      </c>
      <c r="M449" s="80" t="s">
        <v>3040</v>
      </c>
      <c r="Q449" t="str">
        <f>IF(COUNTIFS(HCP_evidence!$A:$A, M449, HCP_evidence!$AB:$AB, "&lt;&gt;")&gt;0, "Yes", "")</f>
        <v/>
      </c>
      <c r="V449"/>
      <c r="X449" t="s">
        <v>3037</v>
      </c>
      <c r="AC449" t="s">
        <v>4283</v>
      </c>
      <c r="AW449" t="str">
        <f>IF(COUNTIFS(HCP_evidence!$A:$A, M449, HCP_evidence!$AH:$AH, "&lt;&gt;")&gt;0, "Yes", "")</f>
        <v/>
      </c>
      <c r="BB449" s="74"/>
    </row>
    <row r="450" spans="10:54" hidden="1">
      <c r="J450" t="s">
        <v>2972</v>
      </c>
      <c r="M450" s="80" t="s">
        <v>3041</v>
      </c>
      <c r="Q450" t="str">
        <f>IF(COUNTIFS(HCP_evidence!$A:$A, M450, HCP_evidence!$AB:$AB, "&lt;&gt;")&gt;0, "Yes", "")</f>
        <v/>
      </c>
      <c r="V450"/>
      <c r="X450" t="s">
        <v>3048</v>
      </c>
      <c r="AC450" t="s">
        <v>4283</v>
      </c>
      <c r="AW450" t="str">
        <f>IF(COUNTIFS(HCP_evidence!$A:$A, M450, HCP_evidence!$AH:$AH, "&lt;&gt;")&gt;0, "Yes", "")</f>
        <v/>
      </c>
      <c r="BB450" s="74"/>
    </row>
    <row r="451" spans="10:54" hidden="1">
      <c r="J451" t="s">
        <v>2972</v>
      </c>
      <c r="M451" s="80" t="s">
        <v>3042</v>
      </c>
      <c r="Q451" t="str">
        <f>IF(COUNTIFS(HCP_evidence!$A:$A, M451, HCP_evidence!$AB:$AB, "&lt;&gt;")&gt;0, "Yes", "")</f>
        <v/>
      </c>
      <c r="V451"/>
      <c r="X451" t="s">
        <v>3048</v>
      </c>
      <c r="AC451" t="s">
        <v>4283</v>
      </c>
      <c r="AW451" t="str">
        <f>IF(COUNTIFS(HCP_evidence!$A:$A, M451, HCP_evidence!$AH:$AH, "&lt;&gt;")&gt;0, "Yes", "")</f>
        <v/>
      </c>
      <c r="BB451" s="74"/>
    </row>
    <row r="452" spans="10:54" hidden="1">
      <c r="J452" t="s">
        <v>2972</v>
      </c>
      <c r="M452" s="80" t="s">
        <v>3043</v>
      </c>
      <c r="Q452" t="str">
        <f>IF(COUNTIFS(HCP_evidence!$A:$A, M452, HCP_evidence!$AB:$AB, "&lt;&gt;")&gt;0, "Yes", "")</f>
        <v/>
      </c>
      <c r="V452"/>
      <c r="X452" t="s">
        <v>3048</v>
      </c>
      <c r="AC452" t="s">
        <v>4283</v>
      </c>
      <c r="AW452" t="str">
        <f>IF(COUNTIFS(HCP_evidence!$A:$A, M452, HCP_evidence!$AH:$AH, "&lt;&gt;")&gt;0, "Yes", "")</f>
        <v/>
      </c>
      <c r="BB452" s="74"/>
    </row>
    <row r="453" spans="10:54" hidden="1">
      <c r="J453" t="s">
        <v>2972</v>
      </c>
      <c r="M453" s="80" t="s">
        <v>3044</v>
      </c>
      <c r="Q453" t="str">
        <f>IF(COUNTIFS(HCP_evidence!$A:$A, M453, HCP_evidence!$AB:$AB, "&lt;&gt;")&gt;0, "Yes", "")</f>
        <v/>
      </c>
      <c r="V453"/>
      <c r="X453" t="s">
        <v>3048</v>
      </c>
      <c r="AC453" t="s">
        <v>4283</v>
      </c>
      <c r="AW453" t="str">
        <f>IF(COUNTIFS(HCP_evidence!$A:$A, M453, HCP_evidence!$AH:$AH, "&lt;&gt;")&gt;0, "Yes", "")</f>
        <v/>
      </c>
      <c r="BB453" s="74"/>
    </row>
    <row r="454" spans="10:54" hidden="1">
      <c r="J454" t="s">
        <v>2972</v>
      </c>
      <c r="M454" s="80" t="s">
        <v>3045</v>
      </c>
      <c r="Q454" t="str">
        <f>IF(COUNTIFS(HCP_evidence!$A:$A, M454, HCP_evidence!$AB:$AB, "&lt;&gt;")&gt;0, "Yes", "")</f>
        <v/>
      </c>
      <c r="V454"/>
      <c r="X454" t="s">
        <v>3048</v>
      </c>
      <c r="AC454" t="s">
        <v>4283</v>
      </c>
      <c r="AW454" t="str">
        <f>IF(COUNTIFS(HCP_evidence!$A:$A, M454, HCP_evidence!$AH:$AH, "&lt;&gt;")&gt;0, "Yes", "")</f>
        <v/>
      </c>
      <c r="BB454" s="74"/>
    </row>
    <row r="455" spans="10:54" hidden="1">
      <c r="J455" t="s">
        <v>2972</v>
      </c>
      <c r="M455" s="80" t="s">
        <v>3046</v>
      </c>
      <c r="Q455" t="str">
        <f>IF(COUNTIFS(HCP_evidence!$A:$A, M455, HCP_evidence!$AB:$AB, "&lt;&gt;")&gt;0, "Yes", "")</f>
        <v/>
      </c>
      <c r="V455"/>
      <c r="X455" t="s">
        <v>3048</v>
      </c>
      <c r="AC455" t="s">
        <v>4283</v>
      </c>
      <c r="AW455" t="str">
        <f>IF(COUNTIFS(HCP_evidence!$A:$A, M455, HCP_evidence!$AH:$AH, "&lt;&gt;")&gt;0, "Yes", "")</f>
        <v/>
      </c>
      <c r="BB455" s="74"/>
    </row>
    <row r="456" spans="10:54" hidden="1">
      <c r="J456" t="s">
        <v>2972</v>
      </c>
      <c r="M456" s="80" t="s">
        <v>3047</v>
      </c>
      <c r="Q456" t="str">
        <f>IF(COUNTIFS(HCP_evidence!$A:$A, M456, HCP_evidence!$AB:$AB, "&lt;&gt;")&gt;0, "Yes", "")</f>
        <v/>
      </c>
      <c r="V456"/>
      <c r="X456" t="s">
        <v>3048</v>
      </c>
      <c r="AC456" t="s">
        <v>4283</v>
      </c>
      <c r="AW456" t="str">
        <f>IF(COUNTIFS(HCP_evidence!$A:$A, M456, HCP_evidence!$AH:$AH, "&lt;&gt;")&gt;0, "Yes", "")</f>
        <v/>
      </c>
      <c r="BB456" s="74"/>
    </row>
    <row r="457" spans="10:54" hidden="1">
      <c r="J457" t="s">
        <v>2972</v>
      </c>
      <c r="M457" s="80" t="s">
        <v>3049</v>
      </c>
      <c r="Q457" t="str">
        <f>IF(COUNTIFS(HCP_evidence!$A:$A, M457, HCP_evidence!$AB:$AB, "&lt;&gt;")&gt;0, "Yes", "")</f>
        <v/>
      </c>
      <c r="V457"/>
      <c r="X457" t="s">
        <v>3052</v>
      </c>
      <c r="AC457" t="s">
        <v>4283</v>
      </c>
      <c r="AW457" t="str">
        <f>IF(COUNTIFS(HCP_evidence!$A:$A, M457, HCP_evidence!$AH:$AH, "&lt;&gt;")&gt;0, "Yes", "")</f>
        <v/>
      </c>
      <c r="BB457" s="74"/>
    </row>
    <row r="458" spans="10:54" hidden="1">
      <c r="J458" t="s">
        <v>2972</v>
      </c>
      <c r="M458" s="80" t="s">
        <v>3050</v>
      </c>
      <c r="Q458" t="str">
        <f>IF(COUNTIFS(HCP_evidence!$A:$A, M458, HCP_evidence!$AB:$AB, "&lt;&gt;")&gt;0, "Yes", "")</f>
        <v/>
      </c>
      <c r="V458"/>
      <c r="X458" t="s">
        <v>3052</v>
      </c>
      <c r="AC458" t="s">
        <v>4283</v>
      </c>
      <c r="AW458" t="str">
        <f>IF(COUNTIFS(HCP_evidence!$A:$A, M458, HCP_evidence!$AH:$AH, "&lt;&gt;")&gt;0, "Yes", "")</f>
        <v/>
      </c>
      <c r="BB458" s="74"/>
    </row>
    <row r="459" spans="10:54" hidden="1">
      <c r="J459" t="s">
        <v>2972</v>
      </c>
      <c r="M459" s="80" t="s">
        <v>3051</v>
      </c>
      <c r="Q459" t="str">
        <f>IF(COUNTIFS(HCP_evidence!$A:$A, M459, HCP_evidence!$AB:$AB, "&lt;&gt;")&gt;0, "Yes", "")</f>
        <v/>
      </c>
      <c r="V459"/>
      <c r="X459" t="s">
        <v>3052</v>
      </c>
      <c r="AC459" t="s">
        <v>4283</v>
      </c>
      <c r="AW459" t="str">
        <f>IF(COUNTIFS(HCP_evidence!$A:$A, M459, HCP_evidence!$AH:$AH, "&lt;&gt;")&gt;0, "Yes", "")</f>
        <v/>
      </c>
      <c r="BB459" s="74"/>
    </row>
    <row r="460" spans="10:54" hidden="1">
      <c r="J460" t="s">
        <v>2972</v>
      </c>
      <c r="M460" s="80" t="s">
        <v>3055</v>
      </c>
      <c r="Q460" t="str">
        <f>IF(COUNTIFS(HCP_evidence!$A:$A, M460, HCP_evidence!$AB:$AB, "&lt;&gt;")&gt;0, "Yes", "")</f>
        <v/>
      </c>
      <c r="V460"/>
      <c r="X460" t="s">
        <v>3053</v>
      </c>
      <c r="AC460" t="s">
        <v>4283</v>
      </c>
      <c r="AW460" t="str">
        <f>IF(COUNTIFS(HCP_evidence!$A:$A, M460, HCP_evidence!$AH:$AH, "&lt;&gt;")&gt;0, "Yes", "")</f>
        <v/>
      </c>
      <c r="BB460" s="74"/>
    </row>
    <row r="461" spans="10:54" hidden="1">
      <c r="J461" t="s">
        <v>2972</v>
      </c>
      <c r="M461" s="80" t="s">
        <v>3056</v>
      </c>
      <c r="Q461" t="str">
        <f>IF(COUNTIFS(HCP_evidence!$A:$A, M461, HCP_evidence!$AB:$AB, "&lt;&gt;")&gt;0, "Yes", "")</f>
        <v/>
      </c>
      <c r="V461"/>
      <c r="X461" t="s">
        <v>3053</v>
      </c>
      <c r="AC461" t="s">
        <v>4283</v>
      </c>
      <c r="AW461" t="str">
        <f>IF(COUNTIFS(HCP_evidence!$A:$A, M461, HCP_evidence!$AH:$AH, "&lt;&gt;")&gt;0, "Yes", "")</f>
        <v/>
      </c>
      <c r="BB461" s="74"/>
    </row>
    <row r="462" spans="10:54" hidden="1">
      <c r="J462" t="s">
        <v>2972</v>
      </c>
      <c r="M462" s="80" t="s">
        <v>3054</v>
      </c>
      <c r="Q462" t="str">
        <f>IF(COUNTIFS(HCP_evidence!$A:$A, M462, HCP_evidence!$AB:$AB, "&lt;&gt;")&gt;0, "Yes", "")</f>
        <v/>
      </c>
      <c r="V462"/>
      <c r="X462" t="s">
        <v>3053</v>
      </c>
      <c r="AC462" t="s">
        <v>4283</v>
      </c>
      <c r="AW462" t="str">
        <f>IF(COUNTIFS(HCP_evidence!$A:$A, M462, HCP_evidence!$AH:$AH, "&lt;&gt;")&gt;0, "Yes", "")</f>
        <v/>
      </c>
      <c r="BB462" s="74"/>
    </row>
    <row r="463" spans="10:54" hidden="1">
      <c r="J463" t="s">
        <v>2972</v>
      </c>
      <c r="M463" s="80" t="s">
        <v>3058</v>
      </c>
      <c r="Q463" t="str">
        <f>IF(COUNTIFS(HCP_evidence!$A:$A, M463, HCP_evidence!$AB:$AB, "&lt;&gt;")&gt;0, "Yes", "")</f>
        <v/>
      </c>
      <c r="V463"/>
      <c r="X463" t="s">
        <v>3057</v>
      </c>
      <c r="AC463" t="s">
        <v>4283</v>
      </c>
      <c r="AW463" t="str">
        <f>IF(COUNTIFS(HCP_evidence!$A:$A, M463, HCP_evidence!$AH:$AH, "&lt;&gt;")&gt;0, "Yes", "")</f>
        <v/>
      </c>
      <c r="BB463" s="74"/>
    </row>
    <row r="464" spans="10:54" hidden="1">
      <c r="J464" t="s">
        <v>2972</v>
      </c>
      <c r="M464" s="80" t="s">
        <v>3060</v>
      </c>
      <c r="Q464" t="str">
        <f>IF(COUNTIFS(HCP_evidence!$A:$A, M464, HCP_evidence!$AB:$AB, "&lt;&gt;")&gt;0, "Yes", "")</f>
        <v/>
      </c>
      <c r="V464"/>
      <c r="X464" t="s">
        <v>3059</v>
      </c>
      <c r="AC464" t="s">
        <v>4283</v>
      </c>
      <c r="AW464" t="str">
        <f>IF(COUNTIFS(HCP_evidence!$A:$A, M464, HCP_evidence!$AH:$AH, "&lt;&gt;")&gt;0, "Yes", "")</f>
        <v/>
      </c>
      <c r="BB464" s="74"/>
    </row>
    <row r="465" spans="10:54" hidden="1">
      <c r="J465" t="s">
        <v>2972</v>
      </c>
      <c r="M465" s="80" t="s">
        <v>3061</v>
      </c>
      <c r="Q465" t="str">
        <f>IF(COUNTIFS(HCP_evidence!$A:$A, M465, HCP_evidence!$AB:$AB, "&lt;&gt;")&gt;0, "Yes", "")</f>
        <v/>
      </c>
      <c r="V465"/>
      <c r="X465" t="s">
        <v>3059</v>
      </c>
      <c r="AC465" t="s">
        <v>4283</v>
      </c>
      <c r="AW465" t="str">
        <f>IF(COUNTIFS(HCP_evidence!$A:$A, M465, HCP_evidence!$AH:$AH, "&lt;&gt;")&gt;0, "Yes", "")</f>
        <v/>
      </c>
      <c r="BB465" s="74"/>
    </row>
    <row r="466" spans="10:54" hidden="1">
      <c r="J466" t="s">
        <v>2972</v>
      </c>
      <c r="M466" s="80" t="s">
        <v>3062</v>
      </c>
      <c r="Q466" t="str">
        <f>IF(COUNTIFS(HCP_evidence!$A:$A, M466, HCP_evidence!$AB:$AB, "&lt;&gt;")&gt;0, "Yes", "")</f>
        <v/>
      </c>
      <c r="V466"/>
      <c r="X466" t="s">
        <v>3059</v>
      </c>
      <c r="AC466" t="s">
        <v>4283</v>
      </c>
      <c r="AW466" t="str">
        <f>IF(COUNTIFS(HCP_evidence!$A:$A, M466, HCP_evidence!$AH:$AH, "&lt;&gt;")&gt;0, "Yes", "")</f>
        <v/>
      </c>
      <c r="BB466" s="74"/>
    </row>
    <row r="467" spans="10:54" hidden="1">
      <c r="J467" t="s">
        <v>2972</v>
      </c>
      <c r="M467" s="80" t="s">
        <v>3064</v>
      </c>
      <c r="Q467" t="str">
        <f>IF(COUNTIFS(HCP_evidence!$A:$A, M467, HCP_evidence!$AB:$AB, "&lt;&gt;")&gt;0, "Yes", "")</f>
        <v/>
      </c>
      <c r="V467"/>
      <c r="X467" t="s">
        <v>3063</v>
      </c>
      <c r="AC467" t="s">
        <v>4283</v>
      </c>
      <c r="AW467" t="str">
        <f>IF(COUNTIFS(HCP_evidence!$A:$A, M467, HCP_evidence!$AH:$AH, "&lt;&gt;")&gt;0, "Yes", "")</f>
        <v/>
      </c>
      <c r="BB467" s="74"/>
    </row>
    <row r="468" spans="10:54" hidden="1">
      <c r="J468" t="s">
        <v>2972</v>
      </c>
      <c r="M468" s="80" t="s">
        <v>3065</v>
      </c>
      <c r="Q468" t="str">
        <f>IF(COUNTIFS(HCP_evidence!$A:$A, M468, HCP_evidence!$AB:$AB, "&lt;&gt;")&gt;0, "Yes", "")</f>
        <v/>
      </c>
      <c r="V468"/>
      <c r="X468" t="s">
        <v>3063</v>
      </c>
      <c r="AC468" t="s">
        <v>4283</v>
      </c>
      <c r="AW468" t="str">
        <f>IF(COUNTIFS(HCP_evidence!$A:$A, M468, HCP_evidence!$AH:$AH, "&lt;&gt;")&gt;0, "Yes", "")</f>
        <v/>
      </c>
      <c r="BB468" s="74"/>
    </row>
    <row r="469" spans="10:54" hidden="1">
      <c r="J469" t="s">
        <v>2972</v>
      </c>
      <c r="M469" s="80" t="s">
        <v>3067</v>
      </c>
      <c r="Q469" t="str">
        <f>IF(COUNTIFS(HCP_evidence!$A:$A, M469, HCP_evidence!$AB:$AB, "&lt;&gt;")&gt;0, "Yes", "")</f>
        <v/>
      </c>
      <c r="V469"/>
      <c r="X469" t="s">
        <v>268</v>
      </c>
      <c r="AC469" t="s">
        <v>4283</v>
      </c>
      <c r="AW469" t="str">
        <f>IF(COUNTIFS(HCP_evidence!$A:$A, M469, HCP_evidence!$AH:$AH, "&lt;&gt;")&gt;0, "Yes", "")</f>
        <v/>
      </c>
      <c r="BB469" s="74"/>
    </row>
    <row r="470" spans="10:54" hidden="1">
      <c r="J470" t="s">
        <v>2972</v>
      </c>
      <c r="M470" s="80" t="s">
        <v>3066</v>
      </c>
      <c r="Q470" t="str">
        <f>IF(COUNTIFS(HCP_evidence!$A:$A, M470, HCP_evidence!$AB:$AB, "&lt;&gt;")&gt;0, "Yes", "")</f>
        <v/>
      </c>
      <c r="V470"/>
      <c r="X470" t="s">
        <v>268</v>
      </c>
      <c r="AC470" t="s">
        <v>4283</v>
      </c>
      <c r="AW470" t="str">
        <f>IF(COUNTIFS(HCP_evidence!$A:$A, M470, HCP_evidence!$AH:$AH, "&lt;&gt;")&gt;0, "Yes", "")</f>
        <v/>
      </c>
      <c r="BB470" s="74"/>
    </row>
    <row r="471" spans="10:54" hidden="1">
      <c r="J471" t="s">
        <v>2972</v>
      </c>
      <c r="M471" s="80" t="s">
        <v>3068</v>
      </c>
      <c r="Q471" t="str">
        <f>IF(COUNTIFS(HCP_evidence!$A:$A, M471, HCP_evidence!$AB:$AB, "&lt;&gt;")&gt;0, "Yes", "")</f>
        <v/>
      </c>
      <c r="V471"/>
      <c r="X471" t="s">
        <v>268</v>
      </c>
      <c r="AC471" t="s">
        <v>4283</v>
      </c>
      <c r="AW471" t="str">
        <f>IF(COUNTIFS(HCP_evidence!$A:$A, M471, HCP_evidence!$AH:$AH, "&lt;&gt;")&gt;0, "Yes", "")</f>
        <v/>
      </c>
      <c r="BB471" s="74"/>
    </row>
    <row r="472" spans="10:54" hidden="1">
      <c r="J472" t="s">
        <v>2972</v>
      </c>
      <c r="M472" s="80" t="s">
        <v>3069</v>
      </c>
      <c r="Q472" t="str">
        <f>IF(COUNTIFS(HCP_evidence!$A:$A, M472, HCP_evidence!$AB:$AB, "&lt;&gt;")&gt;0, "Yes", "")</f>
        <v/>
      </c>
      <c r="V472"/>
      <c r="X472" t="s">
        <v>3070</v>
      </c>
      <c r="AC472" t="s">
        <v>4283</v>
      </c>
      <c r="AW472" t="str">
        <f>IF(COUNTIFS(HCP_evidence!$A:$A, M472, HCP_evidence!$AH:$AH, "&lt;&gt;")&gt;0, "Yes", "")</f>
        <v/>
      </c>
      <c r="BB472" s="74"/>
    </row>
    <row r="473" spans="10:54" hidden="1">
      <c r="J473" t="s">
        <v>2972</v>
      </c>
      <c r="M473" s="80" t="s">
        <v>3071</v>
      </c>
      <c r="Q473" t="str">
        <f>IF(COUNTIFS(HCP_evidence!$A:$A, M473, HCP_evidence!$AB:$AB, "&lt;&gt;")&gt;0, "Yes", "")</f>
        <v/>
      </c>
      <c r="V473"/>
      <c r="X473" t="s">
        <v>280</v>
      </c>
      <c r="AC473" t="s">
        <v>4283</v>
      </c>
      <c r="AW473" t="str">
        <f>IF(COUNTIFS(HCP_evidence!$A:$A, M473, HCP_evidence!$AH:$AH, "&lt;&gt;")&gt;0, "Yes", "")</f>
        <v/>
      </c>
      <c r="BB473" s="74"/>
    </row>
    <row r="474" spans="10:54" hidden="1">
      <c r="J474" t="s">
        <v>2972</v>
      </c>
      <c r="M474" s="80" t="s">
        <v>3072</v>
      </c>
      <c r="Q474" t="str">
        <f>IF(COUNTIFS(HCP_evidence!$A:$A, M474, HCP_evidence!$AB:$AB, "&lt;&gt;")&gt;0, "Yes", "")</f>
        <v/>
      </c>
      <c r="V474"/>
      <c r="X474" t="s">
        <v>291</v>
      </c>
      <c r="AC474" t="s">
        <v>4283</v>
      </c>
      <c r="AW474" t="str">
        <f>IF(COUNTIFS(HCP_evidence!$A:$A, M474, HCP_evidence!$AH:$AH, "&lt;&gt;")&gt;0, "Yes", "")</f>
        <v/>
      </c>
      <c r="BB474" s="74"/>
    </row>
    <row r="475" spans="10:54" hidden="1">
      <c r="J475" t="s">
        <v>2972</v>
      </c>
      <c r="M475" s="80" t="s">
        <v>3073</v>
      </c>
      <c r="Q475" t="str">
        <f>IF(COUNTIFS(HCP_evidence!$A:$A, M475, HCP_evidence!$AB:$AB, "&lt;&gt;")&gt;0, "Yes", "")</f>
        <v/>
      </c>
      <c r="V475"/>
      <c r="X475" t="s">
        <v>291</v>
      </c>
      <c r="AC475" t="s">
        <v>4283</v>
      </c>
      <c r="AW475" t="str">
        <f>IF(COUNTIFS(HCP_evidence!$A:$A, M475, HCP_evidence!$AH:$AH, "&lt;&gt;")&gt;0, "Yes", "")</f>
        <v/>
      </c>
      <c r="BB475" s="74"/>
    </row>
    <row r="476" spans="10:54" hidden="1">
      <c r="J476" t="s">
        <v>2972</v>
      </c>
      <c r="M476" s="80" t="s">
        <v>3075</v>
      </c>
      <c r="Q476" t="str">
        <f>IF(COUNTIFS(HCP_evidence!$A:$A, M476, HCP_evidence!$AB:$AB, "&lt;&gt;")&gt;0, "Yes", "")</f>
        <v/>
      </c>
      <c r="V476"/>
      <c r="X476" t="s">
        <v>301</v>
      </c>
      <c r="AC476" t="s">
        <v>4283</v>
      </c>
      <c r="AW476" t="str">
        <f>IF(COUNTIFS(HCP_evidence!$A:$A, M476, HCP_evidence!$AH:$AH, "&lt;&gt;")&gt;0, "Yes", "")</f>
        <v/>
      </c>
      <c r="BB476" s="74"/>
    </row>
    <row r="477" spans="10:54" hidden="1">
      <c r="J477" t="s">
        <v>2972</v>
      </c>
      <c r="M477" s="80" t="s">
        <v>3076</v>
      </c>
      <c r="Q477" t="str">
        <f>IF(COUNTIFS(HCP_evidence!$A:$A, M477, HCP_evidence!$AB:$AB, "&lt;&gt;")&gt;0, "Yes", "")</f>
        <v/>
      </c>
      <c r="V477"/>
      <c r="X477" t="s">
        <v>3078</v>
      </c>
      <c r="AC477" t="s">
        <v>4283</v>
      </c>
      <c r="AW477" t="str">
        <f>IF(COUNTIFS(HCP_evidence!$A:$A, M477, HCP_evidence!$AH:$AH, "&lt;&gt;")&gt;0, "Yes", "")</f>
        <v/>
      </c>
      <c r="BB477" s="74"/>
    </row>
    <row r="478" spans="10:54" hidden="1">
      <c r="J478" t="s">
        <v>2972</v>
      </c>
      <c r="M478" s="80" t="s">
        <v>3077</v>
      </c>
      <c r="Q478" t="str">
        <f>IF(COUNTIFS(HCP_evidence!$A:$A, M478, HCP_evidence!$AB:$AB, "&lt;&gt;")&gt;0, "Yes", "")</f>
        <v/>
      </c>
      <c r="V478"/>
      <c r="X478" t="s">
        <v>3078</v>
      </c>
      <c r="AC478" t="s">
        <v>4283</v>
      </c>
      <c r="AW478" t="str">
        <f>IF(COUNTIFS(HCP_evidence!$A:$A, M478, HCP_evidence!$AH:$AH, "&lt;&gt;")&gt;0, "Yes", "")</f>
        <v/>
      </c>
      <c r="BB478" s="74"/>
    </row>
    <row r="479" spans="10:54" hidden="1">
      <c r="J479" t="s">
        <v>2972</v>
      </c>
      <c r="M479" s="80" t="s">
        <v>3079</v>
      </c>
      <c r="Q479" t="str">
        <f>IF(COUNTIFS(HCP_evidence!$A:$A, M479, HCP_evidence!$AB:$AB, "&lt;&gt;")&gt;0, "Yes", "")</f>
        <v/>
      </c>
      <c r="V479"/>
      <c r="X479" t="s">
        <v>317</v>
      </c>
      <c r="AC479" t="s">
        <v>4283</v>
      </c>
      <c r="AW479" t="str">
        <f>IF(COUNTIFS(HCP_evidence!$A:$A, M479, HCP_evidence!$AH:$AH, "&lt;&gt;")&gt;0, "Yes", "")</f>
        <v/>
      </c>
      <c r="BB479" s="74"/>
    </row>
    <row r="480" spans="10:54" hidden="1">
      <c r="J480" t="s">
        <v>2972</v>
      </c>
      <c r="M480" s="80" t="s">
        <v>327</v>
      </c>
      <c r="Q480" t="str">
        <f>IF(COUNTIFS(HCP_evidence!$A:$A, M480, HCP_evidence!$AB:$AB, "&lt;&gt;")&gt;0, "Yes", "")</f>
        <v/>
      </c>
      <c r="V480"/>
      <c r="X480" t="s">
        <v>3080</v>
      </c>
      <c r="AC480" t="s">
        <v>4283</v>
      </c>
      <c r="AW480" t="str">
        <f>IF(COUNTIFS(HCP_evidence!$A:$A, M480, HCP_evidence!$AH:$AH, "&lt;&gt;")&gt;0, "Yes", "")</f>
        <v/>
      </c>
      <c r="BB480" s="74"/>
    </row>
    <row r="481" spans="10:54" hidden="1">
      <c r="J481" t="s">
        <v>2972</v>
      </c>
      <c r="M481" s="80" t="s">
        <v>3081</v>
      </c>
      <c r="Q481" t="str">
        <f>IF(COUNTIFS(HCP_evidence!$A:$A, M481, HCP_evidence!$AB:$AB, "&lt;&gt;")&gt;0, "Yes", "")</f>
        <v/>
      </c>
      <c r="V481"/>
      <c r="AC481" t="s">
        <v>4283</v>
      </c>
      <c r="AW481" t="str">
        <f>IF(COUNTIFS(HCP_evidence!$A:$A, M481, HCP_evidence!$AH:$AH, "&lt;&gt;")&gt;0, "Yes", "")</f>
        <v/>
      </c>
      <c r="BB481" s="74"/>
    </row>
    <row r="482" spans="10:54" hidden="1">
      <c r="J482" t="s">
        <v>2972</v>
      </c>
      <c r="M482" s="80" t="s">
        <v>3082</v>
      </c>
      <c r="Q482" t="str">
        <f>IF(COUNTIFS(HCP_evidence!$A:$A, M482, HCP_evidence!$AB:$AB, "&lt;&gt;")&gt;0, "Yes", "")</f>
        <v/>
      </c>
      <c r="V482"/>
      <c r="X482" t="s">
        <v>3085</v>
      </c>
      <c r="AC482" t="s">
        <v>4283</v>
      </c>
      <c r="AW482" t="str">
        <f>IF(COUNTIFS(HCP_evidence!$A:$A, M482, HCP_evidence!$AH:$AH, "&lt;&gt;")&gt;0, "Yes", "")</f>
        <v/>
      </c>
      <c r="BB482" s="74"/>
    </row>
    <row r="483" spans="10:54" hidden="1">
      <c r="J483" t="s">
        <v>2972</v>
      </c>
      <c r="M483" s="80" t="s">
        <v>3083</v>
      </c>
      <c r="Q483" t="str">
        <f>IF(COUNTIFS(HCP_evidence!$A:$A, M483, HCP_evidence!$AB:$AB, "&lt;&gt;")&gt;0, "Yes", "")</f>
        <v/>
      </c>
      <c r="V483"/>
      <c r="X483" t="s">
        <v>3085</v>
      </c>
      <c r="AC483" t="s">
        <v>4283</v>
      </c>
      <c r="AW483" t="str">
        <f>IF(COUNTIFS(HCP_evidence!$A:$A, M483, HCP_evidence!$AH:$AH, "&lt;&gt;")&gt;0, "Yes", "")</f>
        <v/>
      </c>
      <c r="BB483" s="74"/>
    </row>
    <row r="484" spans="10:54" hidden="1">
      <c r="J484" t="s">
        <v>2972</v>
      </c>
      <c r="M484" s="80" t="s">
        <v>3084</v>
      </c>
      <c r="Q484" t="str">
        <f>IF(COUNTIFS(HCP_evidence!$A:$A, M484, HCP_evidence!$AB:$AB, "&lt;&gt;")&gt;0, "Yes", "")</f>
        <v/>
      </c>
      <c r="V484"/>
      <c r="X484" t="s">
        <v>3085</v>
      </c>
      <c r="AC484" t="s">
        <v>4283</v>
      </c>
      <c r="AW484" t="str">
        <f>IF(COUNTIFS(HCP_evidence!$A:$A, M484, HCP_evidence!$AH:$AH, "&lt;&gt;")&gt;0, "Yes", "")</f>
        <v/>
      </c>
      <c r="BB484" s="74"/>
    </row>
    <row r="485" spans="10:54" hidden="1">
      <c r="J485" t="s">
        <v>2972</v>
      </c>
      <c r="M485" s="80" t="s">
        <v>3086</v>
      </c>
      <c r="Q485" t="str">
        <f>IF(COUNTIFS(HCP_evidence!$A:$A, M485, HCP_evidence!$AB:$AB, "&lt;&gt;")&gt;0, "Yes", "")</f>
        <v/>
      </c>
      <c r="V485"/>
      <c r="X485" t="s">
        <v>342</v>
      </c>
      <c r="AC485" t="s">
        <v>4283</v>
      </c>
      <c r="AW485" t="str">
        <f>IF(COUNTIFS(HCP_evidence!$A:$A, M485, HCP_evidence!$AH:$AH, "&lt;&gt;")&gt;0, "Yes", "")</f>
        <v/>
      </c>
      <c r="BB485" s="74"/>
    </row>
    <row r="486" spans="10:54" hidden="1">
      <c r="J486" t="s">
        <v>2972</v>
      </c>
      <c r="M486" s="80" t="s">
        <v>3087</v>
      </c>
      <c r="Q486" t="str">
        <f>IF(COUNTIFS(HCP_evidence!$A:$A, M486, HCP_evidence!$AB:$AB, "&lt;&gt;")&gt;0, "Yes", "")</f>
        <v/>
      </c>
      <c r="V486"/>
      <c r="X486" t="s">
        <v>342</v>
      </c>
      <c r="AC486" t="s">
        <v>4283</v>
      </c>
      <c r="AW486" t="str">
        <f>IF(COUNTIFS(HCP_evidence!$A:$A, M486, HCP_evidence!$AH:$AH, "&lt;&gt;")&gt;0, "Yes", "")</f>
        <v/>
      </c>
      <c r="BB486" s="74"/>
    </row>
    <row r="487" spans="10:54" hidden="1">
      <c r="J487" t="s">
        <v>2972</v>
      </c>
      <c r="M487" s="80" t="s">
        <v>3088</v>
      </c>
      <c r="Q487" t="str">
        <f>IF(COUNTIFS(HCP_evidence!$A:$A, M487, HCP_evidence!$AB:$AB, "&lt;&gt;")&gt;0, "Yes", "")</f>
        <v/>
      </c>
      <c r="V487"/>
      <c r="X487" t="s">
        <v>342</v>
      </c>
      <c r="AC487" t="s">
        <v>4283</v>
      </c>
      <c r="AW487" t="str">
        <f>IF(COUNTIFS(HCP_evidence!$A:$A, M487, HCP_evidence!$AH:$AH, "&lt;&gt;")&gt;0, "Yes", "")</f>
        <v/>
      </c>
      <c r="BB487" s="74"/>
    </row>
    <row r="488" spans="10:54" hidden="1">
      <c r="J488" t="s">
        <v>2972</v>
      </c>
      <c r="M488" s="80" t="s">
        <v>3089</v>
      </c>
      <c r="Q488" t="str">
        <f>IF(COUNTIFS(HCP_evidence!$A:$A, M488, HCP_evidence!$AB:$AB, "&lt;&gt;")&gt;0, "Yes", "")</f>
        <v/>
      </c>
      <c r="V488"/>
      <c r="X488" t="s">
        <v>342</v>
      </c>
      <c r="AC488" t="s">
        <v>4283</v>
      </c>
      <c r="AW488" t="str">
        <f>IF(COUNTIFS(HCP_evidence!$A:$A, M488, HCP_evidence!$AH:$AH, "&lt;&gt;")&gt;0, "Yes", "")</f>
        <v/>
      </c>
      <c r="BB488" s="74"/>
    </row>
    <row r="489" spans="10:54" hidden="1">
      <c r="J489" t="s">
        <v>2972</v>
      </c>
      <c r="M489" s="80" t="s">
        <v>3090</v>
      </c>
      <c r="Q489" t="str">
        <f>IF(COUNTIFS(HCP_evidence!$A:$A, M489, HCP_evidence!$AB:$AB, "&lt;&gt;")&gt;0, "Yes", "")</f>
        <v/>
      </c>
      <c r="V489"/>
      <c r="X489" t="s">
        <v>342</v>
      </c>
      <c r="AC489" t="s">
        <v>4283</v>
      </c>
      <c r="AW489" t="str">
        <f>IF(COUNTIFS(HCP_evidence!$A:$A, M489, HCP_evidence!$AH:$AH, "&lt;&gt;")&gt;0, "Yes", "")</f>
        <v/>
      </c>
      <c r="BB489" s="74"/>
    </row>
    <row r="490" spans="10:54" hidden="1">
      <c r="J490" t="s">
        <v>2972</v>
      </c>
      <c r="M490" s="80" t="s">
        <v>3091</v>
      </c>
      <c r="Q490" t="str">
        <f>IF(COUNTIFS(HCP_evidence!$A:$A, M490, HCP_evidence!$AB:$AB, "&lt;&gt;")&gt;0, "Yes", "")</f>
        <v/>
      </c>
      <c r="V490"/>
      <c r="X490" t="s">
        <v>342</v>
      </c>
      <c r="AC490" t="s">
        <v>4283</v>
      </c>
      <c r="AW490" t="str">
        <f>IF(COUNTIFS(HCP_evidence!$A:$A, M490, HCP_evidence!$AH:$AH, "&lt;&gt;")&gt;0, "Yes", "")</f>
        <v/>
      </c>
      <c r="BB490" s="74"/>
    </row>
    <row r="491" spans="10:54" hidden="1">
      <c r="J491" t="s">
        <v>2972</v>
      </c>
      <c r="M491" s="80" t="s">
        <v>3092</v>
      </c>
      <c r="Q491" t="str">
        <f>IF(COUNTIFS(HCP_evidence!$A:$A, M491, HCP_evidence!$AB:$AB, "&lt;&gt;")&gt;0, "Yes", "")</f>
        <v/>
      </c>
      <c r="V491"/>
      <c r="X491" t="s">
        <v>356</v>
      </c>
      <c r="AC491" t="s">
        <v>4283</v>
      </c>
      <c r="AW491" t="str">
        <f>IF(COUNTIFS(HCP_evidence!$A:$A, M491, HCP_evidence!$AH:$AH, "&lt;&gt;")&gt;0, "Yes", "")</f>
        <v/>
      </c>
      <c r="BB491" s="74"/>
    </row>
    <row r="492" spans="10:54" hidden="1">
      <c r="J492" t="s">
        <v>2972</v>
      </c>
      <c r="M492" s="80" t="s">
        <v>3093</v>
      </c>
      <c r="Q492" t="str">
        <f>IF(COUNTIFS(HCP_evidence!$A:$A, M492, HCP_evidence!$AB:$AB, "&lt;&gt;")&gt;0, "Yes", "")</f>
        <v/>
      </c>
      <c r="V492"/>
      <c r="X492" t="s">
        <v>356</v>
      </c>
      <c r="AC492" t="s">
        <v>4283</v>
      </c>
      <c r="AW492" t="str">
        <f>IF(COUNTIFS(HCP_evidence!$A:$A, M492, HCP_evidence!$AH:$AH, "&lt;&gt;")&gt;0, "Yes", "")</f>
        <v/>
      </c>
      <c r="BB492" s="74"/>
    </row>
    <row r="493" spans="10:54" hidden="1">
      <c r="J493" t="s">
        <v>2972</v>
      </c>
      <c r="M493" s="80" t="s">
        <v>3094</v>
      </c>
      <c r="Q493" t="str">
        <f>IF(COUNTIFS(HCP_evidence!$A:$A, M493, HCP_evidence!$AB:$AB, "&lt;&gt;")&gt;0, "Yes", "")</f>
        <v/>
      </c>
      <c r="V493"/>
      <c r="X493" t="s">
        <v>362</v>
      </c>
      <c r="AC493" t="s">
        <v>4283</v>
      </c>
      <c r="AW493" t="str">
        <f>IF(COUNTIFS(HCP_evidence!$A:$A, M493, HCP_evidence!$AH:$AH, "&lt;&gt;")&gt;0, "Yes", "")</f>
        <v/>
      </c>
      <c r="BB493" s="74"/>
    </row>
    <row r="494" spans="10:54" hidden="1">
      <c r="J494" t="s">
        <v>2972</v>
      </c>
      <c r="M494" s="80" t="s">
        <v>3095</v>
      </c>
      <c r="Q494" t="str">
        <f>IF(COUNTIFS(HCP_evidence!$A:$A, M494, HCP_evidence!$AB:$AB, "&lt;&gt;")&gt;0, "Yes", "")</f>
        <v/>
      </c>
      <c r="V494"/>
      <c r="X494" t="s">
        <v>3097</v>
      </c>
      <c r="AC494" t="s">
        <v>4283</v>
      </c>
      <c r="AW494" t="str">
        <f>IF(COUNTIFS(HCP_evidence!$A:$A, M494, HCP_evidence!$AH:$AH, "&lt;&gt;")&gt;0, "Yes", "")</f>
        <v/>
      </c>
      <c r="BB494" s="74"/>
    </row>
    <row r="495" spans="10:54" hidden="1">
      <c r="J495" t="s">
        <v>2972</v>
      </c>
      <c r="M495" s="80" t="s">
        <v>3096</v>
      </c>
      <c r="Q495" t="str">
        <f>IF(COUNTIFS(HCP_evidence!$A:$A, M495, HCP_evidence!$AB:$AB, "&lt;&gt;")&gt;0, "Yes", "")</f>
        <v/>
      </c>
      <c r="V495"/>
      <c r="X495" t="s">
        <v>3097</v>
      </c>
      <c r="AC495" t="s">
        <v>4283</v>
      </c>
      <c r="AW495" t="str">
        <f>IF(COUNTIFS(HCP_evidence!$A:$A, M495, HCP_evidence!$AH:$AH, "&lt;&gt;")&gt;0, "Yes", "")</f>
        <v/>
      </c>
      <c r="BB495" s="74"/>
    </row>
    <row r="496" spans="10:54" hidden="1">
      <c r="J496" t="s">
        <v>2972</v>
      </c>
      <c r="K496" s="72" t="s">
        <v>8602</v>
      </c>
      <c r="M496" t="s">
        <v>8603</v>
      </c>
      <c r="Q496" t="str">
        <f>IF(COUNTIFS(HCP_evidence!$A:$A, M496, HCP_evidence!$AB:$AB, "&lt;&gt;")&gt;0, "Yes", "")</f>
        <v>Yes</v>
      </c>
      <c r="S496" t="s">
        <v>4307</v>
      </c>
      <c r="V496"/>
      <c r="W496" t="s">
        <v>3755</v>
      </c>
      <c r="X496" t="s">
        <v>4533</v>
      </c>
      <c r="AC496" t="s">
        <v>4283</v>
      </c>
      <c r="AW496" t="str">
        <f>IF(COUNTIFS(HCP_evidence!$A:$A, M496, HCP_evidence!$AH:$AH, "&lt;&gt;")&gt;0, "Yes", "")</f>
        <v/>
      </c>
      <c r="BB496" s="74"/>
    </row>
    <row r="497" spans="4:54" hidden="1">
      <c r="J497" t="s">
        <v>2972</v>
      </c>
      <c r="M497" s="80" t="s">
        <v>3098</v>
      </c>
      <c r="N497" s="71"/>
      <c r="Q497" t="str">
        <f>IF(COUNTIFS(HCP_evidence!$A:$A, M497, HCP_evidence!$AB:$AB, "&lt;&gt;")&gt;0, "Yes", "")</f>
        <v/>
      </c>
      <c r="V497"/>
      <c r="X497" t="s">
        <v>3099</v>
      </c>
      <c r="AC497" t="s">
        <v>4283</v>
      </c>
      <c r="AW497" t="str">
        <f>IF(COUNTIFS(HCP_evidence!$A:$A, M497, HCP_evidence!$AH:$AH, "&lt;&gt;")&gt;0, "Yes", "")</f>
        <v/>
      </c>
      <c r="BB497" s="74"/>
    </row>
    <row r="498" spans="4:54" hidden="1">
      <c r="J498" t="s">
        <v>4320</v>
      </c>
      <c r="M498" s="80" t="s">
        <v>3100</v>
      </c>
      <c r="Q498" t="str">
        <f>IF(COUNTIFS(HCP_evidence!$A:$A, M498, HCP_evidence!$AB:$AB, "&lt;&gt;")&gt;0, "Yes", "")</f>
        <v>Yes</v>
      </c>
      <c r="S498" t="s">
        <v>3118</v>
      </c>
      <c r="V498"/>
      <c r="W498" t="s">
        <v>4448</v>
      </c>
      <c r="X498" s="12" t="s">
        <v>1309</v>
      </c>
      <c r="AC498" t="s">
        <v>4283</v>
      </c>
      <c r="AW498" t="str">
        <f>IF(COUNTIFS(HCP_evidence!$A:$A, M498, HCP_evidence!$AH:$AH, "&lt;&gt;")&gt;0, "Yes", "")</f>
        <v/>
      </c>
      <c r="BB498" s="74"/>
    </row>
    <row r="499" spans="4:54" hidden="1">
      <c r="J499" t="s">
        <v>2972</v>
      </c>
      <c r="M499" s="80" t="s">
        <v>3101</v>
      </c>
      <c r="Q499" t="str">
        <f>IF(COUNTIFS(HCP_evidence!$A:$A, M499, HCP_evidence!$AB:$AB, "&lt;&gt;")&gt;0, "Yes", "")</f>
        <v/>
      </c>
      <c r="V499"/>
      <c r="X499" t="s">
        <v>3102</v>
      </c>
      <c r="AC499" t="s">
        <v>4283</v>
      </c>
      <c r="AW499" t="str">
        <f>IF(COUNTIFS(HCP_evidence!$A:$A, M499, HCP_evidence!$AH:$AH, "&lt;&gt;")&gt;0, "Yes", "")</f>
        <v/>
      </c>
      <c r="BB499" s="74"/>
    </row>
    <row r="500" spans="4:54" hidden="1">
      <c r="J500" t="s">
        <v>2972</v>
      </c>
      <c r="M500" s="80" t="s">
        <v>394</v>
      </c>
      <c r="Q500" t="str">
        <f>IF(COUNTIFS(HCP_evidence!$A:$A, M500, HCP_evidence!$AB:$AB, "&lt;&gt;")&gt;0, "Yes", "")</f>
        <v/>
      </c>
      <c r="V500"/>
      <c r="X500" t="s">
        <v>3103</v>
      </c>
      <c r="AC500" t="s">
        <v>4283</v>
      </c>
      <c r="AW500" t="str">
        <f>IF(COUNTIFS(HCP_evidence!$A:$A, M500, HCP_evidence!$AH:$AH, "&lt;&gt;")&gt;0, "Yes", "")</f>
        <v/>
      </c>
      <c r="BB500" s="74"/>
    </row>
    <row r="501" spans="4:54" hidden="1">
      <c r="J501" t="s">
        <v>2972</v>
      </c>
      <c r="M501" s="80" t="s">
        <v>3104</v>
      </c>
      <c r="Q501" t="str">
        <f>IF(COUNTIFS(HCP_evidence!$A:$A, M501, HCP_evidence!$AB:$AB, "&lt;&gt;")&gt;0, "Yes", "")</f>
        <v/>
      </c>
      <c r="V501"/>
      <c r="X501" t="s">
        <v>395</v>
      </c>
      <c r="AC501" t="s">
        <v>4283</v>
      </c>
      <c r="AW501" t="str">
        <f>IF(COUNTIFS(HCP_evidence!$A:$A, M501, HCP_evidence!$AH:$AH, "&lt;&gt;")&gt;0, "Yes", "")</f>
        <v/>
      </c>
      <c r="BB501" s="74"/>
    </row>
    <row r="502" spans="4:54" hidden="1">
      <c r="M502" s="14" t="s">
        <v>3105</v>
      </c>
      <c r="N502" s="14"/>
      <c r="O502" s="14"/>
      <c r="P502" s="14"/>
      <c r="Q502" t="str">
        <f>IF(COUNTIFS(HCP_evidence!$A:$A, M502, HCP_evidence!$AB:$AB, "&lt;&gt;")&gt;0, "Yes", "")</f>
        <v>Yes</v>
      </c>
      <c r="R502" s="14"/>
      <c r="V502"/>
      <c r="X502" t="s">
        <v>3099</v>
      </c>
      <c r="AC502" t="s">
        <v>4283</v>
      </c>
      <c r="AW502" t="str">
        <f>IF(COUNTIFS(HCP_evidence!$A:$A, M502, HCP_evidence!$AH:$AH, "&lt;&gt;")&gt;0, "Yes", "")</f>
        <v/>
      </c>
      <c r="BB502" s="74"/>
    </row>
    <row r="503" spans="4:54" hidden="1">
      <c r="M503" s="14" t="s">
        <v>3109</v>
      </c>
      <c r="N503" s="14"/>
      <c r="O503" s="14"/>
      <c r="P503" s="14"/>
      <c r="Q503" t="str">
        <f>IF(COUNTIFS(HCP_evidence!$A:$A, M503, HCP_evidence!$AB:$AB, "&lt;&gt;")&gt;0, "Yes", "")</f>
        <v/>
      </c>
      <c r="R503" s="14"/>
      <c r="V503"/>
      <c r="X503" t="s">
        <v>3099</v>
      </c>
      <c r="AC503" t="s">
        <v>4283</v>
      </c>
      <c r="AW503" t="str">
        <f>IF(COUNTIFS(HCP_evidence!$A:$A, M503, HCP_evidence!$AH:$AH, "&lt;&gt;")&gt;0, "Yes", "")</f>
        <v/>
      </c>
      <c r="BB503" s="74"/>
    </row>
    <row r="504" spans="4:54" hidden="1">
      <c r="D504" t="s">
        <v>414</v>
      </c>
      <c r="K504" s="72" t="s">
        <v>8597</v>
      </c>
      <c r="L504" s="72" t="s">
        <v>8594</v>
      </c>
      <c r="M504" t="s">
        <v>8596</v>
      </c>
      <c r="Q504" t="str">
        <f>IF(COUNTIFS(HCP_evidence!$A:$A, M504, HCP_evidence!$AB:$AB, "&lt;&gt;")&gt;0, "Yes", "")</f>
        <v/>
      </c>
      <c r="S504" t="s">
        <v>8595</v>
      </c>
      <c r="V504"/>
      <c r="W504" t="s">
        <v>4448</v>
      </c>
      <c r="X504" s="12" t="s">
        <v>1309</v>
      </c>
      <c r="AC504" t="s">
        <v>4283</v>
      </c>
      <c r="AW504" t="str">
        <f>IF(COUNTIFS(HCP_evidence!$A:$A, M504, HCP_evidence!$AH:$AH, "&lt;&gt;")&gt;0, "Yes", "")</f>
        <v/>
      </c>
      <c r="BB504" s="74"/>
    </row>
    <row r="505" spans="4:54" hidden="1">
      <c r="D505" t="s">
        <v>414</v>
      </c>
      <c r="J505" t="s">
        <v>3124</v>
      </c>
      <c r="K505" s="72" t="s">
        <v>4949</v>
      </c>
      <c r="M505" t="s">
        <v>3123</v>
      </c>
      <c r="Q505" t="str">
        <f>IF(COUNTIFS(HCP_evidence!$A:$A, M505, HCP_evidence!$AB:$AB, "&lt;&gt;")&gt;0, "Yes", "")</f>
        <v>Yes</v>
      </c>
      <c r="S505" t="s">
        <v>3118</v>
      </c>
      <c r="V505"/>
      <c r="W505" t="s">
        <v>4448</v>
      </c>
      <c r="X505" s="12" t="s">
        <v>1309</v>
      </c>
      <c r="AC505" t="s">
        <v>4283</v>
      </c>
      <c r="AW505" t="str">
        <f>IF(COUNTIFS(HCP_evidence!$A:$A, M505, HCP_evidence!$AH:$AH, "&lt;&gt;")&gt;0, "Yes", "")</f>
        <v>Yes</v>
      </c>
      <c r="BB505" s="74"/>
    </row>
    <row r="506" spans="4:54" hidden="1">
      <c r="J506" t="s">
        <v>3132</v>
      </c>
      <c r="M506" t="s">
        <v>3126</v>
      </c>
      <c r="Q506" t="str">
        <f>IF(COUNTIFS(HCP_evidence!$A:$A, M506, HCP_evidence!$AB:$AB, "&lt;&gt;")&gt;0, "Yes", "")</f>
        <v/>
      </c>
      <c r="V506"/>
      <c r="X506" t="e">
        <f>_xlfn.XLOOKUP(M506,[1]Sheet1!$D:$D,[1]Sheet1!$F:$F)</f>
        <v>#N/A</v>
      </c>
      <c r="AC506" t="s">
        <v>4283</v>
      </c>
      <c r="AW506" t="str">
        <f>IF(COUNTIFS(HCP_evidence!$A:$A, M506, HCP_evidence!$AH:$AH, "&lt;&gt;")&gt;0, "Yes", "")</f>
        <v>Yes</v>
      </c>
      <c r="BB506" s="74"/>
    </row>
    <row r="507" spans="4:54" hidden="1">
      <c r="J507" t="s">
        <v>3133</v>
      </c>
      <c r="M507" t="s">
        <v>3127</v>
      </c>
      <c r="Q507" t="str">
        <f>IF(COUNTIFS(HCP_evidence!$A:$A, M507, HCP_evidence!$AB:$AB, "&lt;&gt;")&gt;0, "Yes", "")</f>
        <v/>
      </c>
      <c r="V507"/>
      <c r="X507" t="str">
        <f>_xlfn.XLOOKUP(M507,[1]Sheet1!$D:$D,[1]Sheet1!$F:$F)</f>
        <v>Centre François Baclesse</v>
      </c>
      <c r="AC507" t="s">
        <v>4283</v>
      </c>
      <c r="AW507" t="str">
        <f>IF(COUNTIFS(HCP_evidence!$A:$A, M507, HCP_evidence!$AH:$AH, "&lt;&gt;")&gt;0, "Yes", "")</f>
        <v>Yes</v>
      </c>
      <c r="BB507" s="74"/>
    </row>
    <row r="508" spans="4:54" hidden="1">
      <c r="J508" t="s">
        <v>3133</v>
      </c>
      <c r="M508" t="s">
        <v>3128</v>
      </c>
      <c r="Q508" t="str">
        <f>IF(COUNTIFS(HCP_evidence!$A:$A, M508, HCP_evidence!$AB:$AB, "&lt;&gt;")&gt;0, "Yes", "")</f>
        <v/>
      </c>
      <c r="V508"/>
      <c r="X508" t="e">
        <f>_xlfn.XLOOKUP(M508,[1]Sheet1!$D:$D,[1]Sheet1!$F:$F)</f>
        <v>#N/A</v>
      </c>
      <c r="AC508" t="s">
        <v>4283</v>
      </c>
      <c r="AW508" t="str">
        <f>IF(COUNTIFS(HCP_evidence!$A:$A, M508, HCP_evidence!$AH:$AH, "&lt;&gt;")&gt;0, "Yes", "")</f>
        <v>Yes</v>
      </c>
      <c r="BB508" s="74"/>
    </row>
    <row r="509" spans="4:54" hidden="1">
      <c r="J509" t="s">
        <v>3133</v>
      </c>
      <c r="M509" t="s">
        <v>3130</v>
      </c>
      <c r="Q509" t="str">
        <f>IF(COUNTIFS(HCP_evidence!$A:$A, M509, HCP_evidence!$AB:$AB, "&lt;&gt;")&gt;0, "Yes", "")</f>
        <v/>
      </c>
      <c r="V509"/>
      <c r="X509" t="e">
        <f>_xlfn.XLOOKUP(M509,[1]Sheet1!$D:$D,[1]Sheet1!$F:$F)</f>
        <v>#N/A</v>
      </c>
      <c r="AC509" t="s">
        <v>4283</v>
      </c>
      <c r="AW509" t="str">
        <f>IF(COUNTIFS(HCP_evidence!$A:$A, M509, HCP_evidence!$AH:$AH, "&lt;&gt;")&gt;0, "Yes", "")</f>
        <v>Yes</v>
      </c>
      <c r="BB509" s="74"/>
    </row>
    <row r="510" spans="4:54" hidden="1">
      <c r="M510" t="s">
        <v>3931</v>
      </c>
      <c r="Q510" t="str">
        <f>IF(COUNTIFS(HCP_evidence!$A:$A, M510, HCP_evidence!$AB:$AB, "&lt;&gt;")&gt;0, "Yes", "")</f>
        <v/>
      </c>
      <c r="V510"/>
      <c r="X510" t="str">
        <f>_xlfn.XLOOKUP(M510,[1]Sheet1!$D:$D,[1]Sheet1!$F:$F)</f>
        <v>Chu de Saint-Etienne</v>
      </c>
      <c r="AC510" t="s">
        <v>4283</v>
      </c>
      <c r="AW510" t="str">
        <f>IF(COUNTIFS(HCP_evidence!$A:$A, M510, HCP_evidence!$AH:$AH, "&lt;&gt;")&gt;0, "Yes", "")</f>
        <v/>
      </c>
      <c r="BB510" s="74"/>
    </row>
    <row r="511" spans="4:54" hidden="1">
      <c r="J511" t="s">
        <v>8394</v>
      </c>
      <c r="K511" s="72" t="s">
        <v>8393</v>
      </c>
      <c r="M511" t="s">
        <v>3932</v>
      </c>
      <c r="N511" s="71"/>
      <c r="Q511" t="str">
        <f>IF(COUNTIFS(HCP_evidence!$A:$A, M511, HCP_evidence!$AB:$AB, "&lt;&gt;")&gt;0, "Yes", "")</f>
        <v/>
      </c>
      <c r="V511"/>
      <c r="W511" t="s">
        <v>4448</v>
      </c>
      <c r="X511" s="12" t="s">
        <v>1309</v>
      </c>
      <c r="AC511" t="s">
        <v>4283</v>
      </c>
      <c r="AW511" t="str">
        <f>IF(COUNTIFS(HCP_evidence!$A:$A, M511, HCP_evidence!$AH:$AH, "&lt;&gt;")&gt;0, "Yes", "")</f>
        <v/>
      </c>
      <c r="BB511" s="74"/>
    </row>
    <row r="512" spans="4:54" hidden="1">
      <c r="M512" t="s">
        <v>3936</v>
      </c>
      <c r="Q512" t="str">
        <f>IF(COUNTIFS(HCP_evidence!$A:$A, M512, HCP_evidence!$AB:$AB, "&lt;&gt;")&gt;0, "Yes", "")</f>
        <v/>
      </c>
      <c r="V512"/>
      <c r="X512" t="str">
        <f>_xlfn.XLOOKUP(M512,[1]Sheet1!$D:$D,[1]Sheet1!$F:$F)</f>
        <v>Service d'Oto-Rhino-Laryngologie de l'Hôpital de la Croix-Rousse</v>
      </c>
      <c r="AC512" t="s">
        <v>4283</v>
      </c>
      <c r="AW512" t="str">
        <f>IF(COUNTIFS(HCP_evidence!$A:$A, M512, HCP_evidence!$AH:$AH, "&lt;&gt;")&gt;0, "Yes", "")</f>
        <v/>
      </c>
      <c r="BB512" s="74"/>
    </row>
    <row r="513" spans="10:54" hidden="1">
      <c r="M513" t="s">
        <v>3937</v>
      </c>
      <c r="Q513" t="str">
        <f>IF(COUNTIFS(HCP_evidence!$A:$A, M513, HCP_evidence!$AB:$AB, "&lt;&gt;")&gt;0, "Yes", "")</f>
        <v/>
      </c>
      <c r="V513"/>
      <c r="X513" t="str">
        <f>_xlfn.XLOOKUP(M513,[1]Sheet1!$D:$D,[1]Sheet1!$F:$F)</f>
        <v>Hopital Européen Georges Pompidou</v>
      </c>
      <c r="AC513" t="s">
        <v>4283</v>
      </c>
      <c r="BB513" s="74"/>
    </row>
    <row r="514" spans="10:54" hidden="1">
      <c r="J514" t="s">
        <v>4792</v>
      </c>
      <c r="K514" s="72" t="s">
        <v>8598</v>
      </c>
      <c r="M514" t="s">
        <v>3939</v>
      </c>
      <c r="Q514" t="str">
        <f>IF(COUNTIFS(HCP_evidence!$A:$A, M514, HCP_evidence!$AB:$AB, "&lt;&gt;")&gt;0, "Yes", "")</f>
        <v/>
      </c>
      <c r="V514"/>
      <c r="W514" t="s">
        <v>4448</v>
      </c>
      <c r="X514" s="12" t="s">
        <v>1309</v>
      </c>
      <c r="AC514" t="s">
        <v>4283</v>
      </c>
      <c r="BB514" s="74"/>
    </row>
    <row r="515" spans="10:54" hidden="1">
      <c r="M515" t="s">
        <v>3476</v>
      </c>
      <c r="Q515" t="str">
        <f>IF(COUNTIFS(HCP_evidence!$A:$A, M515, HCP_evidence!$AB:$AB, "&lt;&gt;")&gt;0, "Yes", "")</f>
        <v/>
      </c>
      <c r="V515"/>
      <c r="X515" t="str">
        <f>_xlfn.XLOOKUP(M515,[1]Sheet1!$D:$D,[1]Sheet1!$F:$F)</f>
        <v>Hôpital Saint-Antoine</v>
      </c>
      <c r="AC515" t="s">
        <v>4283</v>
      </c>
      <c r="BB515" s="74"/>
    </row>
    <row r="516" spans="10:54" hidden="1">
      <c r="M516" t="s">
        <v>3942</v>
      </c>
      <c r="Q516" t="str">
        <f>IF(COUNTIFS(HCP_evidence!$A:$A, M516, HCP_evidence!$AB:$AB, "&lt;&gt;")&gt;0, "Yes", "")</f>
        <v/>
      </c>
      <c r="V516"/>
      <c r="X516" t="str">
        <f>_xlfn.XLOOKUP(M516,[1]Sheet1!$D:$D,[1]Sheet1!$F:$F)</f>
        <v>Hôpital La Timone</v>
      </c>
      <c r="AC516" t="s">
        <v>4283</v>
      </c>
      <c r="BB516" s="74"/>
    </row>
    <row r="517" spans="10:54" hidden="1">
      <c r="J517" t="s">
        <v>8362</v>
      </c>
      <c r="K517" s="72" t="s">
        <v>8370</v>
      </c>
      <c r="M517" t="s">
        <v>8364</v>
      </c>
      <c r="Q517" t="str">
        <f>IF(COUNTIFS(HCP_evidence!$A:$A, M517, HCP_evidence!$AB:$AB, "&lt;&gt;")&gt;0, "Yes", "")</f>
        <v/>
      </c>
      <c r="V517"/>
      <c r="W517" t="s">
        <v>3795</v>
      </c>
      <c r="X517" t="s">
        <v>3481</v>
      </c>
      <c r="AC517" t="s">
        <v>4283</v>
      </c>
      <c r="BB517" s="74"/>
    </row>
    <row r="518" spans="10:54" hidden="1">
      <c r="M518" t="s">
        <v>3943</v>
      </c>
      <c r="Q518" t="str">
        <f>IF(COUNTIFS(HCP_evidence!$A:$A, M518, HCP_evidence!$AB:$AB, "&lt;&gt;")&gt;0, "Yes", "")</f>
        <v/>
      </c>
      <c r="V518"/>
      <c r="X518" t="str">
        <f>_xlfn.XLOOKUP(M518,[1]Sheet1!$D:$D,[1]Sheet1!$F:$F)</f>
        <v>Institut Godinot</v>
      </c>
      <c r="AC518" t="s">
        <v>4283</v>
      </c>
      <c r="BB518" s="74"/>
    </row>
    <row r="519" spans="10:54" hidden="1">
      <c r="M519" t="s">
        <v>3944</v>
      </c>
      <c r="Q519" t="str">
        <f>IF(COUNTIFS(HCP_evidence!$A:$A, M519, HCP_evidence!$AB:$AB, "&lt;&gt;")&gt;0, "Yes", "")</f>
        <v/>
      </c>
      <c r="V519"/>
      <c r="X519" t="str">
        <f>_xlfn.XLOOKUP(M519,[1]Sheet1!$D:$D,[1]Sheet1!$F:$F)</f>
        <v>Centre Oscar Lambret</v>
      </c>
      <c r="AC519" t="s">
        <v>4283</v>
      </c>
      <c r="BB519" s="74"/>
    </row>
    <row r="520" spans="10:54" hidden="1">
      <c r="M520" t="s">
        <v>3945</v>
      </c>
      <c r="Q520" t="str">
        <f>IF(COUNTIFS(HCP_evidence!$A:$A, M520, HCP_evidence!$AB:$AB, "&lt;&gt;")&gt;0, "Yes", "")</f>
        <v/>
      </c>
      <c r="V520"/>
      <c r="X520" t="str">
        <f>_xlfn.XLOOKUP(M520,[1]Sheet1!$D:$D,[1]Sheet1!$F:$F)</f>
        <v>CHU Angers</v>
      </c>
      <c r="AC520" t="s">
        <v>4283</v>
      </c>
      <c r="BB520" s="74"/>
    </row>
    <row r="521" spans="10:54" hidden="1">
      <c r="M521" t="s">
        <v>3946</v>
      </c>
      <c r="Q521" t="str">
        <f>IF(COUNTIFS(HCP_evidence!$A:$A, M521, HCP_evidence!$AB:$AB, "&lt;&gt;")&gt;0, "Yes", "")</f>
        <v/>
      </c>
      <c r="V521"/>
      <c r="X521">
        <f>_xlfn.XLOOKUP(M521,[1]Sheet1!$D:$D,[1]Sheet1!$F:$F)</f>
        <v>0</v>
      </c>
      <c r="AC521" t="s">
        <v>4283</v>
      </c>
      <c r="BB521" s="74"/>
    </row>
    <row r="522" spans="10:54" hidden="1">
      <c r="M522" t="s">
        <v>3947</v>
      </c>
      <c r="Q522" t="str">
        <f>IF(COUNTIFS(HCP_evidence!$A:$A, M522, HCP_evidence!$AB:$AB, "&lt;&gt;")&gt;0, "Yes", "")</f>
        <v/>
      </c>
      <c r="V522"/>
      <c r="X522" t="str">
        <f>_xlfn.XLOOKUP(M522,[1]Sheet1!$D:$D,[1]Sheet1!$F:$F)</f>
        <v>Chu de Lille</v>
      </c>
      <c r="AC522" t="s">
        <v>4283</v>
      </c>
      <c r="BB522" s="74"/>
    </row>
    <row r="523" spans="10:54" hidden="1">
      <c r="M523" t="s">
        <v>3948</v>
      </c>
      <c r="Q523" t="str">
        <f>IF(COUNTIFS(HCP_evidence!$A:$A, M523, HCP_evidence!$AB:$AB, "&lt;&gt;")&gt;0, "Yes", "")</f>
        <v/>
      </c>
      <c r="V523"/>
      <c r="X523" t="str">
        <f>_xlfn.XLOOKUP(M523,[1]Sheet1!$D:$D,[1]Sheet1!$F:$F)</f>
        <v>Institu Daniel Hollard</v>
      </c>
      <c r="AC523" t="s">
        <v>4283</v>
      </c>
      <c r="BB523" s="74"/>
    </row>
    <row r="524" spans="10:54" hidden="1">
      <c r="M524" t="s">
        <v>3608</v>
      </c>
      <c r="Q524" t="str">
        <f>IF(COUNTIFS(HCP_evidence!$A:$A, M524, HCP_evidence!$AB:$AB, "&lt;&gt;")&gt;0, "Yes", "")</f>
        <v/>
      </c>
      <c r="V524"/>
      <c r="X524" t="str">
        <f>_xlfn.XLOOKUP(M524,[1]Sheet1!$D:$D,[1]Sheet1!$F:$F)</f>
        <v>ICO - Centre René Gauducheau</v>
      </c>
      <c r="AC524" t="s">
        <v>4283</v>
      </c>
      <c r="BB524" s="74"/>
    </row>
    <row r="525" spans="10:54" hidden="1">
      <c r="M525" t="s">
        <v>3949</v>
      </c>
      <c r="Q525" t="str">
        <f>IF(COUNTIFS(HCP_evidence!$A:$A, M525, HCP_evidence!$AB:$AB, "&lt;&gt;")&gt;0, "Yes", "")</f>
        <v/>
      </c>
      <c r="V525"/>
      <c r="X525" t="str">
        <f>_xlfn.XLOOKUP(M525,[1]Sheet1!$D:$D,[1]Sheet1!$F:$F)</f>
        <v>IUCT Oncopôle</v>
      </c>
      <c r="AC525" t="s">
        <v>4283</v>
      </c>
      <c r="BB525" s="74"/>
    </row>
    <row r="526" spans="10:54" hidden="1">
      <c r="M526" t="s">
        <v>3950</v>
      </c>
      <c r="Q526" t="str">
        <f>IF(COUNTIFS(HCP_evidence!$A:$A, M526, HCP_evidence!$AB:$AB, "&lt;&gt;")&gt;0, "Yes", "")</f>
        <v/>
      </c>
      <c r="V526"/>
      <c r="X526" t="str">
        <f>_xlfn.XLOOKUP(M526,[1]Sheet1!$D:$D,[1]Sheet1!$F:$F)</f>
        <v>Institut Régional du Cancer de Montpellier</v>
      </c>
      <c r="AC526" t="s">
        <v>4283</v>
      </c>
      <c r="BB526" s="74"/>
    </row>
    <row r="527" spans="10:54" hidden="1">
      <c r="M527" t="s">
        <v>3951</v>
      </c>
      <c r="Q527" t="str">
        <f>IF(COUNTIFS(HCP_evidence!$A:$A, M527, HCP_evidence!$AB:$AB, "&lt;&gt;")&gt;0, "Yes", "")</f>
        <v/>
      </c>
      <c r="V527"/>
      <c r="X527" t="str">
        <f>_xlfn.XLOOKUP(M527,[1]Sheet1!$D:$D,[1]Sheet1!$F:$F)</f>
        <v>Centre Hospitalier Universitaire</v>
      </c>
      <c r="AC527" t="s">
        <v>4283</v>
      </c>
      <c r="BB527" s="74"/>
    </row>
    <row r="528" spans="10:54" hidden="1">
      <c r="M528" t="s">
        <v>3595</v>
      </c>
      <c r="Q528" t="str">
        <f>IF(COUNTIFS(HCP_evidence!$A:$A, M528, HCP_evidence!$AB:$AB, "&lt;&gt;")&gt;0, "Yes", "")</f>
        <v/>
      </c>
      <c r="V528"/>
      <c r="X528" t="str">
        <f>_xlfn.XLOOKUP(M528,[1]Sheet1!$D:$D,[1]Sheet1!$F:$F)</f>
        <v>CHD Vendée</v>
      </c>
      <c r="AC528" t="s">
        <v>4283</v>
      </c>
      <c r="BB528" s="74"/>
    </row>
    <row r="529" spans="10:54" hidden="1">
      <c r="M529" t="s">
        <v>3953</v>
      </c>
      <c r="Q529" t="str">
        <f>IF(COUNTIFS(HCP_evidence!$A:$A, M529, HCP_evidence!$AB:$AB, "&lt;&gt;")&gt;0, "Yes", "")</f>
        <v/>
      </c>
      <c r="V529"/>
      <c r="X529" t="str">
        <f>_xlfn.XLOOKUP(M529,[1]Sheet1!$D:$D,[1]Sheet1!$F:$F)</f>
        <v>CH Simone VEIL</v>
      </c>
      <c r="AC529" t="s">
        <v>4283</v>
      </c>
      <c r="BB529" s="74"/>
    </row>
    <row r="530" spans="10:54" hidden="1">
      <c r="J530" t="s">
        <v>8394</v>
      </c>
      <c r="K530" s="72" t="s">
        <v>8515</v>
      </c>
      <c r="M530" t="s">
        <v>3954</v>
      </c>
      <c r="Q530" t="str">
        <f>IF(COUNTIFS(HCP_evidence!$A:$A, M530, HCP_evidence!$AB:$AB, "&lt;&gt;")&gt;0, "Yes", "")</f>
        <v/>
      </c>
      <c r="V530"/>
      <c r="W530" t="s">
        <v>4560</v>
      </c>
      <c r="X530" t="s">
        <v>4293</v>
      </c>
      <c r="AC530" t="s">
        <v>4283</v>
      </c>
      <c r="BB530" s="74"/>
    </row>
    <row r="531" spans="10:54" hidden="1">
      <c r="M531" t="s">
        <v>3955</v>
      </c>
      <c r="Q531" t="str">
        <f>IF(COUNTIFS(HCP_evidence!$A:$A, M531, HCP_evidence!$AB:$AB, "&lt;&gt;")&gt;0, "Yes", "")</f>
        <v/>
      </c>
      <c r="V531"/>
      <c r="X531" t="str">
        <f>_xlfn.XLOOKUP(M531,[1]Sheet1!$D:$D,[1]Sheet1!$F:$F)</f>
        <v>Institut de Cancerologie de Lorraine</v>
      </c>
      <c r="AC531" t="s">
        <v>4283</v>
      </c>
      <c r="BB531" s="74"/>
    </row>
    <row r="532" spans="10:54" hidden="1">
      <c r="M532" t="s">
        <v>3957</v>
      </c>
      <c r="Q532" t="str">
        <f>IF(COUNTIFS(HCP_evidence!$A:$A, M532, HCP_evidence!$AB:$AB, "&lt;&gt;")&gt;0, "Yes", "")</f>
        <v/>
      </c>
      <c r="V532"/>
      <c r="X532" t="str">
        <f>_xlfn.XLOOKUP(M532,[1]Sheet1!$D:$D,[1]Sheet1!$F:$F)</f>
        <v>Chu de Caen Normandie</v>
      </c>
      <c r="AC532" t="s">
        <v>4283</v>
      </c>
      <c r="BB532" s="74"/>
    </row>
    <row r="533" spans="10:54" hidden="1">
      <c r="M533" t="s">
        <v>3958</v>
      </c>
      <c r="Q533" t="str">
        <f>IF(COUNTIFS(HCP_evidence!$A:$A, M533, HCP_evidence!$AB:$AB, "&lt;&gt;")&gt;0, "Yes", "")</f>
        <v/>
      </c>
      <c r="V533"/>
      <c r="X533" t="str">
        <f>_xlfn.XLOOKUP(M533,[1]Sheet1!$D:$D,[1]Sheet1!$F:$F)</f>
        <v>CHU Besançon</v>
      </c>
      <c r="AC533" t="s">
        <v>4283</v>
      </c>
      <c r="BB533" s="74"/>
    </row>
    <row r="534" spans="10:54" hidden="1">
      <c r="M534" t="s">
        <v>3195</v>
      </c>
      <c r="Q534" t="str">
        <f>IF(COUNTIFS(HCP_evidence!$A:$A, M534, HCP_evidence!$AB:$AB, "&lt;&gt;")&gt;0, "Yes", "")</f>
        <v/>
      </c>
      <c r="V534"/>
      <c r="X534" t="str">
        <f>_xlfn.XLOOKUP(M534,[1]Sheet1!$D:$D,[1]Sheet1!$F:$F)</f>
        <v>Centre Léon Bérard</v>
      </c>
      <c r="AC534" t="s">
        <v>4283</v>
      </c>
      <c r="BB534" s="74"/>
    </row>
    <row r="535" spans="10:54" hidden="1">
      <c r="M535" t="s">
        <v>3960</v>
      </c>
      <c r="Q535" t="str">
        <f>IF(COUNTIFS(HCP_evidence!$A:$A, M535, HCP_evidence!$AB:$AB, "&lt;&gt;")&gt;0, "Yes", "")</f>
        <v/>
      </c>
      <c r="V535"/>
      <c r="X535" t="str">
        <f>_xlfn.XLOOKUP(M535,[1]Sheet1!$D:$D,[1]Sheet1!$F:$F)</f>
        <v>Gustave Roussy Cancer Campus, Grand Paris</v>
      </c>
      <c r="AC535" t="s">
        <v>4283</v>
      </c>
      <c r="BB535" s="74"/>
    </row>
    <row r="536" spans="10:54" hidden="1">
      <c r="M536" t="s">
        <v>3963</v>
      </c>
      <c r="Q536" t="str">
        <f>IF(COUNTIFS(HCP_evidence!$A:$A, M536, HCP_evidence!$AB:$AB, "&lt;&gt;")&gt;0, "Yes", "")</f>
        <v/>
      </c>
      <c r="V536"/>
      <c r="X536" t="str">
        <f>_xlfn.XLOOKUP(M536,[1]Sheet1!$D:$D,[1]Sheet1!$F:$F)</f>
        <v>Service de Gynécologie du Groupement Hospitalier Est</v>
      </c>
      <c r="AC536" t="s">
        <v>4283</v>
      </c>
      <c r="BB536" s="74"/>
    </row>
    <row r="537" spans="10:54" hidden="1">
      <c r="M537" t="s">
        <v>3964</v>
      </c>
      <c r="Q537" t="str">
        <f>IF(COUNTIFS(HCP_evidence!$A:$A, M537, HCP_evidence!$AB:$AB, "&lt;&gt;")&gt;0, "Yes", "")</f>
        <v/>
      </c>
      <c r="V537"/>
      <c r="X537" t="str">
        <f>_xlfn.XLOOKUP(M537,[1]Sheet1!$D:$D,[1]Sheet1!$F:$F)</f>
        <v>Institut Régional du Cancer de Montpellier</v>
      </c>
      <c r="AC537" t="s">
        <v>4283</v>
      </c>
      <c r="BB537" s="74"/>
    </row>
    <row r="538" spans="10:54" hidden="1">
      <c r="M538" t="s">
        <v>3965</v>
      </c>
      <c r="Q538" t="str">
        <f>IF(COUNTIFS(HCP_evidence!$A:$A, M538, HCP_evidence!$AB:$AB, "&lt;&gt;")&gt;0, "Yes", "")</f>
        <v/>
      </c>
      <c r="V538"/>
      <c r="X538" t="str">
        <f>_xlfn.XLOOKUP(M538,[1]Sheet1!$D:$D,[1]Sheet1!$F:$F)</f>
        <v>Centre Hospitalier Universitaire</v>
      </c>
      <c r="AC538" t="s">
        <v>4283</v>
      </c>
      <c r="BB538" s="74"/>
    </row>
    <row r="539" spans="10:54" hidden="1">
      <c r="M539" t="s">
        <v>3486</v>
      </c>
      <c r="Q539" t="str">
        <f>IF(COUNTIFS(HCP_evidence!$A:$A, M539, HCP_evidence!$AB:$AB, "&lt;&gt;")&gt;0, "Yes", "")</f>
        <v/>
      </c>
      <c r="V539"/>
      <c r="X539" t="str">
        <f>_xlfn.XLOOKUP(M539,[1]Sheet1!$D:$D,[1]Sheet1!$F:$F)</f>
        <v>Centre Hospitalier Intercommunal Poissy -Saint Germain-en-Laye</v>
      </c>
      <c r="AC539" t="s">
        <v>4283</v>
      </c>
      <c r="BB539" s="74"/>
    </row>
    <row r="540" spans="10:54" hidden="1">
      <c r="M540" t="s">
        <v>3473</v>
      </c>
      <c r="Q540" t="str">
        <f>IF(COUNTIFS(HCP_evidence!$A:$A, M540, HCP_evidence!$AB:$AB, "&lt;&gt;")&gt;0, "Yes", "")</f>
        <v/>
      </c>
      <c r="V540"/>
      <c r="X540" t="str">
        <f>_xlfn.XLOOKUP(M540,[1]Sheet1!$D:$D,[1]Sheet1!$F:$F)</f>
        <v>Hôpital Tenon</v>
      </c>
      <c r="AC540" t="s">
        <v>4283</v>
      </c>
      <c r="BB540" s="74"/>
    </row>
    <row r="541" spans="10:54" hidden="1">
      <c r="M541" t="s">
        <v>3967</v>
      </c>
      <c r="Q541" t="str">
        <f>IF(COUNTIFS(HCP_evidence!$A:$A, M541, HCP_evidence!$AB:$AB, "&lt;&gt;")&gt;0, "Yes", "")</f>
        <v/>
      </c>
      <c r="V541"/>
      <c r="X541" t="str">
        <f>_xlfn.XLOOKUP(M541,[1]Sheet1!$D:$D,[1]Sheet1!$F:$F)</f>
        <v>Institut du Cancer Avignon-Provence</v>
      </c>
      <c r="AC541" t="s">
        <v>4283</v>
      </c>
      <c r="BB541" s="74"/>
    </row>
    <row r="542" spans="10:54" hidden="1">
      <c r="M542" t="s">
        <v>3968</v>
      </c>
      <c r="Q542" t="str">
        <f>IF(COUNTIFS(HCP_evidence!$A:$A, M542, HCP_evidence!$AB:$AB, "&lt;&gt;")&gt;0, "Yes", "")</f>
        <v/>
      </c>
      <c r="V542"/>
      <c r="X542" t="str">
        <f>_xlfn.XLOOKUP(M542,[1]Sheet1!$D:$D,[1]Sheet1!$F:$F)</f>
        <v>Hopital Européen Georges Pompidou</v>
      </c>
      <c r="AC542" t="s">
        <v>4283</v>
      </c>
      <c r="BB542" s="74"/>
    </row>
    <row r="543" spans="10:54" hidden="1">
      <c r="M543" t="s">
        <v>3149</v>
      </c>
      <c r="N543" s="71"/>
      <c r="Q543" t="str">
        <f>IF(COUNTIFS(HCP_evidence!$A:$A, M543, HCP_evidence!$AB:$AB, "&lt;&gt;")&gt;0, "Yes", "")</f>
        <v/>
      </c>
      <c r="V543"/>
      <c r="X543" t="str">
        <f>_xlfn.XLOOKUP(M543,[1]Sheet1!$D:$D,[1]Sheet1!$F:$F)</f>
        <v>CHU de Grenoble</v>
      </c>
      <c r="AC543" t="s">
        <v>4283</v>
      </c>
      <c r="BB543" s="74"/>
    </row>
    <row r="544" spans="10:54" hidden="1">
      <c r="M544" t="s">
        <v>3971</v>
      </c>
      <c r="Q544" t="str">
        <f>IF(COUNTIFS(HCP_evidence!$A:$A, M544, HCP_evidence!$AB:$AB, "&lt;&gt;")&gt;0, "Yes", "")</f>
        <v/>
      </c>
      <c r="V544"/>
      <c r="X544" t="str">
        <f>_xlfn.XLOOKUP(M544,[1]Sheet1!$D:$D,[1]Sheet1!$F:$F)</f>
        <v>Centre Catherine de Sienne</v>
      </c>
      <c r="AC544" t="s">
        <v>4283</v>
      </c>
      <c r="BB544" s="74"/>
    </row>
    <row r="545" spans="10:54" hidden="1">
      <c r="M545" t="s">
        <v>3972</v>
      </c>
      <c r="Q545" t="str">
        <f>IF(COUNTIFS(HCP_evidence!$A:$A, M545, HCP_evidence!$AB:$AB, "&lt;&gt;")&gt;0, "Yes", "")</f>
        <v/>
      </c>
      <c r="V545"/>
      <c r="X545" t="str">
        <f>_xlfn.XLOOKUP(M545,[1]Sheet1!$D:$D,[1]Sheet1!$F:$F)</f>
        <v>Chu de Montpellier</v>
      </c>
      <c r="AC545" t="s">
        <v>4283</v>
      </c>
      <c r="BB545" s="74"/>
    </row>
    <row r="546" spans="10:54" hidden="1">
      <c r="M546" t="s">
        <v>3975</v>
      </c>
      <c r="Q546" t="str">
        <f>IF(COUNTIFS(HCP_evidence!$A:$A, M546, HCP_evidence!$AB:$AB, "&lt;&gt;")&gt;0, "Yes", "")</f>
        <v/>
      </c>
      <c r="V546"/>
      <c r="X546" t="str">
        <f>_xlfn.XLOOKUP(M546,[1]Sheet1!$D:$D,[1]Sheet1!$F:$F)</f>
        <v>Service d'Oncologie médicale du Centre hospitalier Lyon Sud</v>
      </c>
      <c r="AC546" t="s">
        <v>4283</v>
      </c>
      <c r="BB546" s="74"/>
    </row>
    <row r="547" spans="10:54" hidden="1">
      <c r="M547" t="s">
        <v>3976</v>
      </c>
      <c r="Q547" t="str">
        <f>IF(COUNTIFS(HCP_evidence!$A:$A, M547, HCP_evidence!$AB:$AB, "&lt;&gt;")&gt;0, "Yes", "")</f>
        <v/>
      </c>
      <c r="V547"/>
      <c r="X547" t="str">
        <f>_xlfn.XLOOKUP(M547,[1]Sheet1!$D:$D,[1]Sheet1!$F:$F)</f>
        <v>CHU de Bordeaux - Hôpital Haut -Lèvêque</v>
      </c>
      <c r="AC547" t="s">
        <v>4283</v>
      </c>
      <c r="BB547" s="74"/>
    </row>
    <row r="548" spans="10:54" hidden="1">
      <c r="J548" t="s">
        <v>8394</v>
      </c>
      <c r="K548" s="72" t="s">
        <v>8537</v>
      </c>
      <c r="M548" t="s">
        <v>3977</v>
      </c>
      <c r="Q548" t="str">
        <f>IF(COUNTIFS(HCP_evidence!$A:$A, M548, HCP_evidence!$AB:$AB, "&lt;&gt;")&gt;0, "Yes", "")</f>
        <v/>
      </c>
      <c r="V548"/>
      <c r="W548" t="s">
        <v>4448</v>
      </c>
      <c r="X548" s="12" t="s">
        <v>1309</v>
      </c>
      <c r="AC548" t="s">
        <v>4283</v>
      </c>
      <c r="BB548" s="74"/>
    </row>
    <row r="549" spans="10:54" hidden="1">
      <c r="J549" t="s">
        <v>8362</v>
      </c>
      <c r="K549" s="72" t="s">
        <v>8430</v>
      </c>
      <c r="M549" t="s">
        <v>8428</v>
      </c>
      <c r="Q549" t="str">
        <f>IF(COUNTIFS(HCP_evidence!$A:$A, M549, HCP_evidence!$AB:$AB, "&lt;&gt;")&gt;0, "Yes", "")</f>
        <v/>
      </c>
      <c r="V549"/>
      <c r="W549" t="s">
        <v>3790</v>
      </c>
      <c r="X549" t="s">
        <v>4303</v>
      </c>
      <c r="AC549" t="s">
        <v>4283</v>
      </c>
      <c r="BB549" s="74"/>
    </row>
    <row r="550" spans="10:54" hidden="1">
      <c r="M550" t="s">
        <v>3281</v>
      </c>
      <c r="Q550" t="str">
        <f>IF(COUNTIFS(HCP_evidence!$A:$A, M550, HCP_evidence!$AB:$AB, "&lt;&gt;")&gt;0, "Yes", "")</f>
        <v/>
      </c>
      <c r="V550"/>
      <c r="X550" t="str">
        <f>_xlfn.XLOOKUP(M550,[1]Sheet1!$D:$D,[1]Sheet1!$F:$F)</f>
        <v>Hôpital de la Source</v>
      </c>
      <c r="AC550" t="s">
        <v>4283</v>
      </c>
      <c r="BB550" s="74"/>
    </row>
    <row r="551" spans="10:54" hidden="1">
      <c r="J551" t="s">
        <v>8394</v>
      </c>
      <c r="K551" s="72" t="s">
        <v>8528</v>
      </c>
      <c r="M551" t="s">
        <v>8526</v>
      </c>
      <c r="Q551" t="str">
        <f>IF(COUNTIFS(HCP_evidence!$A:$A, M551, HCP_evidence!$AB:$AB, "&lt;&gt;")&gt;0, "Yes", "")</f>
        <v/>
      </c>
      <c r="V551"/>
      <c r="W551" t="s">
        <v>3740</v>
      </c>
      <c r="X551" t="s">
        <v>3444</v>
      </c>
      <c r="AC551" t="s">
        <v>4283</v>
      </c>
      <c r="BB551" s="74"/>
    </row>
    <row r="552" spans="10:54" hidden="1">
      <c r="M552" t="s">
        <v>3978</v>
      </c>
      <c r="Q552" t="str">
        <f>IF(COUNTIFS(HCP_evidence!$A:$A, M552, HCP_evidence!$AB:$AB, "&lt;&gt;")&gt;0, "Yes", "")</f>
        <v/>
      </c>
      <c r="V552"/>
      <c r="X552" t="str">
        <f>_xlfn.XLOOKUP(M552,[1]Sheet1!$D:$D,[1]Sheet1!$F:$F)</f>
        <v>Centre François Baclesse</v>
      </c>
      <c r="AC552" t="s">
        <v>4283</v>
      </c>
      <c r="BB552" s="74"/>
    </row>
    <row r="553" spans="10:54" hidden="1">
      <c r="M553" t="s">
        <v>3979</v>
      </c>
      <c r="N553" s="71"/>
      <c r="Q553" t="str">
        <f>IF(COUNTIFS(HCP_evidence!$A:$A, M553, HCP_evidence!$AB:$AB, "&lt;&gt;")&gt;0, "Yes", "")</f>
        <v/>
      </c>
      <c r="V553"/>
      <c r="X553" t="str">
        <f>_xlfn.XLOOKUP(M553,[1]Sheet1!$D:$D,[1]Sheet1!$F:$F)</f>
        <v>Hôpital Flaubert</v>
      </c>
      <c r="AC553" t="s">
        <v>4283</v>
      </c>
      <c r="BB553" s="74"/>
    </row>
    <row r="554" spans="10:54" hidden="1">
      <c r="M554" t="s">
        <v>3982</v>
      </c>
      <c r="Q554" t="str">
        <f>IF(COUNTIFS(HCP_evidence!$A:$A, M554, HCP_evidence!$AB:$AB, "&lt;&gt;")&gt;0, "Yes", "")</f>
        <v/>
      </c>
      <c r="V554"/>
      <c r="X554" t="str">
        <f>_xlfn.XLOOKUP(M554,[1]Sheet1!$D:$D,[1]Sheet1!$F:$F)</f>
        <v>Henri Mondor University Hospital</v>
      </c>
      <c r="AC554" t="s">
        <v>4283</v>
      </c>
      <c r="BB554" s="74"/>
    </row>
    <row r="555" spans="10:54" hidden="1">
      <c r="M555" t="s">
        <v>3984</v>
      </c>
      <c r="Q555" t="str">
        <f>IF(COUNTIFS(HCP_evidence!$A:$A, M555, HCP_evidence!$AB:$AB, "&lt;&gt;")&gt;0, "Yes", "")</f>
        <v/>
      </c>
      <c r="V555"/>
      <c r="X555" t="str">
        <f>_xlfn.XLOOKUP(M555,[1]Sheet1!$D:$D,[1]Sheet1!$F:$F)</f>
        <v>CHU Saint Etienne</v>
      </c>
      <c r="AC555" t="s">
        <v>4283</v>
      </c>
      <c r="BB555" s="74"/>
    </row>
    <row r="556" spans="10:54" hidden="1">
      <c r="J556" t="s">
        <v>8362</v>
      </c>
      <c r="K556" s="72" t="s">
        <v>8373</v>
      </c>
      <c r="M556" t="s">
        <v>3986</v>
      </c>
      <c r="Q556" t="str">
        <f>IF(COUNTIFS(HCP_evidence!$A:$A, M556, HCP_evidence!$AB:$AB, "&lt;&gt;")&gt;0, "Yes", "")</f>
        <v/>
      </c>
      <c r="V556"/>
      <c r="W556" t="s">
        <v>3787</v>
      </c>
      <c r="X556" t="s">
        <v>7848</v>
      </c>
      <c r="AC556" t="s">
        <v>4283</v>
      </c>
      <c r="BB556" s="74"/>
    </row>
    <row r="557" spans="10:54" hidden="1">
      <c r="J557" t="s">
        <v>8394</v>
      </c>
      <c r="K557" s="72" t="s">
        <v>8447</v>
      </c>
      <c r="M557" t="s">
        <v>8445</v>
      </c>
      <c r="Q557" t="str">
        <f>IF(COUNTIFS(HCP_evidence!$A:$A, M557, HCP_evidence!$AB:$AB, "&lt;&gt;")&gt;0, "Yes", "")</f>
        <v/>
      </c>
      <c r="V557"/>
      <c r="W557" t="s">
        <v>3739</v>
      </c>
      <c r="X557" t="s">
        <v>33</v>
      </c>
      <c r="AC557" t="s">
        <v>4283</v>
      </c>
      <c r="BB557" s="74"/>
    </row>
    <row r="558" spans="10:54" hidden="1">
      <c r="M558" t="s">
        <v>3988</v>
      </c>
      <c r="Q558" t="str">
        <f>IF(COUNTIFS(HCP_evidence!$A:$A, M558, HCP_evidence!$AB:$AB, "&lt;&gt;")&gt;0, "Yes", "")</f>
        <v/>
      </c>
      <c r="V558"/>
      <c r="X558" t="str">
        <f>_xlfn.XLOOKUP(M558,[1]Sheet1!$D:$D,[1]Sheet1!$F:$F)</f>
        <v>Chu de Besancon</v>
      </c>
      <c r="AC558" t="s">
        <v>4283</v>
      </c>
      <c r="BB558" s="74"/>
    </row>
    <row r="559" spans="10:54" hidden="1">
      <c r="M559" t="s">
        <v>3989</v>
      </c>
      <c r="Q559" t="str">
        <f>IF(COUNTIFS(HCP_evidence!$A:$A, M559, HCP_evidence!$AB:$AB, "&lt;&gt;")&gt;0, "Yes", "")</f>
        <v/>
      </c>
      <c r="V559"/>
      <c r="X559" t="str">
        <f>_xlfn.XLOOKUP(M559,[1]Sheet1!$D:$D,[1]Sheet1!$F:$F)</f>
        <v>Centre Jean Perrin</v>
      </c>
      <c r="AC559" t="s">
        <v>4283</v>
      </c>
      <c r="BB559" s="74"/>
    </row>
    <row r="560" spans="10:54" hidden="1">
      <c r="M560" t="s">
        <v>3990</v>
      </c>
      <c r="Q560" t="str">
        <f>IF(COUNTIFS(HCP_evidence!$A:$A, M560, HCP_evidence!$AB:$AB, "&lt;&gt;")&gt;0, "Yes", "")</f>
        <v/>
      </c>
      <c r="V560"/>
      <c r="X560" t="str">
        <f>_xlfn.XLOOKUP(M560,[1]Sheet1!$D:$D,[1]Sheet1!$F:$F)</f>
        <v>Centre Eugène Marquis</v>
      </c>
      <c r="AC560" t="s">
        <v>4283</v>
      </c>
      <c r="BB560" s="74"/>
    </row>
    <row r="561" spans="10:54" hidden="1">
      <c r="M561" t="s">
        <v>3625</v>
      </c>
      <c r="Q561" t="str">
        <f>IF(COUNTIFS(HCP_evidence!$A:$A, M561, HCP_evidence!$AB:$AB, "&lt;&gt;")&gt;0, "Yes", "")</f>
        <v/>
      </c>
      <c r="V561"/>
      <c r="X561" t="str">
        <f>_xlfn.XLOOKUP(M561,[1]Sheet1!$D:$D,[1]Sheet1!$F:$F)</f>
        <v>Centre Hospitalier de Bastia</v>
      </c>
      <c r="AC561" t="s">
        <v>4283</v>
      </c>
      <c r="BB561" s="74"/>
    </row>
    <row r="562" spans="10:54" hidden="1">
      <c r="M562" t="s">
        <v>3991</v>
      </c>
      <c r="Q562" t="str">
        <f>IF(COUNTIFS(HCP_evidence!$A:$A, M562, HCP_evidence!$AB:$AB, "&lt;&gt;")&gt;0, "Yes", "")</f>
        <v/>
      </c>
      <c r="V562"/>
      <c r="X562" t="str">
        <f>_xlfn.XLOOKUP(M562,[1]Sheet1!$D:$D,[1]Sheet1!$F:$F)</f>
        <v>Service de NEURO-ONCOLOGIE du Groupement Hospitalier EST</v>
      </c>
      <c r="AC562" t="s">
        <v>4283</v>
      </c>
      <c r="BB562" s="74"/>
    </row>
    <row r="563" spans="10:54" hidden="1">
      <c r="M563" t="s">
        <v>3993</v>
      </c>
      <c r="Q563" t="str">
        <f>IF(COUNTIFS(HCP_evidence!$A:$A, M563, HCP_evidence!$AB:$AB, "&lt;&gt;")&gt;0, "Yes", "")</f>
        <v/>
      </c>
      <c r="V563"/>
      <c r="X563" t="str">
        <f>_xlfn.XLOOKUP(M563,[1]Sheet1!$D:$D,[1]Sheet1!$F:$F)</f>
        <v>Institut Régional du Cancer de Montpellier</v>
      </c>
      <c r="AC563" t="s">
        <v>4283</v>
      </c>
      <c r="BB563" s="74"/>
    </row>
    <row r="564" spans="10:54" hidden="1">
      <c r="M564" t="s">
        <v>3994</v>
      </c>
      <c r="Q564" t="str">
        <f>IF(COUNTIFS(HCP_evidence!$A:$A, M564, HCP_evidence!$AB:$AB, "&lt;&gt;")&gt;0, "Yes", "")</f>
        <v/>
      </c>
      <c r="V564"/>
      <c r="X564" t="str">
        <f>_xlfn.XLOOKUP(M564,[1]Sheet1!$D:$D,[1]Sheet1!$F:$F)</f>
        <v>CHU de Poitiers</v>
      </c>
      <c r="AC564" t="s">
        <v>4283</v>
      </c>
      <c r="BB564" s="74"/>
    </row>
    <row r="565" spans="10:54" hidden="1">
      <c r="J565" t="s">
        <v>8394</v>
      </c>
      <c r="K565" s="72" t="s">
        <v>8423</v>
      </c>
      <c r="M565" t="s">
        <v>8422</v>
      </c>
      <c r="Q565" t="str">
        <f>IF(COUNTIFS(HCP_evidence!$A:$A, M565, HCP_evidence!$AB:$AB, "&lt;&gt;")&gt;0, "Yes", "")</f>
        <v/>
      </c>
      <c r="V565"/>
      <c r="W565" t="s">
        <v>4448</v>
      </c>
      <c r="X565" s="12" t="s">
        <v>1309</v>
      </c>
      <c r="AC565" t="s">
        <v>4283</v>
      </c>
      <c r="BB565" s="74"/>
    </row>
    <row r="566" spans="10:54" hidden="1">
      <c r="J566" t="s">
        <v>8394</v>
      </c>
      <c r="K566" s="72" t="s">
        <v>8461</v>
      </c>
      <c r="M566" t="s">
        <v>8465</v>
      </c>
      <c r="Q566" t="str">
        <f>IF(COUNTIFS(HCP_evidence!$A:$A, M566, HCP_evidence!$AB:$AB, "&lt;&gt;")&gt;0, "Yes", "")</f>
        <v/>
      </c>
      <c r="V566"/>
      <c r="W566" t="s">
        <v>3773</v>
      </c>
      <c r="X566" t="s">
        <v>1289</v>
      </c>
      <c r="AC566" t="s">
        <v>4283</v>
      </c>
      <c r="BB566" s="74"/>
    </row>
    <row r="567" spans="10:54" hidden="1">
      <c r="J567" t="s">
        <v>8263</v>
      </c>
      <c r="K567" s="72" t="s">
        <v>8262</v>
      </c>
      <c r="M567" t="s">
        <v>3997</v>
      </c>
      <c r="Q567" t="str">
        <f>IF(COUNTIFS(HCP_evidence!$A:$A, M567, HCP_evidence!$AB:$AB, "&lt;&gt;")&gt;0, "Yes", "")</f>
        <v/>
      </c>
      <c r="V567"/>
      <c r="W567" t="s">
        <v>3740</v>
      </c>
      <c r="X567" s="75" t="s">
        <v>3444</v>
      </c>
      <c r="AC567" t="s">
        <v>4283</v>
      </c>
      <c r="BB567" s="74"/>
    </row>
    <row r="568" spans="10:54" hidden="1">
      <c r="J568" t="s">
        <v>8332</v>
      </c>
      <c r="K568" s="72" t="s">
        <v>8324</v>
      </c>
      <c r="L568" s="72" t="s">
        <v>8329</v>
      </c>
      <c r="M568" t="s">
        <v>3999</v>
      </c>
      <c r="Q568" t="str">
        <f>IF(COUNTIFS(HCP_evidence!$A:$A, M568, HCP_evidence!$AB:$AB, "&lt;&gt;")&gt;0, "Yes", "")</f>
        <v/>
      </c>
      <c r="V568"/>
      <c r="W568" t="s">
        <v>4525</v>
      </c>
      <c r="X568" t="s">
        <v>4524</v>
      </c>
      <c r="AC568" t="s">
        <v>4283</v>
      </c>
      <c r="BB568" s="74"/>
    </row>
    <row r="569" spans="10:54" hidden="1">
      <c r="M569" t="s">
        <v>4000</v>
      </c>
      <c r="Q569" t="str">
        <f>IF(COUNTIFS(HCP_evidence!$A:$A, M569, HCP_evidence!$AB:$AB, "&lt;&gt;")&gt;0, "Yes", "")</f>
        <v/>
      </c>
      <c r="V569"/>
      <c r="X569" t="str">
        <f>_xlfn.XLOOKUP(M569,[1]Sheet1!$D:$D,[1]Sheet1!$F:$F)</f>
        <v>Lyon Sud Hospital - Hepatology and Gastroenterology Department</v>
      </c>
      <c r="AC569" t="s">
        <v>4283</v>
      </c>
      <c r="BB569" s="74"/>
    </row>
    <row r="570" spans="10:54" hidden="1">
      <c r="M570" t="s">
        <v>4001</v>
      </c>
      <c r="Q570" t="str">
        <f>IF(COUNTIFS(HCP_evidence!$A:$A, M570, HCP_evidence!$AB:$AB, "&lt;&gt;")&gt;0, "Yes", "")</f>
        <v/>
      </c>
      <c r="S570" s="55"/>
      <c r="V570"/>
      <c r="X570" t="str">
        <f>_xlfn.XLOOKUP(M570,[1]Sheet1!$D:$D,[1]Sheet1!$F:$F)</f>
        <v>Service de Pneumologie de l'hôpital de la Croix-Rousse</v>
      </c>
      <c r="AC570" t="s">
        <v>4283</v>
      </c>
      <c r="BB570" s="74"/>
    </row>
    <row r="571" spans="10:54" hidden="1">
      <c r="M571" t="s">
        <v>4002</v>
      </c>
      <c r="Q571" t="str">
        <f>IF(COUNTIFS(HCP_evidence!$A:$A, M571, HCP_evidence!$AB:$AB, "&lt;&gt;")&gt;0, "Yes", "")</f>
        <v/>
      </c>
      <c r="V571"/>
      <c r="X571" t="str">
        <f>_xlfn.XLOOKUP(M571,[1]Sheet1!$D:$D,[1]Sheet1!$F:$F)</f>
        <v>Service d'Oncologie médicale du Centre hospitalier Lyon Sud</v>
      </c>
      <c r="AC571" t="s">
        <v>4283</v>
      </c>
      <c r="BB571" s="74"/>
    </row>
    <row r="572" spans="10:54" hidden="1">
      <c r="M572" t="s">
        <v>3365</v>
      </c>
      <c r="Q572" t="str">
        <f>IF(COUNTIFS(HCP_evidence!$A:$A, M572, HCP_evidence!$AB:$AB, "&lt;&gt;")&gt;0, "Yes", "")</f>
        <v/>
      </c>
      <c r="V572"/>
      <c r="X572" t="str">
        <f>_xlfn.XLOOKUP(M572,[1]Sheet1!$D:$D,[1]Sheet1!$F:$F)</f>
        <v>CHU Amiens - Hôpital Nord</v>
      </c>
      <c r="AC572" t="s">
        <v>4283</v>
      </c>
      <c r="BB572" s="74"/>
    </row>
    <row r="573" spans="10:54" hidden="1">
      <c r="M573" t="s">
        <v>4003</v>
      </c>
      <c r="Q573" t="str">
        <f>IF(COUNTIFS(HCP_evidence!$A:$A, M573, HCP_evidence!$AB:$AB, "&lt;&gt;")&gt;0, "Yes", "")</f>
        <v/>
      </c>
      <c r="V573"/>
      <c r="X573">
        <f>_xlfn.XLOOKUP(M573,[1]Sheet1!$D:$D,[1]Sheet1!$F:$F)</f>
        <v>0</v>
      </c>
      <c r="AC573" t="s">
        <v>4283</v>
      </c>
      <c r="BB573" s="74"/>
    </row>
    <row r="574" spans="10:54" hidden="1">
      <c r="M574" t="s">
        <v>4004</v>
      </c>
      <c r="Q574" t="str">
        <f>IF(COUNTIFS(HCP_evidence!$A:$A, M574, HCP_evidence!$AB:$AB, "&lt;&gt;")&gt;0, "Yes", "")</f>
        <v/>
      </c>
      <c r="V574"/>
      <c r="X574" t="str">
        <f>_xlfn.XLOOKUP(M574,[1]Sheet1!$D:$D,[1]Sheet1!$F:$F)</f>
        <v>Chu de Toulouse</v>
      </c>
      <c r="AC574" t="s">
        <v>4283</v>
      </c>
      <c r="BB574" s="74"/>
    </row>
    <row r="575" spans="10:54" hidden="1">
      <c r="M575" t="s">
        <v>4005</v>
      </c>
      <c r="N575" s="71"/>
      <c r="Q575" t="str">
        <f>IF(COUNTIFS(HCP_evidence!$A:$A, M575, HCP_evidence!$AB:$AB, "&lt;&gt;")&gt;0, "Yes", "")</f>
        <v/>
      </c>
      <c r="V575"/>
      <c r="X575" t="str">
        <f>_xlfn.XLOOKUP(M575,[1]Sheet1!$D:$D,[1]Sheet1!$F:$F)</f>
        <v>Hôpital Franco-Britannique</v>
      </c>
      <c r="AC575" t="s">
        <v>4283</v>
      </c>
      <c r="BB575" s="74"/>
    </row>
    <row r="576" spans="10:54" hidden="1">
      <c r="M576" t="s">
        <v>4006</v>
      </c>
      <c r="N576" s="71"/>
      <c r="Q576" t="str">
        <f>IF(COUNTIFS(HCP_evidence!$A:$A, M576, HCP_evidence!$AB:$AB, "&lt;&gt;")&gt;0, "Yes", "")</f>
        <v/>
      </c>
      <c r="V576"/>
      <c r="X576" t="str">
        <f>_xlfn.XLOOKUP(M576,[1]Sheet1!$D:$D,[1]Sheet1!$F:$F)</f>
        <v>APHP Tenon Hospital - Sorbonne</v>
      </c>
      <c r="AC576" t="s">
        <v>4283</v>
      </c>
      <c r="BB576" s="74"/>
    </row>
    <row r="577" spans="10:54" hidden="1">
      <c r="M577" t="s">
        <v>4007</v>
      </c>
      <c r="Q577" t="str">
        <f>IF(COUNTIFS(HCP_evidence!$A:$A, M577, HCP_evidence!$AB:$AB, "&lt;&gt;")&gt;0, "Yes", "")</f>
        <v/>
      </c>
      <c r="V577"/>
      <c r="X577" t="str">
        <f>_xlfn.XLOOKUP(M577,[1]Sheet1!$D:$D,[1]Sheet1!$F:$F)</f>
        <v>Hôpital Saint Antoine</v>
      </c>
      <c r="AC577" t="s">
        <v>4283</v>
      </c>
      <c r="BB577" s="74"/>
    </row>
    <row r="578" spans="10:54" hidden="1">
      <c r="M578" t="s">
        <v>3160</v>
      </c>
      <c r="Q578" t="str">
        <f>IF(COUNTIFS(HCP_evidence!$A:$A, M578, HCP_evidence!$AB:$AB, "&lt;&gt;")&gt;0, "Yes", "")</f>
        <v/>
      </c>
      <c r="V578"/>
      <c r="X578" t="str">
        <f>_xlfn.XLOOKUP(M578,[1]Sheet1!$D:$D,[1]Sheet1!$F:$F)</f>
        <v>Institut Sainte-Catherine</v>
      </c>
      <c r="AC578" t="s">
        <v>4283</v>
      </c>
      <c r="BB578" s="74"/>
    </row>
    <row r="579" spans="10:54" hidden="1">
      <c r="M579" t="s">
        <v>3656</v>
      </c>
      <c r="Q579" t="str">
        <f>IF(COUNTIFS(HCP_evidence!$A:$A, M579, HCP_evidence!$AB:$AB, "&lt;&gt;")&gt;0, "Yes", "")</f>
        <v/>
      </c>
      <c r="V579"/>
      <c r="X579" t="str">
        <f>_xlfn.XLOOKUP(M579,[1]Sheet1!$D:$D,[1]Sheet1!$F:$F)</f>
        <v>CHU La Timone</v>
      </c>
      <c r="AC579" t="s">
        <v>4283</v>
      </c>
      <c r="BB579" s="74"/>
    </row>
    <row r="580" spans="10:54" hidden="1">
      <c r="M580" t="s">
        <v>4008</v>
      </c>
      <c r="Q580" t="str">
        <f>IF(COUNTIFS(HCP_evidence!$A:$A, M580, HCP_evidence!$AB:$AB, "&lt;&gt;")&gt;0, "Yes", "")</f>
        <v/>
      </c>
      <c r="V580"/>
      <c r="X580" t="str">
        <f>_xlfn.XLOOKUP(M580,[1]Sheet1!$D:$D,[1]Sheet1!$F:$F)</f>
        <v>Centre Eugène Marquis</v>
      </c>
      <c r="AC580" t="s">
        <v>4283</v>
      </c>
      <c r="BB580" s="74"/>
    </row>
    <row r="581" spans="10:54" hidden="1">
      <c r="M581" t="s">
        <v>3306</v>
      </c>
      <c r="Q581" t="str">
        <f>IF(COUNTIFS(HCP_evidence!$A:$A, M581, HCP_evidence!$AB:$AB, "&lt;&gt;")&gt;0, "Yes", "")</f>
        <v/>
      </c>
      <c r="V581"/>
      <c r="X581" t="str">
        <f>_xlfn.XLOOKUP(M581,[1]Sheet1!$D:$D,[1]Sheet1!$F:$F)</f>
        <v>CHU de Reims</v>
      </c>
      <c r="AC581" t="s">
        <v>4283</v>
      </c>
      <c r="BB581" s="74"/>
    </row>
    <row r="582" spans="10:54" hidden="1">
      <c r="J582" t="s">
        <v>8394</v>
      </c>
      <c r="K582" s="72" t="s">
        <v>8414</v>
      </c>
      <c r="L582" s="72" t="s">
        <v>8421</v>
      </c>
      <c r="M582" t="s">
        <v>4009</v>
      </c>
      <c r="Q582" t="str">
        <f>IF(COUNTIFS(HCP_evidence!$A:$A, M582, HCP_evidence!$AB:$AB, "&lt;&gt;")&gt;0, "Yes", "")</f>
        <v/>
      </c>
      <c r="V582"/>
      <c r="W582" t="s">
        <v>8418</v>
      </c>
      <c r="X582" t="s">
        <v>8416</v>
      </c>
      <c r="AC582" t="s">
        <v>4283</v>
      </c>
      <c r="BB582" s="74"/>
    </row>
    <row r="583" spans="10:54" hidden="1">
      <c r="M583" t="s">
        <v>4010</v>
      </c>
      <c r="Q583" t="str">
        <f>IF(COUNTIFS(HCP_evidence!$A:$A, M583, HCP_evidence!$AB:$AB, "&lt;&gt;")&gt;0, "Yes", "")</f>
        <v/>
      </c>
      <c r="V583"/>
      <c r="X583" t="str">
        <f>_xlfn.XLOOKUP(M583,[1]Sheet1!$D:$D,[1]Sheet1!$F:$F)</f>
        <v>Centre intercommunal de Créteil</v>
      </c>
      <c r="AC583" t="s">
        <v>4283</v>
      </c>
      <c r="BB583" s="74"/>
    </row>
    <row r="584" spans="10:54" hidden="1">
      <c r="M584" t="s">
        <v>3555</v>
      </c>
      <c r="Q584" t="str">
        <f>IF(COUNTIFS(HCP_evidence!$A:$A, M584, HCP_evidence!$AB:$AB, "&lt;&gt;")&gt;0, "Yes", "")</f>
        <v/>
      </c>
      <c r="V584"/>
      <c r="X584" t="str">
        <f>_xlfn.XLOOKUP(M584,[1]Sheet1!$D:$D,[1]Sheet1!$F:$F)</f>
        <v>CHU Arnaud de Villeneuve</v>
      </c>
      <c r="AC584" t="s">
        <v>4283</v>
      </c>
      <c r="BB584" s="74"/>
    </row>
    <row r="585" spans="10:54" hidden="1">
      <c r="M585" t="s">
        <v>4011</v>
      </c>
      <c r="Q585" t="str">
        <f>IF(COUNTIFS(HCP_evidence!$A:$A, M585, HCP_evidence!$AB:$AB, "&lt;&gt;")&gt;0, "Yes", "")</f>
        <v/>
      </c>
      <c r="V585"/>
      <c r="X585" t="str">
        <f>_xlfn.XLOOKUP(M585,[1]Sheet1!$D:$D,[1]Sheet1!$F:$F)</f>
        <v>CGFL</v>
      </c>
      <c r="AC585" t="s">
        <v>4283</v>
      </c>
      <c r="BB585" s="74"/>
    </row>
    <row r="586" spans="10:54" hidden="1">
      <c r="M586" t="s">
        <v>3280</v>
      </c>
      <c r="Q586" t="str">
        <f>IF(COUNTIFS(HCP_evidence!$A:$A, M586, HCP_evidence!$AB:$AB, "&lt;&gt;")&gt;0, "Yes", "")</f>
        <v/>
      </c>
      <c r="V586"/>
      <c r="X586" t="str">
        <f>_xlfn.XLOOKUP(M586,[1]Sheet1!$D:$D,[1]Sheet1!$F:$F)</f>
        <v>Centre Hospitalier Jacques Coeur</v>
      </c>
      <c r="AC586" t="s">
        <v>4283</v>
      </c>
      <c r="BB586" s="74"/>
    </row>
    <row r="587" spans="10:54" hidden="1">
      <c r="M587" t="s">
        <v>4012</v>
      </c>
      <c r="Q587" t="str">
        <f>IF(COUNTIFS(HCP_evidence!$A:$A, M587, HCP_evidence!$AB:$AB, "&lt;&gt;")&gt;0, "Yes", "")</f>
        <v/>
      </c>
      <c r="V587"/>
      <c r="X587" t="str">
        <f>_xlfn.XLOOKUP(M587,[1]Sheet1!$D:$D,[1]Sheet1!$F:$F)</f>
        <v>CHU de Rouen</v>
      </c>
      <c r="AC587" t="s">
        <v>4283</v>
      </c>
      <c r="BB587" s="74"/>
    </row>
    <row r="588" spans="10:54" hidden="1">
      <c r="J588" t="s">
        <v>8362</v>
      </c>
      <c r="K588" s="72" t="s">
        <v>8375</v>
      </c>
      <c r="M588" t="s">
        <v>4013</v>
      </c>
      <c r="Q588" t="str">
        <f>IF(COUNTIFS(HCP_evidence!$A:$A, M588, HCP_evidence!$AB:$AB, "&lt;&gt;")&gt;0, "Yes", "")</f>
        <v/>
      </c>
      <c r="V588"/>
      <c r="W588" t="s">
        <v>4561</v>
      </c>
      <c r="X588" t="s">
        <v>4297</v>
      </c>
      <c r="AC588" t="s">
        <v>4283</v>
      </c>
      <c r="BB588" s="74"/>
    </row>
    <row r="589" spans="10:54" hidden="1">
      <c r="M589" t="s">
        <v>4014</v>
      </c>
      <c r="Q589" t="str">
        <f>IF(COUNTIFS(HCP_evidence!$A:$A, M589, HCP_evidence!$AB:$AB, "&lt;&gt;")&gt;0, "Yes", "")</f>
        <v/>
      </c>
      <c r="V589"/>
      <c r="X589" t="str">
        <f>_xlfn.XLOOKUP(M589,[1]Sheet1!$D:$D,[1]Sheet1!$F:$F)</f>
        <v>Hôpital Européen Georges Pompidou</v>
      </c>
      <c r="AC589" t="s">
        <v>4283</v>
      </c>
      <c r="BB589" s="74"/>
    </row>
    <row r="590" spans="10:54" hidden="1">
      <c r="M590" t="s">
        <v>3562</v>
      </c>
      <c r="Q590" t="str">
        <f>IF(COUNTIFS(HCP_evidence!$A:$A, M590, HCP_evidence!$AB:$AB, "&lt;&gt;")&gt;0, "Yes", "")</f>
        <v/>
      </c>
      <c r="V590"/>
      <c r="X590" t="str">
        <f>_xlfn.XLOOKUP(M590,[1]Sheet1!$D:$D,[1]Sheet1!$F:$F)</f>
        <v>CHRU Caremeau</v>
      </c>
      <c r="AC590" t="s">
        <v>4283</v>
      </c>
      <c r="BB590" s="74"/>
    </row>
    <row r="591" spans="10:54" hidden="1">
      <c r="M591" t="s">
        <v>4017</v>
      </c>
      <c r="N591" s="71"/>
      <c r="Q591" t="str">
        <f>IF(COUNTIFS(HCP_evidence!$A:$A, M591, HCP_evidence!$AB:$AB, "&lt;&gt;")&gt;0, "Yes", "")</f>
        <v/>
      </c>
      <c r="V591"/>
      <c r="X591" t="str">
        <f>_xlfn.XLOOKUP(M591,[1]Sheet1!$D:$D,[1]Sheet1!$F:$F)</f>
        <v>CHU Pitie-Salpetriere</v>
      </c>
      <c r="AC591" t="s">
        <v>4283</v>
      </c>
      <c r="BB591" s="74"/>
    </row>
    <row r="592" spans="10:54" hidden="1">
      <c r="J592" t="s">
        <v>7828</v>
      </c>
      <c r="K592" s="72" t="s">
        <v>8292</v>
      </c>
      <c r="M592" t="s">
        <v>4019</v>
      </c>
      <c r="Q592" t="str">
        <f>IF(COUNTIFS(HCP_evidence!$A:$A, M592, HCP_evidence!$AB:$AB, "&lt;&gt;")&gt;0, "Yes", "")</f>
        <v/>
      </c>
      <c r="V592"/>
      <c r="W592" t="s">
        <v>3763</v>
      </c>
      <c r="X592" t="s">
        <v>3207</v>
      </c>
      <c r="AC592" t="s">
        <v>4283</v>
      </c>
      <c r="BB592" s="74"/>
    </row>
    <row r="593" spans="10:54" hidden="1">
      <c r="M593" t="s">
        <v>4021</v>
      </c>
      <c r="Q593" t="str">
        <f>IF(COUNTIFS(HCP_evidence!$A:$A, M593, HCP_evidence!$AB:$AB, "&lt;&gt;")&gt;0, "Yes", "")</f>
        <v/>
      </c>
      <c r="V593"/>
      <c r="X593" t="str">
        <f>_xlfn.XLOOKUP(M593,[1]Sheet1!$D:$D,[1]Sheet1!$F:$F)</f>
        <v>CHU Nancy - Hôpital Brabois</v>
      </c>
      <c r="AC593" t="s">
        <v>4283</v>
      </c>
      <c r="BB593" s="74"/>
    </row>
    <row r="594" spans="10:54" hidden="1">
      <c r="M594" t="s">
        <v>4024</v>
      </c>
      <c r="Q594" t="str">
        <f>IF(COUNTIFS(HCP_evidence!$A:$A, M594, HCP_evidence!$AB:$AB, "&lt;&gt;")&gt;0, "Yes", "")</f>
        <v/>
      </c>
      <c r="V594"/>
      <c r="X594" t="str">
        <f>_xlfn.XLOOKUP(M594,[1]Sheet1!$D:$D,[1]Sheet1!$F:$F)</f>
        <v>Institut Régional du Cancer de Montpellier</v>
      </c>
      <c r="AC594" t="s">
        <v>4283</v>
      </c>
      <c r="BB594" s="74"/>
    </row>
    <row r="595" spans="10:54" hidden="1">
      <c r="J595" t="s">
        <v>8362</v>
      </c>
      <c r="K595" s="72" t="s">
        <v>8458</v>
      </c>
      <c r="M595" t="s">
        <v>4026</v>
      </c>
      <c r="Q595" t="str">
        <f>IF(COUNTIFS(HCP_evidence!$A:$A, M595, HCP_evidence!$AB:$AB, "&lt;&gt;")&gt;0, "Yes", "")</f>
        <v/>
      </c>
      <c r="V595"/>
      <c r="W595" t="s">
        <v>4566</v>
      </c>
      <c r="X595" t="s">
        <v>4905</v>
      </c>
      <c r="AC595" t="s">
        <v>4283</v>
      </c>
      <c r="BB595" s="74"/>
    </row>
    <row r="596" spans="10:54" hidden="1">
      <c r="J596" t="s">
        <v>8362</v>
      </c>
      <c r="K596" s="72" t="s">
        <v>8556</v>
      </c>
      <c r="M596" t="s">
        <v>4027</v>
      </c>
      <c r="N596" s="71"/>
      <c r="Q596" t="str">
        <f>IF(COUNTIFS(HCP_evidence!$A:$A, M596, HCP_evidence!$AB:$AB, "&lt;&gt;")&gt;0, "Yes", "")</f>
        <v/>
      </c>
      <c r="V596"/>
      <c r="W596" t="s">
        <v>4567</v>
      </c>
      <c r="X596" t="s">
        <v>4299</v>
      </c>
      <c r="AC596" t="s">
        <v>4283</v>
      </c>
      <c r="BB596" s="74"/>
    </row>
    <row r="597" spans="10:54" hidden="1">
      <c r="M597" t="s">
        <v>3520</v>
      </c>
      <c r="Q597" t="str">
        <f>IF(COUNTIFS(HCP_evidence!$A:$A, M597, HCP_evidence!$AB:$AB, "&lt;&gt;")&gt;0, "Yes", "")</f>
        <v/>
      </c>
      <c r="V597"/>
      <c r="X597" t="str">
        <f>_xlfn.XLOOKUP(M597,[1]Sheet1!$D:$D,[1]Sheet1!$F:$F)</f>
        <v>Groupe Hospitalier Pellegrin</v>
      </c>
      <c r="AC597" t="s">
        <v>4283</v>
      </c>
      <c r="BB597" s="74"/>
    </row>
    <row r="598" spans="10:54" hidden="1">
      <c r="J598" t="s">
        <v>8467</v>
      </c>
      <c r="K598" s="72" t="s">
        <v>8457</v>
      </c>
      <c r="M598" t="s">
        <v>4030</v>
      </c>
      <c r="N598" s="71"/>
      <c r="Q598" t="str">
        <f>IF(COUNTIFS(HCP_evidence!$A:$A, M598, HCP_evidence!$AB:$AB, "&lt;&gt;")&gt;0, "Yes", "")</f>
        <v/>
      </c>
      <c r="V598"/>
      <c r="W598" t="s">
        <v>8417</v>
      </c>
      <c r="X598" t="s">
        <v>8459</v>
      </c>
      <c r="AC598" t="s">
        <v>4283</v>
      </c>
      <c r="BB598" s="74"/>
    </row>
    <row r="599" spans="10:54" hidden="1">
      <c r="M599" t="s">
        <v>4031</v>
      </c>
      <c r="N599" s="71"/>
      <c r="Q599" t="str">
        <f>IF(COUNTIFS(HCP_evidence!$A:$A, M599, HCP_evidence!$AB:$AB, "&lt;&gt;")&gt;0, "Yes", "")</f>
        <v/>
      </c>
      <c r="V599"/>
      <c r="X599" t="str">
        <f>_xlfn.XLOOKUP(M599,[1]Sheet1!$D:$D,[1]Sheet1!$F:$F)</f>
        <v>Service d'Oncologie médicale du Centre hospitalier Lyon Sud</v>
      </c>
      <c r="AC599" t="s">
        <v>4283</v>
      </c>
      <c r="BB599" s="74"/>
    </row>
    <row r="600" spans="10:54" hidden="1">
      <c r="M600" t="s">
        <v>4032</v>
      </c>
      <c r="N600" s="71"/>
      <c r="Q600" t="str">
        <f>IF(COUNTIFS(HCP_evidence!$A:$A, M600, HCP_evidence!$AB:$AB, "&lt;&gt;")&gt;0, "Yes", "")</f>
        <v/>
      </c>
      <c r="V600"/>
      <c r="X600" t="str">
        <f>_xlfn.XLOOKUP(M600,[1]Sheet1!$D:$D,[1]Sheet1!$F:$F)</f>
        <v>Gustave Roussy, Cancer Campus, Grand Paris</v>
      </c>
      <c r="AC600" t="s">
        <v>4283</v>
      </c>
      <c r="BB600" s="74"/>
    </row>
    <row r="601" spans="10:54" hidden="1">
      <c r="M601" t="s">
        <v>4034</v>
      </c>
      <c r="N601" s="71"/>
      <c r="Q601" t="str">
        <f>IF(COUNTIFS(HCP_evidence!$A:$A, M601, HCP_evidence!$AB:$AB, "&lt;&gt;")&gt;0, "Yes", "")</f>
        <v/>
      </c>
      <c r="V601"/>
      <c r="X601" t="str">
        <f>_xlfn.XLOOKUP(M601,[1]Sheet1!$D:$D,[1]Sheet1!$F:$F)</f>
        <v>Institute Gustav Roussy</v>
      </c>
      <c r="AC601" t="s">
        <v>4283</v>
      </c>
      <c r="BB601" s="74"/>
    </row>
    <row r="602" spans="10:54" hidden="1">
      <c r="M602" t="s">
        <v>4036</v>
      </c>
      <c r="Q602" t="str">
        <f>IF(COUNTIFS(HCP_evidence!$A:$A, M602, HCP_evidence!$AB:$AB, "&lt;&gt;")&gt;0, "Yes", "")</f>
        <v/>
      </c>
      <c r="V602"/>
      <c r="X602">
        <f>_xlfn.XLOOKUP(M602,[1]Sheet1!$D:$D,[1]Sheet1!$F:$F)</f>
        <v>0</v>
      </c>
      <c r="AC602" t="s">
        <v>4283</v>
      </c>
      <c r="BB602" s="74"/>
    </row>
    <row r="603" spans="10:54" hidden="1">
      <c r="M603" t="s">
        <v>4039</v>
      </c>
      <c r="N603" s="71"/>
      <c r="Q603" t="str">
        <f>IF(COUNTIFS(HCP_evidence!$A:$A, M603, HCP_evidence!$AB:$AB, "&lt;&gt;")&gt;0, "Yes", "")</f>
        <v/>
      </c>
      <c r="V603"/>
      <c r="X603" t="str">
        <f>_xlfn.XLOOKUP(M603,[1]Sheet1!$D:$D,[1]Sheet1!$F:$F)</f>
        <v>Edouard Herriot Hospital - medical oncology department</v>
      </c>
      <c r="AC603" t="s">
        <v>4283</v>
      </c>
      <c r="BB603" s="74"/>
    </row>
    <row r="604" spans="10:54" hidden="1">
      <c r="M604" t="s">
        <v>4040</v>
      </c>
      <c r="N604" s="71"/>
      <c r="Q604" t="str">
        <f>IF(COUNTIFS(HCP_evidence!$A:$A, M604, HCP_evidence!$AB:$AB, "&lt;&gt;")&gt;0, "Yes", "")</f>
        <v/>
      </c>
      <c r="V604"/>
      <c r="X604" t="str">
        <f>_xlfn.XLOOKUP(M604,[1]Sheet1!$D:$D,[1]Sheet1!$F:$F)</f>
        <v>CHU de Dijon</v>
      </c>
      <c r="AC604" t="s">
        <v>4283</v>
      </c>
      <c r="BB604" s="74"/>
    </row>
    <row r="605" spans="10:54" hidden="1">
      <c r="M605" t="s">
        <v>3578</v>
      </c>
      <c r="N605" s="71"/>
      <c r="Q605" t="str">
        <f>IF(COUNTIFS(HCP_evidence!$A:$A, M605, HCP_evidence!$AB:$AB, "&lt;&gt;")&gt;0, "Yes", "")</f>
        <v/>
      </c>
      <c r="V605"/>
      <c r="X605" t="str">
        <f>_xlfn.XLOOKUP(M605,[1]Sheet1!$D:$D,[1]Sheet1!$F:$F)</f>
        <v>Institut Claudius Regaud - IUCT - Oncopole</v>
      </c>
      <c r="AC605" t="s">
        <v>4283</v>
      </c>
      <c r="BB605" s="74"/>
    </row>
    <row r="606" spans="10:54" hidden="1">
      <c r="M606" t="s">
        <v>4041</v>
      </c>
      <c r="N606" s="71"/>
      <c r="Q606" t="str">
        <f>IF(COUNTIFS(HCP_evidence!$A:$A, M606, HCP_evidence!$AB:$AB, "&lt;&gt;")&gt;0, "Yes", "")</f>
        <v/>
      </c>
      <c r="V606"/>
      <c r="X606" t="str">
        <f>_xlfn.XLOOKUP(M606,[1]Sheet1!$D:$D,[1]Sheet1!$F:$F)</f>
        <v>CHU Dupuytren</v>
      </c>
      <c r="AC606" t="s">
        <v>4283</v>
      </c>
      <c r="BB606" s="74"/>
    </row>
    <row r="607" spans="10:54" hidden="1">
      <c r="M607" t="s">
        <v>4042</v>
      </c>
      <c r="N607" s="71"/>
      <c r="Q607" t="str">
        <f>IF(COUNTIFS(HCP_evidence!$A:$A, M607, HCP_evidence!$AB:$AB, "&lt;&gt;")&gt;0, "Yes", "")</f>
        <v/>
      </c>
      <c r="V607"/>
      <c r="X607">
        <f>_xlfn.XLOOKUP(M607,[1]Sheet1!$D:$D,[1]Sheet1!$F:$F)</f>
        <v>0</v>
      </c>
      <c r="AC607" t="s">
        <v>4283</v>
      </c>
      <c r="BB607" s="74"/>
    </row>
    <row r="608" spans="10:54" hidden="1">
      <c r="M608" t="s">
        <v>4043</v>
      </c>
      <c r="N608" s="71"/>
      <c r="Q608" t="str">
        <f>IF(COUNTIFS(HCP_evidence!$A:$A, M608, HCP_evidence!$AB:$AB, "&lt;&gt;")&gt;0, "Yes", "")</f>
        <v/>
      </c>
      <c r="V608"/>
      <c r="X608" t="str">
        <f>_xlfn.XLOOKUP(M608,[1]Sheet1!$D:$D,[1]Sheet1!$F:$F)</f>
        <v>Centre Hospitalier de Bastia</v>
      </c>
      <c r="AC608" t="s">
        <v>4283</v>
      </c>
      <c r="BB608" s="74"/>
    </row>
    <row r="609" spans="10:54" hidden="1">
      <c r="J609" t="s">
        <v>4792</v>
      </c>
      <c r="K609" s="72" t="s">
        <v>8293</v>
      </c>
      <c r="M609" t="s">
        <v>4044</v>
      </c>
      <c r="Q609" t="str">
        <f>IF(COUNTIFS(HCP_evidence!$A:$A, M609, HCP_evidence!$AB:$AB, "&lt;&gt;")&gt;0, "Yes", "")</f>
        <v/>
      </c>
      <c r="V609"/>
      <c r="W609" t="s">
        <v>3818</v>
      </c>
      <c r="X609" t="s">
        <v>8294</v>
      </c>
      <c r="AC609" t="s">
        <v>4283</v>
      </c>
      <c r="BB609" s="74"/>
    </row>
    <row r="610" spans="10:54" hidden="1">
      <c r="M610" t="s">
        <v>4045</v>
      </c>
      <c r="Q610" t="str">
        <f>IF(COUNTIFS(HCP_evidence!$A:$A, M610, HCP_evidence!$AB:$AB, "&lt;&gt;")&gt;0, "Yes", "")</f>
        <v/>
      </c>
      <c r="V610"/>
      <c r="X610" t="str">
        <f>_xlfn.XLOOKUP(M610,[1]Sheet1!$D:$D,[1]Sheet1!$F:$F)</f>
        <v>Service d'Urologie de l'Hôpital E. Herriot</v>
      </c>
      <c r="AC610" t="s">
        <v>4283</v>
      </c>
      <c r="BB610" s="74"/>
    </row>
    <row r="611" spans="10:54" hidden="1">
      <c r="M611" t="s">
        <v>4046</v>
      </c>
      <c r="Q611" t="str">
        <f>IF(COUNTIFS(HCP_evidence!$A:$A, M611, HCP_evidence!$AB:$AB, "&lt;&gt;")&gt;0, "Yes", "")</f>
        <v/>
      </c>
      <c r="V611"/>
      <c r="X611" t="str">
        <f>_xlfn.XLOOKUP(M611,[1]Sheet1!$D:$D,[1]Sheet1!$F:$F)</f>
        <v>Service d'Hématologie de l'Hôpital Lyon Sud</v>
      </c>
      <c r="AC611" t="s">
        <v>4283</v>
      </c>
      <c r="BB611" s="74"/>
    </row>
    <row r="612" spans="10:54" hidden="1">
      <c r="M612" t="s">
        <v>4047</v>
      </c>
      <c r="Q612" t="str">
        <f>IF(COUNTIFS(HCP_evidence!$A:$A, M612, HCP_evidence!$AB:$AB, "&lt;&gt;")&gt;0, "Yes", "")</f>
        <v/>
      </c>
      <c r="V612"/>
      <c r="X612" t="str">
        <f>_xlfn.XLOOKUP(M612,[1]Sheet1!$D:$D,[1]Sheet1!$F:$F)</f>
        <v>Service de Pneumologie de l'hôpital de la Croix-Rousse</v>
      </c>
      <c r="AC612" t="s">
        <v>4283</v>
      </c>
      <c r="BB612" s="74"/>
    </row>
    <row r="613" spans="10:54" hidden="1">
      <c r="M613" t="s">
        <v>3263</v>
      </c>
      <c r="Q613" t="str">
        <f>IF(COUNTIFS(HCP_evidence!$A:$A, M613, HCP_evidence!$AB:$AB, "&lt;&gt;")&gt;0, "Yes", "")</f>
        <v/>
      </c>
      <c r="V613"/>
      <c r="X613" t="str">
        <f>_xlfn.XLOOKUP(M613,[1]Sheet1!$D:$D,[1]Sheet1!$F:$F)</f>
        <v>Centre Eugène Marquis</v>
      </c>
      <c r="AC613" t="s">
        <v>4283</v>
      </c>
      <c r="BB613" s="74"/>
    </row>
    <row r="614" spans="10:54" hidden="1">
      <c r="M614" t="s">
        <v>4049</v>
      </c>
      <c r="Q614" t="str">
        <f>IF(COUNTIFS(HCP_evidence!$A:$A, M614, HCP_evidence!$AB:$AB, "&lt;&gt;")&gt;0, "Yes", "")</f>
        <v/>
      </c>
      <c r="V614"/>
      <c r="X614" t="str">
        <f>_xlfn.XLOOKUP(M614,[1]Sheet1!$D:$D,[1]Sheet1!$F:$F)</f>
        <v>Institut de Cancerologie de l'Ouest - Hôpital Saint Herblain - PPDS</v>
      </c>
      <c r="AC614" t="s">
        <v>4283</v>
      </c>
      <c r="BB614" s="74"/>
    </row>
    <row r="615" spans="10:54" hidden="1">
      <c r="M615" t="s">
        <v>3334</v>
      </c>
      <c r="Q615" t="str">
        <f>IF(COUNTIFS(HCP_evidence!$A:$A, M615, HCP_evidence!$AB:$AB, "&lt;&gt;")&gt;0, "Yes", "")</f>
        <v/>
      </c>
      <c r="V615"/>
      <c r="X615" t="str">
        <f>_xlfn.XLOOKUP(M615,[1]Sheet1!$D:$D,[1]Sheet1!$F:$F)</f>
        <v>CLCC Paul Strauss</v>
      </c>
      <c r="AC615" t="s">
        <v>4283</v>
      </c>
      <c r="BB615" s="74"/>
    </row>
    <row r="616" spans="10:54" hidden="1">
      <c r="M616" t="s">
        <v>4051</v>
      </c>
      <c r="Q616" t="str">
        <f>IF(COUNTIFS(HCP_evidence!$A:$A, M616, HCP_evidence!$AB:$AB, "&lt;&gt;")&gt;0, "Yes", "")</f>
        <v/>
      </c>
      <c r="V616"/>
      <c r="X616" t="str">
        <f>_xlfn.XLOOKUP(M616,[1]Sheet1!$D:$D,[1]Sheet1!$F:$F)</f>
        <v>CHU Morvan de Brest</v>
      </c>
      <c r="AC616" t="s">
        <v>4283</v>
      </c>
      <c r="BB616" s="74"/>
    </row>
    <row r="617" spans="10:54" hidden="1">
      <c r="M617" t="s">
        <v>4053</v>
      </c>
      <c r="Q617" t="str">
        <f>IF(COUNTIFS(HCP_evidence!$A:$A, M617, HCP_evidence!$AB:$AB, "&lt;&gt;")&gt;0, "Yes", "")</f>
        <v/>
      </c>
      <c r="V617"/>
      <c r="X617" t="str">
        <f>_xlfn.XLOOKUP(M617,[1]Sheet1!$D:$D,[1]Sheet1!$F:$F)</f>
        <v>Oncologie médicale - Pitié-Salpêtrière</v>
      </c>
      <c r="AC617" t="s">
        <v>4283</v>
      </c>
      <c r="BB617" s="74"/>
    </row>
    <row r="618" spans="10:54" hidden="1">
      <c r="M618" t="s">
        <v>3586</v>
      </c>
      <c r="Q618" t="str">
        <f>IF(COUNTIFS(HCP_evidence!$A:$A, M618, HCP_evidence!$AB:$AB, "&lt;&gt;")&gt;0, "Yes", "")</f>
        <v/>
      </c>
      <c r="V618"/>
      <c r="X618" t="str">
        <f>_xlfn.XLOOKUP(M618,[1]Sheet1!$D:$D,[1]Sheet1!$F:$F)</f>
        <v>ICO - Centre Paul Papin</v>
      </c>
      <c r="AC618" t="s">
        <v>4283</v>
      </c>
      <c r="BB618" s="74"/>
    </row>
    <row r="619" spans="10:54" hidden="1">
      <c r="M619" t="s">
        <v>3230</v>
      </c>
      <c r="Q619" t="str">
        <f>IF(COUNTIFS(HCP_evidence!$A:$A, M619, HCP_evidence!$AB:$AB, "&lt;&gt;")&gt;0, "Yes", "")</f>
        <v/>
      </c>
      <c r="V619"/>
      <c r="X619" t="str">
        <f>_xlfn.XLOOKUP(M619,[1]Sheet1!$D:$D,[1]Sheet1!$F:$F)</f>
        <v>CHU Besançon</v>
      </c>
      <c r="AC619" t="s">
        <v>4283</v>
      </c>
      <c r="BB619" s="74"/>
    </row>
    <row r="620" spans="10:54" hidden="1">
      <c r="M620" t="s">
        <v>3218</v>
      </c>
      <c r="Q620" t="str">
        <f>IF(COUNTIFS(HCP_evidence!$A:$A, M620, HCP_evidence!$AB:$AB, "&lt;&gt;")&gt;0, "Yes", "")</f>
        <v/>
      </c>
      <c r="V620"/>
      <c r="X620" t="str">
        <f>_xlfn.XLOOKUP(M620,[1]Sheet1!$D:$D,[1]Sheet1!$F:$F)</f>
        <v>Centre Hospitalier de Valence</v>
      </c>
      <c r="AC620" t="s">
        <v>4283</v>
      </c>
      <c r="BB620" s="74"/>
    </row>
    <row r="621" spans="10:54" hidden="1">
      <c r="M621" t="s">
        <v>4056</v>
      </c>
      <c r="Q621" t="str">
        <f>IF(COUNTIFS(HCP_evidence!$A:$A, M621, HCP_evidence!$AB:$AB, "&lt;&gt;")&gt;0, "Yes", "")</f>
        <v/>
      </c>
      <c r="V621"/>
      <c r="X621" t="str">
        <f>_xlfn.XLOOKUP(M621,[1]Sheet1!$D:$D,[1]Sheet1!$F:$F)</f>
        <v>Service de Gynécologie de l'hôpital de la Croix-Rousse</v>
      </c>
      <c r="AC621" t="s">
        <v>4283</v>
      </c>
      <c r="BB621" s="74"/>
    </row>
    <row r="622" spans="10:54" hidden="1">
      <c r="M622" t="s">
        <v>4057</v>
      </c>
      <c r="Q622" t="str">
        <f>IF(COUNTIFS(HCP_evidence!$A:$A, M622, HCP_evidence!$AB:$AB, "&lt;&gt;")&gt;0, "Yes", "")</f>
        <v/>
      </c>
      <c r="V622"/>
      <c r="X622" t="str">
        <f>_xlfn.XLOOKUP(M622,[1]Sheet1!$D:$D,[1]Sheet1!$F:$F)</f>
        <v>Service d'ONCOLOGIE DIGESTIVE et HEPATOLOGIE de l'Hôpital E. Herriot</v>
      </c>
      <c r="AC622" t="s">
        <v>4283</v>
      </c>
      <c r="BB622" s="74"/>
    </row>
    <row r="623" spans="10:54" hidden="1">
      <c r="M623" t="s">
        <v>4058</v>
      </c>
      <c r="Q623" t="str">
        <f>IF(COUNTIFS(HCP_evidence!$A:$A, M623, HCP_evidence!$AB:$AB, "&lt;&gt;")&gt;0, "Yes", "")</f>
        <v/>
      </c>
      <c r="V623"/>
      <c r="X623" t="str">
        <f>_xlfn.XLOOKUP(M623,[1]Sheet1!$D:$D,[1]Sheet1!$F:$F)</f>
        <v>Centre Jean Perrin</v>
      </c>
      <c r="AC623" t="s">
        <v>4283</v>
      </c>
      <c r="BB623" s="74"/>
    </row>
    <row r="624" spans="10:54" hidden="1">
      <c r="M624" t="s">
        <v>4060</v>
      </c>
      <c r="Q624" t="str">
        <f>IF(COUNTIFS(HCP_evidence!$A:$A, M624, HCP_evidence!$AB:$AB, "&lt;&gt;")&gt;0, "Yes", "")</f>
        <v/>
      </c>
      <c r="V624"/>
      <c r="X624" t="str">
        <f>_xlfn.XLOOKUP(M624,[1]Sheet1!$D:$D,[1]Sheet1!$F:$F)</f>
        <v>Ambroise Paré-Hartmann</v>
      </c>
      <c r="AC624" t="s">
        <v>4283</v>
      </c>
      <c r="BB624" s="74"/>
    </row>
    <row r="625" spans="10:54" hidden="1">
      <c r="M625" t="s">
        <v>4061</v>
      </c>
      <c r="Q625" t="str">
        <f>IF(COUNTIFS(HCP_evidence!$A:$A, M625, HCP_evidence!$AB:$AB, "&lt;&gt;")&gt;0, "Yes", "")</f>
        <v/>
      </c>
      <c r="V625"/>
      <c r="X625" t="str">
        <f>_xlfn.XLOOKUP(M625,[1]Sheet1!$D:$D,[1]Sheet1!$F:$F)</f>
        <v>Service de Pneumologie du Groupement Hospitalier Est</v>
      </c>
      <c r="AC625" t="s">
        <v>4283</v>
      </c>
      <c r="BB625" s="74"/>
    </row>
    <row r="626" spans="10:54" hidden="1">
      <c r="M626" t="s">
        <v>4062</v>
      </c>
      <c r="Q626" t="str">
        <f>IF(COUNTIFS(HCP_evidence!$A:$A, M626, HCP_evidence!$AB:$AB, "&lt;&gt;")&gt;0, "Yes", "")</f>
        <v/>
      </c>
      <c r="V626"/>
      <c r="X626" t="str">
        <f>_xlfn.XLOOKUP(M626,[1]Sheet1!$D:$D,[1]Sheet1!$F:$F)</f>
        <v>Hopitaux Universitaires de Strasbourg</v>
      </c>
      <c r="AC626" t="s">
        <v>4283</v>
      </c>
      <c r="BB626" s="74"/>
    </row>
    <row r="627" spans="10:54" hidden="1">
      <c r="J627" t="s">
        <v>8394</v>
      </c>
      <c r="K627" s="72" t="s">
        <v>8456</v>
      </c>
      <c r="M627" t="s">
        <v>4063</v>
      </c>
      <c r="Q627" t="str">
        <f>IF(COUNTIFS(HCP_evidence!$A:$A, M627, HCP_evidence!$AB:$AB, "&lt;&gt;")&gt;0, "Yes", "")</f>
        <v/>
      </c>
      <c r="V627"/>
      <c r="W627" t="s">
        <v>3139</v>
      </c>
      <c r="X627" s="86" t="s">
        <v>4285</v>
      </c>
      <c r="AC627" t="s">
        <v>4283</v>
      </c>
      <c r="BB627" s="74"/>
    </row>
    <row r="628" spans="10:54" hidden="1">
      <c r="M628" t="s">
        <v>4064</v>
      </c>
      <c r="Q628" t="str">
        <f>IF(COUNTIFS(HCP_evidence!$A:$A, M628, HCP_evidence!$AB:$AB, "&lt;&gt;")&gt;0, "Yes", "")</f>
        <v/>
      </c>
      <c r="V628"/>
      <c r="X628" t="str">
        <f>_xlfn.XLOOKUP(M628,[1]Sheet1!$D:$D,[1]Sheet1!$F:$F)</f>
        <v>Centre Hospital Universitaire Hop Huriez</v>
      </c>
      <c r="AC628" t="s">
        <v>4283</v>
      </c>
      <c r="BB628" s="74"/>
    </row>
    <row r="629" spans="10:54" hidden="1">
      <c r="M629" t="s">
        <v>4065</v>
      </c>
      <c r="Q629" t="str">
        <f>IF(COUNTIFS(HCP_evidence!$A:$A, M629, HCP_evidence!$AB:$AB, "&lt;&gt;")&gt;0, "Yes", "")</f>
        <v/>
      </c>
      <c r="V629"/>
      <c r="X629" t="str">
        <f>_xlfn.XLOOKUP(M629,[1]Sheet1!$D:$D,[1]Sheet1!$F:$F)</f>
        <v>Service de Dermatologie de l'hôpital Lyon Sud</v>
      </c>
      <c r="AC629" t="s">
        <v>4283</v>
      </c>
      <c r="BB629" s="74"/>
    </row>
    <row r="630" spans="10:54" hidden="1">
      <c r="M630" t="s">
        <v>3332</v>
      </c>
      <c r="Q630" t="str">
        <f>IF(COUNTIFS(HCP_evidence!$A:$A, M630, HCP_evidence!$AB:$AB, "&lt;&gt;")&gt;0, "Yes", "")</f>
        <v/>
      </c>
      <c r="V630"/>
      <c r="X630" t="str">
        <f>_xlfn.XLOOKUP(M630,[1]Sheet1!$D:$D,[1]Sheet1!$F:$F)</f>
        <v>Hopital de Hautepierre - Hôpital Universitaire</v>
      </c>
      <c r="AC630" t="s">
        <v>4283</v>
      </c>
      <c r="BB630" s="74"/>
    </row>
    <row r="631" spans="10:54" hidden="1">
      <c r="M631" t="s">
        <v>4066</v>
      </c>
      <c r="Q631" t="str">
        <f>IF(COUNTIFS(HCP_evidence!$A:$A, M631, HCP_evidence!$AB:$AB, "&lt;&gt;")&gt;0, "Yes", "")</f>
        <v/>
      </c>
      <c r="V631"/>
      <c r="X631" t="str">
        <f>_xlfn.XLOOKUP(M631,[1]Sheet1!$D:$D,[1]Sheet1!$F:$F)</f>
        <v>Groupe Hospitalier Pellegrin - Chu</v>
      </c>
      <c r="AC631" t="s">
        <v>4283</v>
      </c>
      <c r="BB631" s="74"/>
    </row>
    <row r="632" spans="10:54" hidden="1">
      <c r="M632" t="s">
        <v>4067</v>
      </c>
      <c r="Q632" t="str">
        <f>IF(COUNTIFS(HCP_evidence!$A:$A, M632, HCP_evidence!$AB:$AB, "&lt;&gt;")&gt;0, "Yes", "")</f>
        <v/>
      </c>
      <c r="V632"/>
      <c r="X632" t="str">
        <f>_xlfn.XLOOKUP(M632,[1]Sheet1!$D:$D,[1]Sheet1!$F:$F)</f>
        <v>Service de Chirurgie de l'hôpital Lyon Sud</v>
      </c>
      <c r="AC632" t="s">
        <v>4283</v>
      </c>
      <c r="BB632" s="74"/>
    </row>
    <row r="633" spans="10:54" hidden="1">
      <c r="M633" t="s">
        <v>4068</v>
      </c>
      <c r="Q633" t="str">
        <f>IF(COUNTIFS(HCP_evidence!$A:$A, M633, HCP_evidence!$AB:$AB, "&lt;&gt;")&gt;0, "Yes", "")</f>
        <v/>
      </c>
      <c r="V633"/>
      <c r="X633" t="str">
        <f>_xlfn.XLOOKUP(M633,[1]Sheet1!$D:$D,[1]Sheet1!$F:$F)</f>
        <v>Service d'Oncologie médicale du Centre hospitalier Lyon Sud</v>
      </c>
      <c r="AC633" t="s">
        <v>4283</v>
      </c>
      <c r="BB633" s="74"/>
    </row>
    <row r="634" spans="10:54" hidden="1">
      <c r="M634" t="s">
        <v>4069</v>
      </c>
      <c r="Q634" t="str">
        <f>IF(COUNTIFS(HCP_evidence!$A:$A, M634, HCP_evidence!$AB:$AB, "&lt;&gt;")&gt;0, "Yes", "")</f>
        <v/>
      </c>
      <c r="V634"/>
      <c r="X634">
        <f>_xlfn.XLOOKUP(M634,[1]Sheet1!$D:$D,[1]Sheet1!$F:$F)</f>
        <v>0</v>
      </c>
      <c r="AC634" t="s">
        <v>4283</v>
      </c>
      <c r="BB634" s="74"/>
    </row>
    <row r="635" spans="10:54" hidden="1">
      <c r="M635" t="s">
        <v>4070</v>
      </c>
      <c r="Q635" t="str">
        <f>IF(COUNTIFS(HCP_evidence!$A:$A, M635, HCP_evidence!$AB:$AB, "&lt;&gt;")&gt;0, "Yes", "")</f>
        <v/>
      </c>
      <c r="V635"/>
      <c r="X635" t="str">
        <f>_xlfn.XLOOKUP(M635,[1]Sheet1!$D:$D,[1]Sheet1!$F:$F)</f>
        <v>Chu de Poitiers</v>
      </c>
      <c r="AC635" t="s">
        <v>4283</v>
      </c>
      <c r="BB635" s="74"/>
    </row>
    <row r="636" spans="10:54" hidden="1">
      <c r="M636" t="s">
        <v>3415</v>
      </c>
      <c r="Q636" t="str">
        <f>IF(COUNTIFS(HCP_evidence!$A:$A, M636, HCP_evidence!$AB:$AB, "&lt;&gt;")&gt;0, "Yes", "")</f>
        <v/>
      </c>
      <c r="V636"/>
      <c r="X636" t="str">
        <f>_xlfn.XLOOKUP(M636,[1]Sheet1!$D:$D,[1]Sheet1!$F:$F)</f>
        <v>Hôpital Saint-Louis</v>
      </c>
      <c r="AC636" t="s">
        <v>4283</v>
      </c>
      <c r="BB636" s="74"/>
    </row>
    <row r="637" spans="10:54" hidden="1">
      <c r="M637" t="s">
        <v>4072</v>
      </c>
      <c r="N637" s="71"/>
      <c r="Q637" t="str">
        <f>IF(COUNTIFS(HCP_evidence!$A:$A, M637, HCP_evidence!$AB:$AB, "&lt;&gt;")&gt;0, "Yes", "")</f>
        <v/>
      </c>
      <c r="V637"/>
      <c r="X637" t="str">
        <f>_xlfn.XLOOKUP(M637,[1]Sheet1!$D:$D,[1]Sheet1!$F:$F)</f>
        <v>Service d'Oncologie médicale du Centre hospitalier Lyon Sud</v>
      </c>
      <c r="AC637" t="s">
        <v>4283</v>
      </c>
      <c r="BB637" s="74"/>
    </row>
    <row r="638" spans="10:54" hidden="1">
      <c r="M638" t="s">
        <v>3430</v>
      </c>
      <c r="N638" s="71"/>
      <c r="Q638" t="str">
        <f>IF(COUNTIFS(HCP_evidence!$A:$A, M638, HCP_evidence!$AB:$AB, "&lt;&gt;")&gt;0, "Yes", "")</f>
        <v/>
      </c>
      <c r="V638"/>
      <c r="X638" t="str">
        <f>_xlfn.XLOOKUP(M638,[1]Sheet1!$D:$D,[1]Sheet1!$F:$F)</f>
        <v>Gustave Roussy</v>
      </c>
      <c r="AC638" t="s">
        <v>4283</v>
      </c>
      <c r="BB638" s="74"/>
    </row>
    <row r="639" spans="10:54" hidden="1">
      <c r="M639" t="s">
        <v>4075</v>
      </c>
      <c r="N639" s="71"/>
      <c r="Q639" t="str">
        <f>IF(COUNTIFS(HCP_evidence!$A:$A, M639, HCP_evidence!$AB:$AB, "&lt;&gt;")&gt;0, "Yes", "")</f>
        <v/>
      </c>
      <c r="V639"/>
      <c r="X639" t="str">
        <f>_xlfn.XLOOKUP(M639,[1]Sheet1!$D:$D,[1]Sheet1!$F:$F)</f>
        <v>Hospices civils de Lyon</v>
      </c>
      <c r="AC639" t="s">
        <v>4283</v>
      </c>
      <c r="BB639" s="74"/>
    </row>
    <row r="640" spans="10:54" hidden="1">
      <c r="M640" t="s">
        <v>4076</v>
      </c>
      <c r="N640" s="71"/>
      <c r="Q640" t="str">
        <f>IF(COUNTIFS(HCP_evidence!$A:$A, M640, HCP_evidence!$AB:$AB, "&lt;&gt;")&gt;0, "Yes", "")</f>
        <v/>
      </c>
      <c r="V640"/>
      <c r="X640" t="str">
        <f>_xlfn.XLOOKUP(M640,[1]Sheet1!$D:$D,[1]Sheet1!$F:$F)</f>
        <v>Hopital Saint Antoine</v>
      </c>
      <c r="AC640" t="s">
        <v>4283</v>
      </c>
      <c r="BB640" s="74"/>
    </row>
    <row r="641" spans="10:54" hidden="1">
      <c r="M641" t="s">
        <v>4077</v>
      </c>
      <c r="N641" s="71"/>
      <c r="Q641" t="str">
        <f>IF(COUNTIFS(HCP_evidence!$A:$A, M641, HCP_evidence!$AB:$AB, "&lt;&gt;")&gt;0, "Yes", "")</f>
        <v/>
      </c>
      <c r="V641"/>
      <c r="X641" t="str">
        <f>_xlfn.XLOOKUP(M641,[1]Sheet1!$D:$D,[1]Sheet1!$F:$F)</f>
        <v>Chu Dijon Bourgogne</v>
      </c>
      <c r="AC641" t="s">
        <v>4283</v>
      </c>
      <c r="BB641" s="74"/>
    </row>
    <row r="642" spans="10:54" hidden="1">
      <c r="M642" t="s">
        <v>4078</v>
      </c>
      <c r="N642" s="71"/>
      <c r="Q642" t="str">
        <f>IF(COUNTIFS(HCP_evidence!$A:$A, M642, HCP_evidence!$AB:$AB, "&lt;&gt;")&gt;0, "Yes", "")</f>
        <v/>
      </c>
      <c r="V642"/>
      <c r="X642" t="str">
        <f>_xlfn.XLOOKUP(M642,[1]Sheet1!$D:$D,[1]Sheet1!$F:$F)</f>
        <v>Chu de Rennes</v>
      </c>
      <c r="AC642" t="s">
        <v>4283</v>
      </c>
      <c r="BB642" s="74"/>
    </row>
    <row r="643" spans="10:54" hidden="1">
      <c r="M643" t="s">
        <v>4080</v>
      </c>
      <c r="N643" s="71"/>
      <c r="Q643" t="str">
        <f>IF(COUNTIFS(HCP_evidence!$A:$A, M643, HCP_evidence!$AB:$AB, "&lt;&gt;")&gt;0, "Yes", "")</f>
        <v/>
      </c>
      <c r="V643"/>
      <c r="X643" t="str">
        <f>_xlfn.XLOOKUP(M643,[1]Sheet1!$D:$D,[1]Sheet1!$F:$F)</f>
        <v>Centre Leon Berard</v>
      </c>
      <c r="AC643" t="s">
        <v>4283</v>
      </c>
      <c r="BB643" s="74"/>
    </row>
    <row r="644" spans="10:54" hidden="1">
      <c r="J644" t="s">
        <v>8394</v>
      </c>
      <c r="K644" s="72" t="s">
        <v>8567</v>
      </c>
      <c r="M644" t="s">
        <v>4081</v>
      </c>
      <c r="N644" s="71"/>
      <c r="Q644" t="str">
        <f>IF(COUNTIFS(HCP_evidence!$A:$A, M644, HCP_evidence!$AB:$AB, "&lt;&gt;")&gt;0, "Yes", "")</f>
        <v/>
      </c>
      <c r="V644"/>
      <c r="W644" t="s">
        <v>3827</v>
      </c>
      <c r="X644" t="s">
        <v>8568</v>
      </c>
      <c r="AC644" t="s">
        <v>4283</v>
      </c>
      <c r="BB644" s="74"/>
    </row>
    <row r="645" spans="10:54" hidden="1">
      <c r="M645" t="s">
        <v>4083</v>
      </c>
      <c r="N645" s="71"/>
      <c r="Q645" t="str">
        <f>IF(COUNTIFS(HCP_evidence!$A:$A, M645, HCP_evidence!$AB:$AB, "&lt;&gt;")&gt;0, "Yes", "")</f>
        <v/>
      </c>
      <c r="V645"/>
      <c r="X645" t="str">
        <f>_xlfn.XLOOKUP(M645,[1]Sheet1!$D:$D,[1]Sheet1!$F:$F)</f>
        <v>Service d'Oto-Rhino-Laryngologie de l'Hôpital de la Croix-Rousse</v>
      </c>
      <c r="AC645" t="s">
        <v>4283</v>
      </c>
      <c r="BB645" s="74"/>
    </row>
    <row r="646" spans="10:54" hidden="1">
      <c r="M646" t="s">
        <v>3264</v>
      </c>
      <c r="N646" s="71"/>
      <c r="Q646" t="str">
        <f>IF(COUNTIFS(HCP_evidence!$A:$A, M646, HCP_evidence!$AB:$AB, "&lt;&gt;")&gt;0, "Yes", "")</f>
        <v/>
      </c>
      <c r="V646"/>
      <c r="X646" t="str">
        <f>_xlfn.XLOOKUP(M646,[1]Sheet1!$D:$D,[1]Sheet1!$F:$F)</f>
        <v>CHU Rennes - Hôpital Sud</v>
      </c>
      <c r="AC646" t="s">
        <v>4283</v>
      </c>
      <c r="BB646" s="74"/>
    </row>
    <row r="647" spans="10:54" hidden="1">
      <c r="M647" t="s">
        <v>4085</v>
      </c>
      <c r="Q647" t="str">
        <f>IF(COUNTIFS(HCP_evidence!$A:$A, M647, HCP_evidence!$AB:$AB, "&lt;&gt;")&gt;0, "Yes", "")</f>
        <v/>
      </c>
      <c r="V647"/>
      <c r="X647" t="str">
        <f>_xlfn.XLOOKUP(M647,[1]Sheet1!$D:$D,[1]Sheet1!$F:$F)</f>
        <v>Service d'ONCOLOGIE DIGESTIVE et HEPATOLOGIE de l'hôpital de la Croix-Rousse</v>
      </c>
      <c r="AC647" t="s">
        <v>4283</v>
      </c>
      <c r="BB647" s="74"/>
    </row>
    <row r="648" spans="10:54" hidden="1">
      <c r="M648" t="s">
        <v>4086</v>
      </c>
      <c r="Q648" t="str">
        <f>IF(COUNTIFS(HCP_evidence!$A:$A, M648, HCP_evidence!$AB:$AB, "&lt;&gt;")&gt;0, "Yes", "")</f>
        <v/>
      </c>
      <c r="V648"/>
      <c r="X648" t="str">
        <f>_xlfn.XLOOKUP(M648,[1]Sheet1!$D:$D,[1]Sheet1!$F:$F)</f>
        <v>Service d'Urologie de l'hôpital Lyon Sud</v>
      </c>
      <c r="AC648" t="s">
        <v>4283</v>
      </c>
      <c r="BB648" s="74"/>
    </row>
    <row r="649" spans="10:54" hidden="1">
      <c r="K649" s="72" t="s">
        <v>8599</v>
      </c>
      <c r="M649" t="s">
        <v>4087</v>
      </c>
      <c r="Q649" t="str">
        <f>IF(COUNTIFS(HCP_evidence!$A:$A, M649, HCP_evidence!$AB:$AB, "&lt;&gt;")&gt;0, "Yes", "")</f>
        <v/>
      </c>
      <c r="V649"/>
      <c r="W649" t="s">
        <v>4448</v>
      </c>
      <c r="X649" s="12" t="s">
        <v>1309</v>
      </c>
      <c r="AC649" t="s">
        <v>4283</v>
      </c>
      <c r="BB649" s="74"/>
    </row>
    <row r="650" spans="10:54" hidden="1">
      <c r="M650" t="s">
        <v>4088</v>
      </c>
      <c r="Q650" t="str">
        <f>IF(COUNTIFS(HCP_evidence!$A:$A, M650, HCP_evidence!$AB:$AB, "&lt;&gt;")&gt;0, "Yes", "")</f>
        <v/>
      </c>
      <c r="V650"/>
      <c r="X650" t="str">
        <f>_xlfn.XLOOKUP(M650,[1]Sheet1!$D:$D,[1]Sheet1!$F:$F)</f>
        <v>Institut Régional du Cancer de Montpellier</v>
      </c>
      <c r="AC650" t="s">
        <v>4283</v>
      </c>
      <c r="BB650" s="74"/>
    </row>
    <row r="651" spans="10:54" hidden="1">
      <c r="M651" t="s">
        <v>4089</v>
      </c>
      <c r="Q651" t="str">
        <f>IF(COUNTIFS(HCP_evidence!$A:$A, M651, HCP_evidence!$AB:$AB, "&lt;&gt;")&gt;0, "Yes", "")</f>
        <v/>
      </c>
      <c r="V651"/>
      <c r="X651" t="str">
        <f>_xlfn.XLOOKUP(M651,[1]Sheet1!$D:$D,[1]Sheet1!$F:$F)</f>
        <v>Service de Gynécologie de l'hôpital Lyon Sud</v>
      </c>
      <c r="AC651" t="s">
        <v>4283</v>
      </c>
      <c r="BB651" s="74"/>
    </row>
    <row r="652" spans="10:54" hidden="1">
      <c r="M652" t="s">
        <v>4091</v>
      </c>
      <c r="N652" s="71"/>
      <c r="Q652" t="str">
        <f>IF(COUNTIFS(HCP_evidence!$A:$A, M652, HCP_evidence!$AB:$AB, "&lt;&gt;")&gt;0, "Yes", "")</f>
        <v/>
      </c>
      <c r="V652"/>
      <c r="X652" t="str">
        <f>_xlfn.XLOOKUP(M652,[1]Sheet1!$D:$D,[1]Sheet1!$F:$F)</f>
        <v>Assistance Publique - Hopitaux de Marseille (Ap-Hm</v>
      </c>
      <c r="AC652" t="s">
        <v>4283</v>
      </c>
      <c r="BB652" s="74"/>
    </row>
    <row r="653" spans="10:54" hidden="1">
      <c r="M653" t="s">
        <v>4092</v>
      </c>
      <c r="Q653" t="str">
        <f>IF(COUNTIFS(HCP_evidence!$A:$A, M653, HCP_evidence!$AB:$AB, "&lt;&gt;")&gt;0, "Yes", "")</f>
        <v/>
      </c>
      <c r="V653"/>
      <c r="X653" t="str">
        <f>_xlfn.XLOOKUP(M653,[1]Sheet1!$D:$D,[1]Sheet1!$F:$F)</f>
        <v>Centre François Baclesse</v>
      </c>
      <c r="AC653" t="s">
        <v>4283</v>
      </c>
      <c r="BB653" s="74"/>
    </row>
    <row r="654" spans="10:54" hidden="1">
      <c r="M654" t="s">
        <v>4094</v>
      </c>
      <c r="Q654" t="str">
        <f>IF(COUNTIFS(HCP_evidence!$A:$A, M654, HCP_evidence!$AB:$AB, "&lt;&gt;")&gt;0, "Yes", "")</f>
        <v/>
      </c>
      <c r="V654"/>
      <c r="X654" t="str">
        <f>_xlfn.XLOOKUP(M654,[1]Sheet1!$D:$D,[1]Sheet1!$F:$F)</f>
        <v>HEGP</v>
      </c>
      <c r="AC654" t="s">
        <v>4283</v>
      </c>
      <c r="BB654" s="74"/>
    </row>
    <row r="655" spans="10:54" hidden="1">
      <c r="M655" t="s">
        <v>4096</v>
      </c>
      <c r="Q655" t="str">
        <f>IF(COUNTIFS(HCP_evidence!$A:$A, M655, HCP_evidence!$AB:$AB, "&lt;&gt;")&gt;0, "Yes", "")</f>
        <v/>
      </c>
      <c r="V655"/>
      <c r="X655" t="str">
        <f>_xlfn.XLOOKUP(M655,[1]Sheet1!$D:$D,[1]Sheet1!$F:$F)</f>
        <v>Institut Mutualiste Montsouris</v>
      </c>
      <c r="AC655" t="s">
        <v>4283</v>
      </c>
      <c r="BB655" s="74"/>
    </row>
    <row r="656" spans="10:54" hidden="1">
      <c r="M656" t="s">
        <v>4097</v>
      </c>
      <c r="Q656" t="str">
        <f>IF(COUNTIFS(HCP_evidence!$A:$A, M656, HCP_evidence!$AB:$AB, "&lt;&gt;")&gt;0, "Yes", "")</f>
        <v/>
      </c>
      <c r="V656"/>
      <c r="X656">
        <f>_xlfn.XLOOKUP(M656,[1]Sheet1!$D:$D,[1]Sheet1!$F:$F)</f>
        <v>0</v>
      </c>
      <c r="AC656" t="s">
        <v>4283</v>
      </c>
      <c r="BB656" s="74"/>
    </row>
    <row r="657" spans="9:54" hidden="1">
      <c r="M657" t="s">
        <v>4098</v>
      </c>
      <c r="Q657" t="str">
        <f>IF(COUNTIFS(HCP_evidence!$A:$A, M657, HCP_evidence!$AB:$AB, "&lt;&gt;")&gt;0, "Yes", "")</f>
        <v/>
      </c>
      <c r="V657"/>
      <c r="X657" t="str">
        <f>_xlfn.XLOOKUP(M657,[1]Sheet1!$D:$D,[1]Sheet1!$F:$F)</f>
        <v>Hopitaux Universitaires de Strasbourg</v>
      </c>
      <c r="AC657" t="s">
        <v>4283</v>
      </c>
      <c r="BB657" s="74"/>
    </row>
    <row r="658" spans="9:54" hidden="1">
      <c r="M658" t="s">
        <v>4100</v>
      </c>
      <c r="Q658" t="str">
        <f>IF(COUNTIFS(HCP_evidence!$A:$A, M658, HCP_evidence!$AB:$AB, "&lt;&gt;")&gt;0, "Yes", "")</f>
        <v/>
      </c>
      <c r="V658"/>
      <c r="X658" t="str">
        <f>_xlfn.XLOOKUP(M658,[1]Sheet1!$D:$D,[1]Sheet1!$F:$F)</f>
        <v>CHU Strasbourg - Hôpital Hautepierre</v>
      </c>
      <c r="AC658" t="s">
        <v>4283</v>
      </c>
      <c r="BB658" s="74"/>
    </row>
    <row r="659" spans="9:54" hidden="1">
      <c r="J659" t="s">
        <v>8394</v>
      </c>
      <c r="K659" s="72" t="s">
        <v>8401</v>
      </c>
      <c r="M659" t="s">
        <v>4101</v>
      </c>
      <c r="Q659" t="str">
        <f>IF(COUNTIFS(HCP_evidence!$A:$A, M659, HCP_evidence!$AB:$AB, "&lt;&gt;")&gt;0, "Yes", "")</f>
        <v/>
      </c>
      <c r="V659"/>
      <c r="W659" t="s">
        <v>8403</v>
      </c>
      <c r="X659" t="s">
        <v>8402</v>
      </c>
      <c r="AC659" t="s">
        <v>4283</v>
      </c>
      <c r="BB659" s="74"/>
    </row>
    <row r="660" spans="9:54" hidden="1">
      <c r="I660" t="s">
        <v>5156</v>
      </c>
      <c r="J660" t="s">
        <v>5116</v>
      </c>
      <c r="K660" s="72" t="s">
        <v>8343</v>
      </c>
      <c r="M660" t="s">
        <v>3267</v>
      </c>
      <c r="Q660" t="str">
        <f>IF(COUNTIFS(HCP_evidence!$A:$A, M660, HCP_evidence!$AB:$AB, "&lt;&gt;")&gt;0, "Yes", "")</f>
        <v/>
      </c>
      <c r="V660"/>
      <c r="W660" t="s">
        <v>3792</v>
      </c>
      <c r="X660" s="12" t="s">
        <v>1288</v>
      </c>
      <c r="AC660" t="s">
        <v>4283</v>
      </c>
      <c r="BB660" s="74"/>
    </row>
    <row r="661" spans="9:54" hidden="1">
      <c r="M661" t="s">
        <v>4102</v>
      </c>
      <c r="Q661" t="str">
        <f>IF(COUNTIFS(HCP_evidence!$A:$A, M661, HCP_evidence!$AB:$AB, "&lt;&gt;")&gt;0, "Yes", "")</f>
        <v/>
      </c>
      <c r="V661"/>
      <c r="X661" t="str">
        <f>_xlfn.XLOOKUP(M661,[1]Sheet1!$D:$D,[1]Sheet1!$F:$F)</f>
        <v>Centre Hospitalier Hôtel Dieu</v>
      </c>
      <c r="AC661" t="s">
        <v>4283</v>
      </c>
      <c r="BB661" s="74"/>
    </row>
    <row r="662" spans="9:54" hidden="1">
      <c r="M662" t="s">
        <v>4103</v>
      </c>
      <c r="Q662" t="str">
        <f>IF(COUNTIFS(HCP_evidence!$A:$A, M662, HCP_evidence!$AB:$AB, "&lt;&gt;")&gt;0, "Yes", "")</f>
        <v/>
      </c>
      <c r="V662"/>
      <c r="X662">
        <f>_xlfn.XLOOKUP(M662,[1]Sheet1!$D:$D,[1]Sheet1!$F:$F)</f>
        <v>0</v>
      </c>
      <c r="AC662" t="s">
        <v>4283</v>
      </c>
      <c r="BB662" s="74"/>
    </row>
    <row r="663" spans="9:54" hidden="1">
      <c r="M663" t="s">
        <v>4105</v>
      </c>
      <c r="Q663" t="str">
        <f>IF(COUNTIFS(HCP_evidence!$A:$A, M663, HCP_evidence!$AB:$AB, "&lt;&gt;")&gt;0, "Yes", "")</f>
        <v/>
      </c>
      <c r="V663"/>
      <c r="X663" t="str">
        <f>_xlfn.XLOOKUP(M663,[1]Sheet1!$D:$D,[1]Sheet1!$F:$F)</f>
        <v>Chu de Clermont-Ferrand</v>
      </c>
      <c r="AC663" t="s">
        <v>4283</v>
      </c>
      <c r="BB663" s="74"/>
    </row>
    <row r="664" spans="9:54" hidden="1">
      <c r="M664" t="s">
        <v>4107</v>
      </c>
      <c r="Q664" t="str">
        <f>IF(COUNTIFS(HCP_evidence!$A:$A, M664, HCP_evidence!$AB:$AB, "&lt;&gt;")&gt;0, "Yes", "")</f>
        <v/>
      </c>
      <c r="V664"/>
      <c r="X664" t="str">
        <f>_xlfn.XLOOKUP(M664,[1]Sheet1!$D:$D,[1]Sheet1!$F:$F)</f>
        <v>Service de Pneumologie de l'Hôpital Lyon Sud</v>
      </c>
      <c r="AC664" t="s">
        <v>4283</v>
      </c>
      <c r="BB664" s="74"/>
    </row>
    <row r="665" spans="9:54" hidden="1">
      <c r="M665" t="s">
        <v>4109</v>
      </c>
      <c r="Q665" t="str">
        <f>IF(COUNTIFS(HCP_evidence!$A:$A, M665, HCP_evidence!$AB:$AB, "&lt;&gt;")&gt;0, "Yes", "")</f>
        <v/>
      </c>
      <c r="V665"/>
      <c r="X665" t="str">
        <f>_xlfn.XLOOKUP(M665,[1]Sheet1!$D:$D,[1]Sheet1!$F:$F)</f>
        <v>CHU Strasbourg - Hôpital Hautepierre</v>
      </c>
      <c r="AC665" t="s">
        <v>4283</v>
      </c>
      <c r="BB665" s="74"/>
    </row>
    <row r="666" spans="9:54" hidden="1">
      <c r="M666" t="s">
        <v>4110</v>
      </c>
      <c r="Q666" t="str">
        <f>IF(COUNTIFS(HCP_evidence!$A:$A, M666, HCP_evidence!$AB:$AB, "&lt;&gt;")&gt;0, "Yes", "")</f>
        <v/>
      </c>
      <c r="V666"/>
      <c r="X666">
        <f>_xlfn.XLOOKUP(M666,[1]Sheet1!$D:$D,[1]Sheet1!$F:$F)</f>
        <v>0</v>
      </c>
      <c r="AC666" t="s">
        <v>4283</v>
      </c>
      <c r="BB666" s="74"/>
    </row>
    <row r="667" spans="9:54" hidden="1">
      <c r="J667" t="s">
        <v>8362</v>
      </c>
      <c r="K667" s="72" t="s">
        <v>8434</v>
      </c>
      <c r="M667" t="s">
        <v>4111</v>
      </c>
      <c r="Q667" t="str">
        <f>IF(COUNTIFS(HCP_evidence!$A:$A, M667, HCP_evidence!$AB:$AB, "&lt;&gt;")&gt;0, "Yes", "")</f>
        <v/>
      </c>
      <c r="V667"/>
      <c r="W667" t="s">
        <v>3793</v>
      </c>
      <c r="X667" t="s">
        <v>4286</v>
      </c>
      <c r="AC667" t="s">
        <v>4283</v>
      </c>
      <c r="BB667" s="74"/>
    </row>
    <row r="668" spans="9:54" hidden="1">
      <c r="J668" t="s">
        <v>8362</v>
      </c>
      <c r="K668" s="72" t="s">
        <v>8437</v>
      </c>
      <c r="M668" t="s">
        <v>4112</v>
      </c>
      <c r="Q668" t="str">
        <f>IF(COUNTIFS(HCP_evidence!$A:$A, M668, HCP_evidence!$AB:$AB, "&lt;&gt;")&gt;0, "Yes", "")</f>
        <v/>
      </c>
      <c r="V668"/>
      <c r="W668" t="s">
        <v>3755</v>
      </c>
      <c r="X668" t="s">
        <v>4533</v>
      </c>
      <c r="AC668" t="s">
        <v>4283</v>
      </c>
      <c r="BB668" s="74"/>
    </row>
    <row r="669" spans="9:54" hidden="1">
      <c r="M669" t="s">
        <v>4113</v>
      </c>
      <c r="Q669" t="str">
        <f>IF(COUNTIFS(HCP_evidence!$A:$A, M669, HCP_evidence!$AB:$AB, "&lt;&gt;")&gt;0, "Yes", "")</f>
        <v/>
      </c>
      <c r="V669"/>
      <c r="X669" t="str">
        <f>_xlfn.XLOOKUP(M669,[1]Sheet1!$D:$D,[1]Sheet1!$F:$F)</f>
        <v>Chru Lille</v>
      </c>
      <c r="AC669" t="s">
        <v>4283</v>
      </c>
      <c r="BB669" s="74"/>
    </row>
    <row r="670" spans="9:54" hidden="1">
      <c r="M670" t="s">
        <v>4115</v>
      </c>
      <c r="Q670" t="str">
        <f>IF(COUNTIFS(HCP_evidence!$A:$A, M670, HCP_evidence!$AB:$AB, "&lt;&gt;")&gt;0, "Yes", "")</f>
        <v/>
      </c>
      <c r="V670"/>
      <c r="X670" t="str">
        <f>_xlfn.XLOOKUP(M670,[1]Sheet1!$D:$D,[1]Sheet1!$F:$F)</f>
        <v>Service d'Oncologie médicale du Centre hospitalier Lyon Sud</v>
      </c>
      <c r="AC670" t="s">
        <v>4283</v>
      </c>
      <c r="BB670" s="74"/>
    </row>
    <row r="671" spans="9:54" hidden="1">
      <c r="M671" t="s">
        <v>4116</v>
      </c>
      <c r="N671" s="71"/>
      <c r="Q671" t="str">
        <f>IF(COUNTIFS(HCP_evidence!$A:$A, M671, HCP_evidence!$AB:$AB, "&lt;&gt;")&gt;0, "Yes", "")</f>
        <v/>
      </c>
      <c r="V671"/>
      <c r="X671" t="str">
        <f>_xlfn.XLOOKUP(M671,[1]Sheet1!$D:$D,[1]Sheet1!$F:$F)</f>
        <v>Service de Dermatologie de l'hôpital Lyon Sud</v>
      </c>
      <c r="AC671" t="s">
        <v>4283</v>
      </c>
      <c r="BB671" s="74"/>
    </row>
    <row r="672" spans="9:54" hidden="1">
      <c r="M672" t="s">
        <v>3183</v>
      </c>
      <c r="Q672" t="str">
        <f>IF(COUNTIFS(HCP_evidence!$A:$A, M672, HCP_evidence!$AB:$AB, "&lt;&gt;")&gt;0, "Yes", "")</f>
        <v/>
      </c>
      <c r="V672"/>
      <c r="X672" t="str">
        <f>_xlfn.XLOOKUP(M672,[1]Sheet1!$D:$D,[1]Sheet1!$F:$F)</f>
        <v>Hospices Civils de Lyon</v>
      </c>
      <c r="AC672" t="s">
        <v>4283</v>
      </c>
      <c r="BB672" s="74"/>
    </row>
    <row r="673" spans="10:54" hidden="1">
      <c r="M673" t="s">
        <v>3517</v>
      </c>
      <c r="Q673" t="str">
        <f>IF(COUNTIFS(HCP_evidence!$A:$A, M673, HCP_evidence!$AB:$AB, "&lt;&gt;")&gt;0, "Yes", "")</f>
        <v/>
      </c>
      <c r="V673"/>
      <c r="X673" t="str">
        <f>_xlfn.XLOOKUP(M673,[1]Sheet1!$D:$D,[1]Sheet1!$F:$F)</f>
        <v>Centre Hospitalier d'Angoulème</v>
      </c>
      <c r="AC673" t="s">
        <v>4283</v>
      </c>
      <c r="BB673" s="74"/>
    </row>
    <row r="674" spans="10:54" hidden="1">
      <c r="M674" t="s">
        <v>4118</v>
      </c>
      <c r="Q674" t="str">
        <f>IF(COUNTIFS(HCP_evidence!$A:$A, M674, HCP_evidence!$AB:$AB, "&lt;&gt;")&gt;0, "Yes", "")</f>
        <v/>
      </c>
      <c r="V674"/>
      <c r="X674" t="str">
        <f>_xlfn.XLOOKUP(M674,[1]Sheet1!$D:$D,[1]Sheet1!$F:$F)</f>
        <v>Centre Eugène Marquis</v>
      </c>
      <c r="AC674" t="s">
        <v>4283</v>
      </c>
      <c r="BB674" s="74"/>
    </row>
    <row r="675" spans="10:54" hidden="1">
      <c r="M675" t="s">
        <v>4120</v>
      </c>
      <c r="Q675" t="str">
        <f>IF(COUNTIFS(HCP_evidence!$A:$A, M675, HCP_evidence!$AB:$AB, "&lt;&gt;")&gt;0, "Yes", "")</f>
        <v/>
      </c>
      <c r="V675"/>
      <c r="X675" t="str">
        <f>_xlfn.XLOOKUP(M675,[1]Sheet1!$D:$D,[1]Sheet1!$F:$F)</f>
        <v>CHU de Brest - Hôpital de la Cavale Blanche</v>
      </c>
      <c r="AC675" t="s">
        <v>4283</v>
      </c>
      <c r="BB675" s="74"/>
    </row>
    <row r="676" spans="10:54" hidden="1">
      <c r="M676" t="s">
        <v>4122</v>
      </c>
      <c r="Q676" t="str">
        <f>IF(COUNTIFS(HCP_evidence!$A:$A, M676, HCP_evidence!$AB:$AB, "&lt;&gt;")&gt;0, "Yes", "")</f>
        <v/>
      </c>
      <c r="V676"/>
      <c r="X676" t="str">
        <f>_xlfn.XLOOKUP(M676,[1]Sheet1!$D:$D,[1]Sheet1!$F:$F)</f>
        <v>Assistance Publique - Hopitaux de Paris (Ap-Hp)</v>
      </c>
      <c r="AC676" t="s">
        <v>4283</v>
      </c>
      <c r="BB676" s="74"/>
    </row>
    <row r="677" spans="10:54" hidden="1">
      <c r="M677" t="s">
        <v>4125</v>
      </c>
      <c r="Q677" t="str">
        <f>IF(COUNTIFS(HCP_evidence!$A:$A, M677, HCP_evidence!$AB:$AB, "&lt;&gt;")&gt;0, "Yes", "")</f>
        <v/>
      </c>
      <c r="V677"/>
      <c r="X677" t="str">
        <f>_xlfn.XLOOKUP(M677,[1]Sheet1!$D:$D,[1]Sheet1!$F:$F)</f>
        <v>Ambroise Pare Hospital</v>
      </c>
      <c r="AC677" t="s">
        <v>4283</v>
      </c>
      <c r="BB677" s="74"/>
    </row>
    <row r="678" spans="10:54" hidden="1">
      <c r="M678" t="s">
        <v>4126</v>
      </c>
      <c r="Q678" t="str">
        <f>IF(COUNTIFS(HCP_evidence!$A:$A, M678, HCP_evidence!$AB:$AB, "&lt;&gt;")&gt;0, "Yes", "")</f>
        <v/>
      </c>
      <c r="V678"/>
      <c r="X678" t="str">
        <f>_xlfn.XLOOKUP(M678,[1]Sheet1!$D:$D,[1]Sheet1!$F:$F)</f>
        <v>Hôpital Cochin, Maternité Port-Royal, service de Gynécologie obstétrique</v>
      </c>
      <c r="AC678" t="s">
        <v>4283</v>
      </c>
      <c r="BB678" s="74"/>
    </row>
    <row r="679" spans="10:54" hidden="1">
      <c r="M679" t="s">
        <v>4127</v>
      </c>
      <c r="Q679" t="str">
        <f>IF(COUNTIFS(HCP_evidence!$A:$A, M679, HCP_evidence!$AB:$AB, "&lt;&gt;")&gt;0, "Yes", "")</f>
        <v/>
      </c>
      <c r="V679"/>
      <c r="X679" t="str">
        <f>_xlfn.XLOOKUP(M679,[1]Sheet1!$D:$D,[1]Sheet1!$F:$F)</f>
        <v>Groupe Hospitalier Pitié-Salpêtrière</v>
      </c>
      <c r="AC679" t="s">
        <v>4283</v>
      </c>
      <c r="BB679" s="74"/>
    </row>
    <row r="680" spans="10:54" hidden="1">
      <c r="M680" t="s">
        <v>4128</v>
      </c>
      <c r="Q680" t="str">
        <f>IF(COUNTIFS(HCP_evidence!$A:$A, M680, HCP_evidence!$AB:$AB, "&lt;&gt;")&gt;0, "Yes", "")</f>
        <v/>
      </c>
      <c r="V680"/>
      <c r="X680" t="str">
        <f>_xlfn.XLOOKUP(M680,[1]Sheet1!$D:$D,[1]Sheet1!$F:$F)</f>
        <v>CHU de Nice</v>
      </c>
      <c r="AC680" t="s">
        <v>4283</v>
      </c>
      <c r="BB680" s="74"/>
    </row>
    <row r="681" spans="10:54" hidden="1">
      <c r="J681" t="s">
        <v>8394</v>
      </c>
      <c r="K681" s="72" t="s">
        <v>8440</v>
      </c>
      <c r="M681" t="s">
        <v>4129</v>
      </c>
      <c r="Q681" t="str">
        <f>IF(COUNTIFS(HCP_evidence!$A:$A, M681, HCP_evidence!$AB:$AB, "&lt;&gt;")&gt;0, "Yes", "")</f>
        <v/>
      </c>
      <c r="V681"/>
      <c r="W681" t="s">
        <v>3783</v>
      </c>
      <c r="X681" t="s">
        <v>301</v>
      </c>
      <c r="AC681" t="s">
        <v>4283</v>
      </c>
      <c r="BB681" s="74"/>
    </row>
    <row r="682" spans="10:54" hidden="1">
      <c r="M682" t="s">
        <v>3632</v>
      </c>
      <c r="Q682" t="str">
        <f>IF(COUNTIFS(HCP_evidence!$A:$A, M682, HCP_evidence!$AB:$AB, "&lt;&gt;")&gt;0, "Yes", "")</f>
        <v/>
      </c>
      <c r="V682"/>
      <c r="X682" t="str">
        <f>_xlfn.XLOOKUP(M682,[1]Sheet1!$D:$D,[1]Sheet1!$F:$F)</f>
        <v>Centre Antoine Lacassagne</v>
      </c>
      <c r="AC682" t="s">
        <v>4283</v>
      </c>
      <c r="BB682" s="74"/>
    </row>
    <row r="683" spans="10:54" hidden="1">
      <c r="M683" t="s">
        <v>4130</v>
      </c>
      <c r="Q683" t="str">
        <f>IF(COUNTIFS(HCP_evidence!$A:$A, M683, HCP_evidence!$AB:$AB, "&lt;&gt;")&gt;0, "Yes", "")</f>
        <v/>
      </c>
      <c r="V683"/>
      <c r="X683" t="str">
        <f>_xlfn.XLOOKUP(M683,[1]Sheet1!$D:$D,[1]Sheet1!$F:$F)</f>
        <v>Service d'Oncologie médicale du Centre hospitalier Lyon Sud</v>
      </c>
      <c r="AC683" t="s">
        <v>4283</v>
      </c>
      <c r="BB683" s="74"/>
    </row>
    <row r="684" spans="10:54" hidden="1">
      <c r="M684" t="s">
        <v>3515</v>
      </c>
      <c r="Q684" t="str">
        <f>IF(COUNTIFS(HCP_evidence!$A:$A, M684, HCP_evidence!$AB:$AB, "&lt;&gt;")&gt;0, "Yes", "")</f>
        <v/>
      </c>
      <c r="V684"/>
      <c r="X684" t="str">
        <f>_xlfn.XLOOKUP(M684,[1]Sheet1!$D:$D,[1]Sheet1!$F:$F)</f>
        <v>Institut Bergonié</v>
      </c>
      <c r="AC684" t="s">
        <v>4283</v>
      </c>
      <c r="BB684" s="74"/>
    </row>
    <row r="685" spans="10:54" hidden="1">
      <c r="J685" t="s">
        <v>8394</v>
      </c>
      <c r="K685" s="72" t="s">
        <v>8425</v>
      </c>
      <c r="M685" t="s">
        <v>4132</v>
      </c>
      <c r="Q685" t="str">
        <f>IF(COUNTIFS(HCP_evidence!$A:$A, M685, HCP_evidence!$AB:$AB, "&lt;&gt;")&gt;0, "Yes", "")</f>
        <v/>
      </c>
      <c r="S685" t="s">
        <v>4412</v>
      </c>
      <c r="V685"/>
      <c r="W685" t="s">
        <v>3771</v>
      </c>
      <c r="X685" t="s">
        <v>4289</v>
      </c>
      <c r="AC685" t="s">
        <v>4283</v>
      </c>
      <c r="BB685" s="74"/>
    </row>
    <row r="686" spans="10:54" hidden="1">
      <c r="J686" t="s">
        <v>8394</v>
      </c>
      <c r="K686" s="72" t="s">
        <v>8438</v>
      </c>
      <c r="M686" t="s">
        <v>4134</v>
      </c>
      <c r="Q686" t="str">
        <f>IF(COUNTIFS(HCP_evidence!$A:$A, M686, HCP_evidence!$AB:$AB, "&lt;&gt;")&gt;0, "Yes", "")</f>
        <v/>
      </c>
      <c r="V686"/>
      <c r="W686" t="s">
        <v>3739</v>
      </c>
      <c r="X686" t="s">
        <v>33</v>
      </c>
      <c r="AC686" t="s">
        <v>4283</v>
      </c>
      <c r="BB686" s="74"/>
    </row>
    <row r="687" spans="10:54" hidden="1">
      <c r="M687" t="s">
        <v>4233</v>
      </c>
      <c r="Q687" t="str">
        <f>IF(COUNTIFS(HCP_evidence!$A:$A, M687, HCP_evidence!$AB:$AB, "&lt;&gt;")&gt;0, "Yes", "")</f>
        <v/>
      </c>
      <c r="V687"/>
      <c r="AC687" t="s">
        <v>4283</v>
      </c>
      <c r="BB687" s="74"/>
    </row>
    <row r="688" spans="10:54" hidden="1">
      <c r="M688" t="s">
        <v>4234</v>
      </c>
      <c r="Q688" t="str">
        <f>IF(COUNTIFS(HCP_evidence!$A:$A, M688, HCP_evidence!$AB:$AB, "&lt;&gt;")&gt;0, "Yes", "")</f>
        <v/>
      </c>
      <c r="V688"/>
      <c r="AC688" t="s">
        <v>4283</v>
      </c>
      <c r="BB688" s="74"/>
    </row>
    <row r="689" spans="13:54" hidden="1">
      <c r="M689" t="s">
        <v>4235</v>
      </c>
      <c r="Q689" t="str">
        <f>IF(COUNTIFS(HCP_evidence!$A:$A, M689, HCP_evidence!$AB:$AB, "&lt;&gt;")&gt;0, "Yes", "")</f>
        <v/>
      </c>
      <c r="V689"/>
      <c r="AC689" t="s">
        <v>4283</v>
      </c>
      <c r="BB689" s="74"/>
    </row>
    <row r="690" spans="13:54" hidden="1">
      <c r="M690" t="s">
        <v>4236</v>
      </c>
      <c r="Q690" t="str">
        <f>IF(COUNTIFS(HCP_evidence!$A:$A, M690, HCP_evidence!$AB:$AB, "&lt;&gt;")&gt;0, "Yes", "")</f>
        <v/>
      </c>
      <c r="V690"/>
      <c r="AC690" t="s">
        <v>4283</v>
      </c>
      <c r="BB690" s="74"/>
    </row>
    <row r="691" spans="13:54" hidden="1">
      <c r="M691" t="s">
        <v>4237</v>
      </c>
      <c r="Q691" t="str">
        <f>IF(COUNTIFS(HCP_evidence!$A:$A, M691, HCP_evidence!$AB:$AB, "&lt;&gt;")&gt;0, "Yes", "")</f>
        <v/>
      </c>
      <c r="V691"/>
      <c r="AC691" t="s">
        <v>4283</v>
      </c>
      <c r="BB691" s="74"/>
    </row>
    <row r="692" spans="13:54" hidden="1">
      <c r="M692" t="s">
        <v>4239</v>
      </c>
      <c r="Q692" t="str">
        <f>IF(COUNTIFS(HCP_evidence!$A:$A, M692, HCP_evidence!$AB:$AB, "&lt;&gt;")&gt;0, "Yes", "")</f>
        <v/>
      </c>
      <c r="V692"/>
      <c r="AC692" t="s">
        <v>4283</v>
      </c>
      <c r="BB692" s="74"/>
    </row>
    <row r="693" spans="13:54" hidden="1">
      <c r="M693" t="s">
        <v>4240</v>
      </c>
      <c r="Q693" t="str">
        <f>IF(COUNTIFS(HCP_evidence!$A:$A, M693, HCP_evidence!$AB:$AB, "&lt;&gt;")&gt;0, "Yes", "")</f>
        <v/>
      </c>
      <c r="V693"/>
      <c r="AC693" t="s">
        <v>4283</v>
      </c>
      <c r="BB693" s="74"/>
    </row>
    <row r="694" spans="13:54" hidden="1">
      <c r="M694" t="s">
        <v>3389</v>
      </c>
      <c r="N694" s="71"/>
      <c r="Q694" t="str">
        <f>IF(COUNTIFS(HCP_evidence!$A:$A, M694, HCP_evidence!$AB:$AB, "&lt;&gt;")&gt;0, "Yes", "")</f>
        <v/>
      </c>
      <c r="V694"/>
      <c r="AC694" t="s">
        <v>4283</v>
      </c>
      <c r="BB694" s="74"/>
    </row>
    <row r="695" spans="13:54" hidden="1">
      <c r="M695" t="s">
        <v>4241</v>
      </c>
      <c r="Q695" t="str">
        <f>IF(COUNTIFS(HCP_evidence!$A:$A, M695, HCP_evidence!$AB:$AB, "&lt;&gt;")&gt;0, "Yes", "")</f>
        <v/>
      </c>
      <c r="V695"/>
      <c r="AC695" t="s">
        <v>4283</v>
      </c>
      <c r="BB695" s="74"/>
    </row>
    <row r="696" spans="13:54" hidden="1">
      <c r="M696" t="s">
        <v>4242</v>
      </c>
      <c r="Q696" t="str">
        <f>IF(COUNTIFS(HCP_evidence!$A:$A, M696, HCP_evidence!$AB:$AB, "&lt;&gt;")&gt;0, "Yes", "")</f>
        <v/>
      </c>
      <c r="V696"/>
      <c r="AC696" t="s">
        <v>4283</v>
      </c>
      <c r="BB696" s="74"/>
    </row>
    <row r="697" spans="13:54" hidden="1">
      <c r="M697" t="s">
        <v>4243</v>
      </c>
      <c r="Q697" t="str">
        <f>IF(COUNTIFS(HCP_evidence!$A:$A, M697, HCP_evidence!$AB:$AB, "&lt;&gt;")&gt;0, "Yes", "")</f>
        <v/>
      </c>
      <c r="V697"/>
      <c r="AC697" t="s">
        <v>4283</v>
      </c>
      <c r="BB697" s="74"/>
    </row>
    <row r="698" spans="13:54" hidden="1">
      <c r="M698" t="s">
        <v>4244</v>
      </c>
      <c r="Q698" t="str">
        <f>IF(COUNTIFS(HCP_evidence!$A:$A, M698, HCP_evidence!$AB:$AB, "&lt;&gt;")&gt;0, "Yes", "")</f>
        <v/>
      </c>
      <c r="V698"/>
      <c r="AC698" t="s">
        <v>4283</v>
      </c>
      <c r="BB698" s="74"/>
    </row>
    <row r="699" spans="13:54" hidden="1">
      <c r="M699" t="s">
        <v>4245</v>
      </c>
      <c r="Q699" t="str">
        <f>IF(COUNTIFS(HCP_evidence!$A:$A, M699, HCP_evidence!$AB:$AB, "&lt;&gt;")&gt;0, "Yes", "")</f>
        <v/>
      </c>
      <c r="V699"/>
      <c r="AC699" t="s">
        <v>4283</v>
      </c>
      <c r="BB699" s="74"/>
    </row>
    <row r="700" spans="13:54" hidden="1">
      <c r="M700" t="s">
        <v>4246</v>
      </c>
      <c r="Q700" t="str">
        <f>IF(COUNTIFS(HCP_evidence!$A:$A, M700, HCP_evidence!$AB:$AB, "&lt;&gt;")&gt;0, "Yes", "")</f>
        <v/>
      </c>
      <c r="V700"/>
      <c r="AC700" t="s">
        <v>4283</v>
      </c>
      <c r="BB700" s="74"/>
    </row>
    <row r="701" spans="13:54" hidden="1">
      <c r="M701" t="s">
        <v>4247</v>
      </c>
      <c r="Q701" t="str">
        <f>IF(COUNTIFS(HCP_evidence!$A:$A, M701, HCP_evidence!$AB:$AB, "&lt;&gt;")&gt;0, "Yes", "")</f>
        <v/>
      </c>
      <c r="V701"/>
      <c r="AC701" t="s">
        <v>4283</v>
      </c>
      <c r="BB701" s="74"/>
    </row>
    <row r="702" spans="13:54" hidden="1">
      <c r="M702" t="s">
        <v>3519</v>
      </c>
      <c r="Q702" t="str">
        <f>IF(COUNTIFS(HCP_evidence!$A:$A, M702, HCP_evidence!$AB:$AB, "&lt;&gt;")&gt;0, "Yes", "")</f>
        <v/>
      </c>
      <c r="V702"/>
      <c r="AC702" t="s">
        <v>4283</v>
      </c>
      <c r="BB702" s="74"/>
    </row>
    <row r="703" spans="13:54" hidden="1">
      <c r="M703" t="s">
        <v>4248</v>
      </c>
      <c r="Q703" t="str">
        <f>IF(COUNTIFS(HCP_evidence!$A:$A, M703, HCP_evidence!$AB:$AB, "&lt;&gt;")&gt;0, "Yes", "")</f>
        <v/>
      </c>
      <c r="V703"/>
      <c r="AC703" t="s">
        <v>4283</v>
      </c>
      <c r="BB703" s="74"/>
    </row>
    <row r="704" spans="13:54" hidden="1">
      <c r="M704" t="s">
        <v>4249</v>
      </c>
      <c r="Q704" t="str">
        <f>IF(COUNTIFS(HCP_evidence!$A:$A, M704, HCP_evidence!$AB:$AB, "&lt;&gt;")&gt;0, "Yes", "")</f>
        <v/>
      </c>
      <c r="V704"/>
      <c r="AC704" t="s">
        <v>4283</v>
      </c>
      <c r="BB704" s="74"/>
    </row>
    <row r="705" spans="13:54" hidden="1">
      <c r="M705" t="s">
        <v>4250</v>
      </c>
      <c r="Q705" t="str">
        <f>IF(COUNTIFS(HCP_evidence!$A:$A, M705, HCP_evidence!$AB:$AB, "&lt;&gt;")&gt;0, "Yes", "")</f>
        <v/>
      </c>
      <c r="V705"/>
      <c r="AC705" t="s">
        <v>4283</v>
      </c>
      <c r="BB705" s="74"/>
    </row>
    <row r="706" spans="13:54" hidden="1">
      <c r="M706" t="s">
        <v>4251</v>
      </c>
      <c r="Q706" t="str">
        <f>IF(COUNTIFS(HCP_evidence!$A:$A, M706, HCP_evidence!$AB:$AB, "&lt;&gt;")&gt;0, "Yes", "")</f>
        <v/>
      </c>
      <c r="V706"/>
      <c r="AC706" t="s">
        <v>4283</v>
      </c>
      <c r="BB706" s="74"/>
    </row>
    <row r="707" spans="13:54" hidden="1">
      <c r="M707" t="s">
        <v>4253</v>
      </c>
      <c r="Q707" t="str">
        <f>IF(COUNTIFS(HCP_evidence!$A:$A, M707, HCP_evidence!$AB:$AB, "&lt;&gt;")&gt;0, "Yes", "")</f>
        <v/>
      </c>
      <c r="V707"/>
      <c r="AC707" t="s">
        <v>4283</v>
      </c>
      <c r="BB707" s="74"/>
    </row>
    <row r="708" spans="13:54" hidden="1">
      <c r="M708" t="s">
        <v>4254</v>
      </c>
      <c r="Q708" t="str">
        <f>IF(COUNTIFS(HCP_evidence!$A:$A, M708, HCP_evidence!$AB:$AB, "&lt;&gt;")&gt;0, "Yes", "")</f>
        <v/>
      </c>
      <c r="V708"/>
      <c r="AC708" t="s">
        <v>4283</v>
      </c>
      <c r="BB708" s="74"/>
    </row>
    <row r="709" spans="13:54" hidden="1">
      <c r="M709" t="s">
        <v>4256</v>
      </c>
      <c r="Q709" t="str">
        <f>IF(COUNTIFS(HCP_evidence!$A:$A, M709, HCP_evidence!$AB:$AB, "&lt;&gt;")&gt;0, "Yes", "")</f>
        <v/>
      </c>
      <c r="V709"/>
      <c r="AC709" t="s">
        <v>4283</v>
      </c>
      <c r="BB709" s="74"/>
    </row>
    <row r="710" spans="13:54" hidden="1">
      <c r="M710" t="s">
        <v>4257</v>
      </c>
      <c r="Q710" t="str">
        <f>IF(COUNTIFS(HCP_evidence!$A:$A, M710, HCP_evidence!$AB:$AB, "&lt;&gt;")&gt;0, "Yes", "")</f>
        <v/>
      </c>
      <c r="V710"/>
      <c r="AC710" t="s">
        <v>4283</v>
      </c>
      <c r="BB710" s="74"/>
    </row>
    <row r="711" spans="13:54" hidden="1">
      <c r="M711" t="s">
        <v>4259</v>
      </c>
      <c r="Q711" t="str">
        <f>IF(COUNTIFS(HCP_evidence!$A:$A, M711, HCP_evidence!$AB:$AB, "&lt;&gt;")&gt;0, "Yes", "")</f>
        <v/>
      </c>
      <c r="V711"/>
      <c r="AC711" t="s">
        <v>4283</v>
      </c>
      <c r="BB711" s="74"/>
    </row>
    <row r="712" spans="13:54" hidden="1">
      <c r="M712" t="s">
        <v>4262</v>
      </c>
      <c r="Q712" t="str">
        <f>IF(COUNTIFS(HCP_evidence!$A:$A, M712, HCP_evidence!$AB:$AB, "&lt;&gt;")&gt;0, "Yes", "")</f>
        <v/>
      </c>
      <c r="V712"/>
      <c r="AC712" t="s">
        <v>4283</v>
      </c>
      <c r="BB712" s="74"/>
    </row>
    <row r="713" spans="13:54" hidden="1">
      <c r="M713" t="s">
        <v>4263</v>
      </c>
      <c r="Q713" t="str">
        <f>IF(COUNTIFS(HCP_evidence!$A:$A, M713, HCP_evidence!$AB:$AB, "&lt;&gt;")&gt;0, "Yes", "")</f>
        <v/>
      </c>
      <c r="V713"/>
      <c r="AC713" t="s">
        <v>4283</v>
      </c>
      <c r="BB713" s="74"/>
    </row>
    <row r="714" spans="13:54" hidden="1">
      <c r="M714" t="s">
        <v>4264</v>
      </c>
      <c r="Q714" t="str">
        <f>IF(COUNTIFS(HCP_evidence!$A:$A, M714, HCP_evidence!$AB:$AB, "&lt;&gt;")&gt;0, "Yes", "")</f>
        <v/>
      </c>
      <c r="V714"/>
      <c r="AC714" t="s">
        <v>4283</v>
      </c>
      <c r="BB714" s="74"/>
    </row>
    <row r="715" spans="13:54" hidden="1">
      <c r="M715" t="s">
        <v>4265</v>
      </c>
      <c r="Q715" t="str">
        <f>IF(COUNTIFS(HCP_evidence!$A:$A, M715, HCP_evidence!$AB:$AB, "&lt;&gt;")&gt;0, "Yes", "")</f>
        <v/>
      </c>
      <c r="V715"/>
      <c r="AC715" t="s">
        <v>4283</v>
      </c>
      <c r="BB715" s="74"/>
    </row>
    <row r="716" spans="13:54" hidden="1">
      <c r="M716" t="s">
        <v>4266</v>
      </c>
      <c r="Q716" t="str">
        <f>IF(COUNTIFS(HCP_evidence!$A:$A, M716, HCP_evidence!$AB:$AB, "&lt;&gt;")&gt;0, "Yes", "")</f>
        <v/>
      </c>
      <c r="V716"/>
      <c r="AC716" t="s">
        <v>4283</v>
      </c>
      <c r="BB716" s="74"/>
    </row>
    <row r="717" spans="13:54" hidden="1">
      <c r="M717" t="s">
        <v>4267</v>
      </c>
      <c r="Q717" t="str">
        <f>IF(COUNTIFS(HCP_evidence!$A:$A, M717, HCP_evidence!$AB:$AB, "&lt;&gt;")&gt;0, "Yes", "")</f>
        <v/>
      </c>
      <c r="V717"/>
      <c r="AC717" t="s">
        <v>4283</v>
      </c>
      <c r="BB717" s="74"/>
    </row>
    <row r="718" spans="13:54" hidden="1">
      <c r="M718" t="s">
        <v>4268</v>
      </c>
      <c r="Q718" t="str">
        <f>IF(COUNTIFS(HCP_evidence!$A:$A, M718, HCP_evidence!$AB:$AB, "&lt;&gt;")&gt;0, "Yes", "")</f>
        <v/>
      </c>
      <c r="V718"/>
      <c r="AC718" t="s">
        <v>4283</v>
      </c>
      <c r="BB718" s="74"/>
    </row>
    <row r="719" spans="13:54" hidden="1">
      <c r="M719" t="s">
        <v>4271</v>
      </c>
      <c r="Q719" t="str">
        <f>IF(COUNTIFS(HCP_evidence!$A:$A, M719, HCP_evidence!$AB:$AB, "&lt;&gt;")&gt;0, "Yes", "")</f>
        <v/>
      </c>
      <c r="V719"/>
      <c r="AC719" t="s">
        <v>4283</v>
      </c>
      <c r="BB719" s="74"/>
    </row>
    <row r="720" spans="13:54" hidden="1">
      <c r="M720" t="s">
        <v>4273</v>
      </c>
      <c r="Q720" t="str">
        <f>IF(COUNTIFS(HCP_evidence!$A:$A, M720, HCP_evidence!$AB:$AB, "&lt;&gt;")&gt;0, "Yes", "")</f>
        <v/>
      </c>
      <c r="V720"/>
      <c r="AC720" t="s">
        <v>4283</v>
      </c>
      <c r="BB720" s="74"/>
    </row>
    <row r="721" spans="4:54" hidden="1">
      <c r="M721" t="s">
        <v>4274</v>
      </c>
      <c r="Q721" t="str">
        <f>IF(COUNTIFS(HCP_evidence!$A:$A, M721, HCP_evidence!$AB:$AB, "&lt;&gt;")&gt;0, "Yes", "")</f>
        <v/>
      </c>
      <c r="V721"/>
      <c r="AC721" t="s">
        <v>4283</v>
      </c>
      <c r="BB721" s="74"/>
    </row>
    <row r="722" spans="4:54" hidden="1">
      <c r="M722" t="s">
        <v>4275</v>
      </c>
      <c r="Q722" t="str">
        <f>IF(COUNTIFS(HCP_evidence!$A:$A, M722, HCP_evidence!$AB:$AB, "&lt;&gt;")&gt;0, "Yes", "")</f>
        <v/>
      </c>
      <c r="V722"/>
      <c r="AC722" t="s">
        <v>4283</v>
      </c>
      <c r="BB722" s="74"/>
    </row>
    <row r="723" spans="4:54" hidden="1">
      <c r="J723" t="s">
        <v>8235</v>
      </c>
      <c r="K723" s="72" t="s">
        <v>8232</v>
      </c>
      <c r="M723" t="s">
        <v>8233</v>
      </c>
      <c r="Q723" t="str">
        <f>IF(COUNTIFS(HCP_evidence!$A:$A, M723, HCP_evidence!$AB:$AB, "&lt;&gt;")&gt;0, "Yes", "")</f>
        <v/>
      </c>
      <c r="V723"/>
      <c r="W723" t="s">
        <v>8203</v>
      </c>
      <c r="X723" t="s">
        <v>8234</v>
      </c>
    </row>
    <row r="724" spans="4:54" hidden="1">
      <c r="J724" t="s">
        <v>8235</v>
      </c>
      <c r="K724" s="72" t="s">
        <v>8236</v>
      </c>
      <c r="M724" t="s">
        <v>8237</v>
      </c>
      <c r="N724" s="71" t="s">
        <v>8237</v>
      </c>
      <c r="Q724" t="str">
        <f>IF(COUNTIFS(HCP_evidence!$A:$A, M724, HCP_evidence!$AB:$AB, "&lt;&gt;")&gt;0, "Yes", "")</f>
        <v/>
      </c>
      <c r="V724"/>
      <c r="W724" t="s">
        <v>8203</v>
      </c>
      <c r="X724" t="s">
        <v>8234</v>
      </c>
    </row>
    <row r="725" spans="4:54" hidden="1">
      <c r="J725" t="s">
        <v>8240</v>
      </c>
      <c r="K725" s="72" t="s">
        <v>8238</v>
      </c>
      <c r="M725" t="s">
        <v>8239</v>
      </c>
      <c r="Q725" t="str">
        <f>IF(COUNTIFS(HCP_evidence!$A:$A, M725, HCP_evidence!$AB:$AB, "&lt;&gt;")&gt;0, "Yes", "")</f>
        <v/>
      </c>
      <c r="V725"/>
      <c r="W725" t="s">
        <v>8203</v>
      </c>
      <c r="X725" t="s">
        <v>8234</v>
      </c>
    </row>
    <row r="726" spans="4:54" hidden="1">
      <c r="J726" t="s">
        <v>8243</v>
      </c>
      <c r="K726" s="72" t="s">
        <v>8241</v>
      </c>
      <c r="M726" t="s">
        <v>8242</v>
      </c>
      <c r="N726" s="71" t="s">
        <v>8242</v>
      </c>
      <c r="Q726" t="str">
        <f>IF(COUNTIFS(HCP_evidence!$A:$A, M726, HCP_evidence!$AB:$AB, "&lt;&gt;")&gt;0, "Yes", "")</f>
        <v/>
      </c>
      <c r="V726"/>
      <c r="W726" t="s">
        <v>8203</v>
      </c>
      <c r="X726" t="s">
        <v>8234</v>
      </c>
    </row>
    <row r="727" spans="4:54" hidden="1">
      <c r="J727" t="s">
        <v>8248</v>
      </c>
      <c r="K727" s="72" t="s">
        <v>8246</v>
      </c>
      <c r="M727" t="s">
        <v>8247</v>
      </c>
      <c r="Q727" t="str">
        <f>IF(COUNTIFS(HCP_evidence!$A:$A, M727, HCP_evidence!$AB:$AB, "&lt;&gt;")&gt;0, "Yes", "")</f>
        <v>Yes</v>
      </c>
      <c r="V727"/>
      <c r="W727" t="s">
        <v>3814</v>
      </c>
      <c r="X727" t="s">
        <v>1632</v>
      </c>
    </row>
    <row r="728" spans="4:54" hidden="1">
      <c r="J728" t="s">
        <v>8252</v>
      </c>
      <c r="K728" s="72" t="s">
        <v>8250</v>
      </c>
      <c r="M728" t="s">
        <v>8251</v>
      </c>
      <c r="Q728" t="str">
        <f>IF(COUNTIFS(HCP_evidence!$A:$A, M728, HCP_evidence!$AB:$AB, "&lt;&gt;")&gt;0, "Yes", "")</f>
        <v/>
      </c>
      <c r="V728"/>
      <c r="W728" t="s">
        <v>3814</v>
      </c>
      <c r="X728" t="s">
        <v>1632</v>
      </c>
    </row>
    <row r="729" spans="4:54" hidden="1">
      <c r="J729" t="s">
        <v>8255</v>
      </c>
      <c r="K729" s="72" t="s">
        <v>8253</v>
      </c>
      <c r="M729" t="s">
        <v>8254</v>
      </c>
      <c r="Q729" t="str">
        <f>IF(COUNTIFS(HCP_evidence!$A:$A, M729, HCP_evidence!$AB:$AB, "&lt;&gt;")&gt;0, "Yes", "")</f>
        <v/>
      </c>
      <c r="V729"/>
      <c r="W729" t="s">
        <v>3814</v>
      </c>
      <c r="X729" t="s">
        <v>1632</v>
      </c>
    </row>
    <row r="730" spans="4:54" hidden="1">
      <c r="J730" t="s">
        <v>8258</v>
      </c>
      <c r="K730" s="72" t="s">
        <v>8256</v>
      </c>
      <c r="M730" s="23" t="s">
        <v>8257</v>
      </c>
      <c r="Q730" t="str">
        <f>IF(COUNTIFS(HCP_evidence!$A:$A, M730, HCP_evidence!$AB:$AB, "&lt;&gt;")&gt;0, "Yes", "")</f>
        <v/>
      </c>
      <c r="V730"/>
      <c r="W730" t="s">
        <v>3814</v>
      </c>
      <c r="X730" t="s">
        <v>1632</v>
      </c>
    </row>
    <row r="731" spans="4:54" hidden="1">
      <c r="J731" t="s">
        <v>8258</v>
      </c>
      <c r="K731" s="72" t="s">
        <v>8259</v>
      </c>
      <c r="M731" t="s">
        <v>8260</v>
      </c>
      <c r="Q731" t="str">
        <f>IF(COUNTIFS(HCP_evidence!$A:$A, M731, HCP_evidence!$AB:$AB, "&lt;&gt;")&gt;0, "Yes", "")</f>
        <v/>
      </c>
      <c r="V731"/>
      <c r="W731" t="s">
        <v>3814</v>
      </c>
      <c r="X731" t="s">
        <v>1632</v>
      </c>
    </row>
    <row r="732" spans="4:54" hidden="1">
      <c r="J732" t="s">
        <v>8266</v>
      </c>
      <c r="K732" s="72" t="s">
        <v>8264</v>
      </c>
      <c r="M732" t="s">
        <v>8265</v>
      </c>
      <c r="Q732" t="str">
        <f>IF(COUNTIFS(HCP_evidence!$A:$A, M732, HCP_evidence!$AB:$AB, "&lt;&gt;")&gt;0, "Yes", "")</f>
        <v/>
      </c>
      <c r="V732"/>
      <c r="W732" t="s">
        <v>3739</v>
      </c>
      <c r="X732" t="s">
        <v>33</v>
      </c>
    </row>
    <row r="733" spans="4:54" hidden="1">
      <c r="J733" t="s">
        <v>8266</v>
      </c>
      <c r="K733" s="72" t="s">
        <v>8267</v>
      </c>
      <c r="M733" t="s">
        <v>8268</v>
      </c>
      <c r="Q733" t="str">
        <f>IF(COUNTIFS(HCP_evidence!$A:$A, M733, HCP_evidence!$AB:$AB, "&lt;&gt;")&gt;0, "Yes", "")</f>
        <v/>
      </c>
      <c r="V733"/>
      <c r="W733" t="s">
        <v>3735</v>
      </c>
      <c r="X733" t="s">
        <v>4288</v>
      </c>
    </row>
    <row r="734" spans="4:54" hidden="1">
      <c r="D734" t="s">
        <v>414</v>
      </c>
      <c r="I734" t="s">
        <v>4896</v>
      </c>
      <c r="J734" t="s">
        <v>8275</v>
      </c>
      <c r="K734" s="72" t="s">
        <v>8272</v>
      </c>
      <c r="L734" s="72" t="s">
        <v>8274</v>
      </c>
      <c r="M734" t="s">
        <v>8273</v>
      </c>
      <c r="Q734" t="str">
        <f>IF(COUNTIFS(HCP_evidence!$A:$A, M734, HCP_evidence!$AB:$AB, "&lt;&gt;")&gt;0, "Yes", "")</f>
        <v/>
      </c>
      <c r="V734"/>
      <c r="W734" t="s">
        <v>3789</v>
      </c>
      <c r="X734" t="s">
        <v>4932</v>
      </c>
    </row>
    <row r="735" spans="4:54" hidden="1">
      <c r="D735" t="s">
        <v>414</v>
      </c>
      <c r="I735" t="s">
        <v>4896</v>
      </c>
      <c r="J735" t="s">
        <v>8275</v>
      </c>
      <c r="K735" s="72" t="s">
        <v>8276</v>
      </c>
      <c r="L735" s="72" t="s">
        <v>8277</v>
      </c>
      <c r="M735" t="s">
        <v>8278</v>
      </c>
      <c r="Q735" t="str">
        <f>IF(COUNTIFS(HCP_evidence!$A:$A, M735, HCP_evidence!$AB:$AB, "&lt;&gt;")&gt;0, "Yes", "")</f>
        <v/>
      </c>
      <c r="V735"/>
      <c r="W735" t="s">
        <v>3789</v>
      </c>
      <c r="X735" t="s">
        <v>4932</v>
      </c>
    </row>
    <row r="736" spans="4:54" hidden="1">
      <c r="D736" t="s">
        <v>414</v>
      </c>
      <c r="I736" t="s">
        <v>4896</v>
      </c>
      <c r="J736" t="s">
        <v>8275</v>
      </c>
      <c r="K736" s="72" t="s">
        <v>8279</v>
      </c>
      <c r="L736" s="72" t="s">
        <v>8280</v>
      </c>
      <c r="M736" t="s">
        <v>8281</v>
      </c>
      <c r="Q736" t="str">
        <f>IF(COUNTIFS(HCP_evidence!$A:$A, M736, HCP_evidence!$AB:$AB, "&lt;&gt;")&gt;0, "Yes", "")</f>
        <v/>
      </c>
      <c r="V736"/>
      <c r="W736" t="s">
        <v>3789</v>
      </c>
      <c r="X736" t="s">
        <v>4932</v>
      </c>
    </row>
    <row r="737" spans="5:48" hidden="1">
      <c r="J737" t="s">
        <v>8289</v>
      </c>
      <c r="K737" s="72" t="s">
        <v>8287</v>
      </c>
      <c r="M737" t="s">
        <v>8288</v>
      </c>
      <c r="Q737" t="str">
        <f>IF(COUNTIFS(HCP_evidence!$A:$A, M737, HCP_evidence!$AB:$AB, "&lt;&gt;")&gt;0, "Yes", "")</f>
        <v/>
      </c>
      <c r="V737"/>
      <c r="W737" t="s">
        <v>3817</v>
      </c>
      <c r="X737" t="s">
        <v>8286</v>
      </c>
    </row>
    <row r="738" spans="5:48" hidden="1">
      <c r="E738" t="s">
        <v>414</v>
      </c>
      <c r="J738" t="s">
        <v>8309</v>
      </c>
      <c r="K738" s="72" t="s">
        <v>8306</v>
      </c>
      <c r="L738" s="72" t="s">
        <v>8308</v>
      </c>
      <c r="M738" t="s">
        <v>8307</v>
      </c>
      <c r="Q738" t="str">
        <f>IF(COUNTIFS(HCP_evidence!$A:$A, M738, HCP_evidence!$AB:$AB, "&lt;&gt;")&gt;0, "Yes", "")</f>
        <v/>
      </c>
      <c r="V738"/>
      <c r="W738" t="s">
        <v>8305</v>
      </c>
      <c r="X738" t="s">
        <v>8304</v>
      </c>
    </row>
    <row r="739" spans="5:48" hidden="1">
      <c r="I739" t="s">
        <v>5156</v>
      </c>
      <c r="J739" t="s">
        <v>8318</v>
      </c>
      <c r="K739" s="72" t="s">
        <v>8315</v>
      </c>
      <c r="L739" s="72" t="s">
        <v>8317</v>
      </c>
      <c r="M739" t="s">
        <v>8316</v>
      </c>
      <c r="Q739" t="str">
        <f>IF(COUNTIFS(HCP_evidence!$A:$A, M739, HCP_evidence!$AB:$AB, "&lt;&gt;")&gt;0, "Yes", "")</f>
        <v/>
      </c>
      <c r="V739"/>
      <c r="W739" t="s">
        <v>3819</v>
      </c>
      <c r="X739" t="s">
        <v>8313</v>
      </c>
    </row>
    <row r="740" spans="5:48" hidden="1">
      <c r="I740" t="s">
        <v>5156</v>
      </c>
      <c r="J740" t="s">
        <v>8326</v>
      </c>
      <c r="K740" s="72" t="s">
        <v>8327</v>
      </c>
      <c r="L740" s="72" t="s">
        <v>8328</v>
      </c>
      <c r="M740" t="s">
        <v>8325</v>
      </c>
      <c r="N740" s="71" t="s">
        <v>8325</v>
      </c>
      <c r="Q740" t="str">
        <f>IF(COUNTIFS(HCP_evidence!$A:$A, M740, HCP_evidence!$AB:$AB, "&lt;&gt;")&gt;0, "Yes", "")</f>
        <v/>
      </c>
      <c r="V740"/>
      <c r="W740" t="s">
        <v>4556</v>
      </c>
      <c r="X740" t="s">
        <v>1248</v>
      </c>
    </row>
    <row r="741" spans="5:48" hidden="1">
      <c r="I741" t="s">
        <v>5156</v>
      </c>
      <c r="J741" t="s">
        <v>8369</v>
      </c>
      <c r="K741" s="72" t="s">
        <v>8368</v>
      </c>
      <c r="M741" t="s">
        <v>8367</v>
      </c>
      <c r="Q741" t="str">
        <f>IF(COUNTIFS(HCP_evidence!$A:$A, M741, HCP_evidence!$AB:$AB, "&lt;&gt;")&gt;0, "Yes", "")</f>
        <v/>
      </c>
      <c r="V741"/>
      <c r="W741" t="s">
        <v>4508</v>
      </c>
      <c r="X741" t="s">
        <v>4507</v>
      </c>
    </row>
    <row r="742" spans="5:48" hidden="1">
      <c r="E742" t="s">
        <v>414</v>
      </c>
      <c r="J742" t="s">
        <v>8384</v>
      </c>
      <c r="K742" s="72" t="s">
        <v>8382</v>
      </c>
      <c r="L742" s="72" t="s">
        <v>8385</v>
      </c>
      <c r="M742" t="s">
        <v>8383</v>
      </c>
      <c r="Q742" t="str">
        <f>IF(COUNTIFS(HCP_evidence!$A:$A, M742, HCP_evidence!$AB:$AB, "&lt;&gt;")&gt;0, "Yes", "")</f>
        <v/>
      </c>
      <c r="V742"/>
      <c r="W742" t="s">
        <v>8381</v>
      </c>
      <c r="X742" t="s">
        <v>8380</v>
      </c>
    </row>
    <row r="743" spans="5:48" hidden="1">
      <c r="I743" t="s">
        <v>5156</v>
      </c>
      <c r="J743" t="s">
        <v>8389</v>
      </c>
      <c r="K743" s="72" t="s">
        <v>8387</v>
      </c>
      <c r="M743" t="s">
        <v>8388</v>
      </c>
      <c r="Q743" t="str">
        <f>IF(COUNTIFS(HCP_evidence!$A:$A, M743, HCP_evidence!$AB:$AB, "&lt;&gt;")&gt;0, "Yes", "")</f>
        <v/>
      </c>
      <c r="V743"/>
      <c r="W743" t="s">
        <v>3781</v>
      </c>
      <c r="X743" t="s">
        <v>280</v>
      </c>
    </row>
    <row r="744" spans="5:48" hidden="1">
      <c r="J744" t="s">
        <v>11406</v>
      </c>
      <c r="K744" s="72" t="s">
        <v>8391</v>
      </c>
      <c r="M744" t="s">
        <v>8390</v>
      </c>
      <c r="N744" s="71" t="s">
        <v>8390</v>
      </c>
      <c r="Q744" t="str">
        <f>IF(COUNTIFS(HCP_evidence!$A:$A, M744, HCP_evidence!$AB:$AB, "&lt;&gt;")&gt;0, "Yes", "")</f>
        <v>Yes</v>
      </c>
      <c r="V744"/>
      <c r="W744" t="s">
        <v>3781</v>
      </c>
      <c r="X744" t="s">
        <v>280</v>
      </c>
    </row>
    <row r="745" spans="5:48" hidden="1">
      <c r="I745" t="s">
        <v>5156</v>
      </c>
      <c r="J745" t="s">
        <v>11355</v>
      </c>
      <c r="K745" s="72" t="s">
        <v>8397</v>
      </c>
      <c r="M745" t="s">
        <v>8398</v>
      </c>
      <c r="Q745" t="str">
        <f>IF(COUNTIFS(HCP_evidence!$A:$A, M745, HCP_evidence!$AB:$AB, "&lt;&gt;")&gt;0, "Yes", "")</f>
        <v/>
      </c>
      <c r="V745"/>
      <c r="W745" t="s">
        <v>7948</v>
      </c>
      <c r="X745" t="s">
        <v>7947</v>
      </c>
    </row>
    <row r="746" spans="5:48" hidden="1">
      <c r="J746" t="s">
        <v>8466</v>
      </c>
      <c r="K746" s="72" t="s">
        <v>8435</v>
      </c>
      <c r="M746" t="s">
        <v>8436</v>
      </c>
      <c r="Q746" t="str">
        <f>IF(COUNTIFS(HCP_evidence!$A:$A, M746, HCP_evidence!$AB:$AB, "&lt;&gt;")&gt;0, "Yes", "")</f>
        <v/>
      </c>
      <c r="V746"/>
      <c r="W746" t="s">
        <v>8429</v>
      </c>
      <c r="X746" t="s">
        <v>8426</v>
      </c>
    </row>
    <row r="747" spans="5:48" hidden="1">
      <c r="E747" t="s">
        <v>414</v>
      </c>
      <c r="I747" t="s">
        <v>5156</v>
      </c>
      <c r="J747" t="s">
        <v>8446</v>
      </c>
      <c r="K747" s="72" t="s">
        <v>8443</v>
      </c>
      <c r="L747" s="72" t="s">
        <v>8448</v>
      </c>
      <c r="M747" t="s">
        <v>8444</v>
      </c>
      <c r="Q747" t="str">
        <f>IF(COUNTIFS(HCP_evidence!$A:$A, M747, HCP_evidence!$AB:$AB, "&lt;&gt;")&gt;0, "Yes", "")</f>
        <v/>
      </c>
      <c r="V747"/>
      <c r="W747" t="s">
        <v>3820</v>
      </c>
      <c r="X747" t="s">
        <v>8449</v>
      </c>
    </row>
    <row r="748" spans="5:48" hidden="1">
      <c r="E748" t="s">
        <v>414</v>
      </c>
      <c r="I748" t="s">
        <v>5156</v>
      </c>
      <c r="J748" t="s">
        <v>8453</v>
      </c>
      <c r="K748" s="72" t="s">
        <v>8451</v>
      </c>
      <c r="L748" s="72" t="s">
        <v>8455</v>
      </c>
      <c r="M748" t="s">
        <v>8452</v>
      </c>
      <c r="Q748" t="str">
        <f>IF(COUNTIFS(HCP_evidence!$A:$A, M748, HCP_evidence!$AB:$AB, "&lt;&gt;")&gt;0, "Yes", "")</f>
        <v/>
      </c>
      <c r="V748"/>
      <c r="W748" t="s">
        <v>3820</v>
      </c>
      <c r="X748" t="s">
        <v>8449</v>
      </c>
    </row>
    <row r="749" spans="5:48" hidden="1">
      <c r="J749" t="s">
        <v>11469</v>
      </c>
      <c r="K749" s="72" t="s">
        <v>8460</v>
      </c>
      <c r="M749" t="s">
        <v>8462</v>
      </c>
      <c r="Q749" t="str">
        <f>IF(COUNTIFS(HCP_evidence!$A:$A, M749, HCP_evidence!$AB:$AB, "&lt;&gt;")&gt;0, "Yes", "")</f>
        <v/>
      </c>
      <c r="V749"/>
      <c r="W749" t="s">
        <v>8464</v>
      </c>
      <c r="X749" t="s">
        <v>8463</v>
      </c>
    </row>
    <row r="750" spans="5:48" hidden="1">
      <c r="J750" t="s">
        <v>8470</v>
      </c>
      <c r="K750" s="72" t="s">
        <v>8468</v>
      </c>
      <c r="M750" t="s">
        <v>8469</v>
      </c>
      <c r="Q750" t="str">
        <f>IF(COUNTIFS(HCP_evidence!$A:$A, M750, HCP_evidence!$AB:$AB, "&lt;&gt;")&gt;0, "Yes", "")</f>
        <v/>
      </c>
      <c r="V750"/>
      <c r="W750" t="s">
        <v>8429</v>
      </c>
      <c r="X750" t="s">
        <v>8426</v>
      </c>
    </row>
    <row r="751" spans="5:48" hidden="1">
      <c r="J751" t="s">
        <v>8394</v>
      </c>
      <c r="K751" s="72" t="s">
        <v>8472</v>
      </c>
      <c r="M751" t="s">
        <v>8471</v>
      </c>
      <c r="Q751" t="str">
        <f>IF(COUNTIFS(HCP_evidence!$A:$A, M751, HCP_evidence!$AB:$AB, "&lt;&gt;")&gt;0, "Yes", "")</f>
        <v/>
      </c>
      <c r="V751"/>
      <c r="W751" t="s">
        <v>4561</v>
      </c>
      <c r="X751" t="s">
        <v>4297</v>
      </c>
      <c r="AV751" s="13" t="s">
        <v>8619</v>
      </c>
    </row>
    <row r="752" spans="5:48" hidden="1">
      <c r="K752" s="72" t="s">
        <v>8478</v>
      </c>
      <c r="M752" t="s">
        <v>8479</v>
      </c>
      <c r="Q752" t="str">
        <f>IF(COUNTIFS(HCP_evidence!$A:$A, M752, HCP_evidence!$AB:$AB, "&lt;&gt;")&gt;0, "Yes", "")</f>
        <v/>
      </c>
      <c r="V752"/>
      <c r="W752" t="s">
        <v>4567</v>
      </c>
      <c r="X752" t="s">
        <v>4299</v>
      </c>
    </row>
    <row r="753" spans="5:24" hidden="1">
      <c r="K753" s="72" t="s">
        <v>8481</v>
      </c>
      <c r="M753" t="s">
        <v>8482</v>
      </c>
      <c r="Q753" t="str">
        <f>IF(COUNTIFS(HCP_evidence!$A:$A, M753, HCP_evidence!$AB:$AB, "&lt;&gt;")&gt;0, "Yes", "")</f>
        <v/>
      </c>
      <c r="V753"/>
      <c r="W753" t="s">
        <v>3741</v>
      </c>
      <c r="X753" t="s">
        <v>4295</v>
      </c>
    </row>
    <row r="754" spans="5:24" hidden="1">
      <c r="J754" t="s">
        <v>8593</v>
      </c>
      <c r="K754" s="72" t="s">
        <v>8494</v>
      </c>
      <c r="M754" t="s">
        <v>8495</v>
      </c>
      <c r="Q754" t="str">
        <f>IF(COUNTIFS(HCP_evidence!$A:$A, M754, HCP_evidence!$AB:$AB, "&lt;&gt;")&gt;0, "Yes", "")</f>
        <v/>
      </c>
      <c r="V754"/>
      <c r="W754" t="s">
        <v>8492</v>
      </c>
      <c r="X754" t="s">
        <v>8491</v>
      </c>
    </row>
    <row r="755" spans="5:24" hidden="1">
      <c r="K755" s="72" t="s">
        <v>8497</v>
      </c>
      <c r="M755" t="s">
        <v>8498</v>
      </c>
      <c r="Q755" t="str">
        <f>IF(COUNTIFS(HCP_evidence!$A:$A, M755, HCP_evidence!$AB:$AB, "&lt;&gt;")&gt;0, "Yes", "")</f>
        <v/>
      </c>
      <c r="V755"/>
      <c r="W755" t="s">
        <v>4557</v>
      </c>
      <c r="X755" t="s">
        <v>1249</v>
      </c>
    </row>
    <row r="756" spans="5:24" hidden="1">
      <c r="J756" t="s">
        <v>8504</v>
      </c>
      <c r="K756" s="72" t="s">
        <v>8501</v>
      </c>
      <c r="M756" t="s">
        <v>8502</v>
      </c>
      <c r="Q756" t="str">
        <f>IF(COUNTIFS(HCP_evidence!$A:$A, M756, HCP_evidence!$AB:$AB, "&lt;&gt;")&gt;0, "Yes", "")</f>
        <v/>
      </c>
      <c r="V756"/>
      <c r="W756" t="s">
        <v>3824</v>
      </c>
      <c r="X756" t="s">
        <v>8503</v>
      </c>
    </row>
    <row r="757" spans="5:24" hidden="1">
      <c r="I757" t="s">
        <v>5156</v>
      </c>
      <c r="J757" t="s">
        <v>8508</v>
      </c>
      <c r="K757" s="72" t="s">
        <v>8507</v>
      </c>
      <c r="M757" t="s">
        <v>8506</v>
      </c>
      <c r="N757" s="71" t="s">
        <v>8506</v>
      </c>
      <c r="Q757" t="str">
        <f>IF(COUNTIFS(HCP_evidence!$A:$A, M757, HCP_evidence!$AB:$AB, "&lt;&gt;")&gt;0, "Yes", "")</f>
        <v/>
      </c>
      <c r="V757"/>
      <c r="W757" t="s">
        <v>3784</v>
      </c>
      <c r="X757" t="s">
        <v>4281</v>
      </c>
    </row>
    <row r="758" spans="5:24" hidden="1">
      <c r="J758" t="s">
        <v>8545</v>
      </c>
      <c r="K758" s="72" t="s">
        <v>8543</v>
      </c>
      <c r="M758" t="s">
        <v>8544</v>
      </c>
      <c r="N758" s="71" t="s">
        <v>8542</v>
      </c>
      <c r="Q758" t="str">
        <f>IF(COUNTIFS(HCP_evidence!$A:$A, M758, HCP_evidence!$AB:$AB, "&lt;&gt;")&gt;0, "Yes", "")</f>
        <v>Yes</v>
      </c>
      <c r="V758"/>
      <c r="W758" t="s">
        <v>3774</v>
      </c>
      <c r="X758" t="s">
        <v>4831</v>
      </c>
    </row>
    <row r="759" spans="5:24" hidden="1">
      <c r="J759" t="s">
        <v>8545</v>
      </c>
      <c r="K759" s="72" t="s">
        <v>8548</v>
      </c>
      <c r="M759" t="s">
        <v>8547</v>
      </c>
      <c r="N759" s="71" t="s">
        <v>8547</v>
      </c>
      <c r="Q759" t="str">
        <f>IF(COUNTIFS(HCP_evidence!$A:$A, M759, HCP_evidence!$AB:$AB, "&lt;&gt;")&gt;0, "Yes", "")</f>
        <v>Yes</v>
      </c>
      <c r="V759"/>
      <c r="W759" t="s">
        <v>3774</v>
      </c>
      <c r="X759" t="s">
        <v>4831</v>
      </c>
    </row>
    <row r="760" spans="5:24" hidden="1">
      <c r="J760" t="s">
        <v>8557</v>
      </c>
      <c r="K760" s="72" t="s">
        <v>8552</v>
      </c>
      <c r="M760" t="s">
        <v>8553</v>
      </c>
      <c r="Q760" t="str">
        <f>IF(COUNTIFS(HCP_evidence!$A:$A, M760, HCP_evidence!$AB:$AB, "&lt;&gt;")&gt;0, "Yes", "")</f>
        <v/>
      </c>
      <c r="V760"/>
      <c r="W760" t="s">
        <v>8555</v>
      </c>
      <c r="X760" t="s">
        <v>8554</v>
      </c>
    </row>
    <row r="761" spans="5:24" hidden="1">
      <c r="I761" t="s">
        <v>5156</v>
      </c>
      <c r="J761" t="s">
        <v>8577</v>
      </c>
      <c r="K761" s="72" t="s">
        <v>8575</v>
      </c>
      <c r="M761" t="s">
        <v>8576</v>
      </c>
      <c r="Q761" t="str">
        <f>IF(COUNTIFS(HCP_evidence!$A:$A, M761, HCP_evidence!$AB:$AB, "&lt;&gt;")&gt;0, "Yes", "")</f>
        <v/>
      </c>
      <c r="V761"/>
      <c r="W761" t="s">
        <v>3826</v>
      </c>
      <c r="X761" t="s">
        <v>8566</v>
      </c>
    </row>
    <row r="762" spans="5:24" hidden="1">
      <c r="I762" t="s">
        <v>5156</v>
      </c>
      <c r="J762" t="s">
        <v>8577</v>
      </c>
      <c r="K762" s="72" t="s">
        <v>8578</v>
      </c>
      <c r="M762" t="s">
        <v>8579</v>
      </c>
      <c r="Q762" t="str">
        <f>IF(COUNTIFS(HCP_evidence!$A:$A, M762, HCP_evidence!$AB:$AB, "&lt;&gt;")&gt;0, "Yes", "")</f>
        <v/>
      </c>
      <c r="V762"/>
      <c r="W762" t="s">
        <v>3826</v>
      </c>
      <c r="X762" t="s">
        <v>8566</v>
      </c>
    </row>
    <row r="763" spans="5:24" hidden="1">
      <c r="I763" t="s">
        <v>5156</v>
      </c>
      <c r="J763" t="s">
        <v>8577</v>
      </c>
      <c r="K763" s="72" t="s">
        <v>8580</v>
      </c>
      <c r="M763" t="s">
        <v>8581</v>
      </c>
      <c r="Q763" t="str">
        <f>IF(COUNTIFS(HCP_evidence!$A:$A, M763, HCP_evidence!$AB:$AB, "&lt;&gt;")&gt;0, "Yes", "")</f>
        <v/>
      </c>
      <c r="V763"/>
      <c r="W763" t="s">
        <v>3826</v>
      </c>
      <c r="X763" t="s">
        <v>8566</v>
      </c>
    </row>
    <row r="764" spans="5:24" hidden="1">
      <c r="E764" t="s">
        <v>414</v>
      </c>
      <c r="I764" t="s">
        <v>5156</v>
      </c>
      <c r="J764" t="s">
        <v>8589</v>
      </c>
      <c r="K764" s="72" t="s">
        <v>8586</v>
      </c>
      <c r="L764" s="72" t="s">
        <v>8588</v>
      </c>
      <c r="M764" t="s">
        <v>8587</v>
      </c>
      <c r="Q764" t="str">
        <f>IF(COUNTIFS(HCP_evidence!$A:$A, M764, HCP_evidence!$AB:$AB, "&lt;&gt;")&gt;0, "Yes", "")</f>
        <v/>
      </c>
      <c r="V764"/>
      <c r="W764" t="s">
        <v>8585</v>
      </c>
      <c r="X764" t="s">
        <v>8584</v>
      </c>
    </row>
    <row r="765" spans="5:24" hidden="1">
      <c r="E765" t="s">
        <v>414</v>
      </c>
      <c r="I765" t="s">
        <v>5156</v>
      </c>
      <c r="J765" t="s">
        <v>8589</v>
      </c>
      <c r="K765" s="72" t="s">
        <v>8590</v>
      </c>
      <c r="L765" s="72" t="s">
        <v>8592</v>
      </c>
      <c r="M765" t="s">
        <v>8591</v>
      </c>
      <c r="Q765" t="str">
        <f>IF(COUNTIFS(HCP_evidence!$A:$A, M765, HCP_evidence!$AB:$AB, "&lt;&gt;")&gt;0, "Yes", "")</f>
        <v/>
      </c>
      <c r="V765"/>
      <c r="W765" t="s">
        <v>8585</v>
      </c>
      <c r="X765" t="s">
        <v>8584</v>
      </c>
    </row>
    <row r="766" spans="5:24" hidden="1">
      <c r="I766" t="s">
        <v>5156</v>
      </c>
      <c r="J766" t="s">
        <v>8641</v>
      </c>
      <c r="K766" s="72" t="s">
        <v>8640</v>
      </c>
      <c r="M766" t="s">
        <v>8642</v>
      </c>
      <c r="Q766" t="str">
        <f>IF(COUNTIFS(HCP_evidence!$A:$A, M766, HCP_evidence!$AB:$AB, "&lt;&gt;")&gt;0, "Yes", "")</f>
        <v/>
      </c>
      <c r="V766" s="72" t="s">
        <v>11115</v>
      </c>
      <c r="W766" t="s">
        <v>4446</v>
      </c>
      <c r="X766" t="s">
        <v>4445</v>
      </c>
    </row>
    <row r="767" spans="5:24" hidden="1">
      <c r="I767" t="s">
        <v>5156</v>
      </c>
      <c r="J767" t="s">
        <v>11095</v>
      </c>
      <c r="K767" s="72" t="s">
        <v>11093</v>
      </c>
      <c r="M767" t="s">
        <v>11092</v>
      </c>
      <c r="N767" t="s">
        <v>11092</v>
      </c>
      <c r="Q767" t="str">
        <f>IF(COUNTIFS(HCP_evidence!$A:$A, M767, HCP_evidence!$AB:$AB, "&lt;&gt;")&gt;0, "Yes", "")</f>
        <v/>
      </c>
      <c r="V767" s="72" t="s">
        <v>11094</v>
      </c>
      <c r="W767" t="s">
        <v>3829</v>
      </c>
      <c r="X767" t="s">
        <v>1607</v>
      </c>
    </row>
    <row r="768" spans="5:24" hidden="1">
      <c r="I768" t="s">
        <v>5156</v>
      </c>
      <c r="J768" t="s">
        <v>11099</v>
      </c>
      <c r="K768" s="72" t="s">
        <v>11097</v>
      </c>
      <c r="L768" s="72" t="s">
        <v>11100</v>
      </c>
      <c r="M768" t="s">
        <v>11096</v>
      </c>
      <c r="N768" s="13"/>
      <c r="Q768" t="str">
        <f>IF(COUNTIFS(HCP_evidence!$A:$A, M768, HCP_evidence!$AB:$AB, "&lt;&gt;")&gt;0, "Yes", "")</f>
        <v/>
      </c>
      <c r="S768" t="s">
        <v>4306</v>
      </c>
      <c r="V768" s="72" t="s">
        <v>11098</v>
      </c>
      <c r="W768" t="s">
        <v>10150</v>
      </c>
      <c r="X768" t="s">
        <v>1608</v>
      </c>
    </row>
    <row r="769" spans="5:24" hidden="1">
      <c r="I769" t="s">
        <v>5156</v>
      </c>
      <c r="J769" t="s">
        <v>11104</v>
      </c>
      <c r="K769" s="72" t="s">
        <v>11102</v>
      </c>
      <c r="L769" s="72" t="s">
        <v>11103</v>
      </c>
      <c r="M769" t="s">
        <v>11101</v>
      </c>
      <c r="N769" s="13"/>
      <c r="Q769" t="str">
        <f>IF(COUNTIFS(HCP_evidence!$A:$A, M769, HCP_evidence!$AB:$AB, "&lt;&gt;")&gt;0, "Yes", "")</f>
        <v/>
      </c>
      <c r="S769" t="s">
        <v>4305</v>
      </c>
      <c r="V769" s="72" t="s">
        <v>11098</v>
      </c>
      <c r="W769" t="s">
        <v>10150</v>
      </c>
      <c r="X769" t="s">
        <v>1608</v>
      </c>
    </row>
    <row r="770" spans="5:24" hidden="1">
      <c r="I770" t="s">
        <v>5156</v>
      </c>
      <c r="J770" t="s">
        <v>11108</v>
      </c>
      <c r="K770" s="72" t="s">
        <v>11106</v>
      </c>
      <c r="M770" t="s">
        <v>11105</v>
      </c>
      <c r="N770" s="13"/>
      <c r="Q770" t="str">
        <f>IF(COUNTIFS(HCP_evidence!$A:$A, M770, HCP_evidence!$AB:$AB, "&lt;&gt;")&gt;0, "Yes", "")</f>
        <v>Yes</v>
      </c>
      <c r="V770" s="72" t="s">
        <v>11107</v>
      </c>
      <c r="W770" t="s">
        <v>3830</v>
      </c>
      <c r="X770" t="s">
        <v>1371</v>
      </c>
    </row>
    <row r="771" spans="5:24" hidden="1">
      <c r="I771" t="s">
        <v>5156</v>
      </c>
      <c r="J771" t="s">
        <v>11111</v>
      </c>
      <c r="K771" s="72" t="s">
        <v>11110</v>
      </c>
      <c r="M771" t="s">
        <v>11109</v>
      </c>
      <c r="N771" s="13"/>
      <c r="Q771" t="str">
        <f>IF(COUNTIFS(HCP_evidence!$A:$A, M771, HCP_evidence!$AB:$AB, "&lt;&gt;")&gt;0, "Yes", "")</f>
        <v/>
      </c>
      <c r="V771" s="72" t="s">
        <v>11107</v>
      </c>
      <c r="W771" t="s">
        <v>3830</v>
      </c>
      <c r="X771" t="s">
        <v>1371</v>
      </c>
    </row>
    <row r="772" spans="5:24" hidden="1">
      <c r="I772" t="s">
        <v>5156</v>
      </c>
      <c r="J772" t="s">
        <v>11114</v>
      </c>
      <c r="K772" s="72" t="s">
        <v>11113</v>
      </c>
      <c r="M772" t="s">
        <v>11112</v>
      </c>
      <c r="N772" t="s">
        <v>11112</v>
      </c>
      <c r="Q772" t="str">
        <f>IF(COUNTIFS(HCP_evidence!$A:$A, M772, HCP_evidence!$AB:$AB, "&lt;&gt;")&gt;0, "Yes", "")</f>
        <v/>
      </c>
      <c r="V772" s="72" t="s">
        <v>11107</v>
      </c>
      <c r="W772" t="s">
        <v>3830</v>
      </c>
      <c r="X772" t="s">
        <v>1371</v>
      </c>
    </row>
    <row r="773" spans="5:24" hidden="1">
      <c r="J773" t="s">
        <v>11118</v>
      </c>
      <c r="K773" s="72" t="s">
        <v>11117</v>
      </c>
      <c r="M773" t="s">
        <v>11116</v>
      </c>
      <c r="Q773" t="str">
        <f>IF(COUNTIFS(HCP_evidence!$A:$A, M773, HCP_evidence!$AB:$AB, "&lt;&gt;")&gt;0, "Yes", "")</f>
        <v>Yes</v>
      </c>
      <c r="S773" t="s">
        <v>4305</v>
      </c>
      <c r="V773" s="72" t="s">
        <v>11119</v>
      </c>
      <c r="W773" t="s">
        <v>3831</v>
      </c>
      <c r="X773" t="s">
        <v>1634</v>
      </c>
    </row>
    <row r="774" spans="5:24" hidden="1">
      <c r="J774" t="s">
        <v>11128</v>
      </c>
      <c r="K774" s="72" t="s">
        <v>11126</v>
      </c>
      <c r="M774" t="s">
        <v>11127</v>
      </c>
      <c r="Q774" t="str">
        <f>IF(COUNTIFS(HCP_evidence!$A:$A, M774, HCP_evidence!$AB:$AB, "&lt;&gt;")&gt;0, "Yes", "")</f>
        <v/>
      </c>
      <c r="W774" t="s">
        <v>10300</v>
      </c>
      <c r="X774" t="s">
        <v>1459</v>
      </c>
    </row>
    <row r="775" spans="5:24" hidden="1">
      <c r="J775" t="s">
        <v>11131</v>
      </c>
      <c r="K775" s="72" t="s">
        <v>11129</v>
      </c>
      <c r="M775" t="s">
        <v>11130</v>
      </c>
      <c r="Q775" t="str">
        <f>IF(COUNTIFS(HCP_evidence!$A:$A, M775, HCP_evidence!$AB:$AB, "&lt;&gt;")&gt;0, "Yes", "")</f>
        <v>Yes</v>
      </c>
      <c r="W775" t="s">
        <v>10300</v>
      </c>
      <c r="X775" t="s">
        <v>1459</v>
      </c>
    </row>
    <row r="776" spans="5:24" hidden="1">
      <c r="E776" t="s">
        <v>414</v>
      </c>
      <c r="J776" t="s">
        <v>11135</v>
      </c>
      <c r="K776" s="72" t="s">
        <v>11133</v>
      </c>
      <c r="L776" s="72" t="s">
        <v>11136</v>
      </c>
      <c r="M776" t="s">
        <v>11134</v>
      </c>
      <c r="Q776" t="str">
        <f>IF(COUNTIFS(HCP_evidence!$A:$A, M776, HCP_evidence!$AB:$AB, "&lt;&gt;")&gt;0, "Yes", "")</f>
        <v>Yes</v>
      </c>
      <c r="W776" t="s">
        <v>10300</v>
      </c>
      <c r="X776" t="s">
        <v>1459</v>
      </c>
    </row>
    <row r="777" spans="5:24" hidden="1">
      <c r="J777" t="s">
        <v>11141</v>
      </c>
      <c r="K777" s="72" t="s">
        <v>11139</v>
      </c>
      <c r="M777" t="s">
        <v>11140</v>
      </c>
      <c r="Q777" t="str">
        <f>IF(COUNTIFS(HCP_evidence!$A:$A, M777, HCP_evidence!$AB:$AB, "&lt;&gt;")&gt;0, "Yes", "")</f>
        <v/>
      </c>
      <c r="W777" t="s">
        <v>10301</v>
      </c>
      <c r="X777" t="s">
        <v>1639</v>
      </c>
    </row>
    <row r="778" spans="5:24" hidden="1">
      <c r="J778" t="s">
        <v>11148</v>
      </c>
      <c r="K778" s="72" t="s">
        <v>11144</v>
      </c>
      <c r="L778" s="72" t="s">
        <v>11149</v>
      </c>
      <c r="M778" t="s">
        <v>11145</v>
      </c>
      <c r="Q778" t="str">
        <f>IF(COUNTIFS(HCP_evidence!$A:$A, M778, HCP_evidence!$AB:$AB, "&lt;&gt;")&gt;0, "Yes", "")</f>
        <v>Yes</v>
      </c>
      <c r="W778" t="s">
        <v>10303</v>
      </c>
      <c r="X778" t="s">
        <v>1380</v>
      </c>
    </row>
    <row r="779" spans="5:24" hidden="1">
      <c r="J779" t="s">
        <v>11154</v>
      </c>
      <c r="K779" s="72" t="s">
        <v>11152</v>
      </c>
      <c r="M779" t="s">
        <v>11153</v>
      </c>
      <c r="Q779" t="str">
        <f>IF(COUNTIFS(HCP_evidence!$A:$A, M779, HCP_evidence!$AB:$AB, "&lt;&gt;")&gt;0, "Yes", "")</f>
        <v>Yes</v>
      </c>
      <c r="W779" t="s">
        <v>10304</v>
      </c>
      <c r="X779" t="s">
        <v>1410</v>
      </c>
    </row>
    <row r="780" spans="5:24" hidden="1">
      <c r="J780" t="s">
        <v>11159</v>
      </c>
      <c r="K780" s="72" t="s">
        <v>11157</v>
      </c>
      <c r="M780" t="s">
        <v>11158</v>
      </c>
      <c r="Q780" t="str">
        <f>IF(COUNTIFS(HCP_evidence!$A:$A, M780, HCP_evidence!$AB:$AB, "&lt;&gt;")&gt;0, "Yes", "")</f>
        <v>Yes</v>
      </c>
      <c r="W780" t="s">
        <v>10305</v>
      </c>
      <c r="X780" t="s">
        <v>1547</v>
      </c>
    </row>
    <row r="781" spans="5:24" hidden="1">
      <c r="J781" t="s">
        <v>11195</v>
      </c>
      <c r="K781" s="72" t="s">
        <v>11162</v>
      </c>
      <c r="M781" t="s">
        <v>11161</v>
      </c>
      <c r="Q781" t="str">
        <f>IF(COUNTIFS(HCP_evidence!$A:$A, M781, HCP_evidence!$AB:$AB, "&lt;&gt;")&gt;0, "Yes", "")</f>
        <v/>
      </c>
      <c r="V781" s="72" t="s">
        <v>11163</v>
      </c>
      <c r="W781" t="s">
        <v>3832</v>
      </c>
      <c r="X781" t="s">
        <v>660</v>
      </c>
    </row>
    <row r="782" spans="5:24" hidden="1">
      <c r="J782" t="s">
        <v>11167</v>
      </c>
      <c r="K782" s="72" t="s">
        <v>11165</v>
      </c>
      <c r="M782" t="s">
        <v>11166</v>
      </c>
      <c r="Q782" t="str">
        <f>IF(COUNTIFS(HCP_evidence!$A:$A, M782, HCP_evidence!$AB:$AB, "&lt;&gt;")&gt;0, "Yes", "")</f>
        <v/>
      </c>
      <c r="W782" t="s">
        <v>10295</v>
      </c>
      <c r="X782" t="s">
        <v>1424</v>
      </c>
    </row>
    <row r="783" spans="5:24" hidden="1">
      <c r="J783" t="s">
        <v>11171</v>
      </c>
      <c r="K783" s="72" t="s">
        <v>11169</v>
      </c>
      <c r="M783" t="s">
        <v>11170</v>
      </c>
      <c r="Q783" t="str">
        <f>IF(COUNTIFS(HCP_evidence!$A:$A, M783, HCP_evidence!$AB:$AB, "&lt;&gt;")&gt;0, "Yes", "")</f>
        <v/>
      </c>
      <c r="W783" t="s">
        <v>10296</v>
      </c>
      <c r="X783" t="s">
        <v>1544</v>
      </c>
    </row>
    <row r="784" spans="5:24" hidden="1">
      <c r="J784" t="s">
        <v>11175</v>
      </c>
      <c r="K784" s="72" t="s">
        <v>11173</v>
      </c>
      <c r="M784" t="s">
        <v>11174</v>
      </c>
      <c r="Q784" t="str">
        <f>IF(COUNTIFS(HCP_evidence!$A:$A, M784, HCP_evidence!$AB:$AB, "&lt;&gt;")&gt;0, "Yes", "")</f>
        <v>Yes</v>
      </c>
      <c r="W784" t="s">
        <v>3796</v>
      </c>
      <c r="X784" t="s">
        <v>4991</v>
      </c>
    </row>
    <row r="785" spans="5:24" hidden="1">
      <c r="J785" t="s">
        <v>11191</v>
      </c>
      <c r="K785" s="72" t="s">
        <v>11178</v>
      </c>
      <c r="M785" t="s">
        <v>11177</v>
      </c>
      <c r="N785" s="13"/>
      <c r="Q785" t="str">
        <f>IF(COUNTIFS(HCP_evidence!$A:$A, M785, HCP_evidence!$AB:$AB, "&lt;&gt;")&gt;0, "Yes", "")</f>
        <v/>
      </c>
      <c r="V785" s="72" t="s">
        <v>11163</v>
      </c>
      <c r="W785" t="s">
        <v>3832</v>
      </c>
      <c r="X785" t="s">
        <v>660</v>
      </c>
    </row>
    <row r="786" spans="5:24" hidden="1">
      <c r="J786" t="s">
        <v>11181</v>
      </c>
      <c r="K786" s="72" t="s">
        <v>11179</v>
      </c>
      <c r="M786" t="s">
        <v>11180</v>
      </c>
      <c r="Q786" t="str">
        <f>IF(COUNTIFS(HCP_evidence!$A:$A, M786, HCP_evidence!$AB:$AB, "&lt;&gt;")&gt;0, "Yes", "")</f>
        <v/>
      </c>
      <c r="W786" t="s">
        <v>3796</v>
      </c>
      <c r="X786" t="s">
        <v>4991</v>
      </c>
    </row>
    <row r="787" spans="5:24" hidden="1">
      <c r="J787" t="s">
        <v>11184</v>
      </c>
      <c r="K787" s="72" t="s">
        <v>11186</v>
      </c>
      <c r="M787" t="s">
        <v>11185</v>
      </c>
      <c r="N787" s="13"/>
      <c r="Q787" t="str">
        <f>IF(COUNTIFS(HCP_evidence!$A:$A, M787, HCP_evidence!$AB:$AB, "&lt;&gt;")&gt;0, "Yes", "")</f>
        <v/>
      </c>
      <c r="V787" s="72" t="s">
        <v>11163</v>
      </c>
      <c r="W787" t="s">
        <v>3832</v>
      </c>
      <c r="X787" t="s">
        <v>660</v>
      </c>
    </row>
    <row r="788" spans="5:24" hidden="1">
      <c r="J788" t="s">
        <v>11184</v>
      </c>
      <c r="K788" s="72" t="s">
        <v>11190</v>
      </c>
      <c r="M788" t="s">
        <v>11189</v>
      </c>
      <c r="N788" s="13"/>
      <c r="Q788" t="str">
        <f>IF(COUNTIFS(HCP_evidence!$A:$A, M788, HCP_evidence!$AB:$AB, "&lt;&gt;")&gt;0, "Yes", "")</f>
        <v/>
      </c>
      <c r="V788" s="72" t="s">
        <v>11163</v>
      </c>
      <c r="W788" t="s">
        <v>3832</v>
      </c>
      <c r="X788" t="s">
        <v>660</v>
      </c>
    </row>
    <row r="789" spans="5:24" hidden="1">
      <c r="J789" t="s">
        <v>11203</v>
      </c>
      <c r="K789" s="72" t="s">
        <v>11201</v>
      </c>
      <c r="M789" t="s">
        <v>11202</v>
      </c>
      <c r="Q789" t="str">
        <f>IF(COUNTIFS(HCP_evidence!$A:$A, M789, HCP_evidence!$AB:$AB, "&lt;&gt;")&gt;0, "Yes", "")</f>
        <v/>
      </c>
      <c r="W789" t="s">
        <v>10298</v>
      </c>
      <c r="X789" t="s">
        <v>2577</v>
      </c>
    </row>
    <row r="790" spans="5:24" hidden="1">
      <c r="J790" t="s">
        <v>11209</v>
      </c>
      <c r="K790" s="72" t="s">
        <v>11207</v>
      </c>
      <c r="M790" t="s">
        <v>11208</v>
      </c>
      <c r="Q790" t="str">
        <f>IF(COUNTIFS(HCP_evidence!$A:$A, M790, HCP_evidence!$AB:$AB, "&lt;&gt;")&gt;0, "Yes", "")</f>
        <v>Yes</v>
      </c>
      <c r="W790" t="s">
        <v>10299</v>
      </c>
      <c r="X790" t="s">
        <v>693</v>
      </c>
    </row>
    <row r="791" spans="5:24" hidden="1">
      <c r="J791" t="s">
        <v>11218</v>
      </c>
      <c r="K791" s="72" t="s">
        <v>11212</v>
      </c>
      <c r="M791" t="s">
        <v>11211</v>
      </c>
      <c r="N791" t="s">
        <v>11211</v>
      </c>
      <c r="Q791" t="str">
        <f>IF(COUNTIFS(HCP_evidence!$A:$A, M791, HCP_evidence!$AB:$AB, "&lt;&gt;")&gt;0, "Yes", "")</f>
        <v/>
      </c>
      <c r="V791" s="72" t="s">
        <v>11214</v>
      </c>
      <c r="W791" t="s">
        <v>3833</v>
      </c>
      <c r="X791" t="s">
        <v>1388</v>
      </c>
    </row>
    <row r="792" spans="5:24" hidden="1">
      <c r="J792" t="s">
        <v>11217</v>
      </c>
      <c r="K792" s="72" t="s">
        <v>11216</v>
      </c>
      <c r="M792" t="s">
        <v>11215</v>
      </c>
      <c r="N792" s="13"/>
      <c r="Q792" t="str">
        <f>IF(COUNTIFS(HCP_evidence!$A:$A, M792, HCP_evidence!$AB:$AB, "&lt;&gt;")&gt;0, "Yes", "")</f>
        <v/>
      </c>
      <c r="V792" s="72" t="s">
        <v>11214</v>
      </c>
      <c r="W792" t="s">
        <v>3833</v>
      </c>
      <c r="X792" t="s">
        <v>1388</v>
      </c>
    </row>
    <row r="793" spans="5:24" hidden="1">
      <c r="J793" t="s">
        <v>11284</v>
      </c>
      <c r="K793" s="72" t="s">
        <v>11220</v>
      </c>
      <c r="M793" t="s">
        <v>11219</v>
      </c>
      <c r="Q793" t="str">
        <f>IF(COUNTIFS(HCP_evidence!$A:$A, M793, HCP_evidence!$AB:$AB, "&lt;&gt;")&gt;0, "Yes", "")</f>
        <v>Yes</v>
      </c>
      <c r="W793" t="s">
        <v>3834</v>
      </c>
      <c r="X793" t="s">
        <v>1570</v>
      </c>
    </row>
    <row r="794" spans="5:24" hidden="1">
      <c r="J794" t="s">
        <v>11235</v>
      </c>
      <c r="K794" s="72" t="s">
        <v>11228</v>
      </c>
      <c r="L794" s="72" t="s">
        <v>11236</v>
      </c>
      <c r="M794" t="s">
        <v>11227</v>
      </c>
      <c r="Q794" t="str">
        <f>IF(COUNTIFS(HCP_evidence!$A:$A, M794, HCP_evidence!$AB:$AB, "&lt;&gt;")&gt;0, "Yes", "")</f>
        <v/>
      </c>
      <c r="W794" t="s">
        <v>3836</v>
      </c>
      <c r="X794" t="s">
        <v>2828</v>
      </c>
    </row>
    <row r="795" spans="5:24" hidden="1">
      <c r="J795" t="s">
        <v>11244</v>
      </c>
      <c r="K795" s="72" t="s">
        <v>11242</v>
      </c>
      <c r="M795" t="s">
        <v>11243</v>
      </c>
      <c r="Q795" t="str">
        <f>IF(COUNTIFS(HCP_evidence!$A:$A, M795, HCP_evidence!$AB:$AB, "&lt;&gt;")&gt;0, "Yes", "")</f>
        <v/>
      </c>
      <c r="W795" t="s">
        <v>10290</v>
      </c>
      <c r="X795" t="s">
        <v>1389</v>
      </c>
    </row>
    <row r="796" spans="5:24" hidden="1">
      <c r="J796" t="s">
        <v>11261</v>
      </c>
      <c r="K796" s="72" t="s">
        <v>11246</v>
      </c>
      <c r="M796" t="s">
        <v>11245</v>
      </c>
      <c r="Q796" t="str">
        <f>IF(COUNTIFS(HCP_evidence!$A:$A, M796, HCP_evidence!$AB:$AB, "&lt;&gt;")&gt;0, "Yes", "")</f>
        <v/>
      </c>
      <c r="V796" s="72" t="s">
        <v>11247</v>
      </c>
      <c r="W796" t="s">
        <v>3837</v>
      </c>
      <c r="X796" t="s">
        <v>1490</v>
      </c>
    </row>
    <row r="797" spans="5:24" hidden="1">
      <c r="E797" t="s">
        <v>414</v>
      </c>
      <c r="J797" t="s">
        <v>11260</v>
      </c>
      <c r="K797" s="72" t="s">
        <v>11249</v>
      </c>
      <c r="M797" t="s">
        <v>11250</v>
      </c>
      <c r="Q797" t="str">
        <f>IF(COUNTIFS(HCP_evidence!$A:$A, M797, HCP_evidence!$AB:$AB, "&lt;&gt;")&gt;0, "Yes", "")</f>
        <v/>
      </c>
      <c r="W797" t="s">
        <v>10291</v>
      </c>
      <c r="X797" t="s">
        <v>1361</v>
      </c>
    </row>
    <row r="798" spans="5:24" hidden="1">
      <c r="J798" t="s">
        <v>11254</v>
      </c>
      <c r="K798" s="72" t="s">
        <v>11252</v>
      </c>
      <c r="M798" t="s">
        <v>11253</v>
      </c>
      <c r="Q798" t="str">
        <f>IF(COUNTIFS(HCP_evidence!$A:$A, M798, HCP_evidence!$AB:$AB, "&lt;&gt;")&gt;0, "Yes", "")</f>
        <v>Yes</v>
      </c>
      <c r="W798" t="s">
        <v>10292</v>
      </c>
      <c r="X798" t="s">
        <v>1365</v>
      </c>
    </row>
    <row r="799" spans="5:24" hidden="1">
      <c r="J799" t="s">
        <v>11297</v>
      </c>
      <c r="K799" s="72" t="s">
        <v>11257</v>
      </c>
      <c r="M799" t="s">
        <v>11256</v>
      </c>
      <c r="Q799" t="str">
        <f>IF(COUNTIFS(HCP_evidence!$A:$A, M799, HCP_evidence!$AB:$AB, "&lt;&gt;")&gt;0, "Yes", "")</f>
        <v/>
      </c>
      <c r="V799" s="72" t="s">
        <v>11247</v>
      </c>
      <c r="W799" t="s">
        <v>3837</v>
      </c>
      <c r="X799" t="s">
        <v>1490</v>
      </c>
    </row>
    <row r="800" spans="5:24" hidden="1">
      <c r="J800" t="s">
        <v>11263</v>
      </c>
      <c r="K800" s="72" t="s">
        <v>11259</v>
      </c>
      <c r="M800" t="s">
        <v>11262</v>
      </c>
      <c r="Q800" t="str">
        <f>IF(COUNTIFS(HCP_evidence!$A:$A, M800, HCP_evidence!$AB:$AB, "&lt;&gt;")&gt;0, "Yes", "")</f>
        <v/>
      </c>
      <c r="W800" t="s">
        <v>10293</v>
      </c>
      <c r="X800" t="s">
        <v>1496</v>
      </c>
    </row>
    <row r="801" spans="4:24" hidden="1">
      <c r="D801" t="s">
        <v>414</v>
      </c>
      <c r="E801" t="s">
        <v>414</v>
      </c>
      <c r="J801" t="s">
        <v>11266</v>
      </c>
      <c r="K801" s="72" t="s">
        <v>11264</v>
      </c>
      <c r="L801" s="72" t="s">
        <v>11267</v>
      </c>
      <c r="M801" t="s">
        <v>11265</v>
      </c>
      <c r="Q801" t="str">
        <f>IF(COUNTIFS(HCP_evidence!$A:$A, M801, HCP_evidence!$AB:$AB, "&lt;&gt;")&gt;0, "Yes", "")</f>
        <v/>
      </c>
      <c r="W801" t="s">
        <v>10293</v>
      </c>
      <c r="X801" t="s">
        <v>1496</v>
      </c>
    </row>
    <row r="802" spans="4:24" hidden="1">
      <c r="J802" t="s">
        <v>11274</v>
      </c>
      <c r="K802" s="72" t="s">
        <v>11272</v>
      </c>
      <c r="M802" t="s">
        <v>11273</v>
      </c>
      <c r="Q802" t="str">
        <f>IF(COUNTIFS(HCP_evidence!$A:$A, M802, HCP_evidence!$AB:$AB, "&lt;&gt;")&gt;0, "Yes", "")</f>
        <v/>
      </c>
      <c r="W802" t="s">
        <v>10289</v>
      </c>
      <c r="X802" t="s">
        <v>681</v>
      </c>
    </row>
    <row r="803" spans="4:24" hidden="1">
      <c r="J803" t="s">
        <v>11285</v>
      </c>
      <c r="K803" s="72" t="s">
        <v>11283</v>
      </c>
      <c r="M803" t="s">
        <v>11281</v>
      </c>
      <c r="Q803" t="str">
        <f>IF(COUNTIFS(HCP_evidence!$A:$A, M803, HCP_evidence!$AB:$AB, "&lt;&gt;")&gt;0, "Yes", "")</f>
        <v/>
      </c>
      <c r="V803" s="72" t="s">
        <v>11282</v>
      </c>
      <c r="W803" t="s">
        <v>3839</v>
      </c>
      <c r="X803" t="s">
        <v>2360</v>
      </c>
    </row>
    <row r="804" spans="4:24" hidden="1">
      <c r="J804" t="s">
        <v>11288</v>
      </c>
      <c r="K804" s="72" t="s">
        <v>11286</v>
      </c>
      <c r="M804" t="s">
        <v>11287</v>
      </c>
      <c r="Q804" t="str">
        <f>IF(COUNTIFS(HCP_evidence!$A:$A, M804, HCP_evidence!$AB:$AB, "&lt;&gt;")&gt;0, "Yes", "")</f>
        <v>Yes</v>
      </c>
      <c r="W804" t="s">
        <v>10285</v>
      </c>
      <c r="X804" t="s">
        <v>1443</v>
      </c>
    </row>
    <row r="805" spans="4:24" hidden="1">
      <c r="D805" t="s">
        <v>414</v>
      </c>
      <c r="E805" t="s">
        <v>414</v>
      </c>
      <c r="H805" t="s">
        <v>414</v>
      </c>
      <c r="J805" t="s">
        <v>11477</v>
      </c>
      <c r="K805" s="72" t="s">
        <v>11293</v>
      </c>
      <c r="M805" t="s">
        <v>11292</v>
      </c>
      <c r="N805" s="13"/>
      <c r="Q805" t="str">
        <f>IF(COUNTIFS(HCP_evidence!$A:$A, M805, HCP_evidence!$AB:$AB, "&lt;&gt;")&gt;0, "Yes", "")</f>
        <v/>
      </c>
      <c r="V805" s="72" t="s">
        <v>11294</v>
      </c>
      <c r="W805" t="s">
        <v>3840</v>
      </c>
      <c r="X805" t="s">
        <v>8653</v>
      </c>
    </row>
    <row r="806" spans="4:24" hidden="1">
      <c r="J806" t="s">
        <v>11298</v>
      </c>
      <c r="K806" s="72" t="s">
        <v>11296</v>
      </c>
      <c r="M806" t="s">
        <v>11295</v>
      </c>
      <c r="N806" s="13"/>
      <c r="Q806" t="str">
        <f>IF(COUNTIFS(HCP_evidence!$A:$A, M806, HCP_evidence!$AB:$AB, "&lt;&gt;")&gt;0, "Yes", "")</f>
        <v/>
      </c>
      <c r="V806" s="72" t="s">
        <v>11294</v>
      </c>
      <c r="W806" t="s">
        <v>3840</v>
      </c>
      <c r="X806" t="s">
        <v>8653</v>
      </c>
    </row>
    <row r="807" spans="4:24" hidden="1">
      <c r="J807" t="s">
        <v>11306</v>
      </c>
      <c r="K807" s="72" t="s">
        <v>11301</v>
      </c>
      <c r="L807" s="72" t="s">
        <v>11302</v>
      </c>
      <c r="M807" t="s">
        <v>11300</v>
      </c>
      <c r="N807" t="s">
        <v>11300</v>
      </c>
      <c r="Q807" t="str">
        <f>IF(COUNTIFS(HCP_evidence!$A:$A, M807, HCP_evidence!$AB:$AB, "&lt;&gt;")&gt;0, "Yes", "")</f>
        <v/>
      </c>
      <c r="V807" s="72" t="s">
        <v>11299</v>
      </c>
      <c r="W807" t="s">
        <v>3841</v>
      </c>
      <c r="X807" t="s">
        <v>2594</v>
      </c>
    </row>
    <row r="808" spans="4:24" hidden="1">
      <c r="J808" t="s">
        <v>11307</v>
      </c>
      <c r="K808" s="72" t="s">
        <v>11305</v>
      </c>
      <c r="M808" t="s">
        <v>11304</v>
      </c>
      <c r="Q808" t="str">
        <f>IF(COUNTIFS(HCP_evidence!$A:$A, M808, HCP_evidence!$AB:$AB, "&lt;&gt;")&gt;0, "Yes", "")</f>
        <v>Yes</v>
      </c>
      <c r="W808" t="s">
        <v>3842</v>
      </c>
      <c r="X808" t="s">
        <v>1584</v>
      </c>
    </row>
    <row r="809" spans="4:24" hidden="1">
      <c r="J809" t="s">
        <v>11311</v>
      </c>
      <c r="K809" s="72" t="s">
        <v>11310</v>
      </c>
      <c r="M809" t="s">
        <v>11309</v>
      </c>
      <c r="Q809" t="str">
        <f>IF(COUNTIFS(HCP_evidence!$A:$A, M809, HCP_evidence!$AB:$AB, "&lt;&gt;")&gt;0, "Yes", "")</f>
        <v/>
      </c>
      <c r="W809" t="s">
        <v>3842</v>
      </c>
      <c r="X809" t="s">
        <v>1584</v>
      </c>
    </row>
    <row r="810" spans="4:24" hidden="1">
      <c r="J810" t="s">
        <v>11314</v>
      </c>
      <c r="K810" s="72" t="s">
        <v>11313</v>
      </c>
      <c r="L810" s="72" t="s">
        <v>11315</v>
      </c>
      <c r="M810" t="s">
        <v>11312</v>
      </c>
      <c r="N810" s="13"/>
      <c r="Q810" t="str">
        <f>IF(COUNTIFS(HCP_evidence!$A:$A, M810, HCP_evidence!$AB:$AB, "&lt;&gt;")&gt;0, "Yes", "")</f>
        <v/>
      </c>
      <c r="V810" s="72" t="s">
        <v>11299</v>
      </c>
      <c r="W810" t="s">
        <v>3841</v>
      </c>
      <c r="X810" t="s">
        <v>2594</v>
      </c>
    </row>
    <row r="811" spans="4:24" hidden="1">
      <c r="J811" t="s">
        <v>11322</v>
      </c>
      <c r="K811" s="72" t="s">
        <v>11317</v>
      </c>
      <c r="M811" t="s">
        <v>11316</v>
      </c>
      <c r="N811" s="13"/>
      <c r="Q811" t="str">
        <f>IF(COUNTIFS(HCP_evidence!$A:$A, M811, HCP_evidence!$AB:$AB, "&lt;&gt;")&gt;0, "Yes", "")</f>
        <v/>
      </c>
      <c r="V811" s="72" t="s">
        <v>11318</v>
      </c>
      <c r="W811" t="s">
        <v>3843</v>
      </c>
      <c r="X811" t="s">
        <v>1352</v>
      </c>
    </row>
    <row r="812" spans="4:24" hidden="1">
      <c r="J812" t="s">
        <v>11321</v>
      </c>
      <c r="K812" s="72" t="s">
        <v>11320</v>
      </c>
      <c r="M812" t="s">
        <v>11319</v>
      </c>
      <c r="N812" s="13"/>
      <c r="Q812" t="str">
        <f>IF(COUNTIFS(HCP_evidence!$A:$A, M812, HCP_evidence!$AB:$AB, "&lt;&gt;")&gt;0, "Yes", "")</f>
        <v/>
      </c>
      <c r="V812" s="72" t="s">
        <v>11318</v>
      </c>
      <c r="W812" t="s">
        <v>3843</v>
      </c>
      <c r="X812" t="s">
        <v>1352</v>
      </c>
    </row>
    <row r="813" spans="4:24" hidden="1">
      <c r="J813" t="s">
        <v>11338</v>
      </c>
      <c r="K813" s="72" t="s">
        <v>11337</v>
      </c>
      <c r="M813" t="s">
        <v>11331</v>
      </c>
      <c r="Q813" t="str">
        <f>IF(COUNTIFS(HCP_evidence!$A:$A, M813, HCP_evidence!$AB:$AB, "&lt;&gt;")&gt;0, "Yes", "")</f>
        <v/>
      </c>
      <c r="W813" t="s">
        <v>3846</v>
      </c>
      <c r="X813" t="s">
        <v>646</v>
      </c>
    </row>
    <row r="814" spans="4:24" hidden="1">
      <c r="E814" t="s">
        <v>414</v>
      </c>
      <c r="J814" t="s">
        <v>11334</v>
      </c>
      <c r="K814" s="72" t="s">
        <v>11332</v>
      </c>
      <c r="L814" s="72" t="s">
        <v>11335</v>
      </c>
      <c r="M814" t="s">
        <v>11333</v>
      </c>
      <c r="Q814" t="str">
        <f>IF(COUNTIFS(HCP_evidence!$A:$A, M814, HCP_evidence!$AB:$AB, "&lt;&gt;")&gt;0, "Yes", "")</f>
        <v>Yes</v>
      </c>
      <c r="W814" t="s">
        <v>10286</v>
      </c>
      <c r="X814" s="115" t="s">
        <v>2378</v>
      </c>
    </row>
    <row r="815" spans="4:24" hidden="1">
      <c r="J815" t="s">
        <v>4792</v>
      </c>
      <c r="K815" s="72" t="s">
        <v>11340</v>
      </c>
      <c r="M815" t="s">
        <v>11339</v>
      </c>
      <c r="Q815" t="str">
        <f>IF(COUNTIFS(HCP_evidence!$A:$A, M815, HCP_evidence!$AB:$AB, "&lt;&gt;")&gt;0, "Yes", "")</f>
        <v/>
      </c>
      <c r="W815" t="s">
        <v>8203</v>
      </c>
      <c r="X815" t="s">
        <v>8234</v>
      </c>
    </row>
    <row r="816" spans="4:24" hidden="1">
      <c r="J816" t="s">
        <v>11344</v>
      </c>
      <c r="K816" s="72" t="s">
        <v>11342</v>
      </c>
      <c r="M816" t="s">
        <v>11343</v>
      </c>
      <c r="Q816" t="str">
        <f>IF(COUNTIFS(HCP_evidence!$A:$A, M816, HCP_evidence!$AB:$AB, "&lt;&gt;")&gt;0, "Yes", "")</f>
        <v/>
      </c>
      <c r="W816" t="s">
        <v>10273</v>
      </c>
      <c r="X816" t="s">
        <v>1672</v>
      </c>
    </row>
    <row r="817" spans="10:24" hidden="1">
      <c r="J817" t="s">
        <v>11348</v>
      </c>
      <c r="K817" s="72" t="s">
        <v>11346</v>
      </c>
      <c r="M817" t="s">
        <v>11347</v>
      </c>
      <c r="Q817" t="str">
        <f>IF(COUNTIFS(HCP_evidence!$A:$A, M817, HCP_evidence!$AB:$AB, "&lt;&gt;")&gt;0, "Yes", "")</f>
        <v/>
      </c>
      <c r="W817" t="s">
        <v>10287</v>
      </c>
      <c r="X817" s="115" t="s">
        <v>2636</v>
      </c>
    </row>
    <row r="818" spans="10:24" hidden="1">
      <c r="J818" t="s">
        <v>11356</v>
      </c>
      <c r="K818" s="72" t="s">
        <v>11350</v>
      </c>
      <c r="L818" s="72" t="s">
        <v>11354</v>
      </c>
      <c r="M818" t="s">
        <v>11351</v>
      </c>
      <c r="Q818" t="str">
        <f>IF(COUNTIFS(HCP_evidence!$A:$A, M818, HCP_evidence!$AB:$AB, "&lt;&gt;")&gt;0, "Yes", "")</f>
        <v/>
      </c>
      <c r="W818" t="s">
        <v>10288</v>
      </c>
      <c r="X818" s="115" t="s">
        <v>2488</v>
      </c>
    </row>
    <row r="819" spans="10:24" hidden="1">
      <c r="J819" t="s">
        <v>4792</v>
      </c>
      <c r="K819" s="72" t="s">
        <v>11353</v>
      </c>
      <c r="M819" t="s">
        <v>11352</v>
      </c>
      <c r="Q819" t="str">
        <f>IF(COUNTIFS(HCP_evidence!$A:$A, M819, HCP_evidence!$AB:$AB, "&lt;&gt;")&gt;0, "Yes", "")</f>
        <v/>
      </c>
      <c r="W819" t="s">
        <v>8190</v>
      </c>
      <c r="X819" t="s">
        <v>8189</v>
      </c>
    </row>
    <row r="820" spans="10:24" hidden="1">
      <c r="J820" t="s">
        <v>11359</v>
      </c>
      <c r="K820" s="72" t="s">
        <v>11357</v>
      </c>
      <c r="M820" t="s">
        <v>11358</v>
      </c>
      <c r="Q820" t="str">
        <f>IF(COUNTIFS(HCP_evidence!$A:$A, M820, HCP_evidence!$AB:$AB, "&lt;&gt;")&gt;0, "Yes", "")</f>
        <v/>
      </c>
      <c r="W820" t="s">
        <v>10288</v>
      </c>
      <c r="X820" s="115" t="s">
        <v>2488</v>
      </c>
    </row>
    <row r="821" spans="10:24" hidden="1">
      <c r="J821" t="s">
        <v>4792</v>
      </c>
      <c r="K821" s="72" t="s">
        <v>11361</v>
      </c>
      <c r="M821" t="s">
        <v>11360</v>
      </c>
      <c r="Q821" t="str">
        <f>IF(COUNTIFS(HCP_evidence!$A:$A, M821, HCP_evidence!$AB:$AB, "&lt;&gt;")&gt;0, "Yes", "")</f>
        <v/>
      </c>
      <c r="W821" t="s">
        <v>7948</v>
      </c>
      <c r="X821" t="s">
        <v>7947</v>
      </c>
    </row>
    <row r="822" spans="10:24" hidden="1">
      <c r="J822" t="s">
        <v>11366</v>
      </c>
      <c r="K822" s="72" t="s">
        <v>11364</v>
      </c>
      <c r="M822" t="s">
        <v>11363</v>
      </c>
      <c r="Q822" t="str">
        <f>IF(COUNTIFS(HCP_evidence!$A:$A, M822, HCP_evidence!$AB:$AB, "&lt;&gt;")&gt;0, "Yes", "")</f>
        <v/>
      </c>
      <c r="W822" t="s">
        <v>3846</v>
      </c>
      <c r="X822" t="s">
        <v>646</v>
      </c>
    </row>
    <row r="823" spans="10:24" hidden="1">
      <c r="J823" t="s">
        <v>4792</v>
      </c>
      <c r="K823" s="72" t="s">
        <v>11367</v>
      </c>
      <c r="M823" t="s">
        <v>11365</v>
      </c>
      <c r="Q823" t="str">
        <f>IF(COUNTIFS(HCP_evidence!$A:$A, M823, HCP_evidence!$AB:$AB, "&lt;&gt;")&gt;0, "Yes", "")</f>
        <v/>
      </c>
      <c r="W823" t="s">
        <v>3773</v>
      </c>
      <c r="X823" t="s">
        <v>1289</v>
      </c>
    </row>
    <row r="824" spans="10:24" hidden="1">
      <c r="J824" t="s">
        <v>4792</v>
      </c>
      <c r="K824" s="72" t="s">
        <v>11369</v>
      </c>
      <c r="M824" t="s">
        <v>11368</v>
      </c>
      <c r="Q824" t="str">
        <f>IF(COUNTIFS(HCP_evidence!$A:$A, M824, HCP_evidence!$AB:$AB, "&lt;&gt;")&gt;0, "Yes", "")</f>
        <v/>
      </c>
      <c r="W824" t="s">
        <v>10188</v>
      </c>
      <c r="X824" t="s">
        <v>1456</v>
      </c>
    </row>
    <row r="825" spans="10:24" hidden="1">
      <c r="J825" t="s">
        <v>4792</v>
      </c>
      <c r="K825" s="72" t="s">
        <v>11371</v>
      </c>
      <c r="M825" t="s">
        <v>11370</v>
      </c>
      <c r="Q825" t="str">
        <f>IF(COUNTIFS(HCP_evidence!$A:$A, M825, HCP_evidence!$AB:$AB, "&lt;&gt;")&gt;0, "Yes", "")</f>
        <v/>
      </c>
      <c r="W825" t="s">
        <v>4443</v>
      </c>
      <c r="X825" s="74" t="s">
        <v>4287</v>
      </c>
    </row>
    <row r="826" spans="10:24" hidden="1">
      <c r="J826" t="s">
        <v>11376</v>
      </c>
      <c r="K826" s="72" t="s">
        <v>11375</v>
      </c>
      <c r="M826" t="s">
        <v>11374</v>
      </c>
      <c r="Q826" t="str">
        <f>IF(COUNTIFS(HCP_evidence!$A:$A, M826, HCP_evidence!$AB:$AB, "&lt;&gt;")&gt;0, "Yes", "")</f>
        <v/>
      </c>
      <c r="W826" t="s">
        <v>3847</v>
      </c>
      <c r="X826" t="s">
        <v>1594</v>
      </c>
    </row>
    <row r="827" spans="10:24" hidden="1">
      <c r="J827" t="s">
        <v>11378</v>
      </c>
      <c r="K827" s="72" t="s">
        <v>11379</v>
      </c>
      <c r="M827" t="s">
        <v>11377</v>
      </c>
      <c r="Q827" t="str">
        <f>IF(COUNTIFS(HCP_evidence!$A:$A, M827, HCP_evidence!$AB:$AB, "&lt;&gt;")&gt;0, "Yes", "")</f>
        <v/>
      </c>
      <c r="W827" t="s">
        <v>3847</v>
      </c>
      <c r="X827" t="s">
        <v>1594</v>
      </c>
    </row>
    <row r="828" spans="10:24" hidden="1">
      <c r="J828" t="s">
        <v>11381</v>
      </c>
      <c r="K828" s="72" t="s">
        <v>11384</v>
      </c>
      <c r="M828" t="s">
        <v>11380</v>
      </c>
      <c r="Q828" t="str">
        <f>IF(COUNTIFS(HCP_evidence!$A:$A, M828, HCP_evidence!$AB:$AB, "&lt;&gt;")&gt;0, "Yes", "")</f>
        <v/>
      </c>
      <c r="W828" t="s">
        <v>3847</v>
      </c>
      <c r="X828" t="s">
        <v>1594</v>
      </c>
    </row>
    <row r="829" spans="10:24" hidden="1">
      <c r="J829" t="s">
        <v>11383</v>
      </c>
      <c r="K829" s="72" t="s">
        <v>11395</v>
      </c>
      <c r="M829" t="s">
        <v>11382</v>
      </c>
      <c r="Q829" t="str">
        <f>IF(COUNTIFS(HCP_evidence!$A:$A, M829, HCP_evidence!$AB:$AB, "&lt;&gt;")&gt;0, "Yes", "")</f>
        <v/>
      </c>
      <c r="W829" t="s">
        <v>3848</v>
      </c>
      <c r="X829" t="s">
        <v>1594</v>
      </c>
    </row>
    <row r="830" spans="10:24" hidden="1">
      <c r="J830" t="s">
        <v>4792</v>
      </c>
      <c r="K830" s="72" t="s">
        <v>11386</v>
      </c>
      <c r="M830" t="s">
        <v>11385</v>
      </c>
      <c r="Q830" t="str">
        <f>IF(COUNTIFS(HCP_evidence!$A:$A, M830, HCP_evidence!$AB:$AB, "&lt;&gt;")&gt;0, "Yes", "")</f>
        <v/>
      </c>
      <c r="W830" t="s">
        <v>3739</v>
      </c>
      <c r="X830" t="s">
        <v>33</v>
      </c>
    </row>
    <row r="831" spans="10:24" hidden="1">
      <c r="J831" t="s">
        <v>4792</v>
      </c>
      <c r="K831" s="72" t="s">
        <v>11389</v>
      </c>
      <c r="M831" t="s">
        <v>11388</v>
      </c>
      <c r="Q831" t="str">
        <f>IF(COUNTIFS(HCP_evidence!$A:$A, M831, HCP_evidence!$AB:$AB, "&lt;&gt;")&gt;0, "Yes", "")</f>
        <v>Yes</v>
      </c>
      <c r="W831" t="s">
        <v>10157</v>
      </c>
      <c r="X831" t="s">
        <v>2409</v>
      </c>
    </row>
    <row r="832" spans="10:24" hidden="1">
      <c r="J832" t="s">
        <v>4792</v>
      </c>
      <c r="K832" s="72" t="s">
        <v>11392</v>
      </c>
      <c r="M832" t="s">
        <v>11391</v>
      </c>
      <c r="Q832" t="str">
        <f>IF(COUNTIFS(HCP_evidence!$A:$A, M832, HCP_evidence!$AB:$AB, "&lt;&gt;")&gt;0, "Yes", "")</f>
        <v/>
      </c>
      <c r="W832" t="s">
        <v>10463</v>
      </c>
      <c r="X832" t="s">
        <v>699</v>
      </c>
    </row>
    <row r="833" spans="5:24" hidden="1">
      <c r="J833" t="s">
        <v>4792</v>
      </c>
      <c r="K833" s="72" t="s">
        <v>11394</v>
      </c>
      <c r="M833" t="s">
        <v>11393</v>
      </c>
      <c r="Q833" t="str">
        <f>IF(COUNTIFS(HCP_evidence!$A:$A, M833, HCP_evidence!$AB:$AB, "&lt;&gt;")&gt;0, "Yes", "")</f>
        <v/>
      </c>
      <c r="W833" t="s">
        <v>10656</v>
      </c>
      <c r="X833" t="s">
        <v>10015</v>
      </c>
    </row>
    <row r="834" spans="5:24" hidden="1">
      <c r="J834" t="s">
        <v>4792</v>
      </c>
      <c r="K834" s="72" t="s">
        <v>11398</v>
      </c>
      <c r="M834" t="s">
        <v>11399</v>
      </c>
      <c r="Q834" t="str">
        <f>IF(COUNTIFS(HCP_evidence!$A:$A, M834, HCP_evidence!$AB:$AB, "&lt;&gt;")&gt;0, "Yes", "")</f>
        <v/>
      </c>
      <c r="W834" t="s">
        <v>10383</v>
      </c>
      <c r="X834" t="s">
        <v>2251</v>
      </c>
    </row>
    <row r="835" spans="5:24" hidden="1">
      <c r="J835" t="s">
        <v>4792</v>
      </c>
      <c r="K835" s="72" t="s">
        <v>11401</v>
      </c>
      <c r="M835" t="s">
        <v>11400</v>
      </c>
      <c r="Q835" t="str">
        <f>IF(COUNTIFS(HCP_evidence!$A:$A, M835, HCP_evidence!$AB:$AB, "&lt;&gt;")&gt;0, "Yes", "")</f>
        <v/>
      </c>
      <c r="W835" t="s">
        <v>10383</v>
      </c>
      <c r="X835" t="s">
        <v>2251</v>
      </c>
    </row>
    <row r="836" spans="5:24" hidden="1">
      <c r="J836" t="s">
        <v>4792</v>
      </c>
      <c r="K836" s="72" t="s">
        <v>11403</v>
      </c>
      <c r="M836" t="s">
        <v>11402</v>
      </c>
      <c r="Q836" t="str">
        <f>IF(COUNTIFS(HCP_evidence!$A:$A, M836, HCP_evidence!$AB:$AB, "&lt;&gt;")&gt;0, "Yes", "")</f>
        <v/>
      </c>
      <c r="W836" t="s">
        <v>3740</v>
      </c>
      <c r="X836" t="s">
        <v>3444</v>
      </c>
    </row>
    <row r="837" spans="5:24" hidden="1">
      <c r="J837" t="s">
        <v>4792</v>
      </c>
      <c r="K837" s="72" t="s">
        <v>11405</v>
      </c>
      <c r="M837" t="s">
        <v>11404</v>
      </c>
      <c r="Q837" t="str">
        <f>IF(COUNTIFS(HCP_evidence!$A:$A, M837, HCP_evidence!$AB:$AB, "&lt;&gt;")&gt;0, "Yes", "")</f>
        <v/>
      </c>
      <c r="W837" t="s">
        <v>10207</v>
      </c>
      <c r="X837" t="s">
        <v>1431</v>
      </c>
    </row>
    <row r="838" spans="5:24" hidden="1">
      <c r="J838" t="s">
        <v>4792</v>
      </c>
      <c r="K838" s="72" t="s">
        <v>11408</v>
      </c>
      <c r="M838" t="s">
        <v>11407</v>
      </c>
      <c r="Q838" t="str">
        <f>IF(COUNTIFS(HCP_evidence!$A:$A, M838, HCP_evidence!$AB:$AB, "&lt;&gt;")&gt;0, "Yes", "")</f>
        <v/>
      </c>
      <c r="W838" t="s">
        <v>10377</v>
      </c>
      <c r="X838" t="s">
        <v>1419</v>
      </c>
    </row>
    <row r="839" spans="5:24" hidden="1">
      <c r="J839" t="s">
        <v>4792</v>
      </c>
      <c r="K839" s="72" t="s">
        <v>11409</v>
      </c>
      <c r="M839" t="s">
        <v>11412</v>
      </c>
      <c r="Q839" t="str">
        <f>IF(COUNTIFS(HCP_evidence!$A:$A, M839, HCP_evidence!$AB:$AB, "&lt;&gt;")&gt;0, "Yes", "")</f>
        <v/>
      </c>
      <c r="W839" t="s">
        <v>10157</v>
      </c>
      <c r="X839" t="s">
        <v>2409</v>
      </c>
    </row>
    <row r="840" spans="5:24" hidden="1">
      <c r="J840" t="s">
        <v>4792</v>
      </c>
      <c r="K840" s="72" t="s">
        <v>11413</v>
      </c>
      <c r="M840" t="s">
        <v>11414</v>
      </c>
      <c r="Q840" t="str">
        <f>IF(COUNTIFS(HCP_evidence!$A:$A, M840, HCP_evidence!$AB:$AB, "&lt;&gt;")&gt;0, "Yes", "")</f>
        <v/>
      </c>
      <c r="W840" t="s">
        <v>10177</v>
      </c>
      <c r="X840" t="s">
        <v>1440</v>
      </c>
    </row>
    <row r="841" spans="5:24" hidden="1">
      <c r="J841" t="s">
        <v>11420</v>
      </c>
      <c r="K841" s="72" t="s">
        <v>11418</v>
      </c>
      <c r="L841" s="72" t="s">
        <v>11421</v>
      </c>
      <c r="M841" t="s">
        <v>11419</v>
      </c>
      <c r="Q841" t="str">
        <f>IF(COUNTIFS(HCP_evidence!$A:$A, M841, HCP_evidence!$AB:$AB, "&lt;&gt;")&gt;0, "Yes", "")</f>
        <v/>
      </c>
      <c r="W841" t="s">
        <v>10283</v>
      </c>
      <c r="X841" s="115" t="s">
        <v>1523</v>
      </c>
    </row>
    <row r="842" spans="5:24" hidden="1">
      <c r="J842" t="s">
        <v>11424</v>
      </c>
      <c r="K842" s="72" t="s">
        <v>11423</v>
      </c>
      <c r="M842" t="s">
        <v>11422</v>
      </c>
      <c r="Q842" t="str">
        <f>IF(COUNTIFS(HCP_evidence!$A:$A, M842, HCP_evidence!$AB:$AB, "&lt;&gt;")&gt;0, "Yes", "")</f>
        <v/>
      </c>
      <c r="W842" t="s">
        <v>3850</v>
      </c>
      <c r="X842" t="s">
        <v>1433</v>
      </c>
    </row>
    <row r="843" spans="5:24" hidden="1">
      <c r="E843" t="s">
        <v>414</v>
      </c>
      <c r="J843" t="s">
        <v>11427</v>
      </c>
      <c r="K843" s="72" t="s">
        <v>11425</v>
      </c>
      <c r="L843" s="72" t="s">
        <v>11428</v>
      </c>
      <c r="M843" t="s">
        <v>11426</v>
      </c>
      <c r="Q843" t="str">
        <f>IF(COUNTIFS(HCP_evidence!$A:$A, M843, HCP_evidence!$AB:$AB, "&lt;&gt;")&gt;0, "Yes", "")</f>
        <v/>
      </c>
      <c r="W843" t="s">
        <v>10283</v>
      </c>
      <c r="X843" s="115" t="s">
        <v>1523</v>
      </c>
    </row>
    <row r="844" spans="5:24" hidden="1">
      <c r="J844" t="s">
        <v>11424</v>
      </c>
      <c r="K844" s="72" t="s">
        <v>11429</v>
      </c>
      <c r="M844" t="s">
        <v>11430</v>
      </c>
      <c r="Q844" t="str">
        <f>IF(COUNTIFS(HCP_evidence!$A:$A, M844, HCP_evidence!$AB:$AB, "&lt;&gt;")&gt;0, "Yes", "")</f>
        <v/>
      </c>
      <c r="W844" t="s">
        <v>10345</v>
      </c>
      <c r="X844" t="s">
        <v>1337</v>
      </c>
    </row>
    <row r="845" spans="5:24" hidden="1">
      <c r="J845" t="s">
        <v>4792</v>
      </c>
      <c r="K845" s="72" t="s">
        <v>11432</v>
      </c>
      <c r="M845" t="s">
        <v>11433</v>
      </c>
      <c r="Q845" t="str">
        <f>IF(COUNTIFS(HCP_evidence!$A:$A, M845, HCP_evidence!$AB:$AB, "&lt;&gt;")&gt;0, "Yes", "")</f>
        <v/>
      </c>
      <c r="W845" t="s">
        <v>10162</v>
      </c>
      <c r="X845" t="s">
        <v>1491</v>
      </c>
    </row>
    <row r="846" spans="5:24">
      <c r="J846" t="s">
        <v>4792</v>
      </c>
      <c r="K846" s="72" t="s">
        <v>11435</v>
      </c>
      <c r="M846" t="s">
        <v>11436</v>
      </c>
      <c r="Q846" t="str">
        <f>IF(COUNTIFS(HCP_evidence!$A:$A, M846, HCP_evidence!$AB:$AB, "&lt;&gt;")&gt;0, "Yes", "")</f>
        <v/>
      </c>
      <c r="W846" t="s">
        <v>4553</v>
      </c>
      <c r="X846" t="s">
        <v>4580</v>
      </c>
    </row>
    <row r="847" spans="5:24">
      <c r="J847" t="s">
        <v>4792</v>
      </c>
      <c r="K847" s="72" t="s">
        <v>11437</v>
      </c>
      <c r="M847" t="s">
        <v>11438</v>
      </c>
      <c r="Q847" t="str">
        <f>IF(COUNTIFS(HCP_evidence!$A:$A, M847, HCP_evidence!$AB:$AB, "&lt;&gt;")&gt;0, "Yes", "")</f>
        <v/>
      </c>
      <c r="W847" t="s">
        <v>10172</v>
      </c>
      <c r="X847" t="s">
        <v>1517</v>
      </c>
    </row>
    <row r="848" spans="5:24">
      <c r="J848" t="s">
        <v>4792</v>
      </c>
      <c r="K848" s="72" t="s">
        <v>11443</v>
      </c>
      <c r="M848" t="s">
        <v>11444</v>
      </c>
      <c r="Q848" t="str">
        <f>IF(COUNTIFS(HCP_evidence!$A:$A, M848, HCP_evidence!$AB:$AB, "&lt;&gt;")&gt;0, "Yes", "")</f>
        <v/>
      </c>
      <c r="W848" t="s">
        <v>10172</v>
      </c>
      <c r="X848" t="s">
        <v>1517</v>
      </c>
    </row>
    <row r="849" spans="10:24">
      <c r="J849" t="s">
        <v>11449</v>
      </c>
      <c r="K849" s="72" t="s">
        <v>11447</v>
      </c>
      <c r="M849" t="s">
        <v>11448</v>
      </c>
      <c r="Q849" t="str">
        <f>IF(COUNTIFS(HCP_evidence!$A:$A, M849, HCP_evidence!$AB:$AB, "&lt;&gt;")&gt;0, "Yes", "")</f>
        <v/>
      </c>
      <c r="W849" t="s">
        <v>10284</v>
      </c>
      <c r="X849" s="115" t="s">
        <v>1611</v>
      </c>
    </row>
    <row r="850" spans="10:24">
      <c r="J850" t="s">
        <v>4792</v>
      </c>
      <c r="K850" s="72" t="s">
        <v>11450</v>
      </c>
      <c r="M850" t="s">
        <v>11451</v>
      </c>
      <c r="Q850" t="str">
        <f>IF(COUNTIFS(HCP_evidence!$A:$A, M850, HCP_evidence!$AB:$AB, "&lt;&gt;")&gt;0, "Yes", "")</f>
        <v/>
      </c>
      <c r="W850" t="s">
        <v>3744</v>
      </c>
      <c r="X850" s="81" t="s">
        <v>1243</v>
      </c>
    </row>
    <row r="851" spans="10:24">
      <c r="J851" t="s">
        <v>4792</v>
      </c>
      <c r="K851" s="72" t="s">
        <v>11452</v>
      </c>
      <c r="M851" t="s">
        <v>11453</v>
      </c>
      <c r="Q851" t="str">
        <f>IF(COUNTIFS(HCP_evidence!$A:$A, M851, HCP_evidence!$AB:$AB, "&lt;&gt;")&gt;0, "Yes", "")</f>
        <v/>
      </c>
      <c r="V851" t="s">
        <v>8285</v>
      </c>
      <c r="W851" t="s">
        <v>3817</v>
      </c>
      <c r="X851" t="s">
        <v>8286</v>
      </c>
    </row>
    <row r="852" spans="10:24">
      <c r="J852" t="s">
        <v>4792</v>
      </c>
      <c r="K852" s="72" t="s">
        <v>11455</v>
      </c>
      <c r="M852" t="s">
        <v>11454</v>
      </c>
      <c r="Q852" t="str">
        <f>IF(COUNTIFS(HCP_evidence!$A:$A, M852, HCP_evidence!$AB:$AB, "&lt;&gt;")&gt;0, "Yes", "")</f>
        <v/>
      </c>
      <c r="V852" t="s">
        <v>8285</v>
      </c>
      <c r="W852" t="s">
        <v>3817</v>
      </c>
      <c r="X852" t="s">
        <v>8286</v>
      </c>
    </row>
    <row r="853" spans="10:24">
      <c r="J853" t="s">
        <v>11460</v>
      </c>
      <c r="K853" s="72" t="s">
        <v>11459</v>
      </c>
      <c r="M853" t="s">
        <v>11458</v>
      </c>
      <c r="Q853" t="str">
        <f>IF(COUNTIFS(HCP_evidence!$A:$A, M853, HCP_evidence!$AB:$AB, "&lt;&gt;")&gt;0, "Yes", "")</f>
        <v>Yes</v>
      </c>
      <c r="W853" t="s">
        <v>3924</v>
      </c>
      <c r="X853" t="s">
        <v>1348</v>
      </c>
    </row>
    <row r="854" spans="10:24">
      <c r="J854" t="s">
        <v>11473</v>
      </c>
      <c r="K854" s="72" t="s">
        <v>11467</v>
      </c>
      <c r="M854" t="s">
        <v>11466</v>
      </c>
      <c r="N854" t="s">
        <v>11468</v>
      </c>
      <c r="Q854" t="str">
        <f>IF(COUNTIFS(HCP_evidence!$A:$A, M854, HCP_evidence!$AB:$AB, "&lt;&gt;")&gt;0, "Yes", "")</f>
        <v/>
      </c>
      <c r="W854" t="s">
        <v>3809</v>
      </c>
      <c r="X854" t="s">
        <v>7983</v>
      </c>
    </row>
    <row r="855" spans="10:24">
      <c r="J855" t="s">
        <v>11475</v>
      </c>
      <c r="K855" s="72" t="s">
        <v>11472</v>
      </c>
      <c r="M855" t="s">
        <v>11474</v>
      </c>
      <c r="Q855" t="str">
        <f>IF(COUNTIFS(HCP_evidence!$A:$A, M855, HCP_evidence!$AB:$AB, "&lt;&gt;")&gt;0, "Yes", "")</f>
        <v>Yes</v>
      </c>
      <c r="W855" t="s">
        <v>10278</v>
      </c>
      <c r="X855" s="117" t="s">
        <v>1464</v>
      </c>
    </row>
    <row r="856" spans="10:24">
      <c r="J856" t="s">
        <v>11480</v>
      </c>
      <c r="K856" s="72" t="s">
        <v>11482</v>
      </c>
      <c r="M856" t="s">
        <v>11481</v>
      </c>
      <c r="Q856" t="str">
        <f>IF(COUNTIFS(HCP_evidence!$A:$A, M856, HCP_evidence!$AB:$AB, "&lt;&gt;")&gt;0, "Yes", "")</f>
        <v/>
      </c>
      <c r="W856" t="s">
        <v>3809</v>
      </c>
      <c r="X856" t="s">
        <v>7983</v>
      </c>
    </row>
    <row r="857" spans="10:24">
      <c r="J857" t="s">
        <v>4792</v>
      </c>
      <c r="K857" s="72" t="s">
        <v>11484</v>
      </c>
      <c r="M857" t="s">
        <v>11485</v>
      </c>
      <c r="Q857" t="str">
        <f>IF(COUNTIFS(HCP_evidence!$A:$A, M857, HCP_evidence!$AB:$AB, "&lt;&gt;")&gt;0, "Yes", "")</f>
        <v/>
      </c>
      <c r="W857" t="s">
        <v>10463</v>
      </c>
      <c r="X857" t="s">
        <v>699</v>
      </c>
    </row>
    <row r="858" spans="10:24">
      <c r="J858" t="s">
        <v>4792</v>
      </c>
      <c r="K858" s="72" t="s">
        <v>11488</v>
      </c>
      <c r="M858" t="s">
        <v>11489</v>
      </c>
      <c r="Q858" t="str">
        <f>IF(COUNTIFS(HCP_evidence!$A:$A, M858, HCP_evidence!$AB:$AB, "&lt;&gt;")&gt;0, "Yes", "")</f>
        <v/>
      </c>
      <c r="W858" t="s">
        <v>3787</v>
      </c>
      <c r="X858" t="s">
        <v>7848</v>
      </c>
    </row>
    <row r="859" spans="10:24">
      <c r="J859" t="s">
        <v>4792</v>
      </c>
      <c r="K859" s="72" t="s">
        <v>11491</v>
      </c>
      <c r="M859" t="s">
        <v>11490</v>
      </c>
      <c r="Q859" t="str">
        <f>IF(COUNTIFS(HCP_evidence!$A:$A, M859, HCP_evidence!$AB:$AB, "&lt;&gt;")&gt;0, "Yes", "")</f>
        <v/>
      </c>
      <c r="W859" t="s">
        <v>3812</v>
      </c>
      <c r="X859" t="s">
        <v>8082</v>
      </c>
    </row>
    <row r="860" spans="10:24">
      <c r="J860" t="s">
        <v>11494</v>
      </c>
      <c r="K860" s="72" t="s">
        <v>11492</v>
      </c>
      <c r="M860" t="s">
        <v>11493</v>
      </c>
      <c r="Q860" t="str">
        <f>IF(COUNTIFS(HCP_evidence!$A:$A, M860, HCP_evidence!$AB:$AB, "&lt;&gt;")&gt;0, "Yes", "")</f>
        <v/>
      </c>
      <c r="W860" t="s">
        <v>4554</v>
      </c>
      <c r="X860" t="s">
        <v>4280</v>
      </c>
    </row>
    <row r="861" spans="10:24">
      <c r="J861" t="s">
        <v>11494</v>
      </c>
      <c r="K861" s="72" t="s">
        <v>11496</v>
      </c>
      <c r="M861" t="s">
        <v>3193</v>
      </c>
      <c r="Q861" t="str">
        <f>IF(COUNTIFS(HCP_evidence!$A:$A, M861, HCP_evidence!$AB:$AB, "&lt;&gt;")&gt;0, "Yes", "")</f>
        <v/>
      </c>
      <c r="W861" t="s">
        <v>4525</v>
      </c>
      <c r="X861" t="s">
        <v>4524</v>
      </c>
    </row>
    <row r="862" spans="10:24">
      <c r="J862" t="s">
        <v>11494</v>
      </c>
      <c r="K862" s="72" t="s">
        <v>11498</v>
      </c>
      <c r="M862" t="s">
        <v>11499</v>
      </c>
      <c r="Q862" t="str">
        <f>IF(COUNTIFS(HCP_evidence!$A:$A, M862, HCP_evidence!$AB:$AB, "&lt;&gt;")&gt;0, "Yes", "")</f>
        <v/>
      </c>
      <c r="W862" t="s">
        <v>10230</v>
      </c>
      <c r="X862" t="s">
        <v>684</v>
      </c>
    </row>
    <row r="863" spans="10:24">
      <c r="J863" t="s">
        <v>11494</v>
      </c>
      <c r="K863" s="72" t="s">
        <v>11503</v>
      </c>
      <c r="M863" t="s">
        <v>11504</v>
      </c>
      <c r="Q863" t="str">
        <f>IF(COUNTIFS(HCP_evidence!$A:$A, M863, HCP_evidence!$AB:$AB, "&lt;&gt;")&gt;0, "Yes", "")</f>
        <v/>
      </c>
      <c r="W863" t="s">
        <v>10182</v>
      </c>
      <c r="X863" t="s">
        <v>1598</v>
      </c>
    </row>
    <row r="864" spans="10:24">
      <c r="J864" t="s">
        <v>11494</v>
      </c>
      <c r="K864" s="72" t="s">
        <v>11506</v>
      </c>
      <c r="M864" t="s">
        <v>11507</v>
      </c>
      <c r="Q864" t="str">
        <f>IF(COUNTIFS(HCP_evidence!$A:$A, M864, HCP_evidence!$AB:$AB, "&lt;&gt;")&gt;0, "Yes", "")</f>
        <v/>
      </c>
      <c r="W864" t="s">
        <v>10277</v>
      </c>
      <c r="X864" t="s">
        <v>1343</v>
      </c>
    </row>
    <row r="865" spans="10:24">
      <c r="J865" t="s">
        <v>11494</v>
      </c>
      <c r="K865" s="72" t="s">
        <v>11508</v>
      </c>
      <c r="M865" t="s">
        <v>11509</v>
      </c>
      <c r="Q865" t="str">
        <f>IF(COUNTIFS(HCP_evidence!$A:$A, M865, HCP_evidence!$AB:$AB, "&lt;&gt;")&gt;0, "Yes", "")</f>
        <v/>
      </c>
      <c r="W865" t="s">
        <v>3783</v>
      </c>
      <c r="X865" t="s">
        <v>301</v>
      </c>
    </row>
    <row r="866" spans="10:24">
      <c r="J866" t="s">
        <v>11494</v>
      </c>
      <c r="K866" s="72" t="s">
        <v>11512</v>
      </c>
      <c r="M866" t="s">
        <v>1142</v>
      </c>
      <c r="N866" s="71" t="s">
        <v>1142</v>
      </c>
      <c r="Q866" t="str">
        <f>IF(COUNTIFS(HCP_evidence!$A:$A, M866, HCP_evidence!$AB:$AB, "&lt;&gt;")&gt;0, "Yes", "")</f>
        <v/>
      </c>
      <c r="W866" t="s">
        <v>10313</v>
      </c>
      <c r="X866" t="s">
        <v>1394</v>
      </c>
    </row>
    <row r="867" spans="10:24">
      <c r="J867" t="s">
        <v>11494</v>
      </c>
      <c r="K867" s="72" t="s">
        <v>11515</v>
      </c>
      <c r="M867" t="s">
        <v>1091</v>
      </c>
      <c r="N867" s="74"/>
      <c r="Q867" t="str">
        <f>IF(COUNTIFS(HCP_evidence!$A:$A, M867, HCP_evidence!$AB:$AB, "&lt;&gt;")&gt;0, "Yes", "")</f>
        <v/>
      </c>
      <c r="W867" t="s">
        <v>4549</v>
      </c>
      <c r="X867" t="s">
        <v>4548</v>
      </c>
    </row>
    <row r="868" spans="10:24">
      <c r="J868" t="s">
        <v>11513</v>
      </c>
      <c r="K868" s="72" t="s">
        <v>11511</v>
      </c>
      <c r="M868" s="113" t="s">
        <v>11510</v>
      </c>
      <c r="Q868" t="str">
        <f>IF(COUNTIFS(HCP_evidence!$A:$A, M868, HCP_evidence!$AB:$AB, "&lt;&gt;")&gt;0, "Yes", "")</f>
        <v/>
      </c>
      <c r="W868" t="s">
        <v>10152</v>
      </c>
      <c r="X868" t="s">
        <v>8656</v>
      </c>
    </row>
    <row r="869" spans="10:24">
      <c r="J869" t="s">
        <v>11521</v>
      </c>
      <c r="K869" s="72" t="s">
        <v>11519</v>
      </c>
      <c r="L869" s="116" t="s">
        <v>11524</v>
      </c>
      <c r="M869" s="113" t="s">
        <v>11516</v>
      </c>
      <c r="Q869" t="str">
        <f>IF(COUNTIFS(HCP_evidence!$A:$A, M869, HCP_evidence!$AB:$AB, "&lt;&gt;")&gt;0, "Yes", "")</f>
        <v/>
      </c>
      <c r="W869" t="s">
        <v>10152</v>
      </c>
      <c r="X869" t="s">
        <v>8656</v>
      </c>
    </row>
    <row r="870" spans="10:24">
      <c r="J870" t="s">
        <v>11494</v>
      </c>
      <c r="K870" s="72" t="s">
        <v>11517</v>
      </c>
      <c r="M870" t="s">
        <v>11518</v>
      </c>
      <c r="Q870" t="str">
        <f>IF(COUNTIFS(HCP_evidence!$A:$A, M870, HCP_evidence!$AB:$AB, "&lt;&gt;")&gt;0, "Yes", "")</f>
        <v/>
      </c>
      <c r="W870" t="s">
        <v>10251</v>
      </c>
      <c r="X870" t="s">
        <v>645</v>
      </c>
    </row>
    <row r="871" spans="10:24">
      <c r="J871" t="s">
        <v>11494</v>
      </c>
      <c r="K871" s="72" t="s">
        <v>11522</v>
      </c>
      <c r="M871" t="s">
        <v>11523</v>
      </c>
      <c r="Q871" t="str">
        <f>IF(COUNTIFS(HCP_evidence!$A:$A, M871, HCP_evidence!$AB:$AB, "&lt;&gt;")&gt;0, "Yes", "")</f>
        <v/>
      </c>
      <c r="W871" t="s">
        <v>4558</v>
      </c>
      <c r="X871" t="s">
        <v>4291</v>
      </c>
    </row>
    <row r="872" spans="10:24">
      <c r="J872" t="s">
        <v>11494</v>
      </c>
      <c r="K872" s="72" t="s">
        <v>11525</v>
      </c>
      <c r="M872" t="s">
        <v>11526</v>
      </c>
      <c r="Q872" t="str">
        <f>IF(COUNTIFS(HCP_evidence!$A:$A, M872, HCP_evidence!$AB:$AB, "&lt;&gt;")&gt;0, "Yes", "")</f>
        <v/>
      </c>
      <c r="W872" t="s">
        <v>10225</v>
      </c>
      <c r="X872" t="s">
        <v>690</v>
      </c>
    </row>
    <row r="873" spans="10:24">
      <c r="J873" t="s">
        <v>11531</v>
      </c>
      <c r="K873" s="72" t="s">
        <v>11530</v>
      </c>
      <c r="L873" s="116" t="s">
        <v>11533</v>
      </c>
      <c r="M873" s="113" t="s">
        <v>11527</v>
      </c>
      <c r="Q873" t="str">
        <f>IF(COUNTIFS(HCP_evidence!$A:$A, M873, HCP_evidence!$AB:$AB, "&lt;&gt;")&gt;0, "Yes", "")</f>
        <v/>
      </c>
      <c r="W873" t="s">
        <v>10152</v>
      </c>
      <c r="X873" t="s">
        <v>8656</v>
      </c>
    </row>
    <row r="874" spans="10:24">
      <c r="J874" t="s">
        <v>11494</v>
      </c>
      <c r="K874" s="72" t="s">
        <v>11528</v>
      </c>
      <c r="M874" t="s">
        <v>11529</v>
      </c>
      <c r="Q874" t="str">
        <f>IF(COUNTIFS(HCP_evidence!$A:$A, M874, HCP_evidence!$AB:$AB, "&lt;&gt;")&gt;0, "Yes", "")</f>
        <v/>
      </c>
      <c r="W874" t="s">
        <v>3801</v>
      </c>
      <c r="X874" t="s">
        <v>7815</v>
      </c>
    </row>
    <row r="875" spans="10:24">
      <c r="J875" t="s">
        <v>11494</v>
      </c>
      <c r="K875" s="72" t="s">
        <v>11532</v>
      </c>
      <c r="M875" t="s">
        <v>1111</v>
      </c>
      <c r="N875" s="71" t="s">
        <v>1111</v>
      </c>
      <c r="Q875" t="str">
        <f>IF(COUNTIFS(HCP_evidence!$A:$A, M875, HCP_evidence!$AB:$AB, "&lt;&gt;")&gt;0, "Yes", "")</f>
        <v/>
      </c>
      <c r="W875" t="s">
        <v>3768</v>
      </c>
      <c r="X875" t="s">
        <v>4282</v>
      </c>
    </row>
    <row r="876" spans="10:24">
      <c r="J876" t="s">
        <v>11494</v>
      </c>
      <c r="K876" s="72" t="s">
        <v>11535</v>
      </c>
      <c r="M876" t="s">
        <v>11534</v>
      </c>
      <c r="Q876" t="str">
        <f>IF(COUNTIFS(HCP_evidence!$A:$A, M876, HCP_evidence!$AB:$AB, "&lt;&gt;")&gt;0, "Yes", "")</f>
        <v/>
      </c>
      <c r="W876" t="s">
        <v>10187</v>
      </c>
      <c r="X876" t="s">
        <v>1550</v>
      </c>
    </row>
    <row r="877" spans="10:24">
      <c r="J877" t="s">
        <v>11542</v>
      </c>
      <c r="K877" s="72" t="s">
        <v>11540</v>
      </c>
      <c r="M877" t="s">
        <v>11541</v>
      </c>
      <c r="Q877" t="str">
        <f>IF(COUNTIFS(HCP_evidence!$A:$A, M877, HCP_evidence!$AB:$AB, "&lt;&gt;")&gt;0, "Yes", "")</f>
        <v>Yes</v>
      </c>
      <c r="W877" t="s">
        <v>10277</v>
      </c>
      <c r="X877" t="s">
        <v>1343</v>
      </c>
    </row>
    <row r="878" spans="10:24">
      <c r="J878" t="s">
        <v>11547</v>
      </c>
      <c r="K878" s="72" t="s">
        <v>11545</v>
      </c>
      <c r="M878" t="s">
        <v>11546</v>
      </c>
      <c r="Q878" t="str">
        <f>IF(COUNTIFS(HCP_evidence!$A:$A, M878, HCP_evidence!$AB:$AB, "&lt;&gt;")&gt;0, "Yes", "")</f>
        <v/>
      </c>
      <c r="W878" t="s">
        <v>3746</v>
      </c>
      <c r="X878" t="s">
        <v>4482</v>
      </c>
    </row>
    <row r="879" spans="10:24">
      <c r="J879" t="s">
        <v>11551</v>
      </c>
      <c r="K879" s="72" t="s">
        <v>11549</v>
      </c>
      <c r="L879" s="72" t="s">
        <v>11552</v>
      </c>
      <c r="M879" t="s">
        <v>11550</v>
      </c>
      <c r="Q879" t="str">
        <f>IF(COUNTIFS(HCP_evidence!$A:$A, M879, HCP_evidence!$AB:$AB, "&lt;&gt;")&gt;0, "Yes", "")</f>
        <v/>
      </c>
      <c r="W879" t="s">
        <v>10274</v>
      </c>
      <c r="X879" s="117" t="s">
        <v>644</v>
      </c>
    </row>
    <row r="880" spans="10:24">
      <c r="J880" t="s">
        <v>11560</v>
      </c>
      <c r="K880" s="72" t="s">
        <v>11556</v>
      </c>
      <c r="L880" s="72" t="s">
        <v>11558</v>
      </c>
      <c r="M880" t="s">
        <v>11557</v>
      </c>
      <c r="Q880" t="str">
        <f>IF(COUNTIFS(HCP_evidence!$A:$A, M880, HCP_evidence!$AB:$AB, "&lt;&gt;")&gt;0, "Yes", "")</f>
        <v/>
      </c>
      <c r="W880" t="s">
        <v>10275</v>
      </c>
      <c r="X880" s="117" t="s">
        <v>1535</v>
      </c>
    </row>
    <row r="881" spans="10:24">
      <c r="J881" t="s">
        <v>11567</v>
      </c>
      <c r="K881" s="72" t="s">
        <v>11565</v>
      </c>
      <c r="M881" t="s">
        <v>11566</v>
      </c>
      <c r="Q881" t="str">
        <f>IF(COUNTIFS(HCP_evidence!$A:$A, M881, HCP_evidence!$AB:$AB, "&lt;&gt;")&gt;0, "Yes", "")</f>
        <v>Yes</v>
      </c>
      <c r="W881" t="s">
        <v>10271</v>
      </c>
      <c r="X881" s="117" t="s">
        <v>1373</v>
      </c>
    </row>
    <row r="882" spans="10:24">
      <c r="J882" t="s">
        <v>11571</v>
      </c>
      <c r="K882" s="72" t="s">
        <v>11569</v>
      </c>
      <c r="M882" t="s">
        <v>11570</v>
      </c>
      <c r="W882" t="s">
        <v>10271</v>
      </c>
      <c r="X882" s="117" t="s">
        <v>1373</v>
      </c>
    </row>
    <row r="883" spans="10:24">
      <c r="J883" t="s">
        <v>11575</v>
      </c>
      <c r="K883" s="72" t="s">
        <v>11573</v>
      </c>
      <c r="M883" t="s">
        <v>11574</v>
      </c>
      <c r="W883" t="s">
        <v>10271</v>
      </c>
      <c r="X883" s="117" t="s">
        <v>1373</v>
      </c>
    </row>
    <row r="884" spans="10:24">
      <c r="K884" s="72" t="s">
        <v>11576</v>
      </c>
      <c r="M884" t="s">
        <v>11578</v>
      </c>
      <c r="W884" t="s">
        <v>10271</v>
      </c>
      <c r="X884" s="117" t="s">
        <v>1373</v>
      </c>
    </row>
  </sheetData>
  <autoFilter ref="A3:BC3" xr:uid="{A40614F6-EF58-4EB5-9A20-9EC7F12B051F}"/>
  <mergeCells count="8">
    <mergeCell ref="D1:H1"/>
    <mergeCell ref="J1:U1"/>
    <mergeCell ref="AS1:BC1"/>
    <mergeCell ref="B1:B2"/>
    <mergeCell ref="C1:C2"/>
    <mergeCell ref="AD1:AK1"/>
    <mergeCell ref="AL1:AQ1"/>
    <mergeCell ref="V1:AC1"/>
  </mergeCells>
  <conditionalFormatting sqref="G1">
    <cfRule type="duplicateValues" dxfId="214" priority="969"/>
  </conditionalFormatting>
  <conditionalFormatting sqref="G2">
    <cfRule type="duplicateValues" dxfId="213" priority="970"/>
  </conditionalFormatting>
  <conditionalFormatting sqref="K1:K1048576">
    <cfRule type="duplicateValues" dxfId="212" priority="5"/>
    <cfRule type="duplicateValues" dxfId="211" priority="55"/>
    <cfRule type="duplicateValues" dxfId="210" priority="158"/>
  </conditionalFormatting>
  <conditionalFormatting sqref="K620:K1048576 K1:K618">
    <cfRule type="duplicateValues" dxfId="209" priority="580"/>
  </conditionalFormatting>
  <conditionalFormatting sqref="M669">
    <cfRule type="duplicateValues" dxfId="208" priority="156"/>
    <cfRule type="duplicateValues" dxfId="207" priority="157"/>
  </conditionalFormatting>
  <conditionalFormatting sqref="M830:M852 K619 M255:M273 M167:M253 O276:P1048576 O4:P165 O167:P253 O255:P273 M4:M165 M276:M668 T593:V597 Y593:Y597 M670:M812 M814:M825 M854:M1048576">
    <cfRule type="duplicateValues" dxfId="206" priority="2505"/>
  </conditionalFormatting>
  <conditionalFormatting sqref="V605">
    <cfRule type="duplicateValues" dxfId="205" priority="587"/>
  </conditionalFormatting>
  <conditionalFormatting sqref="V606">
    <cfRule type="duplicateValues" dxfId="204" priority="581"/>
  </conditionalFormatting>
  <conditionalFormatting sqref="V614">
    <cfRule type="duplicateValues" dxfId="203" priority="574"/>
  </conditionalFormatting>
  <conditionalFormatting sqref="V616">
    <cfRule type="duplicateValues" dxfId="202" priority="563"/>
  </conditionalFormatting>
  <conditionalFormatting sqref="W9">
    <cfRule type="duplicateValues" dxfId="201" priority="894"/>
  </conditionalFormatting>
  <conditionalFormatting sqref="W10">
    <cfRule type="duplicateValues" dxfId="200" priority="885"/>
  </conditionalFormatting>
  <conditionalFormatting sqref="W20">
    <cfRule type="duplicateValues" dxfId="199" priority="795"/>
  </conditionalFormatting>
  <conditionalFormatting sqref="W30">
    <cfRule type="duplicateValues" dxfId="198" priority="891"/>
  </conditionalFormatting>
  <conditionalFormatting sqref="W32">
    <cfRule type="duplicateValues" dxfId="197" priority="906"/>
  </conditionalFormatting>
  <conditionalFormatting sqref="W33">
    <cfRule type="duplicateValues" dxfId="196" priority="855"/>
  </conditionalFormatting>
  <conditionalFormatting sqref="W38">
    <cfRule type="duplicateValues" dxfId="195" priority="754"/>
  </conditionalFormatting>
  <conditionalFormatting sqref="W40">
    <cfRule type="duplicateValues" dxfId="194" priority="762"/>
  </conditionalFormatting>
  <conditionalFormatting sqref="W41">
    <cfRule type="duplicateValues" dxfId="193" priority="819"/>
  </conditionalFormatting>
  <conditionalFormatting sqref="W44">
    <cfRule type="duplicateValues" dxfId="192" priority="834"/>
  </conditionalFormatting>
  <conditionalFormatting sqref="W49">
    <cfRule type="duplicateValues" dxfId="191" priority="917"/>
  </conditionalFormatting>
  <conditionalFormatting sqref="W50">
    <cfRule type="duplicateValues" dxfId="190" priority="750"/>
  </conditionalFormatting>
  <conditionalFormatting sqref="W53">
    <cfRule type="duplicateValues" dxfId="189" priority="876"/>
  </conditionalFormatting>
  <conditionalFormatting sqref="W57">
    <cfRule type="duplicateValues" dxfId="188" priority="903"/>
  </conditionalFormatting>
  <conditionalFormatting sqref="W58">
    <cfRule type="duplicateValues" dxfId="187" priority="792"/>
  </conditionalFormatting>
  <conditionalFormatting sqref="W62">
    <cfRule type="duplicateValues" dxfId="186" priority="846"/>
  </conditionalFormatting>
  <conditionalFormatting sqref="W64">
    <cfRule type="duplicateValues" dxfId="185" priority="732"/>
  </conditionalFormatting>
  <conditionalFormatting sqref="W65">
    <cfRule type="duplicateValues" dxfId="184" priority="720"/>
  </conditionalFormatting>
  <conditionalFormatting sqref="W70">
    <cfRule type="duplicateValues" dxfId="183" priority="840"/>
  </conditionalFormatting>
  <conditionalFormatting sqref="W71">
    <cfRule type="duplicateValues" dxfId="182" priority="777"/>
  </conditionalFormatting>
  <conditionalFormatting sqref="W73">
    <cfRule type="duplicateValues" dxfId="181" priority="861"/>
  </conditionalFormatting>
  <conditionalFormatting sqref="W75">
    <cfRule type="duplicateValues" dxfId="180" priority="735"/>
  </conditionalFormatting>
  <conditionalFormatting sqref="W83">
    <cfRule type="duplicateValues" dxfId="179" priority="798"/>
  </conditionalFormatting>
  <conditionalFormatting sqref="W86">
    <cfRule type="duplicateValues" dxfId="178" priority="692"/>
  </conditionalFormatting>
  <conditionalFormatting sqref="W253">
    <cfRule type="duplicateValues" dxfId="177" priority="29"/>
  </conditionalFormatting>
  <conditionalFormatting sqref="W325">
    <cfRule type="duplicateValues" dxfId="176" priority="35"/>
  </conditionalFormatting>
  <conditionalFormatting sqref="W336">
    <cfRule type="duplicateValues" dxfId="175" priority="9"/>
  </conditionalFormatting>
  <conditionalFormatting sqref="W658">
    <cfRule type="duplicateValues" dxfId="174" priority="236"/>
  </conditionalFormatting>
  <conditionalFormatting sqref="W659">
    <cfRule type="duplicateValues" dxfId="173" priority="232"/>
  </conditionalFormatting>
  <conditionalFormatting sqref="W660">
    <cfRule type="duplicateValues" dxfId="172" priority="68"/>
  </conditionalFormatting>
  <conditionalFormatting sqref="W661">
    <cfRule type="duplicateValues" dxfId="171" priority="128"/>
  </conditionalFormatting>
  <conditionalFormatting sqref="W662">
    <cfRule type="duplicateValues" dxfId="170" priority="166"/>
  </conditionalFormatting>
  <conditionalFormatting sqref="W663">
    <cfRule type="duplicateValues" dxfId="169" priority="162"/>
  </conditionalFormatting>
  <conditionalFormatting sqref="W664">
    <cfRule type="duplicateValues" dxfId="168" priority="161"/>
  </conditionalFormatting>
  <conditionalFormatting sqref="W665">
    <cfRule type="duplicateValues" dxfId="167" priority="160"/>
  </conditionalFormatting>
  <conditionalFormatting sqref="W666:W668">
    <cfRule type="duplicateValues" dxfId="166" priority="159"/>
  </conditionalFormatting>
  <conditionalFormatting sqref="W669">
    <cfRule type="duplicateValues" dxfId="165" priority="2753"/>
  </conditionalFormatting>
  <conditionalFormatting sqref="W670:W671">
    <cfRule type="duplicateValues" dxfId="164" priority="154"/>
  </conditionalFormatting>
  <conditionalFormatting sqref="W672">
    <cfRule type="duplicateValues" dxfId="163" priority="153"/>
  </conditionalFormatting>
  <conditionalFormatting sqref="W673">
    <cfRule type="duplicateValues" dxfId="162" priority="152"/>
  </conditionalFormatting>
  <conditionalFormatting sqref="W674">
    <cfRule type="duplicateValues" dxfId="161" priority="150"/>
  </conditionalFormatting>
  <conditionalFormatting sqref="W675">
    <cfRule type="duplicateValues" dxfId="160" priority="149"/>
  </conditionalFormatting>
  <conditionalFormatting sqref="W676">
    <cfRule type="duplicateValues" dxfId="159" priority="148"/>
  </conditionalFormatting>
  <conditionalFormatting sqref="W677">
    <cfRule type="duplicateValues" dxfId="158" priority="144"/>
  </conditionalFormatting>
  <conditionalFormatting sqref="W678">
    <cfRule type="duplicateValues" dxfId="157" priority="142"/>
  </conditionalFormatting>
  <conditionalFormatting sqref="W679">
    <cfRule type="duplicateValues" dxfId="156" priority="140"/>
  </conditionalFormatting>
  <conditionalFormatting sqref="W680">
    <cfRule type="duplicateValues" dxfId="155" priority="139"/>
  </conditionalFormatting>
  <conditionalFormatting sqref="W681">
    <cfRule type="duplicateValues" dxfId="154" priority="138"/>
  </conditionalFormatting>
  <conditionalFormatting sqref="W682">
    <cfRule type="duplicateValues" dxfId="153" priority="136"/>
  </conditionalFormatting>
  <conditionalFormatting sqref="W683">
    <cfRule type="duplicateValues" dxfId="152" priority="135"/>
  </conditionalFormatting>
  <conditionalFormatting sqref="W684">
    <cfRule type="duplicateValues" dxfId="151" priority="132"/>
  </conditionalFormatting>
  <conditionalFormatting sqref="W685">
    <cfRule type="duplicateValues" dxfId="150" priority="130"/>
  </conditionalFormatting>
  <conditionalFormatting sqref="W686">
    <cfRule type="duplicateValues" dxfId="149" priority="129"/>
  </conditionalFormatting>
  <conditionalFormatting sqref="W687">
    <cfRule type="duplicateValues" dxfId="148" priority="126"/>
  </conditionalFormatting>
  <conditionalFormatting sqref="W688">
    <cfRule type="duplicateValues" dxfId="147" priority="123"/>
  </conditionalFormatting>
  <conditionalFormatting sqref="W689:W690">
    <cfRule type="duplicateValues" dxfId="146" priority="120"/>
  </conditionalFormatting>
  <conditionalFormatting sqref="W691">
    <cfRule type="duplicateValues" dxfId="145" priority="114"/>
  </conditionalFormatting>
  <conditionalFormatting sqref="W692">
    <cfRule type="duplicateValues" dxfId="144" priority="112"/>
  </conditionalFormatting>
  <conditionalFormatting sqref="W693">
    <cfRule type="duplicateValues" dxfId="143" priority="111"/>
  </conditionalFormatting>
  <conditionalFormatting sqref="W694">
    <cfRule type="duplicateValues" dxfId="142" priority="110"/>
  </conditionalFormatting>
  <conditionalFormatting sqref="W698">
    <cfRule type="duplicateValues" dxfId="141" priority="108"/>
  </conditionalFormatting>
  <conditionalFormatting sqref="W699">
    <cfRule type="duplicateValues" dxfId="140" priority="107"/>
  </conditionalFormatting>
  <conditionalFormatting sqref="W700:W701">
    <cfRule type="duplicateValues" dxfId="139" priority="106"/>
  </conditionalFormatting>
  <conditionalFormatting sqref="W702:W704">
    <cfRule type="duplicateValues" dxfId="138" priority="105"/>
  </conditionalFormatting>
  <conditionalFormatting sqref="W705">
    <cfRule type="duplicateValues" dxfId="137" priority="104"/>
  </conditionalFormatting>
  <conditionalFormatting sqref="W706">
    <cfRule type="duplicateValues" dxfId="136" priority="102"/>
  </conditionalFormatting>
  <conditionalFormatting sqref="W707">
    <cfRule type="duplicateValues" dxfId="135" priority="100"/>
  </conditionalFormatting>
  <conditionalFormatting sqref="W708">
    <cfRule type="duplicateValues" dxfId="134" priority="98"/>
  </conditionalFormatting>
  <conditionalFormatting sqref="W709">
    <cfRule type="duplicateValues" dxfId="133" priority="96"/>
  </conditionalFormatting>
  <conditionalFormatting sqref="W710">
    <cfRule type="duplicateValues" dxfId="132" priority="95"/>
  </conditionalFormatting>
  <conditionalFormatting sqref="W711">
    <cfRule type="duplicateValues" dxfId="131" priority="93"/>
  </conditionalFormatting>
  <conditionalFormatting sqref="W712">
    <cfRule type="duplicateValues" dxfId="130" priority="92"/>
  </conditionalFormatting>
  <conditionalFormatting sqref="W713">
    <cfRule type="duplicateValues" dxfId="129" priority="91"/>
  </conditionalFormatting>
  <conditionalFormatting sqref="W714">
    <cfRule type="duplicateValues" dxfId="128" priority="90"/>
  </conditionalFormatting>
  <conditionalFormatting sqref="W715">
    <cfRule type="duplicateValues" dxfId="127" priority="89"/>
  </conditionalFormatting>
  <conditionalFormatting sqref="W716:W717">
    <cfRule type="duplicateValues" dxfId="126" priority="86"/>
  </conditionalFormatting>
  <conditionalFormatting sqref="W718:W719">
    <cfRule type="duplicateValues" dxfId="125" priority="83"/>
  </conditionalFormatting>
  <conditionalFormatting sqref="W720:W722">
    <cfRule type="duplicateValues" dxfId="124" priority="82"/>
  </conditionalFormatting>
  <conditionalFormatting sqref="W723:W726">
    <cfRule type="duplicateValues" dxfId="123" priority="81"/>
  </conditionalFormatting>
  <conditionalFormatting sqref="W727:W731">
    <cfRule type="duplicateValues" dxfId="122" priority="79"/>
  </conditionalFormatting>
  <conditionalFormatting sqref="W732">
    <cfRule type="duplicateValues" dxfId="121" priority="77"/>
  </conditionalFormatting>
  <conditionalFormatting sqref="W733">
    <cfRule type="duplicateValues" dxfId="120" priority="76"/>
  </conditionalFormatting>
  <conditionalFormatting sqref="W734:W736">
    <cfRule type="duplicateValues" dxfId="119" priority="75"/>
  </conditionalFormatting>
  <conditionalFormatting sqref="W737">
    <cfRule type="duplicateValues" dxfId="118" priority="73"/>
  </conditionalFormatting>
  <conditionalFormatting sqref="W738">
    <cfRule type="duplicateValues" dxfId="117" priority="70"/>
  </conditionalFormatting>
  <conditionalFormatting sqref="W739">
    <cfRule type="duplicateValues" dxfId="116" priority="69"/>
  </conditionalFormatting>
  <conditionalFormatting sqref="W742">
    <cfRule type="duplicateValues" dxfId="115" priority="67"/>
  </conditionalFormatting>
  <conditionalFormatting sqref="W746">
    <cfRule type="duplicateValues" dxfId="114" priority="66"/>
  </conditionalFormatting>
  <conditionalFormatting sqref="W747:W748">
    <cfRule type="duplicateValues" dxfId="113" priority="65"/>
  </conditionalFormatting>
  <conditionalFormatting sqref="W749">
    <cfRule type="duplicateValues" dxfId="112" priority="63"/>
  </conditionalFormatting>
  <conditionalFormatting sqref="W750">
    <cfRule type="duplicateValues" dxfId="111" priority="62"/>
  </conditionalFormatting>
  <conditionalFormatting sqref="W752">
    <cfRule type="duplicateValues" dxfId="110" priority="61"/>
  </conditionalFormatting>
  <conditionalFormatting sqref="W753">
    <cfRule type="duplicateValues" dxfId="109" priority="60"/>
  </conditionalFormatting>
  <conditionalFormatting sqref="W754">
    <cfRule type="duplicateValues" dxfId="108" priority="58"/>
    <cfRule type="duplicateValues" dxfId="107" priority="59"/>
  </conditionalFormatting>
  <conditionalFormatting sqref="W755">
    <cfRule type="duplicateValues" dxfId="106" priority="56"/>
    <cfRule type="duplicateValues" dxfId="105" priority="57"/>
  </conditionalFormatting>
  <conditionalFormatting sqref="W756">
    <cfRule type="duplicateValues" dxfId="104" priority="53"/>
    <cfRule type="duplicateValues" dxfId="103" priority="54"/>
  </conditionalFormatting>
  <conditionalFormatting sqref="W757">
    <cfRule type="duplicateValues" dxfId="102" priority="51"/>
    <cfRule type="duplicateValues" dxfId="101" priority="52"/>
  </conditionalFormatting>
  <conditionalFormatting sqref="W758">
    <cfRule type="duplicateValues" dxfId="100" priority="49"/>
    <cfRule type="duplicateValues" dxfId="99" priority="50"/>
  </conditionalFormatting>
  <conditionalFormatting sqref="W759">
    <cfRule type="duplicateValues" dxfId="98" priority="47"/>
    <cfRule type="duplicateValues" dxfId="97" priority="48"/>
  </conditionalFormatting>
  <conditionalFormatting sqref="W760">
    <cfRule type="duplicateValues" dxfId="96" priority="45"/>
    <cfRule type="duplicateValues" dxfId="95" priority="46"/>
  </conditionalFormatting>
  <conditionalFormatting sqref="W761:W763">
    <cfRule type="duplicateValues" dxfId="94" priority="43"/>
    <cfRule type="duplicateValues" dxfId="93" priority="44"/>
  </conditionalFormatting>
  <conditionalFormatting sqref="W774:W776">
    <cfRule type="duplicateValues" dxfId="92" priority="36"/>
  </conditionalFormatting>
  <conditionalFormatting sqref="W777">
    <cfRule type="duplicateValues" dxfId="91" priority="34"/>
  </conditionalFormatting>
  <conditionalFormatting sqref="W778">
    <cfRule type="duplicateValues" dxfId="90" priority="33"/>
  </conditionalFormatting>
  <conditionalFormatting sqref="W779">
    <cfRule type="duplicateValues" dxfId="89" priority="32"/>
  </conditionalFormatting>
  <conditionalFormatting sqref="W780">
    <cfRule type="duplicateValues" dxfId="88" priority="31"/>
  </conditionalFormatting>
  <conditionalFormatting sqref="W782">
    <cfRule type="duplicateValues" dxfId="87" priority="30"/>
  </conditionalFormatting>
  <conditionalFormatting sqref="W783">
    <cfRule type="duplicateValues" dxfId="86" priority="28"/>
  </conditionalFormatting>
  <conditionalFormatting sqref="W784">
    <cfRule type="duplicateValues" dxfId="85" priority="27"/>
  </conditionalFormatting>
  <conditionalFormatting sqref="W786">
    <cfRule type="duplicateValues" dxfId="84" priority="26"/>
  </conditionalFormatting>
  <conditionalFormatting sqref="W789">
    <cfRule type="duplicateValues" dxfId="83" priority="25"/>
  </conditionalFormatting>
  <conditionalFormatting sqref="W790">
    <cfRule type="duplicateValues" dxfId="82" priority="24"/>
  </conditionalFormatting>
  <conditionalFormatting sqref="W795">
    <cfRule type="duplicateValues" dxfId="81" priority="23"/>
  </conditionalFormatting>
  <conditionalFormatting sqref="W797">
    <cfRule type="duplicateValues" dxfId="80" priority="22"/>
  </conditionalFormatting>
  <conditionalFormatting sqref="W798">
    <cfRule type="duplicateValues" dxfId="79" priority="21"/>
  </conditionalFormatting>
  <conditionalFormatting sqref="W800:W801">
    <cfRule type="duplicateValues" dxfId="78" priority="20"/>
  </conditionalFormatting>
  <conditionalFormatting sqref="W802">
    <cfRule type="duplicateValues" dxfId="77" priority="19"/>
  </conditionalFormatting>
  <conditionalFormatting sqref="W804">
    <cfRule type="duplicateValues" dxfId="76" priority="18"/>
  </conditionalFormatting>
  <conditionalFormatting sqref="W808:W809">
    <cfRule type="duplicateValues" dxfId="75" priority="17"/>
  </conditionalFormatting>
  <conditionalFormatting sqref="W814">
    <cfRule type="duplicateValues" dxfId="74" priority="16"/>
  </conditionalFormatting>
  <conditionalFormatting sqref="W816">
    <cfRule type="duplicateValues" dxfId="73" priority="15"/>
  </conditionalFormatting>
  <conditionalFormatting sqref="W817">
    <cfRule type="duplicateValues" dxfId="72" priority="14"/>
  </conditionalFormatting>
  <conditionalFormatting sqref="W818">
    <cfRule type="duplicateValues" dxfId="71" priority="13"/>
  </conditionalFormatting>
  <conditionalFormatting sqref="W820">
    <cfRule type="duplicateValues" dxfId="70" priority="12"/>
  </conditionalFormatting>
  <conditionalFormatting sqref="W825">
    <cfRule type="duplicateValues" dxfId="69" priority="11"/>
  </conditionalFormatting>
  <conditionalFormatting sqref="W841">
    <cfRule type="duplicateValues" dxfId="68" priority="8"/>
  </conditionalFormatting>
  <conditionalFormatting sqref="W843">
    <cfRule type="duplicateValues" dxfId="67" priority="7"/>
  </conditionalFormatting>
  <conditionalFormatting sqref="W849">
    <cfRule type="duplicateValues" dxfId="66" priority="6"/>
  </conditionalFormatting>
  <conditionalFormatting sqref="W855">
    <cfRule type="duplicateValues" dxfId="65" priority="4"/>
  </conditionalFormatting>
  <conditionalFormatting sqref="X9">
    <cfRule type="duplicateValues" dxfId="64" priority="895"/>
    <cfRule type="duplicateValues" dxfId="63" priority="896"/>
  </conditionalFormatting>
  <conditionalFormatting sqref="X10">
    <cfRule type="duplicateValues" dxfId="62" priority="886"/>
    <cfRule type="duplicateValues" dxfId="61" priority="887"/>
  </conditionalFormatting>
  <conditionalFormatting sqref="X20">
    <cfRule type="duplicateValues" dxfId="60" priority="796"/>
    <cfRule type="duplicateValues" dxfId="59" priority="797"/>
  </conditionalFormatting>
  <conditionalFormatting sqref="X25">
    <cfRule type="duplicateValues" dxfId="58" priority="935"/>
    <cfRule type="duplicateValues" dxfId="57" priority="936"/>
  </conditionalFormatting>
  <conditionalFormatting sqref="X30">
    <cfRule type="duplicateValues" dxfId="56" priority="892"/>
    <cfRule type="duplicateValues" dxfId="55" priority="893"/>
  </conditionalFormatting>
  <conditionalFormatting sqref="X32">
    <cfRule type="duplicateValues" dxfId="54" priority="907"/>
    <cfRule type="duplicateValues" dxfId="53" priority="908"/>
  </conditionalFormatting>
  <conditionalFormatting sqref="X33">
    <cfRule type="duplicateValues" dxfId="52" priority="856"/>
    <cfRule type="duplicateValues" dxfId="51" priority="857"/>
  </conditionalFormatting>
  <conditionalFormatting sqref="X38">
    <cfRule type="duplicateValues" dxfId="50" priority="755"/>
    <cfRule type="duplicateValues" dxfId="49" priority="756"/>
    <cfRule type="duplicateValues" dxfId="48" priority="757"/>
  </conditionalFormatting>
  <conditionalFormatting sqref="X40">
    <cfRule type="duplicateValues" dxfId="47" priority="763"/>
    <cfRule type="duplicateValues" dxfId="46" priority="764"/>
    <cfRule type="duplicateValues" dxfId="45" priority="765"/>
  </conditionalFormatting>
  <conditionalFormatting sqref="X41">
    <cfRule type="duplicateValues" dxfId="44" priority="820"/>
    <cfRule type="duplicateValues" dxfId="43" priority="821"/>
  </conditionalFormatting>
  <conditionalFormatting sqref="X44">
    <cfRule type="duplicateValues" dxfId="42" priority="835"/>
    <cfRule type="duplicateValues" dxfId="41" priority="836"/>
  </conditionalFormatting>
  <conditionalFormatting sqref="X49">
    <cfRule type="duplicateValues" dxfId="40" priority="918"/>
    <cfRule type="duplicateValues" dxfId="39" priority="919"/>
  </conditionalFormatting>
  <conditionalFormatting sqref="X50">
    <cfRule type="duplicateValues" dxfId="38" priority="751"/>
    <cfRule type="duplicateValues" dxfId="37" priority="752"/>
    <cfRule type="duplicateValues" dxfId="36" priority="753"/>
  </conditionalFormatting>
  <conditionalFormatting sqref="X53">
    <cfRule type="duplicateValues" dxfId="35" priority="877"/>
    <cfRule type="duplicateValues" dxfId="34" priority="878"/>
  </conditionalFormatting>
  <conditionalFormatting sqref="X57">
    <cfRule type="duplicateValues" dxfId="33" priority="904"/>
    <cfRule type="duplicateValues" dxfId="32" priority="905"/>
  </conditionalFormatting>
  <conditionalFormatting sqref="X58">
    <cfRule type="duplicateValues" dxfId="31" priority="793"/>
    <cfRule type="duplicateValues" dxfId="30" priority="794"/>
  </conditionalFormatting>
  <conditionalFormatting sqref="X62">
    <cfRule type="duplicateValues" dxfId="29" priority="847"/>
    <cfRule type="duplicateValues" dxfId="28" priority="848"/>
  </conditionalFormatting>
  <conditionalFormatting sqref="X64">
    <cfRule type="duplicateValues" dxfId="27" priority="733"/>
    <cfRule type="duplicateValues" dxfId="26" priority="734"/>
  </conditionalFormatting>
  <conditionalFormatting sqref="X65">
    <cfRule type="duplicateValues" dxfId="25" priority="721"/>
    <cfRule type="duplicateValues" dxfId="24" priority="722"/>
    <cfRule type="duplicateValues" dxfId="23" priority="723"/>
  </conditionalFormatting>
  <conditionalFormatting sqref="X658">
    <cfRule type="duplicateValues" dxfId="22" priority="237"/>
    <cfRule type="duplicateValues" dxfId="21" priority="238"/>
    <cfRule type="duplicateValues" dxfId="20" priority="239"/>
  </conditionalFormatting>
  <conditionalFormatting sqref="X659">
    <cfRule type="duplicateValues" dxfId="19" priority="233"/>
    <cfRule type="duplicateValues" dxfId="18" priority="234"/>
    <cfRule type="duplicateValues" dxfId="17" priority="235"/>
  </conditionalFormatting>
  <conditionalFormatting sqref="X662">
    <cfRule type="duplicateValues" dxfId="16" priority="167"/>
    <cfRule type="duplicateValues" dxfId="15" priority="168"/>
    <cfRule type="duplicateValues" dxfId="14" priority="169"/>
  </conditionalFormatting>
  <conditionalFormatting sqref="X663">
    <cfRule type="duplicateValues" dxfId="13" priority="163"/>
    <cfRule type="duplicateValues" dxfId="12" priority="164"/>
    <cfRule type="duplicateValues" dxfId="11" priority="165"/>
  </conditionalFormatting>
  <conditionalFormatting sqref="X688">
    <cfRule type="duplicateValues" dxfId="10" priority="124"/>
    <cfRule type="duplicateValues" dxfId="9" priority="125"/>
  </conditionalFormatting>
  <conditionalFormatting sqref="X689:X690">
    <cfRule type="duplicateValues" dxfId="8" priority="121"/>
    <cfRule type="duplicateValues" dxfId="7" priority="122"/>
  </conditionalFormatting>
  <conditionalFormatting sqref="X691">
    <cfRule type="duplicateValues" dxfId="6" priority="115"/>
    <cfRule type="duplicateValues" dxfId="5" priority="116"/>
  </conditionalFormatting>
  <conditionalFormatting sqref="X718:X719">
    <cfRule type="duplicateValues" dxfId="4" priority="84"/>
    <cfRule type="duplicateValues" dxfId="3" priority="85"/>
  </conditionalFormatting>
  <conditionalFormatting sqref="W879">
    <cfRule type="duplicateValues" dxfId="2" priority="3"/>
  </conditionalFormatting>
  <conditionalFormatting sqref="W880">
    <cfRule type="duplicateValues" dxfId="1" priority="2"/>
  </conditionalFormatting>
  <conditionalFormatting sqref="W881:W884">
    <cfRule type="duplicateValues" dxfId="0" priority="1"/>
  </conditionalFormatting>
  <hyperlinks>
    <hyperlink ref="L356" r:id="rId1" xr:uid="{E078BB33-C0A1-4D1E-ABE7-208F4B2084D5}"/>
    <hyperlink ref="L869" r:id="rId2" xr:uid="{CA9D5B66-66F3-4612-A603-264D10285517}"/>
    <hyperlink ref="L873" r:id="rId3" xr:uid="{C9AC915D-82C1-4554-BE30-A32BE3A7A2C0}"/>
  </hyperlinks>
  <pageMargins left="0.7" right="0.7" top="0.75" bottom="0.75" header="0.3" footer="0.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1609-CD16-4664-8A35-158C60493B5B}">
  <sheetPr>
    <tabColor rgb="FF6FFFE8"/>
  </sheetPr>
  <dimension ref="A1:AH998"/>
  <sheetViews>
    <sheetView zoomScaleNormal="100" workbookViewId="0">
      <pane ySplit="2" topLeftCell="A471" activePane="bottomLeft" state="frozen"/>
      <selection activeCell="M771" sqref="M771"/>
      <selection pane="bottomLeft" activeCell="C892" sqref="C892"/>
    </sheetView>
  </sheetViews>
  <sheetFormatPr defaultRowHeight="14.4"/>
  <cols>
    <col min="1" max="1" width="35.109375" customWidth="1"/>
    <col min="2" max="7" width="18.109375" customWidth="1"/>
    <col min="8" max="8" width="30.109375" customWidth="1"/>
    <col min="9" max="9" width="9.88671875" customWidth="1"/>
    <col min="10" max="14" width="30.5546875" hidden="1" customWidth="1"/>
    <col min="15" max="15" width="21.33203125" customWidth="1"/>
    <col min="16" max="16" width="17.6640625" customWidth="1"/>
    <col min="17" max="25" width="30.5546875" hidden="1" customWidth="1"/>
    <col min="26" max="26" width="11" customWidth="1"/>
    <col min="27" max="27" width="7.88671875" customWidth="1"/>
    <col min="28" max="28" width="17.109375" customWidth="1"/>
    <col min="29" max="29" width="23.5546875" customWidth="1"/>
    <col min="30" max="30" width="22.88671875" customWidth="1"/>
    <col min="31" max="33" width="32.5546875" customWidth="1"/>
    <col min="34" max="34" width="20.109375" customWidth="1"/>
  </cols>
  <sheetData>
    <row r="1" spans="1:34" ht="43.35" customHeight="1">
      <c r="A1" s="119" t="s">
        <v>22</v>
      </c>
      <c r="B1" s="63"/>
      <c r="C1" s="122" t="s">
        <v>4398</v>
      </c>
      <c r="D1" s="123" t="s">
        <v>4400</v>
      </c>
      <c r="E1" s="123"/>
      <c r="F1" s="79"/>
      <c r="G1" s="79"/>
      <c r="H1" s="124" t="s">
        <v>4403</v>
      </c>
      <c r="I1" s="124" t="s">
        <v>1169</v>
      </c>
      <c r="J1" s="124" t="s">
        <v>1172</v>
      </c>
      <c r="K1" s="124" t="s">
        <v>1177</v>
      </c>
      <c r="L1" s="124"/>
      <c r="M1" s="124" t="s">
        <v>1226</v>
      </c>
      <c r="N1" s="124" t="s">
        <v>19</v>
      </c>
      <c r="O1" s="94"/>
      <c r="P1" s="94"/>
      <c r="Q1" s="123" t="s">
        <v>4223</v>
      </c>
      <c r="R1" s="123"/>
      <c r="S1" s="123"/>
      <c r="T1" s="123"/>
      <c r="U1" s="123"/>
      <c r="V1" s="123"/>
      <c r="W1" s="123"/>
      <c r="X1" s="123"/>
      <c r="Y1" s="123"/>
      <c r="Z1" s="124" t="s">
        <v>4404</v>
      </c>
      <c r="AA1" s="124"/>
      <c r="AB1" s="123" t="s">
        <v>17</v>
      </c>
      <c r="AC1" s="123" t="s">
        <v>497</v>
      </c>
      <c r="AD1" s="123" t="s">
        <v>488</v>
      </c>
      <c r="AE1" s="123" t="s">
        <v>412</v>
      </c>
      <c r="AF1" s="123" t="s">
        <v>502</v>
      </c>
      <c r="AG1" s="123" t="s">
        <v>490</v>
      </c>
      <c r="AH1" s="123" t="s">
        <v>3122</v>
      </c>
    </row>
    <row r="2" spans="1:34" ht="52.65" customHeight="1">
      <c r="A2" s="119"/>
      <c r="B2" s="63" t="s">
        <v>5029</v>
      </c>
      <c r="C2" s="122"/>
      <c r="D2" s="68" t="s">
        <v>4401</v>
      </c>
      <c r="E2" s="68" t="s">
        <v>14</v>
      </c>
      <c r="F2" s="68" t="s">
        <v>8144</v>
      </c>
      <c r="G2" s="68" t="s">
        <v>14</v>
      </c>
      <c r="H2" s="66" t="s">
        <v>4402</v>
      </c>
      <c r="I2" s="66" t="s">
        <v>14</v>
      </c>
      <c r="J2" s="69" t="s">
        <v>4372</v>
      </c>
      <c r="K2" s="69" t="s">
        <v>1177</v>
      </c>
      <c r="L2" s="69" t="s">
        <v>4370</v>
      </c>
      <c r="M2" s="69" t="s">
        <v>1175</v>
      </c>
      <c r="N2" s="69" t="s">
        <v>4371</v>
      </c>
      <c r="O2" s="66" t="s">
        <v>8496</v>
      </c>
      <c r="P2" s="66" t="s">
        <v>14</v>
      </c>
      <c r="Q2" s="70" t="s">
        <v>4321</v>
      </c>
      <c r="R2" s="70" t="s">
        <v>4326</v>
      </c>
      <c r="S2" s="70" t="s">
        <v>4319</v>
      </c>
      <c r="T2" s="70" t="s">
        <v>4326</v>
      </c>
      <c r="U2" s="70" t="s">
        <v>4324</v>
      </c>
      <c r="V2" s="70" t="s">
        <v>4326</v>
      </c>
      <c r="W2" s="70" t="s">
        <v>4323</v>
      </c>
      <c r="X2" s="70" t="s">
        <v>4322</v>
      </c>
      <c r="Y2" s="70" t="s">
        <v>4327</v>
      </c>
      <c r="Z2" s="66" t="s">
        <v>4405</v>
      </c>
      <c r="AA2" s="66" t="s">
        <v>14</v>
      </c>
      <c r="AB2" s="68" t="s">
        <v>3115</v>
      </c>
      <c r="AC2" s="68" t="s">
        <v>497</v>
      </c>
      <c r="AD2" s="68" t="s">
        <v>488</v>
      </c>
      <c r="AE2" s="68" t="s">
        <v>412</v>
      </c>
      <c r="AF2" s="68" t="s">
        <v>502</v>
      </c>
      <c r="AG2" s="68" t="s">
        <v>490</v>
      </c>
      <c r="AH2" s="68" t="s">
        <v>3122</v>
      </c>
    </row>
    <row r="3" spans="1:34" ht="15">
      <c r="A3" s="100" t="s">
        <v>3930</v>
      </c>
      <c r="B3" t="str">
        <f>IF(COUNTIF(HCPs!M:M,HCP_evidence!A3)&gt;0,"Yes","No")</f>
        <v>Yes</v>
      </c>
      <c r="H3" s="74" t="s">
        <v>5030</v>
      </c>
      <c r="I3" t="s">
        <v>4136</v>
      </c>
      <c r="J3" t="s">
        <v>4399</v>
      </c>
      <c r="K3" t="s">
        <v>4399</v>
      </c>
      <c r="L3" t="s">
        <v>414</v>
      </c>
      <c r="M3" t="s">
        <v>4399</v>
      </c>
      <c r="N3" t="s">
        <v>414</v>
      </c>
    </row>
    <row r="4" spans="1:34" ht="15">
      <c r="A4" t="s">
        <v>7971</v>
      </c>
      <c r="B4" t="str">
        <f>IF(COUNTIF(HCPs!M:M,HCP_evidence!A4)&gt;0,"Yes","No")</f>
        <v>Yes</v>
      </c>
      <c r="F4" t="s">
        <v>8136</v>
      </c>
      <c r="G4" t="s">
        <v>7926</v>
      </c>
    </row>
    <row r="5" spans="1:34" ht="15">
      <c r="A5" t="s">
        <v>420</v>
      </c>
      <c r="B5" t="str">
        <f>IF(COUNTIF(HCPs!M:M,HCP_evidence!A5)&gt;0,"Yes","No")</f>
        <v>Yes</v>
      </c>
      <c r="L5" t="s">
        <v>414</v>
      </c>
      <c r="AE5" t="s">
        <v>503</v>
      </c>
    </row>
    <row r="6" spans="1:34" ht="15">
      <c r="A6" t="s">
        <v>1114</v>
      </c>
      <c r="B6" t="str">
        <f>IF(COUNTIF(HCPs!M:M,HCP_evidence!A6)&gt;0,"Yes","No")</f>
        <v>Yes</v>
      </c>
      <c r="H6" s="75" t="s">
        <v>892</v>
      </c>
      <c r="I6" t="s">
        <v>1170</v>
      </c>
      <c r="K6" t="s">
        <v>414</v>
      </c>
      <c r="L6" t="s">
        <v>414</v>
      </c>
    </row>
    <row r="7" spans="1:34" ht="15">
      <c r="A7" s="95" t="s">
        <v>3932</v>
      </c>
      <c r="B7" t="str">
        <f>IF(COUNTIF(HCPs!M:M,HCP_evidence!A7)&gt;0,"Yes","No")</f>
        <v>Yes</v>
      </c>
      <c r="H7" s="95" t="s">
        <v>5033</v>
      </c>
      <c r="I7" t="s">
        <v>4140</v>
      </c>
      <c r="J7" t="s">
        <v>4399</v>
      </c>
      <c r="K7" t="s">
        <v>4399</v>
      </c>
      <c r="L7" t="s">
        <v>414</v>
      </c>
      <c r="M7" t="s">
        <v>4399</v>
      </c>
      <c r="N7" t="s">
        <v>414</v>
      </c>
    </row>
    <row r="8" spans="1:34" ht="15">
      <c r="A8" s="100" t="s">
        <v>3933</v>
      </c>
      <c r="B8" t="str">
        <f>IF(COUNTIF(HCPs!M:M,HCP_evidence!A8)&gt;0,"Yes","No")</f>
        <v>Yes</v>
      </c>
      <c r="H8" s="74" t="s">
        <v>5030</v>
      </c>
      <c r="I8" t="s">
        <v>4136</v>
      </c>
      <c r="J8" t="s">
        <v>4399</v>
      </c>
      <c r="K8" t="s">
        <v>4399</v>
      </c>
      <c r="L8" t="s">
        <v>414</v>
      </c>
      <c r="M8" t="s">
        <v>4399</v>
      </c>
      <c r="N8" t="s">
        <v>414</v>
      </c>
    </row>
    <row r="9" spans="1:34" ht="15">
      <c r="A9" t="s">
        <v>3933</v>
      </c>
      <c r="B9" t="str">
        <f>IF(COUNTIF(HCPs!M:M,HCP_evidence!A9)&gt;0,"Yes","No")</f>
        <v>Yes</v>
      </c>
      <c r="F9" t="s">
        <v>8136</v>
      </c>
      <c r="G9" t="s">
        <v>7926</v>
      </c>
    </row>
    <row r="10" spans="1:34">
      <c r="A10" t="s">
        <v>3933</v>
      </c>
      <c r="B10" t="str">
        <f>IF(COUNTIF(HCPs!M:M,HCP_evidence!A10)&gt;0,"Yes","No")</f>
        <v>Yes</v>
      </c>
      <c r="Z10" t="s">
        <v>8476</v>
      </c>
      <c r="AA10" t="s">
        <v>8477</v>
      </c>
    </row>
    <row r="11" spans="1:34" ht="15">
      <c r="A11" t="s">
        <v>496</v>
      </c>
      <c r="B11" t="str">
        <f>IF(COUNTIF(HCPs!M:M,HCP_evidence!A11)&gt;0,"Yes","No")</f>
        <v>Yes</v>
      </c>
      <c r="L11" t="s">
        <v>414</v>
      </c>
      <c r="AC11" t="s">
        <v>498</v>
      </c>
    </row>
    <row r="12" spans="1:34" ht="15">
      <c r="A12" s="100" t="s">
        <v>3934</v>
      </c>
      <c r="B12" t="str">
        <f>IF(COUNTIF(HCPs!M:M,HCP_evidence!A12)&gt;0,"Yes","No")</f>
        <v>Yes</v>
      </c>
      <c r="H12" s="74" t="s">
        <v>5030</v>
      </c>
      <c r="I12" t="s">
        <v>4136</v>
      </c>
      <c r="J12" t="s">
        <v>4399</v>
      </c>
      <c r="K12" t="s">
        <v>4399</v>
      </c>
      <c r="L12" t="s">
        <v>414</v>
      </c>
      <c r="M12" t="s">
        <v>4399</v>
      </c>
      <c r="N12" t="s">
        <v>414</v>
      </c>
    </row>
    <row r="13" spans="1:34" ht="15">
      <c r="A13" t="s">
        <v>3934</v>
      </c>
      <c r="B13" t="str">
        <f>IF(COUNTIF(HCPs!M:M,HCP_evidence!A13)&gt;0,"Yes","No")</f>
        <v>Yes</v>
      </c>
      <c r="D13" t="s">
        <v>8136</v>
      </c>
      <c r="E13" t="s">
        <v>7926</v>
      </c>
    </row>
    <row r="14" spans="1:34">
      <c r="A14" t="s">
        <v>3934</v>
      </c>
      <c r="B14" t="str">
        <f>IF(COUNTIF(HCPs!M:M,HCP_evidence!A14)&gt;0,"Yes","No")</f>
        <v>Yes</v>
      </c>
      <c r="Z14" t="s">
        <v>8118</v>
      </c>
      <c r="AA14" t="s">
        <v>8111</v>
      </c>
    </row>
    <row r="15" spans="1:34">
      <c r="A15" t="s">
        <v>3934</v>
      </c>
      <c r="B15" t="str">
        <f>IF(COUNTIF(HCPs!M:M,HCP_evidence!A15)&gt;0,"Yes","No")</f>
        <v>Yes</v>
      </c>
      <c r="Z15" t="s">
        <v>8126</v>
      </c>
      <c r="AA15" t="s">
        <v>8111</v>
      </c>
    </row>
    <row r="16" spans="1:34" ht="15">
      <c r="A16" t="s">
        <v>3934</v>
      </c>
      <c r="B16" t="str">
        <f>IF(COUNTIF(HCPs!M:M,HCP_evidence!A16)&gt;0,"Yes","No")</f>
        <v>Yes</v>
      </c>
      <c r="F16" t="s">
        <v>8137</v>
      </c>
      <c r="G16" t="s">
        <v>8138</v>
      </c>
    </row>
    <row r="17" spans="1:32" ht="15">
      <c r="A17" t="s">
        <v>1131</v>
      </c>
      <c r="B17" t="str">
        <f>IF(COUNTIF(HCPs!M:M,HCP_evidence!A17)&gt;0,"Yes","No")</f>
        <v>Yes</v>
      </c>
      <c r="H17" s="75" t="s">
        <v>892</v>
      </c>
      <c r="I17" s="9" t="s">
        <v>1170</v>
      </c>
      <c r="K17" t="s">
        <v>414</v>
      </c>
      <c r="L17" t="s">
        <v>414</v>
      </c>
    </row>
    <row r="18" spans="1:32" ht="15">
      <c r="A18" s="74" t="s">
        <v>3935</v>
      </c>
      <c r="B18" t="str">
        <f>IF(COUNTIF(HCPs!M:M,HCP_evidence!A18)&gt;0,"Yes","No")</f>
        <v>Yes</v>
      </c>
      <c r="H18" s="74" t="s">
        <v>5030</v>
      </c>
      <c r="I18" t="s">
        <v>4136</v>
      </c>
      <c r="J18" t="s">
        <v>4399</v>
      </c>
      <c r="K18" t="s">
        <v>4399</v>
      </c>
      <c r="L18" t="s">
        <v>414</v>
      </c>
      <c r="M18" t="s">
        <v>4399</v>
      </c>
      <c r="N18" t="s">
        <v>414</v>
      </c>
    </row>
    <row r="19" spans="1:32">
      <c r="A19" t="s">
        <v>3935</v>
      </c>
      <c r="B19" t="str">
        <f>IF(COUNTIF(HCPs!M:M,HCP_evidence!A19)&gt;0,"Yes","No")</f>
        <v>Yes</v>
      </c>
      <c r="Z19" t="s">
        <v>8179</v>
      </c>
      <c r="AA19" t="s">
        <v>8178</v>
      </c>
    </row>
    <row r="20" spans="1:32" ht="15">
      <c r="A20" t="s">
        <v>1160</v>
      </c>
      <c r="B20" t="str">
        <f>IF(COUNTIF(HCPs!M:M,HCP_evidence!A20)&gt;0,"Yes","No")</f>
        <v>Yes</v>
      </c>
      <c r="H20" s="75" t="s">
        <v>990</v>
      </c>
      <c r="I20" t="s">
        <v>1170</v>
      </c>
      <c r="K20" t="s">
        <v>414</v>
      </c>
      <c r="L20" t="s">
        <v>414</v>
      </c>
    </row>
    <row r="21" spans="1:32" ht="15">
      <c r="A21" t="s">
        <v>4278</v>
      </c>
      <c r="B21" t="str">
        <f>IF(COUNTIF(HCPs!M:M,HCP_evidence!A21)&gt;0,"Yes","No")</f>
        <v>Yes</v>
      </c>
      <c r="H21" s="75" t="s">
        <v>801</v>
      </c>
      <c r="I21" t="s">
        <v>1170</v>
      </c>
      <c r="L21" t="s">
        <v>414</v>
      </c>
    </row>
    <row r="22" spans="1:32" ht="15">
      <c r="A22" t="s">
        <v>4278</v>
      </c>
      <c r="B22" t="str">
        <f>IF(COUNTIF(HCPs!M:M,HCP_evidence!A22)&gt;0,"Yes","No")</f>
        <v>Yes</v>
      </c>
      <c r="L22" t="s">
        <v>414</v>
      </c>
      <c r="AF22" t="s">
        <v>519</v>
      </c>
    </row>
    <row r="23" spans="1:32" ht="15">
      <c r="A23" s="13" t="s">
        <v>4278</v>
      </c>
      <c r="B23" t="str">
        <f>IF(COUNTIF(HCPs!M:M,HCP_evidence!A888)&gt;0,"Yes","No")</f>
        <v>Yes</v>
      </c>
      <c r="H23" t="s">
        <v>8626</v>
      </c>
      <c r="I23" t="s">
        <v>8627</v>
      </c>
    </row>
    <row r="24" spans="1:32" ht="15">
      <c r="A24" t="s">
        <v>3936</v>
      </c>
      <c r="B24" t="str">
        <f>IF(COUNTIF(HCPs!M:M,HCP_evidence!A23)&gt;0,"Yes","No")</f>
        <v>Yes</v>
      </c>
      <c r="J24" t="s">
        <v>4399</v>
      </c>
      <c r="K24" t="s">
        <v>4399</v>
      </c>
      <c r="L24" t="s">
        <v>414</v>
      </c>
      <c r="M24" t="s">
        <v>4399</v>
      </c>
      <c r="N24" t="s">
        <v>414</v>
      </c>
      <c r="O24" t="s">
        <v>5034</v>
      </c>
      <c r="P24" t="s">
        <v>4141</v>
      </c>
    </row>
    <row r="25" spans="1:32" ht="15">
      <c r="A25" t="s">
        <v>3936</v>
      </c>
      <c r="B25" t="str">
        <f>IF(COUNTIF(HCPs!M:M,HCP_evidence!A24)&gt;0,"Yes","No")</f>
        <v>Yes</v>
      </c>
      <c r="J25" t="s">
        <v>4399</v>
      </c>
      <c r="K25" t="s">
        <v>4399</v>
      </c>
      <c r="L25" t="s">
        <v>414</v>
      </c>
      <c r="M25" t="s">
        <v>4399</v>
      </c>
      <c r="N25" t="s">
        <v>414</v>
      </c>
      <c r="O25" t="s">
        <v>5034</v>
      </c>
      <c r="P25" t="s">
        <v>4141</v>
      </c>
    </row>
    <row r="26" spans="1:32" ht="15">
      <c r="A26" t="s">
        <v>4328</v>
      </c>
      <c r="B26" t="str">
        <f>IF(COUNTIF(HCPs!M:M,HCP_evidence!A25)&gt;0,"Yes","No")</f>
        <v>Yes</v>
      </c>
      <c r="H26" s="80" t="s">
        <v>1224</v>
      </c>
      <c r="I26" t="s">
        <v>1225</v>
      </c>
      <c r="L26" t="s">
        <v>414</v>
      </c>
      <c r="M26" t="s">
        <v>414</v>
      </c>
    </row>
    <row r="27" spans="1:32" ht="15">
      <c r="A27" t="s">
        <v>1153</v>
      </c>
      <c r="B27" t="str">
        <f>IF(COUNTIF(HCPs!M:M,HCP_evidence!A26)&gt;0,"Yes","No")</f>
        <v>No</v>
      </c>
      <c r="H27" s="75" t="s">
        <v>990</v>
      </c>
      <c r="I27" t="s">
        <v>1170</v>
      </c>
      <c r="K27" t="s">
        <v>414</v>
      </c>
      <c r="L27" t="s">
        <v>414</v>
      </c>
    </row>
    <row r="28" spans="1:32" ht="15">
      <c r="A28" t="s">
        <v>1092</v>
      </c>
      <c r="B28" t="str">
        <f>IF(COUNTIF(HCPs!M:M,HCP_evidence!A27)&gt;0,"Yes","No")</f>
        <v>Yes</v>
      </c>
      <c r="H28" s="80" t="s">
        <v>1187</v>
      </c>
      <c r="I28" t="s">
        <v>1191</v>
      </c>
      <c r="K28" t="s">
        <v>414</v>
      </c>
      <c r="L28" t="s">
        <v>414</v>
      </c>
    </row>
    <row r="29" spans="1:32" ht="15">
      <c r="A29" t="s">
        <v>1092</v>
      </c>
      <c r="B29" t="str">
        <f>IF(COUNTIF(HCPs!M:M,HCP_evidence!A28)&gt;0,"Yes","No")</f>
        <v>Yes</v>
      </c>
      <c r="H29" s="75" t="s">
        <v>990</v>
      </c>
      <c r="I29" t="s">
        <v>1170</v>
      </c>
      <c r="K29" t="s">
        <v>414</v>
      </c>
      <c r="L29" t="s">
        <v>414</v>
      </c>
    </row>
    <row r="30" spans="1:32" ht="15">
      <c r="A30" s="13" t="s">
        <v>1092</v>
      </c>
      <c r="B30" t="str">
        <f>IF(COUNTIF(HCPs!M:M,HCP_evidence!A29)&gt;0,"Yes","No")</f>
        <v>Yes</v>
      </c>
      <c r="H30" s="95" t="s">
        <v>1286</v>
      </c>
      <c r="I30" t="s">
        <v>1287</v>
      </c>
      <c r="K30" t="s">
        <v>414</v>
      </c>
      <c r="L30" t="s">
        <v>414</v>
      </c>
    </row>
    <row r="31" spans="1:32" ht="15">
      <c r="A31" t="s">
        <v>1092</v>
      </c>
      <c r="B31" t="str">
        <f>IF(COUNTIF(HCPs!M:M,HCP_evidence!A30)&gt;0,"Yes","No")</f>
        <v>Yes</v>
      </c>
      <c r="J31" t="s">
        <v>414</v>
      </c>
      <c r="K31" t="s">
        <v>414</v>
      </c>
      <c r="L31" t="s">
        <v>414</v>
      </c>
      <c r="M31" t="s">
        <v>4399</v>
      </c>
      <c r="N31" t="s">
        <v>4399</v>
      </c>
      <c r="O31" t="s">
        <v>5037</v>
      </c>
      <c r="P31" t="s">
        <v>4144</v>
      </c>
    </row>
    <row r="32" spans="1:32" ht="15">
      <c r="A32" t="s">
        <v>1092</v>
      </c>
      <c r="B32" t="str">
        <f>IF(COUNTIF(HCPs!M:M,HCP_evidence!A31)&gt;0,"Yes","No")</f>
        <v>Yes</v>
      </c>
      <c r="H32" s="75" t="s">
        <v>801</v>
      </c>
      <c r="I32" t="s">
        <v>1170</v>
      </c>
      <c r="L32" t="s">
        <v>414</v>
      </c>
    </row>
    <row r="33" spans="1:31" ht="15">
      <c r="A33" t="s">
        <v>1092</v>
      </c>
      <c r="B33" t="str">
        <f>IF(COUNTIF(HCPs!M:M,HCP_evidence!A32)&gt;0,"Yes","No")</f>
        <v>Yes</v>
      </c>
      <c r="H33" s="80" t="s">
        <v>1196</v>
      </c>
      <c r="I33" t="s">
        <v>1197</v>
      </c>
      <c r="J33" t="s">
        <v>414</v>
      </c>
      <c r="K33" t="s">
        <v>414</v>
      </c>
      <c r="L33" t="s">
        <v>414</v>
      </c>
      <c r="N33" t="s">
        <v>414</v>
      </c>
    </row>
    <row r="34" spans="1:31" ht="15">
      <c r="A34" t="s">
        <v>1092</v>
      </c>
      <c r="B34" t="str">
        <f>IF(COUNTIF(HCPs!M:M,HCP_evidence!A33)&gt;0,"Yes","No")</f>
        <v>Yes</v>
      </c>
      <c r="H34" s="13" t="s">
        <v>5036</v>
      </c>
      <c r="I34" t="s">
        <v>4143</v>
      </c>
      <c r="J34" t="s">
        <v>4399</v>
      </c>
      <c r="K34" t="s">
        <v>414</v>
      </c>
      <c r="L34" t="s">
        <v>414</v>
      </c>
      <c r="M34" t="s">
        <v>4399</v>
      </c>
      <c r="N34" t="s">
        <v>414</v>
      </c>
    </row>
    <row r="35" spans="1:31">
      <c r="A35" t="s">
        <v>1092</v>
      </c>
      <c r="B35" t="str">
        <f>IF(COUNTIF(HCPs!M:M,HCP_evidence!A34)&gt;0,"Yes","No")</f>
        <v>Yes</v>
      </c>
      <c r="Z35" t="s">
        <v>8185</v>
      </c>
      <c r="AA35" t="s">
        <v>8178</v>
      </c>
    </row>
    <row r="36" spans="1:31">
      <c r="A36" t="s">
        <v>1092</v>
      </c>
      <c r="B36" t="str">
        <f>IF(COUNTIF(HCPs!M:M,HCP_evidence!A35)&gt;0,"Yes","No")</f>
        <v>Yes</v>
      </c>
      <c r="Z36" t="s">
        <v>8187</v>
      </c>
      <c r="AA36" t="s">
        <v>8178</v>
      </c>
    </row>
    <row r="37" spans="1:31" ht="15">
      <c r="A37" t="s">
        <v>3937</v>
      </c>
      <c r="B37" t="str">
        <f>IF(COUNTIF(HCPs!M:M,HCP_evidence!A36)&gt;0,"Yes","No")</f>
        <v>Yes</v>
      </c>
      <c r="J37" t="s">
        <v>4399</v>
      </c>
      <c r="K37" t="s">
        <v>4399</v>
      </c>
      <c r="L37" t="s">
        <v>414</v>
      </c>
      <c r="M37" t="s">
        <v>414</v>
      </c>
      <c r="N37" t="s">
        <v>4399</v>
      </c>
      <c r="O37" t="s">
        <v>5038</v>
      </c>
      <c r="P37" t="s">
        <v>4145</v>
      </c>
    </row>
    <row r="38" spans="1:31" ht="15">
      <c r="A38" t="s">
        <v>1101</v>
      </c>
      <c r="B38" t="str">
        <f>IF(COUNTIF(HCPs!M:M,HCP_evidence!A37)&gt;0,"Yes","No")</f>
        <v>Yes</v>
      </c>
      <c r="H38" s="75" t="s">
        <v>801</v>
      </c>
      <c r="I38" t="s">
        <v>1170</v>
      </c>
      <c r="L38" t="s">
        <v>414</v>
      </c>
    </row>
    <row r="39" spans="1:31" ht="15">
      <c r="A39" t="s">
        <v>1095</v>
      </c>
      <c r="B39" t="str">
        <f>IF(COUNTIF(HCPs!M:M,HCP_evidence!A38)&gt;0,"Yes","No")</f>
        <v>Yes</v>
      </c>
      <c r="H39" s="75" t="s">
        <v>801</v>
      </c>
      <c r="I39" t="s">
        <v>1170</v>
      </c>
      <c r="L39" t="s">
        <v>414</v>
      </c>
    </row>
    <row r="40" spans="1:31" ht="15">
      <c r="A40" t="s">
        <v>1100</v>
      </c>
      <c r="B40" t="str">
        <f>IF(COUNTIF(HCPs!M:M,HCP_evidence!A39)&gt;0,"Yes","No")</f>
        <v>Yes</v>
      </c>
      <c r="H40" s="75" t="s">
        <v>801</v>
      </c>
      <c r="I40" t="s">
        <v>1170</v>
      </c>
      <c r="L40" t="s">
        <v>414</v>
      </c>
    </row>
    <row r="41" spans="1:31" ht="15">
      <c r="A41" s="74" t="s">
        <v>1159</v>
      </c>
      <c r="B41" t="str">
        <f>IF(COUNTIF(HCPs!M:M,HCP_evidence!A40)&gt;0,"Yes","No")</f>
        <v>No</v>
      </c>
      <c r="H41" s="74" t="s">
        <v>990</v>
      </c>
      <c r="I41" t="s">
        <v>1170</v>
      </c>
      <c r="K41" t="s">
        <v>414</v>
      </c>
      <c r="L41" t="s">
        <v>414</v>
      </c>
    </row>
    <row r="42" spans="1:31" ht="15">
      <c r="A42" s="74" t="s">
        <v>1159</v>
      </c>
      <c r="B42" t="str">
        <f>IF(COUNTIF(HCPs!M:M,HCP_evidence!A41)&gt;0,"Yes","No")</f>
        <v>Yes</v>
      </c>
      <c r="H42" s="74" t="s">
        <v>5039</v>
      </c>
      <c r="I42" t="s">
        <v>4146</v>
      </c>
      <c r="J42" t="s">
        <v>4399</v>
      </c>
      <c r="K42" t="s">
        <v>4399</v>
      </c>
      <c r="L42" t="s">
        <v>414</v>
      </c>
      <c r="M42" t="s">
        <v>4399</v>
      </c>
      <c r="N42" t="s">
        <v>414</v>
      </c>
    </row>
    <row r="43" spans="1:31" ht="15">
      <c r="A43" s="74" t="s">
        <v>1159</v>
      </c>
      <c r="B43" t="str">
        <f>IF(COUNTIF(HCPs!M:M,HCP_evidence!A42)&gt;0,"Yes","No")</f>
        <v>Yes</v>
      </c>
      <c r="H43" s="74" t="s">
        <v>5039</v>
      </c>
      <c r="I43" t="s">
        <v>4146</v>
      </c>
      <c r="J43" t="s">
        <v>4399</v>
      </c>
      <c r="K43" t="s">
        <v>4399</v>
      </c>
      <c r="L43" t="s">
        <v>414</v>
      </c>
      <c r="M43" t="s">
        <v>4399</v>
      </c>
      <c r="N43" t="s">
        <v>414</v>
      </c>
    </row>
    <row r="44" spans="1:31" ht="15">
      <c r="A44" t="s">
        <v>3938</v>
      </c>
      <c r="B44" t="str">
        <f>IF(COUNTIF(HCPs!M:M,HCP_evidence!A43)&gt;0,"Yes","No")</f>
        <v>Yes</v>
      </c>
      <c r="J44" t="s">
        <v>4399</v>
      </c>
      <c r="K44" t="s">
        <v>4399</v>
      </c>
      <c r="L44" t="s">
        <v>414</v>
      </c>
      <c r="M44" t="s">
        <v>4399</v>
      </c>
      <c r="N44" t="s">
        <v>414</v>
      </c>
      <c r="O44" t="s">
        <v>5040</v>
      </c>
      <c r="P44" t="s">
        <v>4147</v>
      </c>
    </row>
    <row r="45" spans="1:31" ht="15">
      <c r="A45" t="s">
        <v>452</v>
      </c>
      <c r="B45" t="str">
        <f>IF(COUNTIF(HCPs!M:M,HCP_evidence!A44)&gt;0,"Yes","No")</f>
        <v>Yes</v>
      </c>
      <c r="L45" t="s">
        <v>414</v>
      </c>
      <c r="AE45" t="s">
        <v>503</v>
      </c>
    </row>
    <row r="46" spans="1:31" ht="15">
      <c r="A46" t="s">
        <v>446</v>
      </c>
      <c r="B46" t="str">
        <f>IF(COUNTIF(HCPs!M:M,HCP_evidence!A45)&gt;0,"Yes","No")</f>
        <v>Yes</v>
      </c>
      <c r="L46" t="s">
        <v>414</v>
      </c>
      <c r="AE46" t="s">
        <v>503</v>
      </c>
    </row>
    <row r="47" spans="1:31" ht="15">
      <c r="A47" t="s">
        <v>3939</v>
      </c>
      <c r="B47" t="str">
        <f>IF(COUNTIF(HCPs!M:M,HCP_evidence!A46)&gt;0,"Yes","No")</f>
        <v>Yes</v>
      </c>
      <c r="J47" t="s">
        <v>4399</v>
      </c>
      <c r="K47" t="s">
        <v>414</v>
      </c>
      <c r="L47" t="s">
        <v>414</v>
      </c>
      <c r="M47" t="s">
        <v>4399</v>
      </c>
      <c r="N47" t="s">
        <v>414</v>
      </c>
      <c r="O47" t="s">
        <v>5041</v>
      </c>
      <c r="P47" t="s">
        <v>4148</v>
      </c>
    </row>
    <row r="48" spans="1:31" ht="15">
      <c r="A48" t="s">
        <v>1123</v>
      </c>
      <c r="B48" t="str">
        <f>IF(COUNTIF(HCPs!M:M,HCP_evidence!A47)&gt;0,"Yes","No")</f>
        <v>Yes</v>
      </c>
      <c r="H48" s="75" t="s">
        <v>892</v>
      </c>
      <c r="I48" t="s">
        <v>1170</v>
      </c>
      <c r="K48" t="s">
        <v>414</v>
      </c>
      <c r="L48" t="s">
        <v>414</v>
      </c>
    </row>
    <row r="49" spans="1:34" ht="15">
      <c r="A49" s="95" t="s">
        <v>510</v>
      </c>
      <c r="B49" t="str">
        <f>IF(COUNTIF(HCPs!M:M,HCP_evidence!A48)&gt;0,"Yes","No")</f>
        <v>Yes</v>
      </c>
      <c r="H49" s="95" t="s">
        <v>1286</v>
      </c>
      <c r="I49" t="s">
        <v>1287</v>
      </c>
      <c r="K49" t="s">
        <v>414</v>
      </c>
      <c r="L49" t="s">
        <v>414</v>
      </c>
    </row>
    <row r="50" spans="1:34" ht="15">
      <c r="A50" s="95" t="s">
        <v>510</v>
      </c>
      <c r="B50" t="str">
        <f>IF(COUNTIF(HCPs!M:M,HCP_evidence!A49)&gt;0,"Yes","No")</f>
        <v>Yes</v>
      </c>
      <c r="H50" s="95" t="s">
        <v>5042</v>
      </c>
      <c r="I50" t="s">
        <v>4149</v>
      </c>
      <c r="J50" t="s">
        <v>4399</v>
      </c>
      <c r="K50" t="s">
        <v>4399</v>
      </c>
      <c r="L50" t="s">
        <v>414</v>
      </c>
      <c r="M50" t="s">
        <v>4399</v>
      </c>
      <c r="N50" t="s">
        <v>414</v>
      </c>
    </row>
    <row r="51" spans="1:34" ht="15">
      <c r="A51" s="95" t="s">
        <v>510</v>
      </c>
      <c r="B51" t="str">
        <f>IF(COUNTIF(HCPs!M:M,HCP_evidence!A50)&gt;0,"Yes","No")</f>
        <v>Yes</v>
      </c>
      <c r="H51" s="95" t="s">
        <v>5046</v>
      </c>
      <c r="I51" t="s">
        <v>4153</v>
      </c>
      <c r="J51" t="s">
        <v>4399</v>
      </c>
      <c r="K51" t="s">
        <v>4399</v>
      </c>
      <c r="L51" t="s">
        <v>414</v>
      </c>
      <c r="M51" t="s">
        <v>4399</v>
      </c>
      <c r="N51" t="s">
        <v>4399</v>
      </c>
    </row>
    <row r="52" spans="1:34" ht="15">
      <c r="A52" s="95" t="s">
        <v>510</v>
      </c>
      <c r="B52" t="str">
        <f>IF(COUNTIF(HCPs!M:M,HCP_evidence!A51)&gt;0,"Yes","No")</f>
        <v>Yes</v>
      </c>
      <c r="H52" s="95" t="s">
        <v>801</v>
      </c>
      <c r="I52" t="s">
        <v>1170</v>
      </c>
      <c r="L52" t="s">
        <v>414</v>
      </c>
    </row>
    <row r="53" spans="1:34" ht="15">
      <c r="A53" t="s">
        <v>510</v>
      </c>
      <c r="B53" t="str">
        <f>IF(COUNTIF(HCPs!M:M,HCP_evidence!A52)&gt;0,"Yes","No")</f>
        <v>Yes</v>
      </c>
      <c r="L53" t="s">
        <v>414</v>
      </c>
      <c r="AF53" t="s">
        <v>519</v>
      </c>
    </row>
    <row r="54" spans="1:34" ht="15">
      <c r="A54" t="s">
        <v>3940</v>
      </c>
      <c r="B54" t="str">
        <f>IF(COUNTIF(HCPs!M:M,HCP_evidence!A53)&gt;0,"Yes","No")</f>
        <v>Yes</v>
      </c>
      <c r="J54" t="s">
        <v>4399</v>
      </c>
      <c r="K54" t="s">
        <v>4399</v>
      </c>
      <c r="L54" t="s">
        <v>414</v>
      </c>
      <c r="M54" t="s">
        <v>4399</v>
      </c>
      <c r="N54" t="s">
        <v>414</v>
      </c>
      <c r="O54" t="s">
        <v>5040</v>
      </c>
      <c r="P54" t="s">
        <v>4147</v>
      </c>
    </row>
    <row r="55" spans="1:34" ht="15">
      <c r="A55" t="s">
        <v>3126</v>
      </c>
      <c r="B55" t="str">
        <f>IF(COUNTIF(HCPs!M:M,HCP_evidence!A54)&gt;0,"Yes","No")</f>
        <v>Yes</v>
      </c>
      <c r="L55" t="s">
        <v>414</v>
      </c>
      <c r="AH55" t="s">
        <v>3125</v>
      </c>
    </row>
    <row r="56" spans="1:34" ht="15">
      <c r="A56" t="s">
        <v>1117</v>
      </c>
      <c r="B56" t="str">
        <f>IF(COUNTIF(HCPs!M:M,HCP_evidence!A55)&gt;0,"Yes","No")</f>
        <v>Yes</v>
      </c>
      <c r="H56" s="75" t="s">
        <v>892</v>
      </c>
      <c r="I56" t="s">
        <v>1170</v>
      </c>
      <c r="K56" t="s">
        <v>414</v>
      </c>
      <c r="L56" t="s">
        <v>414</v>
      </c>
    </row>
    <row r="57" spans="1:34" ht="15">
      <c r="A57" t="s">
        <v>1179</v>
      </c>
      <c r="B57" t="str">
        <f>IF(COUNTIF(HCPs!M:M,HCP_evidence!A56)&gt;0,"Yes","No")</f>
        <v>Yes</v>
      </c>
      <c r="H57" s="80" t="s">
        <v>1178</v>
      </c>
      <c r="I57" s="9" t="s">
        <v>1182</v>
      </c>
      <c r="J57" t="s">
        <v>414</v>
      </c>
      <c r="K57" t="s">
        <v>414</v>
      </c>
      <c r="L57" t="s">
        <v>414</v>
      </c>
      <c r="M57" t="s">
        <v>414</v>
      </c>
    </row>
    <row r="58" spans="1:34" ht="15">
      <c r="A58" t="s">
        <v>3941</v>
      </c>
      <c r="B58" t="str">
        <f>IF(COUNTIF(HCPs!M:M,HCP_evidence!A57)&gt;0,"Yes","No")</f>
        <v>Yes</v>
      </c>
      <c r="O58" t="s">
        <v>5045</v>
      </c>
      <c r="P58" t="s">
        <v>4152</v>
      </c>
      <c r="Q58" t="s">
        <v>4399</v>
      </c>
      <c r="R58" t="s">
        <v>4399</v>
      </c>
      <c r="S58" t="s">
        <v>414</v>
      </c>
      <c r="T58" t="s">
        <v>4399</v>
      </c>
      <c r="U58" t="s">
        <v>414</v>
      </c>
    </row>
    <row r="59" spans="1:34" ht="15">
      <c r="A59" t="s">
        <v>3941</v>
      </c>
      <c r="B59" t="str">
        <f>IF(COUNTIF(HCPs!M:M,HCP_evidence!A58)&gt;0,"Yes","No")</f>
        <v>Yes</v>
      </c>
      <c r="J59" t="s">
        <v>4399</v>
      </c>
      <c r="K59" t="s">
        <v>414</v>
      </c>
      <c r="L59" t="s">
        <v>414</v>
      </c>
      <c r="M59" t="s">
        <v>4399</v>
      </c>
      <c r="N59" t="s">
        <v>4399</v>
      </c>
      <c r="O59" t="s">
        <v>5044</v>
      </c>
      <c r="P59" t="s">
        <v>4151</v>
      </c>
    </row>
    <row r="60" spans="1:34" ht="15">
      <c r="A60" t="s">
        <v>1165</v>
      </c>
      <c r="B60" t="str">
        <f>IF(COUNTIF(HCPs!M:M,HCP_evidence!A59)&gt;0,"Yes","No")</f>
        <v>Yes</v>
      </c>
      <c r="H60" s="75" t="s">
        <v>990</v>
      </c>
      <c r="I60" t="s">
        <v>1170</v>
      </c>
      <c r="K60" t="s">
        <v>414</v>
      </c>
      <c r="L60" t="s">
        <v>414</v>
      </c>
    </row>
    <row r="61" spans="1:34" ht="15">
      <c r="A61" t="s">
        <v>1165</v>
      </c>
      <c r="B61" t="str">
        <f>IF(COUNTIF(HCPs!M:M,HCP_evidence!A60)&gt;0,"Yes","No")</f>
        <v>Yes</v>
      </c>
      <c r="D61" t="s">
        <v>8137</v>
      </c>
      <c r="E61" t="s">
        <v>8138</v>
      </c>
    </row>
    <row r="62" spans="1:34" ht="15">
      <c r="A62" t="s">
        <v>1165</v>
      </c>
      <c r="B62" t="str">
        <f>IF(COUNTIF(HCPs!M:M,HCP_evidence!A61)&gt;0,"Yes","No")</f>
        <v>Yes</v>
      </c>
      <c r="D62" t="s">
        <v>8173</v>
      </c>
      <c r="E62" t="s">
        <v>8174</v>
      </c>
    </row>
    <row r="63" spans="1:34" ht="15">
      <c r="A63" t="s">
        <v>3942</v>
      </c>
      <c r="B63" t="str">
        <f>IF(COUNTIF(HCPs!M:M,HCP_evidence!A62)&gt;0,"Yes","No")</f>
        <v>Yes</v>
      </c>
      <c r="O63" t="s">
        <v>5045</v>
      </c>
      <c r="P63" t="s">
        <v>4152</v>
      </c>
      <c r="Q63" t="s">
        <v>4399</v>
      </c>
      <c r="R63" t="s">
        <v>4399</v>
      </c>
      <c r="S63" t="s">
        <v>414</v>
      </c>
      <c r="T63" t="s">
        <v>4399</v>
      </c>
      <c r="U63" t="s">
        <v>414</v>
      </c>
    </row>
    <row r="64" spans="1:34" ht="15">
      <c r="A64" t="s">
        <v>7930</v>
      </c>
      <c r="B64" t="str">
        <f>IF(COUNTIF(HCPs!M:M,HCP_evidence!A63)&gt;0,"Yes","No")</f>
        <v>Yes</v>
      </c>
      <c r="D64" t="s">
        <v>8136</v>
      </c>
      <c r="E64" t="s">
        <v>7926</v>
      </c>
    </row>
    <row r="65" spans="1:34" ht="15">
      <c r="A65" t="s">
        <v>8247</v>
      </c>
      <c r="B65" t="str">
        <f>IF(COUNTIF(HCPs!M:M,HCP_evidence!A64)&gt;0,"Yes","No")</f>
        <v>Yes</v>
      </c>
      <c r="AB65" t="s">
        <v>8249</v>
      </c>
    </row>
    <row r="66" spans="1:34" ht="15">
      <c r="A66" s="95" t="s">
        <v>8364</v>
      </c>
      <c r="B66" t="str">
        <f>IF(COUNTIF(HCPs!M:M,HCP_evidence!A65)&gt;0,"Yes","No")</f>
        <v>Yes</v>
      </c>
      <c r="H66" s="95" t="s">
        <v>5047</v>
      </c>
      <c r="I66" t="s">
        <v>4154</v>
      </c>
      <c r="J66" t="s">
        <v>4399</v>
      </c>
      <c r="K66" t="s">
        <v>414</v>
      </c>
      <c r="L66" t="s">
        <v>414</v>
      </c>
      <c r="M66" t="s">
        <v>4399</v>
      </c>
      <c r="N66" t="s">
        <v>414</v>
      </c>
    </row>
    <row r="67" spans="1:34">
      <c r="A67" t="s">
        <v>8325</v>
      </c>
      <c r="B67" t="str">
        <f>IF(COUNTIF(HCPs!M:M,HCP_evidence!A66)&gt;0,"Yes","No")</f>
        <v>Yes</v>
      </c>
      <c r="Z67" t="s">
        <v>8334</v>
      </c>
      <c r="AA67" t="s">
        <v>8335</v>
      </c>
    </row>
    <row r="68" spans="1:34" ht="15">
      <c r="A68" s="13" t="s">
        <v>4726</v>
      </c>
      <c r="B68" t="str">
        <f>IF(COUNTIF(HCPs!M:M,HCP_evidence!A67)&gt;0,"Yes","No")</f>
        <v>Yes</v>
      </c>
      <c r="H68" s="13" t="s">
        <v>5046</v>
      </c>
      <c r="I68" t="s">
        <v>4153</v>
      </c>
      <c r="J68" t="s">
        <v>4399</v>
      </c>
      <c r="K68" t="s">
        <v>4399</v>
      </c>
      <c r="L68" t="s">
        <v>414</v>
      </c>
      <c r="M68" t="s">
        <v>4399</v>
      </c>
      <c r="N68" t="s">
        <v>4399</v>
      </c>
    </row>
    <row r="69" spans="1:34" ht="15">
      <c r="A69" s="13" t="s">
        <v>4726</v>
      </c>
      <c r="B69" t="str">
        <f>IF(COUNTIF(HCPs!M:M,HCP_evidence!A68)&gt;0,"Yes","No")</f>
        <v>Yes</v>
      </c>
      <c r="AB69" t="s">
        <v>8038</v>
      </c>
    </row>
    <row r="70" spans="1:34" ht="15">
      <c r="A70" t="s">
        <v>3943</v>
      </c>
      <c r="B70" t="str">
        <f>IF(COUNTIF(HCPs!M:M,HCP_evidence!A69)&gt;0,"Yes","No")</f>
        <v>Yes</v>
      </c>
      <c r="J70" t="s">
        <v>4399</v>
      </c>
      <c r="K70" t="s">
        <v>414</v>
      </c>
      <c r="L70" t="s">
        <v>414</v>
      </c>
      <c r="M70" t="s">
        <v>4399</v>
      </c>
      <c r="N70" t="s">
        <v>414</v>
      </c>
      <c r="O70" t="s">
        <v>5048</v>
      </c>
      <c r="P70" t="s">
        <v>4155</v>
      </c>
    </row>
    <row r="71" spans="1:34" ht="15">
      <c r="A71" t="s">
        <v>3943</v>
      </c>
      <c r="B71" t="str">
        <f>IF(COUNTIF(HCPs!M:M,HCP_evidence!A70)&gt;0,"Yes","No")</f>
        <v>Yes</v>
      </c>
      <c r="J71" t="s">
        <v>4399</v>
      </c>
      <c r="K71" t="s">
        <v>414</v>
      </c>
      <c r="L71" t="s">
        <v>414</v>
      </c>
      <c r="M71" t="s">
        <v>4399</v>
      </c>
      <c r="N71" t="s">
        <v>414</v>
      </c>
      <c r="O71" t="s">
        <v>5048</v>
      </c>
      <c r="P71" t="s">
        <v>4155</v>
      </c>
    </row>
    <row r="72" spans="1:34" ht="15">
      <c r="A72" t="s">
        <v>3128</v>
      </c>
      <c r="B72" t="str">
        <f>IF(COUNTIF(HCPs!M:M,HCP_evidence!A71)&gt;0,"Yes","No")</f>
        <v>Yes</v>
      </c>
      <c r="L72" t="s">
        <v>414</v>
      </c>
      <c r="AH72" t="s">
        <v>3125</v>
      </c>
    </row>
    <row r="73" spans="1:34" ht="15">
      <c r="A73" t="s">
        <v>8390</v>
      </c>
      <c r="B73" t="str">
        <f>IF(COUNTIF(HCPs!M:M,HCP_evidence!A72)&gt;0,"Yes","No")</f>
        <v>Yes</v>
      </c>
      <c r="AB73" t="s">
        <v>8392</v>
      </c>
    </row>
    <row r="74" spans="1:34" ht="15">
      <c r="A74" t="s">
        <v>4356</v>
      </c>
      <c r="B74" t="str">
        <f>IF(COUNTIF(HCPs!M:M,HCP_evidence!A73)&gt;0,"Yes","No")</f>
        <v>Yes</v>
      </c>
      <c r="H74" s="13" t="s">
        <v>4786</v>
      </c>
      <c r="I74" t="s">
        <v>4787</v>
      </c>
    </row>
    <row r="75" spans="1:34" ht="15">
      <c r="A75" s="74" t="s">
        <v>1148</v>
      </c>
      <c r="B75" t="str">
        <f>IF(COUNTIF(HCPs!M:M,HCP_evidence!A74)&gt;0,"Yes","No")</f>
        <v>Yes</v>
      </c>
      <c r="H75" s="74" t="s">
        <v>990</v>
      </c>
      <c r="I75" t="s">
        <v>1170</v>
      </c>
      <c r="K75" t="s">
        <v>414</v>
      </c>
      <c r="L75" t="s">
        <v>414</v>
      </c>
    </row>
    <row r="76" spans="1:34" ht="15">
      <c r="A76" s="74" t="s">
        <v>1148</v>
      </c>
      <c r="B76" t="str">
        <f>IF(COUNTIF(HCPs!M:M,HCP_evidence!A75)&gt;0,"Yes","No")</f>
        <v>Yes</v>
      </c>
      <c r="H76" s="74" t="s">
        <v>5050</v>
      </c>
      <c r="I76" t="s">
        <v>4157</v>
      </c>
      <c r="J76" t="s">
        <v>4399</v>
      </c>
      <c r="K76" t="s">
        <v>4399</v>
      </c>
      <c r="L76" t="s">
        <v>414</v>
      </c>
      <c r="M76" t="s">
        <v>4399</v>
      </c>
      <c r="N76" t="s">
        <v>4399</v>
      </c>
    </row>
    <row r="77" spans="1:34" ht="15">
      <c r="A77" s="74" t="s">
        <v>1148</v>
      </c>
      <c r="B77" t="str">
        <f>IF(COUNTIF(HCPs!M:M,HCP_evidence!A76)&gt;0,"Yes","No")</f>
        <v>Yes</v>
      </c>
      <c r="H77" s="74" t="s">
        <v>5030</v>
      </c>
      <c r="I77" t="s">
        <v>4136</v>
      </c>
      <c r="J77" t="s">
        <v>4399</v>
      </c>
      <c r="K77" t="s">
        <v>4399</v>
      </c>
      <c r="L77" t="s">
        <v>414</v>
      </c>
      <c r="M77" t="s">
        <v>4399</v>
      </c>
      <c r="N77" t="s">
        <v>414</v>
      </c>
    </row>
    <row r="78" spans="1:34">
      <c r="A78" s="74" t="s">
        <v>1148</v>
      </c>
      <c r="B78" t="str">
        <f>IF(COUNTIF(HCPs!M:M,HCP_evidence!A77)&gt;0,"Yes","No")</f>
        <v>Yes</v>
      </c>
      <c r="Z78" t="s">
        <v>5133</v>
      </c>
      <c r="AA78" t="s">
        <v>5134</v>
      </c>
    </row>
    <row r="79" spans="1:34">
      <c r="A79" s="74" t="s">
        <v>1148</v>
      </c>
      <c r="B79" t="str">
        <f>IF(COUNTIF(HCPs!M:M,HCP_evidence!A78)&gt;0,"Yes","No")</f>
        <v>Yes</v>
      </c>
      <c r="Z79" t="s">
        <v>5135</v>
      </c>
      <c r="AA79" t="s">
        <v>5134</v>
      </c>
    </row>
    <row r="80" spans="1:34">
      <c r="A80" s="74" t="s">
        <v>1148</v>
      </c>
      <c r="B80" t="str">
        <f>IF(COUNTIF(HCPs!M:M,HCP_evidence!A79)&gt;0,"Yes","No")</f>
        <v>Yes</v>
      </c>
      <c r="Z80" t="s">
        <v>5143</v>
      </c>
      <c r="AA80" t="s">
        <v>5134</v>
      </c>
    </row>
    <row r="81" spans="1:31" ht="15">
      <c r="A81" t="s">
        <v>1148</v>
      </c>
      <c r="B81" t="str">
        <f>IF(COUNTIF(HCPs!M:M,HCP_evidence!A80)&gt;0,"Yes","No")</f>
        <v>Yes</v>
      </c>
      <c r="F81" t="s">
        <v>8137</v>
      </c>
      <c r="G81" t="s">
        <v>8138</v>
      </c>
    </row>
    <row r="82" spans="1:31" ht="15">
      <c r="A82" t="s">
        <v>485</v>
      </c>
      <c r="B82" t="str">
        <f>IF(COUNTIF(HCPs!M:M,HCP_evidence!A81)&gt;0,"Yes","No")</f>
        <v>Yes</v>
      </c>
      <c r="J82" t="s">
        <v>414</v>
      </c>
      <c r="K82" t="s">
        <v>414</v>
      </c>
      <c r="L82" t="s">
        <v>414</v>
      </c>
      <c r="M82" t="s">
        <v>4399</v>
      </c>
      <c r="N82" t="s">
        <v>4399</v>
      </c>
      <c r="O82" t="s">
        <v>5037</v>
      </c>
      <c r="P82" t="s">
        <v>4144</v>
      </c>
    </row>
    <row r="83" spans="1:31" ht="15">
      <c r="A83" s="13" t="s">
        <v>485</v>
      </c>
      <c r="B83" t="str">
        <f>IF(COUNTIF(HCPs!M:M,HCP_evidence!A82)&gt;0,"Yes","No")</f>
        <v>Yes</v>
      </c>
      <c r="H83" s="13"/>
      <c r="J83" t="s">
        <v>4399</v>
      </c>
      <c r="K83" t="s">
        <v>414</v>
      </c>
      <c r="L83" t="s">
        <v>414</v>
      </c>
      <c r="M83" t="s">
        <v>414</v>
      </c>
      <c r="N83" t="s">
        <v>4399</v>
      </c>
      <c r="O83" s="13" t="s">
        <v>5051</v>
      </c>
      <c r="P83" t="s">
        <v>4158</v>
      </c>
    </row>
    <row r="84" spans="1:31" ht="15">
      <c r="A84" t="s">
        <v>485</v>
      </c>
      <c r="B84" t="str">
        <f>IF(COUNTIF(HCPs!M:M,HCP_evidence!A83)&gt;0,"Yes","No")</f>
        <v>Yes</v>
      </c>
      <c r="L84" t="s">
        <v>414</v>
      </c>
      <c r="AD84" s="9" t="s">
        <v>487</v>
      </c>
    </row>
    <row r="85" spans="1:31" ht="15">
      <c r="A85" t="s">
        <v>485</v>
      </c>
      <c r="B85" t="str">
        <f>IF(COUNTIF(HCPs!M:M,HCP_evidence!A84)&gt;0,"Yes","No")</f>
        <v>Yes</v>
      </c>
      <c r="L85" t="s">
        <v>414</v>
      </c>
      <c r="AC85" t="s">
        <v>498</v>
      </c>
    </row>
    <row r="86" spans="1:31" ht="15">
      <c r="A86" t="s">
        <v>7934</v>
      </c>
      <c r="B86" t="str">
        <f>IF(COUNTIF(HCPs!M:M,HCP_evidence!A85)&gt;0,"Yes","No")</f>
        <v>Yes</v>
      </c>
      <c r="F86" t="s">
        <v>8136</v>
      </c>
      <c r="G86" t="s">
        <v>7926</v>
      </c>
    </row>
    <row r="87" spans="1:31" ht="15">
      <c r="A87" s="74" t="s">
        <v>413</v>
      </c>
      <c r="B87" t="str">
        <f>IF(COUNTIF(HCPs!M:M,HCP_evidence!A86)&gt;0,"Yes","No")</f>
        <v>Yes</v>
      </c>
      <c r="H87" s="74" t="s">
        <v>5053</v>
      </c>
      <c r="I87" t="s">
        <v>4160</v>
      </c>
      <c r="J87" t="s">
        <v>4399</v>
      </c>
      <c r="K87" t="s">
        <v>4399</v>
      </c>
      <c r="L87" t="s">
        <v>414</v>
      </c>
      <c r="M87" t="s">
        <v>4399</v>
      </c>
      <c r="N87" t="s">
        <v>4399</v>
      </c>
    </row>
    <row r="88" spans="1:31" ht="15">
      <c r="A88" s="74" t="s">
        <v>413</v>
      </c>
      <c r="B88" t="str">
        <f>IF(COUNTIF(HCPs!M:M,HCP_evidence!A87)&gt;0,"Yes","No")</f>
        <v>Yes</v>
      </c>
      <c r="H88" s="74" t="s">
        <v>5054</v>
      </c>
      <c r="I88" t="s">
        <v>4138</v>
      </c>
      <c r="J88" t="s">
        <v>4399</v>
      </c>
      <c r="K88" t="s">
        <v>4399</v>
      </c>
      <c r="L88" t="s">
        <v>414</v>
      </c>
      <c r="M88" t="s">
        <v>4399</v>
      </c>
      <c r="N88" t="s">
        <v>4399</v>
      </c>
    </row>
    <row r="89" spans="1:31" ht="15">
      <c r="A89" s="74" t="s">
        <v>413</v>
      </c>
      <c r="B89" t="str">
        <f>IF(COUNTIF(HCPs!M:M,HCP_evidence!A88)&gt;0,"Yes","No")</f>
        <v>Yes</v>
      </c>
      <c r="L89" t="s">
        <v>414</v>
      </c>
      <c r="AE89" t="s">
        <v>503</v>
      </c>
    </row>
    <row r="90" spans="1:31" ht="15">
      <c r="A90" t="s">
        <v>413</v>
      </c>
      <c r="B90" t="str">
        <f>IF(COUNTIF(HCPs!M:M,HCP_evidence!A89)&gt;0,"Yes","No")</f>
        <v>Yes</v>
      </c>
      <c r="F90" t="s">
        <v>8136</v>
      </c>
      <c r="G90" t="s">
        <v>7926</v>
      </c>
    </row>
    <row r="91" spans="1:31" ht="15">
      <c r="A91" t="s">
        <v>413</v>
      </c>
      <c r="B91" t="str">
        <f>IF(COUNTIF(HCPs!M:M,HCP_evidence!A90)&gt;0,"Yes","No")</f>
        <v>Yes</v>
      </c>
      <c r="AB91" t="s">
        <v>8295</v>
      </c>
    </row>
    <row r="92" spans="1:31" ht="15">
      <c r="A92" t="s">
        <v>4737</v>
      </c>
      <c r="B92" t="str">
        <f>IF(COUNTIF(HCPs!M:M,HCP_evidence!A91)&gt;0,"Yes","No")</f>
        <v>Yes</v>
      </c>
      <c r="F92" t="s">
        <v>8136</v>
      </c>
      <c r="G92" t="s">
        <v>7926</v>
      </c>
    </row>
    <row r="93" spans="1:31" ht="15">
      <c r="A93" t="s">
        <v>8164</v>
      </c>
      <c r="B93" t="str">
        <f>IF(COUNTIF(HCPs!M:M,HCP_evidence!A92)&gt;0,"Yes","No")</f>
        <v>Yes</v>
      </c>
      <c r="F93" t="s">
        <v>8137</v>
      </c>
      <c r="G93" t="s">
        <v>8138</v>
      </c>
    </row>
    <row r="94" spans="1:31" ht="15">
      <c r="A94" t="s">
        <v>1162</v>
      </c>
      <c r="B94" t="str">
        <f>IF(COUNTIF(HCPs!M:M,HCP_evidence!A93)&gt;0,"Yes","No")</f>
        <v>Yes</v>
      </c>
      <c r="H94" s="75" t="s">
        <v>990</v>
      </c>
      <c r="I94" t="s">
        <v>1170</v>
      </c>
      <c r="K94" t="s">
        <v>414</v>
      </c>
      <c r="L94" t="s">
        <v>414</v>
      </c>
    </row>
    <row r="95" spans="1:31" ht="15">
      <c r="A95" t="s">
        <v>1162</v>
      </c>
      <c r="B95" t="str">
        <f>IF(COUNTIF(HCPs!M:M,HCP_evidence!A94)&gt;0,"Yes","No")</f>
        <v>Yes</v>
      </c>
      <c r="D95" t="s">
        <v>8173</v>
      </c>
      <c r="E95" t="s">
        <v>8174</v>
      </c>
    </row>
    <row r="96" spans="1:31" ht="15">
      <c r="A96" t="s">
        <v>8002</v>
      </c>
      <c r="B96" t="str">
        <f>IF(COUNTIF(HCPs!M:M,HCP_evidence!A95)&gt;0,"Yes","No")</f>
        <v>Yes</v>
      </c>
      <c r="F96" t="s">
        <v>8136</v>
      </c>
      <c r="G96" t="s">
        <v>7926</v>
      </c>
    </row>
    <row r="97" spans="1:31" ht="15">
      <c r="A97" t="s">
        <v>3946</v>
      </c>
      <c r="B97" t="str">
        <f>IF(COUNTIF(HCPs!M:M,HCP_evidence!A96)&gt;0,"Yes","No")</f>
        <v>Yes</v>
      </c>
      <c r="J97" t="s">
        <v>4399</v>
      </c>
      <c r="K97" t="s">
        <v>4399</v>
      </c>
      <c r="L97" t="s">
        <v>414</v>
      </c>
      <c r="M97" t="s">
        <v>4399</v>
      </c>
      <c r="N97" t="s">
        <v>414</v>
      </c>
      <c r="O97" t="s">
        <v>5034</v>
      </c>
      <c r="P97" t="s">
        <v>4141</v>
      </c>
    </row>
    <row r="98" spans="1:31" ht="15">
      <c r="A98" t="s">
        <v>3946</v>
      </c>
      <c r="B98" t="str">
        <f>IF(COUNTIF(HCPs!M:M,HCP_evidence!A97)&gt;0,"Yes","No")</f>
        <v>Yes</v>
      </c>
      <c r="J98" t="s">
        <v>4399</v>
      </c>
      <c r="K98" t="s">
        <v>4399</v>
      </c>
      <c r="L98" t="s">
        <v>414</v>
      </c>
      <c r="M98" t="s">
        <v>4399</v>
      </c>
      <c r="N98" t="s">
        <v>414</v>
      </c>
      <c r="O98" t="s">
        <v>5034</v>
      </c>
      <c r="P98" t="s">
        <v>4141</v>
      </c>
    </row>
    <row r="99" spans="1:31">
      <c r="A99" t="s">
        <v>4352</v>
      </c>
      <c r="B99" t="str">
        <f>IF(COUNTIF(HCPs!M:M,HCP_evidence!A98)&gt;0,"Yes","No")</f>
        <v>Yes</v>
      </c>
      <c r="Z99" t="s">
        <v>5146</v>
      </c>
      <c r="AA99" t="s">
        <v>5147</v>
      </c>
    </row>
    <row r="100" spans="1:31" ht="15">
      <c r="A100" s="13" t="s">
        <v>435</v>
      </c>
      <c r="B100" t="str">
        <f>IF(COUNTIF(HCPs!M:M,HCP_evidence!A99)&gt;0,"Yes","No")</f>
        <v>Yes</v>
      </c>
      <c r="H100" s="74" t="s">
        <v>5053</v>
      </c>
      <c r="I100" t="s">
        <v>4160</v>
      </c>
      <c r="J100" t="s">
        <v>4399</v>
      </c>
      <c r="K100" t="s">
        <v>4399</v>
      </c>
      <c r="L100" t="s">
        <v>414</v>
      </c>
      <c r="M100" t="s">
        <v>4399</v>
      </c>
      <c r="N100" t="s">
        <v>4399</v>
      </c>
    </row>
    <row r="101" spans="1:31" ht="15">
      <c r="A101" s="13" t="s">
        <v>435</v>
      </c>
      <c r="B101" t="str">
        <f>IF(COUNTIF(HCPs!M:M,HCP_evidence!A100)&gt;0,"Yes","No")</f>
        <v>Yes</v>
      </c>
      <c r="D101" t="s">
        <v>8137</v>
      </c>
      <c r="E101" t="s">
        <v>8138</v>
      </c>
    </row>
    <row r="102" spans="1:31" ht="15">
      <c r="A102" s="13" t="s">
        <v>435</v>
      </c>
      <c r="B102" t="str">
        <f>IF(COUNTIF(HCPs!M:M,HCP_evidence!A101)&gt;0,"Yes","No")</f>
        <v>Yes</v>
      </c>
      <c r="F102" t="s">
        <v>8136</v>
      </c>
      <c r="G102" t="s">
        <v>7926</v>
      </c>
    </row>
    <row r="103" spans="1:31" ht="15">
      <c r="A103" s="13" t="s">
        <v>435</v>
      </c>
      <c r="B103" t="str">
        <f>IF(COUNTIF(HCPs!M:M,HCP_evidence!A102)&gt;0,"Yes","No")</f>
        <v>Yes</v>
      </c>
      <c r="D103" t="s">
        <v>8173</v>
      </c>
      <c r="E103" t="s">
        <v>8174</v>
      </c>
    </row>
    <row r="104" spans="1:31" ht="15">
      <c r="A104" s="13" t="s">
        <v>435</v>
      </c>
      <c r="B104" t="str">
        <f>IF(COUNTIF(HCPs!M:M,HCP_evidence!A103)&gt;0,"Yes","No")</f>
        <v>Yes</v>
      </c>
      <c r="L104" t="s">
        <v>414</v>
      </c>
      <c r="AE104" t="s">
        <v>503</v>
      </c>
    </row>
    <row r="105" spans="1:31" ht="15">
      <c r="A105" t="s">
        <v>429</v>
      </c>
      <c r="B105" t="str">
        <f>IF(COUNTIF(HCPs!M:M,HCP_evidence!A104)&gt;0,"Yes","No")</f>
        <v>Yes</v>
      </c>
      <c r="L105" t="s">
        <v>414</v>
      </c>
      <c r="AE105" t="s">
        <v>503</v>
      </c>
    </row>
    <row r="106" spans="1:31" ht="15">
      <c r="A106" t="s">
        <v>429</v>
      </c>
      <c r="B106" t="str">
        <f>IF(COUNTIF(HCPs!M:M,HCP_evidence!A105)&gt;0,"Yes","No")</f>
        <v>Yes</v>
      </c>
      <c r="AB106" t="s">
        <v>8298</v>
      </c>
    </row>
    <row r="107" spans="1:31" ht="15">
      <c r="A107" s="13" t="s">
        <v>506</v>
      </c>
      <c r="B107" t="str">
        <f>IF(COUNTIF(HCPs!M:M,HCP_evidence!A106)&gt;0,"Yes","No")</f>
        <v>Yes</v>
      </c>
      <c r="H107" s="75" t="s">
        <v>990</v>
      </c>
      <c r="I107" t="s">
        <v>1170</v>
      </c>
      <c r="K107" t="s">
        <v>414</v>
      </c>
      <c r="L107" t="s">
        <v>414</v>
      </c>
    </row>
    <row r="108" spans="1:31" ht="15">
      <c r="A108" s="13" t="s">
        <v>506</v>
      </c>
      <c r="B108" t="str">
        <f>IF(COUNTIF(HCPs!M:M,HCP_evidence!A107)&gt;0,"Yes","No")</f>
        <v>Yes</v>
      </c>
      <c r="H108" s="74" t="s">
        <v>1183</v>
      </c>
      <c r="I108" t="s">
        <v>1184</v>
      </c>
      <c r="K108" t="s">
        <v>414</v>
      </c>
      <c r="L108" t="s">
        <v>414</v>
      </c>
    </row>
    <row r="109" spans="1:31" ht="15">
      <c r="A109" s="13" t="s">
        <v>506</v>
      </c>
      <c r="B109" t="str">
        <f>IF(COUNTIF(HCPs!M:M,HCP_evidence!A108)&gt;0,"Yes","No")</f>
        <v>Yes</v>
      </c>
      <c r="H109" s="13" t="s">
        <v>4670</v>
      </c>
      <c r="I109" t="s">
        <v>4667</v>
      </c>
    </row>
    <row r="110" spans="1:31" ht="15">
      <c r="A110" s="13" t="s">
        <v>506</v>
      </c>
      <c r="B110" t="str">
        <f>IF(COUNTIF(HCPs!M:M,HCP_evidence!A109)&gt;0,"Yes","No")</f>
        <v>Yes</v>
      </c>
      <c r="H110" s="13" t="s">
        <v>4673</v>
      </c>
      <c r="I110" t="s">
        <v>4667</v>
      </c>
    </row>
    <row r="111" spans="1:31" ht="15">
      <c r="A111" s="13" t="s">
        <v>506</v>
      </c>
      <c r="B111" t="str">
        <f>IF(COUNTIF(HCPs!M:M,HCP_evidence!A110)&gt;0,"Yes","No")</f>
        <v>Yes</v>
      </c>
      <c r="H111" s="13" t="s">
        <v>1278</v>
      </c>
      <c r="I111" t="s">
        <v>1279</v>
      </c>
      <c r="K111" t="s">
        <v>414</v>
      </c>
      <c r="L111" t="s">
        <v>414</v>
      </c>
    </row>
    <row r="112" spans="1:31" ht="15">
      <c r="A112" s="13" t="s">
        <v>506</v>
      </c>
      <c r="B112" t="str">
        <f>IF(COUNTIF(HCPs!M:M,HCP_evidence!A111)&gt;0,"Yes","No")</f>
        <v>Yes</v>
      </c>
      <c r="H112" s="13" t="s">
        <v>5046</v>
      </c>
      <c r="I112" t="s">
        <v>4153</v>
      </c>
      <c r="J112" t="s">
        <v>4399</v>
      </c>
      <c r="K112" t="s">
        <v>4399</v>
      </c>
      <c r="L112" t="s">
        <v>414</v>
      </c>
      <c r="M112" t="s">
        <v>4399</v>
      </c>
      <c r="N112" t="s">
        <v>4399</v>
      </c>
    </row>
    <row r="113" spans="1:32" ht="15">
      <c r="A113" s="13" t="s">
        <v>506</v>
      </c>
      <c r="B113" t="str">
        <f>IF(COUNTIF(HCPs!M:M,HCP_evidence!A112)&gt;0,"Yes","No")</f>
        <v>Yes</v>
      </c>
      <c r="H113" s="75" t="s">
        <v>801</v>
      </c>
      <c r="I113" t="s">
        <v>1170</v>
      </c>
      <c r="L113" t="s">
        <v>414</v>
      </c>
    </row>
    <row r="114" spans="1:32" ht="15">
      <c r="A114" s="13" t="s">
        <v>506</v>
      </c>
      <c r="B114" t="str">
        <f>IF(COUNTIF(HCPs!M:M,HCP_evidence!A113)&gt;0,"Yes","No")</f>
        <v>Yes</v>
      </c>
      <c r="H114" s="80" t="s">
        <v>1208</v>
      </c>
      <c r="I114" t="s">
        <v>1209</v>
      </c>
      <c r="J114" t="s">
        <v>414</v>
      </c>
      <c r="K114" t="s">
        <v>414</v>
      </c>
      <c r="L114" t="s">
        <v>414</v>
      </c>
      <c r="N114" t="s">
        <v>414</v>
      </c>
    </row>
    <row r="115" spans="1:32" ht="15">
      <c r="A115" s="13" t="s">
        <v>506</v>
      </c>
      <c r="B115" t="str">
        <f>IF(COUNTIF(HCPs!M:M,HCP_evidence!A114)&gt;0,"Yes","No")</f>
        <v>Yes</v>
      </c>
      <c r="H115" s="13" t="s">
        <v>4671</v>
      </c>
      <c r="I115" t="s">
        <v>4667</v>
      </c>
    </row>
    <row r="116" spans="1:32" ht="15">
      <c r="A116" s="13" t="s">
        <v>506</v>
      </c>
      <c r="B116" t="str">
        <f>IF(COUNTIF(HCPs!M:M,HCP_evidence!A115)&gt;0,"Yes","No")</f>
        <v>Yes</v>
      </c>
      <c r="H116" s="13"/>
      <c r="J116" t="s">
        <v>4399</v>
      </c>
      <c r="K116" t="s">
        <v>414</v>
      </c>
      <c r="L116" t="s">
        <v>414</v>
      </c>
      <c r="M116" t="s">
        <v>414</v>
      </c>
      <c r="N116" t="s">
        <v>4399</v>
      </c>
      <c r="O116" s="13" t="s">
        <v>5051</v>
      </c>
      <c r="P116" t="s">
        <v>4158</v>
      </c>
    </row>
    <row r="117" spans="1:32" ht="15">
      <c r="A117" s="13" t="s">
        <v>506</v>
      </c>
      <c r="B117" t="str">
        <f>IF(COUNTIF(HCPs!M:M,HCP_evidence!A116)&gt;0,"Yes","No")</f>
        <v>Yes</v>
      </c>
      <c r="L117" t="s">
        <v>414</v>
      </c>
      <c r="AF117" t="s">
        <v>519</v>
      </c>
    </row>
    <row r="118" spans="1:32">
      <c r="A118" t="s">
        <v>8176</v>
      </c>
      <c r="B118" t="str">
        <f>IF(COUNTIF(HCPs!M:M,HCP_evidence!A117)&gt;0,"Yes","No")</f>
        <v>Yes</v>
      </c>
      <c r="Z118" t="s">
        <v>8177</v>
      </c>
      <c r="AA118" t="s">
        <v>8178</v>
      </c>
    </row>
    <row r="119" spans="1:32" ht="15">
      <c r="A119" t="s">
        <v>1124</v>
      </c>
      <c r="B119" t="str">
        <f>IF(COUNTIF(HCPs!M:M,HCP_evidence!A118)&gt;0,"Yes","No")</f>
        <v>Yes</v>
      </c>
      <c r="H119" s="75" t="s">
        <v>892</v>
      </c>
      <c r="I119" t="s">
        <v>1170</v>
      </c>
      <c r="K119" t="s">
        <v>414</v>
      </c>
      <c r="L119" t="s">
        <v>414</v>
      </c>
    </row>
    <row r="120" spans="1:32" ht="15">
      <c r="A120" t="s">
        <v>3948</v>
      </c>
      <c r="B120" t="str">
        <f>IF(COUNTIF(HCPs!M:M,HCP_evidence!A119)&gt;0,"Yes","No")</f>
        <v>Yes</v>
      </c>
      <c r="J120" t="s">
        <v>4399</v>
      </c>
      <c r="K120" t="s">
        <v>4399</v>
      </c>
      <c r="L120" t="s">
        <v>414</v>
      </c>
      <c r="M120" t="s">
        <v>4399</v>
      </c>
      <c r="N120" t="s">
        <v>4399</v>
      </c>
      <c r="O120" t="s">
        <v>5057</v>
      </c>
      <c r="P120" t="s">
        <v>4163</v>
      </c>
    </row>
    <row r="121" spans="1:32" ht="15">
      <c r="A121" t="s">
        <v>3948</v>
      </c>
      <c r="B121" t="str">
        <f>IF(COUNTIF(HCPs!M:M,HCP_evidence!A120)&gt;0,"Yes","No")</f>
        <v>Yes</v>
      </c>
      <c r="J121" t="s">
        <v>4399</v>
      </c>
      <c r="K121" t="s">
        <v>4399</v>
      </c>
      <c r="L121" t="s">
        <v>414</v>
      </c>
      <c r="M121" t="s">
        <v>4399</v>
      </c>
      <c r="N121" t="s">
        <v>4399</v>
      </c>
      <c r="O121" t="s">
        <v>5057</v>
      </c>
      <c r="P121" t="s">
        <v>4163</v>
      </c>
    </row>
    <row r="122" spans="1:32" ht="15">
      <c r="A122" t="s">
        <v>3949</v>
      </c>
      <c r="B122" t="str">
        <f>IF(COUNTIF(HCPs!M:M,HCP_evidence!A121)&gt;0,"Yes","No")</f>
        <v>Yes</v>
      </c>
      <c r="O122" t="s">
        <v>5045</v>
      </c>
      <c r="P122" t="s">
        <v>4152</v>
      </c>
      <c r="Q122" t="s">
        <v>4399</v>
      </c>
      <c r="R122" t="s">
        <v>4399</v>
      </c>
      <c r="S122" t="s">
        <v>414</v>
      </c>
      <c r="T122" t="s">
        <v>4399</v>
      </c>
      <c r="U122" t="s">
        <v>414</v>
      </c>
    </row>
    <row r="123" spans="1:32" ht="15">
      <c r="A123" t="s">
        <v>3949</v>
      </c>
      <c r="B123" t="str">
        <f>IF(COUNTIF(HCPs!M:M,HCP_evidence!A122)&gt;0,"Yes","No")</f>
        <v>Yes</v>
      </c>
      <c r="O123" t="s">
        <v>5045</v>
      </c>
      <c r="P123" t="s">
        <v>4152</v>
      </c>
      <c r="Q123" t="s">
        <v>4399</v>
      </c>
      <c r="R123" t="s">
        <v>4399</v>
      </c>
      <c r="S123" t="s">
        <v>414</v>
      </c>
      <c r="T123" t="s">
        <v>4399</v>
      </c>
      <c r="U123" t="s">
        <v>414</v>
      </c>
    </row>
    <row r="124" spans="1:32" ht="15">
      <c r="A124" t="s">
        <v>3950</v>
      </c>
      <c r="B124" t="str">
        <f>IF(COUNTIF(HCPs!M:M,HCP_evidence!A123)&gt;0,"Yes","No")</f>
        <v>Yes</v>
      </c>
      <c r="J124" t="s">
        <v>4399</v>
      </c>
      <c r="K124" t="s">
        <v>4399</v>
      </c>
      <c r="L124" t="s">
        <v>414</v>
      </c>
      <c r="M124" t="s">
        <v>4399</v>
      </c>
      <c r="N124" t="s">
        <v>414</v>
      </c>
      <c r="O124" t="s">
        <v>5040</v>
      </c>
      <c r="P124" t="s">
        <v>4147</v>
      </c>
    </row>
    <row r="125" spans="1:32" ht="15">
      <c r="A125" t="s">
        <v>1135</v>
      </c>
      <c r="B125" t="str">
        <f>IF(COUNTIF(HCPs!M:M,HCP_evidence!A124)&gt;0,"Yes","No")</f>
        <v>Yes</v>
      </c>
      <c r="H125" s="75" t="s">
        <v>990</v>
      </c>
      <c r="I125" t="s">
        <v>1170</v>
      </c>
      <c r="K125" t="s">
        <v>414</v>
      </c>
      <c r="L125" t="s">
        <v>414</v>
      </c>
    </row>
    <row r="126" spans="1:32" ht="15">
      <c r="A126" t="s">
        <v>1135</v>
      </c>
      <c r="B126" t="str">
        <f>IF(COUNTIF(HCPs!M:M,HCP_evidence!A125)&gt;0,"Yes","No")</f>
        <v>Yes</v>
      </c>
      <c r="H126" s="75" t="s">
        <v>892</v>
      </c>
      <c r="I126" t="s">
        <v>1170</v>
      </c>
      <c r="K126" t="s">
        <v>414</v>
      </c>
      <c r="L126" t="s">
        <v>414</v>
      </c>
    </row>
    <row r="127" spans="1:32" ht="15">
      <c r="A127" t="s">
        <v>1207</v>
      </c>
      <c r="B127" t="str">
        <f>IF(COUNTIF(HCPs!M:M,HCP_evidence!A126)&gt;0,"Yes","No")</f>
        <v>Yes</v>
      </c>
      <c r="K127" t="s">
        <v>414</v>
      </c>
      <c r="L127" t="s">
        <v>414</v>
      </c>
      <c r="O127" t="s">
        <v>1203</v>
      </c>
      <c r="P127" t="s">
        <v>1204</v>
      </c>
    </row>
    <row r="128" spans="1:32" ht="15">
      <c r="A128" t="s">
        <v>1112</v>
      </c>
      <c r="B128" t="str">
        <f>IF(COUNTIF(HCPs!M:M,HCP_evidence!A127)&gt;0,"Yes","No")</f>
        <v>Yes</v>
      </c>
      <c r="H128" s="75" t="s">
        <v>892</v>
      </c>
      <c r="I128" t="s">
        <v>1170</v>
      </c>
      <c r="K128" t="s">
        <v>414</v>
      </c>
      <c r="L128" t="s">
        <v>414</v>
      </c>
    </row>
    <row r="129" spans="1:34" ht="15">
      <c r="A129" t="s">
        <v>463</v>
      </c>
      <c r="B129" t="str">
        <f>IF(COUNTIF(HCPs!M:M,HCP_evidence!A128)&gt;0,"Yes","No")</f>
        <v>Yes</v>
      </c>
      <c r="L129" t="s">
        <v>414</v>
      </c>
      <c r="AE129" t="s">
        <v>503</v>
      </c>
    </row>
    <row r="130" spans="1:34" ht="15">
      <c r="A130" t="s">
        <v>3951</v>
      </c>
      <c r="B130" t="str">
        <f>IF(COUNTIF(HCPs!M:M,HCP_evidence!A129)&gt;0,"Yes","No")</f>
        <v>Yes</v>
      </c>
      <c r="J130" t="s">
        <v>4399</v>
      </c>
      <c r="K130" t="s">
        <v>4399</v>
      </c>
      <c r="L130" t="s">
        <v>414</v>
      </c>
      <c r="M130" t="s">
        <v>4399</v>
      </c>
      <c r="N130" t="s">
        <v>4399</v>
      </c>
      <c r="O130" t="s">
        <v>5058</v>
      </c>
      <c r="P130" t="s">
        <v>4164</v>
      </c>
    </row>
    <row r="131" spans="1:34" ht="15">
      <c r="A131" t="s">
        <v>3123</v>
      </c>
      <c r="B131" t="str">
        <f>IF(COUNTIF(HCPs!M:M,HCP_evidence!A130)&gt;0,"Yes","No")</f>
        <v>Yes</v>
      </c>
      <c r="L131" t="s">
        <v>414</v>
      </c>
      <c r="AB131" s="10" t="s">
        <v>3121</v>
      </c>
      <c r="AH131" s="10"/>
    </row>
    <row r="132" spans="1:34" ht="15">
      <c r="A132" t="s">
        <v>3123</v>
      </c>
      <c r="B132" t="str">
        <f>IF(COUNTIF(HCPs!M:M,HCP_evidence!A131)&gt;0,"Yes","No")</f>
        <v>Yes</v>
      </c>
      <c r="L132" t="s">
        <v>414</v>
      </c>
      <c r="AH132" t="s">
        <v>3125</v>
      </c>
    </row>
    <row r="133" spans="1:34">
      <c r="A133" t="s">
        <v>8121</v>
      </c>
      <c r="B133" t="str">
        <f>IF(COUNTIF(HCPs!M:M,HCP_evidence!A132)&gt;0,"Yes","No")</f>
        <v>Yes</v>
      </c>
      <c r="Z133" t="s">
        <v>8119</v>
      </c>
      <c r="AA133" t="s">
        <v>8111</v>
      </c>
    </row>
    <row r="134" spans="1:34">
      <c r="A134" t="s">
        <v>8278</v>
      </c>
      <c r="B134" t="str">
        <f>IF(COUNTIF(HCPs!M:M,HCP_evidence!A133)&gt;0,"Yes","No")</f>
        <v>Yes</v>
      </c>
      <c r="Z134" t="s">
        <v>8484</v>
      </c>
      <c r="AA134" t="s">
        <v>8477</v>
      </c>
    </row>
    <row r="135" spans="1:34">
      <c r="A135" t="s">
        <v>5137</v>
      </c>
      <c r="B135" t="str">
        <f>IF(COUNTIF(HCPs!M:M,HCP_evidence!A134)&gt;0,"Yes","No")</f>
        <v>Yes</v>
      </c>
      <c r="Z135" t="s">
        <v>5140</v>
      </c>
      <c r="AA135" t="s">
        <v>5134</v>
      </c>
    </row>
    <row r="136" spans="1:34" ht="15">
      <c r="A136" t="s">
        <v>3952</v>
      </c>
      <c r="B136" t="str">
        <f>IF(COUNTIF(HCPs!M:M,HCP_evidence!A135)&gt;0,"Yes","No")</f>
        <v>Yes</v>
      </c>
      <c r="J136" t="s">
        <v>4399</v>
      </c>
      <c r="K136" t="s">
        <v>4399</v>
      </c>
      <c r="L136" t="s">
        <v>414</v>
      </c>
      <c r="M136" t="s">
        <v>4399</v>
      </c>
      <c r="N136" t="s">
        <v>414</v>
      </c>
      <c r="O136" t="s">
        <v>5060</v>
      </c>
      <c r="P136" t="s">
        <v>4166</v>
      </c>
    </row>
    <row r="137" spans="1:34" ht="15">
      <c r="A137" t="s">
        <v>517</v>
      </c>
      <c r="B137" t="str">
        <f>IF(COUNTIF(HCPs!M:M,HCP_evidence!A136)&gt;0,"Yes","No")</f>
        <v>No</v>
      </c>
      <c r="L137" t="s">
        <v>414</v>
      </c>
      <c r="AF137" t="s">
        <v>519</v>
      </c>
    </row>
    <row r="138" spans="1:34" ht="15">
      <c r="A138" t="s">
        <v>8008</v>
      </c>
      <c r="B138" t="str">
        <f>IF(COUNTIF(HCPs!M:M,HCP_evidence!A137)&gt;0,"Yes","No")</f>
        <v>No</v>
      </c>
      <c r="F138" t="s">
        <v>8136</v>
      </c>
      <c r="G138" t="s">
        <v>7926</v>
      </c>
    </row>
    <row r="139" spans="1:34" ht="15">
      <c r="A139" s="13" t="s">
        <v>3954</v>
      </c>
      <c r="B139" t="str">
        <f>IF(COUNTIF(HCPs!M:M,HCP_evidence!A138)&gt;0,"Yes","No")</f>
        <v>Yes</v>
      </c>
      <c r="H139" s="13" t="s">
        <v>5046</v>
      </c>
      <c r="I139" t="s">
        <v>4153</v>
      </c>
      <c r="J139" t="s">
        <v>4399</v>
      </c>
      <c r="K139" t="s">
        <v>4399</v>
      </c>
      <c r="L139" t="s">
        <v>414</v>
      </c>
      <c r="M139" t="s">
        <v>4399</v>
      </c>
      <c r="N139" t="s">
        <v>4399</v>
      </c>
    </row>
    <row r="140" spans="1:34" ht="15">
      <c r="A140" s="13" t="s">
        <v>430</v>
      </c>
      <c r="B140" t="str">
        <f>IF(COUNTIF(HCPs!M:M,HCP_evidence!A139)&gt;0,"Yes","No")</f>
        <v>Yes</v>
      </c>
      <c r="H140" s="13" t="s">
        <v>5054</v>
      </c>
      <c r="I140" t="s">
        <v>4138</v>
      </c>
      <c r="J140" t="s">
        <v>4399</v>
      </c>
      <c r="K140" t="s">
        <v>4399</v>
      </c>
      <c r="L140" t="s">
        <v>414</v>
      </c>
      <c r="M140" t="s">
        <v>4399</v>
      </c>
      <c r="N140" t="s">
        <v>4399</v>
      </c>
    </row>
    <row r="141" spans="1:34" ht="15">
      <c r="A141" s="13" t="s">
        <v>430</v>
      </c>
      <c r="B141" t="str">
        <f>IF(COUNTIF(HCPs!M:M,HCP_evidence!A140)&gt;0,"Yes","No")</f>
        <v>Yes</v>
      </c>
      <c r="L141" t="s">
        <v>414</v>
      </c>
      <c r="AE141" t="s">
        <v>503</v>
      </c>
    </row>
    <row r="142" spans="1:34" ht="15">
      <c r="A142" t="s">
        <v>443</v>
      </c>
      <c r="B142" t="str">
        <f>IF(COUNTIF(HCPs!M:M,HCP_evidence!A142)&gt;0,"Yes","No")</f>
        <v>Yes</v>
      </c>
      <c r="L142" t="s">
        <v>414</v>
      </c>
      <c r="AE142" t="s">
        <v>503</v>
      </c>
    </row>
    <row r="143" spans="1:34" ht="15">
      <c r="A143" t="s">
        <v>3955</v>
      </c>
      <c r="B143" t="str">
        <f>IF(COUNTIF(HCPs!M:M,HCP_evidence!A143)&gt;0,"Yes","No")</f>
        <v>Yes</v>
      </c>
      <c r="J143" t="s">
        <v>4399</v>
      </c>
      <c r="K143" t="s">
        <v>414</v>
      </c>
      <c r="L143" t="s">
        <v>414</v>
      </c>
      <c r="M143" t="s">
        <v>4399</v>
      </c>
      <c r="N143" t="s">
        <v>414</v>
      </c>
      <c r="O143" t="s">
        <v>5048</v>
      </c>
      <c r="P143" t="s">
        <v>4155</v>
      </c>
    </row>
    <row r="144" spans="1:34" ht="15">
      <c r="A144" t="s">
        <v>3955</v>
      </c>
      <c r="B144" t="str">
        <f>IF(COUNTIF(HCPs!M:M,HCP_evidence!A144)&gt;0,"Yes","No")</f>
        <v>Yes</v>
      </c>
      <c r="J144" t="s">
        <v>4399</v>
      </c>
      <c r="K144" t="s">
        <v>414</v>
      </c>
      <c r="L144" t="s">
        <v>414</v>
      </c>
      <c r="M144" t="s">
        <v>4399</v>
      </c>
      <c r="N144" t="s">
        <v>414</v>
      </c>
      <c r="O144" t="s">
        <v>5048</v>
      </c>
      <c r="P144" t="s">
        <v>4155</v>
      </c>
    </row>
    <row r="145" spans="1:32" ht="15">
      <c r="A145" t="s">
        <v>3956</v>
      </c>
      <c r="B145" t="str">
        <f>IF(COUNTIF(HCPs!M:M,HCP_evidence!A145)&gt;0,"Yes","No")</f>
        <v>Yes</v>
      </c>
      <c r="J145" t="s">
        <v>414</v>
      </c>
      <c r="K145" t="s">
        <v>414</v>
      </c>
      <c r="L145" t="s">
        <v>414</v>
      </c>
      <c r="M145" t="s">
        <v>4399</v>
      </c>
      <c r="N145" t="s">
        <v>4399</v>
      </c>
      <c r="O145" t="s">
        <v>5037</v>
      </c>
      <c r="P145" t="s">
        <v>4144</v>
      </c>
    </row>
    <row r="146" spans="1:32" ht="15">
      <c r="A146" t="s">
        <v>3956</v>
      </c>
      <c r="B146" t="str">
        <f>IF(COUNTIF(HCPs!M:M,HCP_evidence!A146)&gt;0,"Yes","No")</f>
        <v>Yes</v>
      </c>
      <c r="J146" t="s">
        <v>4399</v>
      </c>
      <c r="K146" t="s">
        <v>414</v>
      </c>
      <c r="L146" t="s">
        <v>414</v>
      </c>
      <c r="M146" t="s">
        <v>4399</v>
      </c>
      <c r="N146" t="s">
        <v>414</v>
      </c>
      <c r="O146" t="s">
        <v>5048</v>
      </c>
      <c r="P146" t="s">
        <v>4155</v>
      </c>
    </row>
    <row r="147" spans="1:32" ht="15">
      <c r="A147" t="s">
        <v>3956</v>
      </c>
      <c r="B147" t="str">
        <f>IF(COUNTIF(HCPs!M:M,HCP_evidence!A147)&gt;0,"Yes","No")</f>
        <v>Yes</v>
      </c>
      <c r="J147" t="s">
        <v>4399</v>
      </c>
      <c r="K147" t="s">
        <v>414</v>
      </c>
      <c r="L147" t="s">
        <v>414</v>
      </c>
      <c r="M147" t="s">
        <v>4399</v>
      </c>
      <c r="N147" t="s">
        <v>414</v>
      </c>
      <c r="O147" t="s">
        <v>5048</v>
      </c>
      <c r="P147" t="s">
        <v>4155</v>
      </c>
    </row>
    <row r="148" spans="1:32" ht="15">
      <c r="A148" t="s">
        <v>3956</v>
      </c>
      <c r="B148" t="str">
        <f>IF(COUNTIF(HCPs!M:M,HCP_evidence!A148)&gt;0,"Yes","No")</f>
        <v>Yes</v>
      </c>
      <c r="D148" t="s">
        <v>8136</v>
      </c>
      <c r="E148" t="s">
        <v>7926</v>
      </c>
    </row>
    <row r="149" spans="1:32" ht="15">
      <c r="A149" t="s">
        <v>3956</v>
      </c>
      <c r="B149" t="str">
        <f>IF(COUNTIF(HCPs!M:M,HCP_evidence!A149)&gt;0,"Yes","No")</f>
        <v>Yes</v>
      </c>
      <c r="F149" t="s">
        <v>8137</v>
      </c>
      <c r="G149" t="s">
        <v>8138</v>
      </c>
    </row>
    <row r="150" spans="1:32" ht="15">
      <c r="A150" t="s">
        <v>511</v>
      </c>
      <c r="B150" t="str">
        <f>IF(COUNTIF(HCPs!M:M,HCP_evidence!A150)&gt;0,"Yes","No")</f>
        <v>Yes</v>
      </c>
      <c r="L150" t="s">
        <v>414</v>
      </c>
      <c r="AF150" t="s">
        <v>519</v>
      </c>
    </row>
    <row r="151" spans="1:32" ht="15">
      <c r="A151" t="s">
        <v>3958</v>
      </c>
      <c r="B151" t="str">
        <f>IF(COUNTIF(HCPs!M:M,HCP_evidence!A151)&gt;0,"Yes","No")</f>
        <v>Yes</v>
      </c>
      <c r="J151" t="s">
        <v>4399</v>
      </c>
      <c r="K151" t="s">
        <v>4399</v>
      </c>
      <c r="L151" t="s">
        <v>414</v>
      </c>
      <c r="M151" t="s">
        <v>4399</v>
      </c>
      <c r="N151" t="s">
        <v>4399</v>
      </c>
      <c r="O151" t="s">
        <v>5062</v>
      </c>
      <c r="P151" t="s">
        <v>4168</v>
      </c>
    </row>
    <row r="152" spans="1:32" ht="15">
      <c r="A152" s="13" t="s">
        <v>3958</v>
      </c>
      <c r="H152" t="s">
        <v>8628</v>
      </c>
      <c r="I152" t="s">
        <v>8629</v>
      </c>
    </row>
    <row r="153" spans="1:32" ht="15">
      <c r="A153" s="74" t="s">
        <v>438</v>
      </c>
      <c r="B153" t="str">
        <f>IF(COUNTIF(HCPs!M:M,HCP_evidence!A152)&gt;0,"Yes","No")</f>
        <v>Yes</v>
      </c>
      <c r="H153" s="74" t="s">
        <v>5053</v>
      </c>
      <c r="I153" t="s">
        <v>4160</v>
      </c>
      <c r="J153" t="s">
        <v>4399</v>
      </c>
      <c r="K153" t="s">
        <v>4399</v>
      </c>
      <c r="L153" t="s">
        <v>414</v>
      </c>
      <c r="M153" t="s">
        <v>4399</v>
      </c>
      <c r="N153" t="s">
        <v>4399</v>
      </c>
    </row>
    <row r="154" spans="1:32" ht="15">
      <c r="A154" s="74" t="s">
        <v>438</v>
      </c>
      <c r="B154" t="str">
        <f>IF(COUNTIF(HCPs!M:M,HCP_evidence!A153)&gt;0,"Yes","No")</f>
        <v>Yes</v>
      </c>
      <c r="L154" t="s">
        <v>414</v>
      </c>
      <c r="AE154" t="s">
        <v>503</v>
      </c>
    </row>
    <row r="155" spans="1:32" ht="15">
      <c r="A155" t="s">
        <v>3959</v>
      </c>
      <c r="B155" t="str">
        <f>IF(COUNTIF(HCPs!M:M,HCP_evidence!A154)&gt;0,"Yes","No")</f>
        <v>Yes</v>
      </c>
      <c r="J155" t="s">
        <v>4399</v>
      </c>
      <c r="K155" t="s">
        <v>4399</v>
      </c>
      <c r="L155" t="s">
        <v>414</v>
      </c>
      <c r="M155" t="s">
        <v>4399</v>
      </c>
      <c r="N155" t="s">
        <v>4399</v>
      </c>
      <c r="O155" t="s">
        <v>5063</v>
      </c>
      <c r="P155" t="s">
        <v>4169</v>
      </c>
    </row>
    <row r="156" spans="1:32" ht="15">
      <c r="A156" t="s">
        <v>8170</v>
      </c>
      <c r="B156" t="str">
        <f>IF(COUNTIF(HCPs!M:M,HCP_evidence!A155)&gt;0,"Yes","No")</f>
        <v>Yes</v>
      </c>
      <c r="F156" t="s">
        <v>8137</v>
      </c>
      <c r="G156" t="s">
        <v>8138</v>
      </c>
    </row>
    <row r="157" spans="1:32" ht="15">
      <c r="A157" s="74" t="s">
        <v>1206</v>
      </c>
      <c r="B157" t="str">
        <f>IF(COUNTIF(HCPs!M:M,HCP_evidence!A156)&gt;0,"Yes","No")</f>
        <v>Yes</v>
      </c>
      <c r="H157" s="74" t="s">
        <v>5064</v>
      </c>
      <c r="I157" t="s">
        <v>4170</v>
      </c>
      <c r="J157" t="s">
        <v>4399</v>
      </c>
      <c r="K157" t="s">
        <v>4399</v>
      </c>
      <c r="L157" t="s">
        <v>414</v>
      </c>
      <c r="M157" t="s">
        <v>4399</v>
      </c>
      <c r="N157" t="s">
        <v>414</v>
      </c>
    </row>
    <row r="158" spans="1:32" ht="15">
      <c r="A158" s="74" t="s">
        <v>1206</v>
      </c>
      <c r="B158" t="str">
        <f>IF(COUNTIF(HCPs!M:M,HCP_evidence!A157)&gt;0,"Yes","No")</f>
        <v>Yes</v>
      </c>
      <c r="H158" s="74" t="s">
        <v>5064</v>
      </c>
      <c r="I158" t="s">
        <v>4170</v>
      </c>
      <c r="J158" t="s">
        <v>4399</v>
      </c>
      <c r="K158" t="s">
        <v>4399</v>
      </c>
      <c r="L158" t="s">
        <v>414</v>
      </c>
      <c r="M158" t="s">
        <v>4399</v>
      </c>
      <c r="N158" t="s">
        <v>414</v>
      </c>
    </row>
    <row r="159" spans="1:32" ht="15">
      <c r="A159" s="74" t="s">
        <v>1206</v>
      </c>
      <c r="B159" t="str">
        <f>IF(COUNTIF(HCPs!M:M,HCP_evidence!A158)&gt;0,"Yes","No")</f>
        <v>Yes</v>
      </c>
      <c r="C159" s="21"/>
      <c r="D159" s="21"/>
      <c r="E159" s="21"/>
      <c r="F159" s="21"/>
      <c r="G159" s="21"/>
      <c r="K159" t="s">
        <v>414</v>
      </c>
      <c r="L159" t="s">
        <v>414</v>
      </c>
      <c r="O159" s="74" t="s">
        <v>1203</v>
      </c>
      <c r="P159" t="s">
        <v>1204</v>
      </c>
    </row>
    <row r="160" spans="1:32" ht="15">
      <c r="A160" s="74" t="s">
        <v>1206</v>
      </c>
      <c r="B160" t="str">
        <f>IF(COUNTIF(HCPs!M:M,HCP_evidence!A159)&gt;0,"Yes","No")</f>
        <v>Yes</v>
      </c>
      <c r="J160" t="s">
        <v>4399</v>
      </c>
      <c r="K160" t="s">
        <v>414</v>
      </c>
      <c r="L160" t="s">
        <v>414</v>
      </c>
      <c r="M160" t="s">
        <v>4399</v>
      </c>
      <c r="N160" t="s">
        <v>414</v>
      </c>
      <c r="O160" s="13" t="s">
        <v>5065</v>
      </c>
      <c r="P160" t="s">
        <v>4171</v>
      </c>
    </row>
    <row r="161" spans="1:28">
      <c r="A161" t="s">
        <v>1206</v>
      </c>
      <c r="B161" t="str">
        <f>IF(COUNTIF(HCPs!M:M,HCP_evidence!A160)&gt;0,"Yes","No")</f>
        <v>Yes</v>
      </c>
      <c r="Z161" t="s">
        <v>8182</v>
      </c>
      <c r="AA161" t="s">
        <v>8178</v>
      </c>
    </row>
    <row r="162" spans="1:28">
      <c r="A162" t="s">
        <v>1206</v>
      </c>
      <c r="B162" t="str">
        <f>IF(COUNTIF(HCPs!M:M,HCP_evidence!A161)&gt;0,"Yes","No")</f>
        <v>Yes</v>
      </c>
      <c r="Z162" t="s">
        <v>8187</v>
      </c>
      <c r="AA162" t="s">
        <v>8178</v>
      </c>
    </row>
    <row r="163" spans="1:28" ht="15">
      <c r="A163" t="s">
        <v>7906</v>
      </c>
      <c r="B163" t="str">
        <f>IF(COUNTIF(HCPs!M:M,HCP_evidence!A162)&gt;0,"Yes","No")</f>
        <v>Yes</v>
      </c>
      <c r="AB163" t="s">
        <v>7908</v>
      </c>
    </row>
    <row r="164" spans="1:28" ht="15">
      <c r="A164" t="s">
        <v>3960</v>
      </c>
      <c r="B164" t="str">
        <f>IF(COUNTIF(HCPs!M:M,HCP_evidence!A163)&gt;0,"Yes","No")</f>
        <v>Yes</v>
      </c>
      <c r="J164" t="s">
        <v>4399</v>
      </c>
      <c r="K164" t="s">
        <v>414</v>
      </c>
      <c r="L164" t="s">
        <v>414</v>
      </c>
      <c r="M164" t="s">
        <v>4399</v>
      </c>
      <c r="N164" t="s">
        <v>4399</v>
      </c>
      <c r="O164" t="s">
        <v>5066</v>
      </c>
      <c r="P164" t="s">
        <v>4172</v>
      </c>
    </row>
    <row r="165" spans="1:28" ht="15">
      <c r="A165" s="74" t="s">
        <v>3961</v>
      </c>
      <c r="B165" t="str">
        <f>IF(COUNTIF(HCPs!M:M,HCP_evidence!A164)&gt;0,"Yes","No")</f>
        <v>Yes</v>
      </c>
      <c r="H165" s="74" t="s">
        <v>5030</v>
      </c>
      <c r="I165" t="s">
        <v>4136</v>
      </c>
      <c r="J165" t="s">
        <v>4399</v>
      </c>
      <c r="K165" t="s">
        <v>4399</v>
      </c>
      <c r="L165" t="s">
        <v>414</v>
      </c>
      <c r="M165" t="s">
        <v>4399</v>
      </c>
      <c r="N165" t="s">
        <v>414</v>
      </c>
    </row>
    <row r="166" spans="1:28" ht="15">
      <c r="A166" t="s">
        <v>1142</v>
      </c>
      <c r="B166" t="str">
        <f>IF(COUNTIF(HCPs!M:M,HCP_evidence!A165)&gt;0,"Yes","No")</f>
        <v>Yes</v>
      </c>
      <c r="H166" s="75" t="s">
        <v>892</v>
      </c>
      <c r="I166" t="s">
        <v>1170</v>
      </c>
      <c r="K166" t="s">
        <v>414</v>
      </c>
      <c r="L166" t="s">
        <v>414</v>
      </c>
    </row>
    <row r="167" spans="1:28" ht="15">
      <c r="A167" s="74" t="s">
        <v>3962</v>
      </c>
      <c r="B167" t="str">
        <f>IF(COUNTIF(HCPs!M:M,HCP_evidence!A166)&gt;0,"Yes","No")</f>
        <v>Yes</v>
      </c>
      <c r="H167" s="74" t="s">
        <v>5064</v>
      </c>
      <c r="I167" t="s">
        <v>4170</v>
      </c>
      <c r="J167" t="s">
        <v>4399</v>
      </c>
      <c r="K167" t="s">
        <v>4399</v>
      </c>
      <c r="L167" t="s">
        <v>414</v>
      </c>
      <c r="M167" t="s">
        <v>4399</v>
      </c>
      <c r="N167" t="s">
        <v>414</v>
      </c>
    </row>
    <row r="168" spans="1:28" ht="15">
      <c r="A168" s="74" t="s">
        <v>3962</v>
      </c>
      <c r="B168" t="str">
        <f>IF(COUNTIF(HCPs!M:M,HCP_evidence!A167)&gt;0,"Yes","No")</f>
        <v>Yes</v>
      </c>
      <c r="H168" s="74" t="s">
        <v>5064</v>
      </c>
      <c r="I168" t="s">
        <v>4170</v>
      </c>
      <c r="J168" t="s">
        <v>4399</v>
      </c>
      <c r="K168" t="s">
        <v>4399</v>
      </c>
      <c r="L168" t="s">
        <v>414</v>
      </c>
      <c r="M168" t="s">
        <v>4399</v>
      </c>
      <c r="N168" t="s">
        <v>414</v>
      </c>
    </row>
    <row r="169" spans="1:28" ht="15">
      <c r="A169" t="s">
        <v>3962</v>
      </c>
      <c r="B169" t="str">
        <f>IF(COUNTIF(HCPs!M:M,HCP_evidence!A168)&gt;0,"Yes","No")</f>
        <v>Yes</v>
      </c>
      <c r="F169" t="s">
        <v>8137</v>
      </c>
      <c r="G169" t="s">
        <v>8138</v>
      </c>
    </row>
    <row r="170" spans="1:28">
      <c r="A170" t="s">
        <v>3962</v>
      </c>
      <c r="B170" t="str">
        <f>IF(COUNTIF(HCPs!M:M,HCP_evidence!A169)&gt;0,"Yes","No")</f>
        <v>Yes</v>
      </c>
      <c r="Z170" t="s">
        <v>8183</v>
      </c>
      <c r="AA170" t="s">
        <v>8178</v>
      </c>
    </row>
    <row r="171" spans="1:28" ht="15">
      <c r="A171" t="s">
        <v>7992</v>
      </c>
      <c r="B171" t="str">
        <f>IF(COUNTIF(HCPs!M:M,HCP_evidence!A170)&gt;0,"Yes","No")</f>
        <v>Yes</v>
      </c>
      <c r="F171" t="s">
        <v>8136</v>
      </c>
      <c r="G171" t="s">
        <v>7926</v>
      </c>
    </row>
    <row r="172" spans="1:28" ht="15">
      <c r="A172" t="s">
        <v>3963</v>
      </c>
      <c r="B172" t="str">
        <f>IF(COUNTIF(HCPs!M:M,HCP_evidence!A171)&gt;0,"Yes","No")</f>
        <v>Yes</v>
      </c>
      <c r="J172" t="s">
        <v>4399</v>
      </c>
      <c r="K172" t="s">
        <v>4399</v>
      </c>
      <c r="L172" t="s">
        <v>414</v>
      </c>
      <c r="M172" t="s">
        <v>4399</v>
      </c>
      <c r="N172" t="s">
        <v>414</v>
      </c>
      <c r="O172" t="s">
        <v>5034</v>
      </c>
      <c r="P172" t="s">
        <v>4141</v>
      </c>
    </row>
    <row r="173" spans="1:28" ht="15">
      <c r="A173" t="s">
        <v>3963</v>
      </c>
      <c r="B173" t="str">
        <f>IF(COUNTIF(HCPs!M:M,HCP_evidence!A172)&gt;0,"Yes","No")</f>
        <v>Yes</v>
      </c>
      <c r="J173" t="s">
        <v>4399</v>
      </c>
      <c r="K173" t="s">
        <v>4399</v>
      </c>
      <c r="L173" t="s">
        <v>414</v>
      </c>
      <c r="M173" t="s">
        <v>4399</v>
      </c>
      <c r="N173" t="s">
        <v>414</v>
      </c>
      <c r="O173" t="s">
        <v>5034</v>
      </c>
      <c r="P173" t="s">
        <v>4141</v>
      </c>
    </row>
    <row r="174" spans="1:28" ht="15">
      <c r="A174" t="s">
        <v>1185</v>
      </c>
      <c r="B174" t="str">
        <f>IF(COUNTIF(HCPs!M:M,HCP_evidence!A173)&gt;0,"Yes","No")</f>
        <v>Yes</v>
      </c>
      <c r="H174" s="74" t="s">
        <v>5064</v>
      </c>
      <c r="I174" t="s">
        <v>4170</v>
      </c>
      <c r="J174" t="s">
        <v>4399</v>
      </c>
      <c r="K174" t="s">
        <v>4399</v>
      </c>
      <c r="L174" t="s">
        <v>414</v>
      </c>
      <c r="M174" t="s">
        <v>4399</v>
      </c>
      <c r="N174" t="s">
        <v>414</v>
      </c>
    </row>
    <row r="175" spans="1:28" ht="15">
      <c r="A175" s="13" t="s">
        <v>1185</v>
      </c>
      <c r="B175" t="str">
        <f>IF(COUNTIF(HCPs!M:M,HCP_evidence!A174)&gt;0,"Yes","No")</f>
        <v>Yes</v>
      </c>
      <c r="H175" s="74" t="s">
        <v>1183</v>
      </c>
      <c r="I175" s="9" t="s">
        <v>1184</v>
      </c>
      <c r="K175" t="s">
        <v>414</v>
      </c>
      <c r="L175" t="s">
        <v>414</v>
      </c>
    </row>
    <row r="176" spans="1:28" ht="15">
      <c r="A176" t="s">
        <v>1185</v>
      </c>
      <c r="B176" t="str">
        <f>IF(COUNTIF(HCPs!M:M,HCP_evidence!A175)&gt;0,"Yes","No")</f>
        <v>Yes</v>
      </c>
      <c r="J176" t="s">
        <v>414</v>
      </c>
      <c r="K176" t="s">
        <v>414</v>
      </c>
      <c r="L176" t="s">
        <v>414</v>
      </c>
      <c r="M176" t="s">
        <v>4399</v>
      </c>
      <c r="N176" t="s">
        <v>4399</v>
      </c>
      <c r="O176" s="74" t="s">
        <v>5037</v>
      </c>
      <c r="P176" t="s">
        <v>4144</v>
      </c>
    </row>
    <row r="177" spans="1:34" ht="15">
      <c r="A177" t="s">
        <v>3129</v>
      </c>
      <c r="B177" t="str">
        <f>IF(COUNTIF(HCPs!M:M,HCP_evidence!A176)&gt;0,"Yes","No")</f>
        <v>Yes</v>
      </c>
      <c r="L177" t="s">
        <v>414</v>
      </c>
      <c r="AH177" t="s">
        <v>3125</v>
      </c>
    </row>
    <row r="178" spans="1:34" ht="15">
      <c r="A178" t="s">
        <v>500</v>
      </c>
      <c r="B178" t="str">
        <f>IF(COUNTIF(HCPs!M:M,HCP_evidence!A189)&gt;0,"Yes","No")</f>
        <v>Yes</v>
      </c>
      <c r="D178" t="s">
        <v>8137</v>
      </c>
      <c r="E178" t="s">
        <v>8138</v>
      </c>
    </row>
    <row r="179" spans="1:34" ht="15">
      <c r="A179" t="s">
        <v>500</v>
      </c>
      <c r="B179" t="str">
        <f>IF(COUNTIF(HCPs!M:M,HCP_evidence!A191)&gt;0,"Yes","No")</f>
        <v>Yes</v>
      </c>
      <c r="D179" t="s">
        <v>8173</v>
      </c>
      <c r="E179" t="s">
        <v>8174</v>
      </c>
    </row>
    <row r="180" spans="1:34" ht="15">
      <c r="A180" s="74" t="s">
        <v>500</v>
      </c>
      <c r="B180" t="str">
        <f>IF(COUNTIF(HCPs!M:M,HCP_evidence!A177)&gt;0,"Yes","No")</f>
        <v>No</v>
      </c>
      <c r="H180" s="74" t="s">
        <v>1178</v>
      </c>
      <c r="I180" t="s">
        <v>1182</v>
      </c>
      <c r="J180" t="s">
        <v>414</v>
      </c>
      <c r="K180" t="s">
        <v>414</v>
      </c>
      <c r="L180" t="s">
        <v>414</v>
      </c>
      <c r="M180" t="s">
        <v>414</v>
      </c>
    </row>
    <row r="181" spans="1:34" ht="15">
      <c r="A181" s="74" t="s">
        <v>500</v>
      </c>
      <c r="B181" t="str">
        <f>IF(COUNTIF(HCPs!M:M,HCP_evidence!A178)&gt;0,"Yes","No")</f>
        <v>Yes</v>
      </c>
      <c r="H181" s="74" t="s">
        <v>5064</v>
      </c>
      <c r="I181" t="s">
        <v>4170</v>
      </c>
      <c r="J181" t="s">
        <v>4399</v>
      </c>
      <c r="K181" t="s">
        <v>4399</v>
      </c>
      <c r="L181" t="s">
        <v>414</v>
      </c>
      <c r="M181" t="s">
        <v>4399</v>
      </c>
      <c r="N181" t="s">
        <v>414</v>
      </c>
    </row>
    <row r="182" spans="1:34" ht="15">
      <c r="A182" s="74" t="s">
        <v>500</v>
      </c>
      <c r="B182" t="str">
        <f>IF(COUNTIF(HCPs!M:M,HCP_evidence!A179)&gt;0,"Yes","No")</f>
        <v>Yes</v>
      </c>
      <c r="H182" s="74" t="s">
        <v>5064</v>
      </c>
      <c r="I182" t="s">
        <v>4170</v>
      </c>
      <c r="J182" t="s">
        <v>4399</v>
      </c>
      <c r="K182" t="s">
        <v>4399</v>
      </c>
      <c r="L182" t="s">
        <v>414</v>
      </c>
      <c r="M182" t="s">
        <v>4399</v>
      </c>
      <c r="N182" t="s">
        <v>414</v>
      </c>
    </row>
    <row r="183" spans="1:34" ht="15">
      <c r="A183" s="74" t="s">
        <v>500</v>
      </c>
      <c r="B183" t="str">
        <f>IF(COUNTIF(HCPs!M:M,HCP_evidence!A180)&gt;0,"Yes","No")</f>
        <v>Yes</v>
      </c>
      <c r="H183" s="74" t="s">
        <v>5064</v>
      </c>
      <c r="I183" t="s">
        <v>4170</v>
      </c>
      <c r="J183" t="s">
        <v>4399</v>
      </c>
      <c r="K183" t="s">
        <v>4399</v>
      </c>
      <c r="L183" t="s">
        <v>414</v>
      </c>
      <c r="M183" t="s">
        <v>4399</v>
      </c>
      <c r="N183" t="s">
        <v>414</v>
      </c>
    </row>
    <row r="184" spans="1:34" ht="15">
      <c r="A184" s="74" t="s">
        <v>500</v>
      </c>
      <c r="B184" t="str">
        <f>IF(COUNTIF(HCPs!M:M,HCP_evidence!A181)&gt;0,"Yes","No")</f>
        <v>Yes</v>
      </c>
      <c r="H184" s="74" t="s">
        <v>5064</v>
      </c>
      <c r="I184" t="s">
        <v>4170</v>
      </c>
      <c r="J184" t="s">
        <v>4399</v>
      </c>
      <c r="K184" t="s">
        <v>4399</v>
      </c>
      <c r="L184" t="s">
        <v>414</v>
      </c>
      <c r="M184" t="s">
        <v>4399</v>
      </c>
      <c r="N184" t="s">
        <v>414</v>
      </c>
    </row>
    <row r="185" spans="1:34" ht="15">
      <c r="A185" s="74" t="s">
        <v>500</v>
      </c>
      <c r="B185" t="str">
        <f>IF(COUNTIF(HCPs!M:M,HCP_evidence!A182)&gt;0,"Yes","No")</f>
        <v>Yes</v>
      </c>
      <c r="H185" s="74" t="s">
        <v>1286</v>
      </c>
      <c r="I185" t="s">
        <v>1287</v>
      </c>
      <c r="K185" t="s">
        <v>414</v>
      </c>
      <c r="L185" t="s">
        <v>414</v>
      </c>
    </row>
    <row r="186" spans="1:34" ht="15">
      <c r="A186" s="74" t="s">
        <v>500</v>
      </c>
      <c r="B186" t="str">
        <f>IF(COUNTIF(HCPs!M:M,HCP_evidence!A183)&gt;0,"Yes","No")</f>
        <v>Yes</v>
      </c>
      <c r="H186" s="74" t="s">
        <v>5042</v>
      </c>
      <c r="I186" t="s">
        <v>4149</v>
      </c>
      <c r="J186" t="s">
        <v>4399</v>
      </c>
      <c r="K186" t="s">
        <v>4399</v>
      </c>
      <c r="L186" t="s">
        <v>414</v>
      </c>
      <c r="M186" t="s">
        <v>4399</v>
      </c>
      <c r="N186" t="s">
        <v>414</v>
      </c>
    </row>
    <row r="187" spans="1:34" ht="15">
      <c r="A187" s="74" t="s">
        <v>500</v>
      </c>
      <c r="B187" t="str">
        <f>IF(COUNTIF(HCPs!M:M,HCP_evidence!A184)&gt;0,"Yes","No")</f>
        <v>Yes</v>
      </c>
      <c r="H187" s="74" t="s">
        <v>1278</v>
      </c>
      <c r="I187" t="s">
        <v>1279</v>
      </c>
      <c r="K187" t="s">
        <v>414</v>
      </c>
      <c r="L187" t="s">
        <v>414</v>
      </c>
    </row>
    <row r="188" spans="1:34" ht="15">
      <c r="A188" s="74" t="s">
        <v>500</v>
      </c>
      <c r="B188" t="str">
        <f>IF(COUNTIF(HCPs!M:M,HCP_evidence!A185)&gt;0,"Yes","No")</f>
        <v>Yes</v>
      </c>
      <c r="H188" s="74" t="s">
        <v>5046</v>
      </c>
      <c r="I188" t="s">
        <v>4153</v>
      </c>
      <c r="J188" t="s">
        <v>4399</v>
      </c>
      <c r="K188" t="s">
        <v>4399</v>
      </c>
      <c r="L188" t="s">
        <v>414</v>
      </c>
      <c r="M188" t="s">
        <v>4399</v>
      </c>
      <c r="N188" t="s">
        <v>4399</v>
      </c>
    </row>
    <row r="189" spans="1:34" ht="15">
      <c r="A189" s="74" t="s">
        <v>500</v>
      </c>
      <c r="B189" t="str">
        <f>IF(COUNTIF(HCPs!M:M,HCP_evidence!A186)&gt;0,"Yes","No")</f>
        <v>Yes</v>
      </c>
      <c r="L189" t="s">
        <v>414</v>
      </c>
      <c r="O189" s="74" t="s">
        <v>1284</v>
      </c>
      <c r="P189" t="s">
        <v>1285</v>
      </c>
    </row>
    <row r="190" spans="1:34" ht="15">
      <c r="A190" s="74" t="s">
        <v>500</v>
      </c>
      <c r="B190" t="str">
        <f>IF(COUNTIF(HCPs!M:M,HCP_evidence!A187)&gt;0,"Yes","No")</f>
        <v>Yes</v>
      </c>
      <c r="L190" t="s">
        <v>414</v>
      </c>
      <c r="AC190" s="10" t="s">
        <v>487</v>
      </c>
    </row>
    <row r="191" spans="1:34" ht="15">
      <c r="A191" s="74" t="s">
        <v>500</v>
      </c>
      <c r="B191" t="str">
        <f>IF(COUNTIF(HCPs!M:M,HCP_evidence!A188)&gt;0,"Yes","No")</f>
        <v>Yes</v>
      </c>
      <c r="AB191" t="s">
        <v>4728</v>
      </c>
    </row>
    <row r="192" spans="1:34" ht="15">
      <c r="A192" t="s">
        <v>500</v>
      </c>
      <c r="B192" t="str">
        <f>IF(COUNTIF(HCPs!M:M,HCP_evidence!A190)&gt;0,"Yes","No")</f>
        <v>Yes</v>
      </c>
      <c r="F192" t="s">
        <v>8136</v>
      </c>
      <c r="G192" t="s">
        <v>7926</v>
      </c>
    </row>
    <row r="193" spans="1:31">
      <c r="A193" t="s">
        <v>500</v>
      </c>
      <c r="Z193" t="s">
        <v>8611</v>
      </c>
      <c r="AA193" t="s">
        <v>8612</v>
      </c>
    </row>
    <row r="194" spans="1:31">
      <c r="A194" t="s">
        <v>500</v>
      </c>
      <c r="Z194" t="s">
        <v>8615</v>
      </c>
      <c r="AA194" t="s">
        <v>8613</v>
      </c>
    </row>
    <row r="195" spans="1:31">
      <c r="A195" t="s">
        <v>500</v>
      </c>
      <c r="Z195" t="s">
        <v>8624</v>
      </c>
      <c r="AA195" t="s">
        <v>8625</v>
      </c>
    </row>
    <row r="196" spans="1:31" ht="15">
      <c r="A196" t="s">
        <v>3964</v>
      </c>
      <c r="B196" t="str">
        <f>IF(COUNTIF(HCPs!M:M,HCP_evidence!A192)&gt;0,"Yes","No")</f>
        <v>Yes</v>
      </c>
      <c r="J196" t="s">
        <v>4399</v>
      </c>
      <c r="K196" t="s">
        <v>4399</v>
      </c>
      <c r="L196" t="s">
        <v>414</v>
      </c>
      <c r="M196" t="s">
        <v>4399</v>
      </c>
      <c r="N196" t="s">
        <v>414</v>
      </c>
      <c r="O196" t="s">
        <v>5040</v>
      </c>
      <c r="P196" t="s">
        <v>4147</v>
      </c>
    </row>
    <row r="197" spans="1:31" ht="15">
      <c r="A197" t="s">
        <v>3965</v>
      </c>
      <c r="B197" t="str">
        <f>IF(COUNTIF(HCPs!M:M,HCP_evidence!A193)&gt;0,"Yes","No")</f>
        <v>Yes</v>
      </c>
      <c r="J197" t="s">
        <v>4399</v>
      </c>
      <c r="K197" t="s">
        <v>4399</v>
      </c>
      <c r="L197" t="s">
        <v>414</v>
      </c>
      <c r="M197" t="s">
        <v>4399</v>
      </c>
      <c r="N197" t="s">
        <v>4399</v>
      </c>
      <c r="O197" t="s">
        <v>5058</v>
      </c>
      <c r="P197" t="s">
        <v>4164</v>
      </c>
    </row>
    <row r="198" spans="1:31" ht="15">
      <c r="A198" t="s">
        <v>3966</v>
      </c>
      <c r="B198" t="str">
        <f>IF(COUNTIF(HCPs!M:M,HCP_evidence!A194)&gt;0,"Yes","No")</f>
        <v>Yes</v>
      </c>
      <c r="J198" t="s">
        <v>414</v>
      </c>
      <c r="K198" t="s">
        <v>414</v>
      </c>
      <c r="L198" t="s">
        <v>414</v>
      </c>
      <c r="M198" t="s">
        <v>4399</v>
      </c>
      <c r="N198" t="s">
        <v>4399</v>
      </c>
      <c r="O198" t="s">
        <v>5037</v>
      </c>
      <c r="P198" t="s">
        <v>4144</v>
      </c>
    </row>
    <row r="199" spans="1:31" ht="15">
      <c r="A199" t="s">
        <v>3967</v>
      </c>
      <c r="B199" t="str">
        <f>IF(COUNTIF(HCPs!M:M,HCP_evidence!A195)&gt;0,"Yes","No")</f>
        <v>Yes</v>
      </c>
      <c r="J199" t="s">
        <v>414</v>
      </c>
      <c r="K199" t="s">
        <v>414</v>
      </c>
      <c r="L199" t="s">
        <v>414</v>
      </c>
      <c r="M199" t="s">
        <v>4399</v>
      </c>
      <c r="N199" t="s">
        <v>4399</v>
      </c>
      <c r="O199" t="s">
        <v>5037</v>
      </c>
      <c r="P199" t="s">
        <v>4144</v>
      </c>
    </row>
    <row r="200" spans="1:31" ht="15">
      <c r="A200" t="s">
        <v>464</v>
      </c>
      <c r="B200" t="str">
        <f>IF(COUNTIF(HCPs!M:M,HCP_evidence!A196)&gt;0,"Yes","No")</f>
        <v>Yes</v>
      </c>
      <c r="L200" t="s">
        <v>414</v>
      </c>
      <c r="AE200" t="s">
        <v>503</v>
      </c>
    </row>
    <row r="201" spans="1:31" ht="15">
      <c r="A201" t="s">
        <v>3968</v>
      </c>
      <c r="B201" t="str">
        <f>IF(COUNTIF(HCPs!M:M,HCP_evidence!A197)&gt;0,"Yes","No")</f>
        <v>Yes</v>
      </c>
      <c r="J201" t="s">
        <v>4399</v>
      </c>
      <c r="K201" t="s">
        <v>4399</v>
      </c>
      <c r="L201" t="s">
        <v>414</v>
      </c>
      <c r="M201" t="s">
        <v>414</v>
      </c>
      <c r="N201" t="s">
        <v>4399</v>
      </c>
      <c r="O201" t="s">
        <v>5038</v>
      </c>
      <c r="P201" t="s">
        <v>4145</v>
      </c>
    </row>
    <row r="202" spans="1:31" ht="15">
      <c r="A202" t="s">
        <v>1098</v>
      </c>
      <c r="B202" t="str">
        <f>IF(COUNTIF(HCPs!M:M,HCP_evidence!A198)&gt;0,"Yes","No")</f>
        <v>Yes</v>
      </c>
      <c r="H202" s="75" t="s">
        <v>801</v>
      </c>
      <c r="I202" t="s">
        <v>1170</v>
      </c>
      <c r="L202" t="s">
        <v>414</v>
      </c>
    </row>
    <row r="203" spans="1:31" ht="15">
      <c r="A203" s="74" t="s">
        <v>423</v>
      </c>
      <c r="B203" t="str">
        <f>IF(COUNTIF(HCPs!M:M,HCP_evidence!A199)&gt;0,"Yes","No")</f>
        <v>Yes</v>
      </c>
      <c r="H203" s="74" t="s">
        <v>5053</v>
      </c>
      <c r="I203" t="s">
        <v>4160</v>
      </c>
      <c r="J203" t="s">
        <v>4399</v>
      </c>
      <c r="K203" t="s">
        <v>4399</v>
      </c>
      <c r="L203" t="s">
        <v>414</v>
      </c>
      <c r="M203" t="s">
        <v>4399</v>
      </c>
      <c r="N203" t="s">
        <v>4399</v>
      </c>
    </row>
    <row r="204" spans="1:31" ht="15">
      <c r="A204" s="74" t="s">
        <v>423</v>
      </c>
      <c r="B204" t="str">
        <f>IF(COUNTIF(HCPs!M:M,HCP_evidence!A200)&gt;0,"Yes","No")</f>
        <v>Yes</v>
      </c>
      <c r="L204" t="s">
        <v>414</v>
      </c>
      <c r="AE204" t="s">
        <v>503</v>
      </c>
    </row>
    <row r="205" spans="1:31" ht="15">
      <c r="A205" t="s">
        <v>3970</v>
      </c>
      <c r="B205" t="str">
        <f>IF(COUNTIF(HCPs!M:M,HCP_evidence!A201)&gt;0,"Yes","No")</f>
        <v>Yes</v>
      </c>
      <c r="J205" t="s">
        <v>414</v>
      </c>
      <c r="K205" t="s">
        <v>414</v>
      </c>
      <c r="L205" t="s">
        <v>414</v>
      </c>
      <c r="M205" t="s">
        <v>4399</v>
      </c>
      <c r="N205" t="s">
        <v>4399</v>
      </c>
      <c r="O205" t="s">
        <v>5037</v>
      </c>
      <c r="P205" t="s">
        <v>4144</v>
      </c>
    </row>
    <row r="206" spans="1:31" ht="15">
      <c r="A206" s="13" t="s">
        <v>3970</v>
      </c>
      <c r="H206" t="s">
        <v>8626</v>
      </c>
      <c r="I206" t="s">
        <v>8627</v>
      </c>
    </row>
    <row r="207" spans="1:31" ht="15">
      <c r="A207" s="74" t="s">
        <v>1198</v>
      </c>
      <c r="B207" t="str">
        <f>IF(COUNTIF(HCPs!M:M,HCP_evidence!A202)&gt;0,"Yes","No")</f>
        <v>Yes</v>
      </c>
      <c r="J207" t="s">
        <v>414</v>
      </c>
      <c r="K207" t="s">
        <v>414</v>
      </c>
      <c r="L207" t="s">
        <v>414</v>
      </c>
      <c r="M207" t="s">
        <v>4399</v>
      </c>
      <c r="N207" t="s">
        <v>4399</v>
      </c>
      <c r="O207" s="74" t="s">
        <v>5037</v>
      </c>
      <c r="P207" t="s">
        <v>4144</v>
      </c>
    </row>
    <row r="208" spans="1:31" ht="15">
      <c r="A208" s="74" t="s">
        <v>1198</v>
      </c>
      <c r="B208" t="str">
        <f>IF(COUNTIF(HCPs!M:M,HCP_evidence!A203)&gt;0,"Yes","No")</f>
        <v>Yes</v>
      </c>
      <c r="H208" s="74" t="s">
        <v>5052</v>
      </c>
      <c r="I208" t="s">
        <v>4159</v>
      </c>
      <c r="J208" t="s">
        <v>4399</v>
      </c>
      <c r="K208" t="s">
        <v>414</v>
      </c>
      <c r="L208" t="s">
        <v>414</v>
      </c>
      <c r="M208" t="s">
        <v>4399</v>
      </c>
      <c r="N208" t="s">
        <v>414</v>
      </c>
    </row>
    <row r="209" spans="1:28" ht="15">
      <c r="A209" s="74" t="s">
        <v>1198</v>
      </c>
      <c r="B209" t="str">
        <f>IF(COUNTIF(HCPs!M:M,HCP_evidence!A204)&gt;0,"Yes","No")</f>
        <v>Yes</v>
      </c>
      <c r="H209" s="74" t="s">
        <v>1196</v>
      </c>
      <c r="I209" t="s">
        <v>1197</v>
      </c>
      <c r="J209" t="s">
        <v>414</v>
      </c>
      <c r="K209" t="s">
        <v>414</v>
      </c>
      <c r="L209" t="s">
        <v>414</v>
      </c>
      <c r="N209" t="s">
        <v>414</v>
      </c>
    </row>
    <row r="210" spans="1:28" ht="15">
      <c r="A210" t="s">
        <v>1198</v>
      </c>
      <c r="B210" t="str">
        <f>IF(COUNTIF(HCPs!M:M,HCP_evidence!A205)&gt;0,"Yes","No")</f>
        <v>Yes</v>
      </c>
      <c r="AB210" t="s">
        <v>8490</v>
      </c>
    </row>
    <row r="211" spans="1:28" ht="15">
      <c r="A211" s="74" t="s">
        <v>3973</v>
      </c>
      <c r="B211" t="str">
        <f>IF(COUNTIF(HCPs!M:M,HCP_evidence!A206)&gt;0,"Yes","No")</f>
        <v>Yes</v>
      </c>
      <c r="H211" s="74" t="s">
        <v>5030</v>
      </c>
      <c r="I211" t="s">
        <v>4136</v>
      </c>
      <c r="J211" t="s">
        <v>4399</v>
      </c>
      <c r="K211" t="s">
        <v>4399</v>
      </c>
      <c r="L211" t="s">
        <v>414</v>
      </c>
      <c r="M211" t="s">
        <v>4399</v>
      </c>
      <c r="N211" t="s">
        <v>414</v>
      </c>
    </row>
    <row r="212" spans="1:28" ht="15">
      <c r="A212" t="s">
        <v>8148</v>
      </c>
      <c r="B212" t="str">
        <f>IF(COUNTIF(HCPs!M:M,HCP_evidence!A207)&gt;0,"Yes","No")</f>
        <v>Yes</v>
      </c>
      <c r="F212" t="s">
        <v>8137</v>
      </c>
      <c r="G212" t="s">
        <v>8138</v>
      </c>
    </row>
    <row r="213" spans="1:28" ht="15">
      <c r="A213" t="s">
        <v>1115</v>
      </c>
      <c r="B213" t="str">
        <f>IF(COUNTIF(HCPs!M:M,HCP_evidence!A208)&gt;0,"Yes","No")</f>
        <v>Yes</v>
      </c>
      <c r="H213" s="75" t="s">
        <v>892</v>
      </c>
      <c r="I213" t="s">
        <v>1170</v>
      </c>
      <c r="K213" t="s">
        <v>414</v>
      </c>
      <c r="L213" t="s">
        <v>414</v>
      </c>
    </row>
    <row r="214" spans="1:28" ht="15">
      <c r="A214" t="s">
        <v>1158</v>
      </c>
      <c r="B214" t="str">
        <f>IF(COUNTIF(HCPs!M:M,HCP_evidence!A209)&gt;0,"Yes","No")</f>
        <v>Yes</v>
      </c>
      <c r="H214" s="75" t="s">
        <v>990</v>
      </c>
      <c r="I214" t="s">
        <v>1170</v>
      </c>
      <c r="K214" t="s">
        <v>414</v>
      </c>
      <c r="L214" t="s">
        <v>414</v>
      </c>
    </row>
    <row r="215" spans="1:28" ht="15">
      <c r="A215" t="s">
        <v>4276</v>
      </c>
      <c r="B215" t="str">
        <f>IF(COUNTIF(HCPs!M:M,HCP_evidence!A210)&gt;0,"Yes","No")</f>
        <v>Yes</v>
      </c>
      <c r="AB215" t="s">
        <v>8065</v>
      </c>
    </row>
    <row r="216" spans="1:28" ht="15">
      <c r="A216" t="s">
        <v>5002</v>
      </c>
      <c r="B216" t="str">
        <f>IF(COUNTIF(HCPs!M:M,HCP_evidence!A211)&gt;0,"Yes","No")</f>
        <v>Yes</v>
      </c>
      <c r="AB216" t="s">
        <v>5004</v>
      </c>
    </row>
    <row r="217" spans="1:28" ht="15">
      <c r="A217" t="s">
        <v>3974</v>
      </c>
      <c r="B217" t="str">
        <f>IF(COUNTIF(HCPs!M:M,HCP_evidence!A212)&gt;0,"Yes","No")</f>
        <v>Yes</v>
      </c>
      <c r="O217" t="s">
        <v>5045</v>
      </c>
      <c r="P217" t="s">
        <v>4152</v>
      </c>
      <c r="Q217" t="s">
        <v>4399</v>
      </c>
      <c r="R217" t="s">
        <v>4399</v>
      </c>
      <c r="S217" t="s">
        <v>414</v>
      </c>
      <c r="T217" t="s">
        <v>4399</v>
      </c>
      <c r="U217" t="s">
        <v>414</v>
      </c>
    </row>
    <row r="218" spans="1:28" ht="15">
      <c r="A218" t="s">
        <v>3974</v>
      </c>
      <c r="B218" t="str">
        <f>IF(COUNTIF(HCPs!M:M,HCP_evidence!A213)&gt;0,"Yes","No")</f>
        <v>Yes</v>
      </c>
      <c r="O218" t="s">
        <v>5045</v>
      </c>
      <c r="P218" t="s">
        <v>4152</v>
      </c>
      <c r="Q218" t="s">
        <v>4399</v>
      </c>
      <c r="R218" t="s">
        <v>4399</v>
      </c>
      <c r="S218" t="s">
        <v>414</v>
      </c>
      <c r="T218" t="s">
        <v>4399</v>
      </c>
      <c r="U218" t="s">
        <v>414</v>
      </c>
    </row>
    <row r="219" spans="1:28" ht="15">
      <c r="A219" s="13" t="s">
        <v>1103</v>
      </c>
      <c r="B219" t="str">
        <f>IF(COUNTIF(HCPs!M:M,HCP_evidence!A214)&gt;0,"Yes","No")</f>
        <v>Yes</v>
      </c>
      <c r="H219" s="80" t="s">
        <v>1187</v>
      </c>
      <c r="I219" t="s">
        <v>1191</v>
      </c>
      <c r="K219" t="s">
        <v>414</v>
      </c>
      <c r="L219" t="s">
        <v>414</v>
      </c>
    </row>
    <row r="220" spans="1:28" ht="15">
      <c r="A220" s="13" t="s">
        <v>1103</v>
      </c>
      <c r="B220" t="str">
        <f>IF(COUNTIF(HCPs!M:M,HCP_evidence!A215)&gt;0,"Yes","No")</f>
        <v>Yes</v>
      </c>
      <c r="J220" t="s">
        <v>414</v>
      </c>
      <c r="K220" t="s">
        <v>414</v>
      </c>
      <c r="L220" t="s">
        <v>414</v>
      </c>
      <c r="M220" t="s">
        <v>4399</v>
      </c>
      <c r="N220" t="s">
        <v>4399</v>
      </c>
      <c r="O220" t="s">
        <v>5037</v>
      </c>
      <c r="P220" t="s">
        <v>4144</v>
      </c>
    </row>
    <row r="221" spans="1:28" ht="15">
      <c r="A221" s="13" t="s">
        <v>1103</v>
      </c>
      <c r="B221" t="str">
        <f>IF(COUNTIF(HCPs!M:M,HCP_evidence!A216)&gt;0,"Yes","No")</f>
        <v>Yes</v>
      </c>
      <c r="J221" t="s">
        <v>4399</v>
      </c>
      <c r="K221" t="s">
        <v>414</v>
      </c>
      <c r="L221" t="s">
        <v>414</v>
      </c>
      <c r="M221" t="s">
        <v>4399</v>
      </c>
      <c r="N221" t="s">
        <v>414</v>
      </c>
      <c r="O221" t="s">
        <v>5048</v>
      </c>
      <c r="P221" t="s">
        <v>4155</v>
      </c>
    </row>
    <row r="222" spans="1:28" ht="15">
      <c r="A222" s="13" t="s">
        <v>1103</v>
      </c>
      <c r="B222" t="str">
        <f>IF(COUNTIF(HCPs!M:M,HCP_evidence!A217)&gt;0,"Yes","No")</f>
        <v>No</v>
      </c>
      <c r="H222" s="13" t="s">
        <v>5042</v>
      </c>
      <c r="I222" t="s">
        <v>4149</v>
      </c>
      <c r="J222" t="s">
        <v>4399</v>
      </c>
      <c r="K222" t="s">
        <v>4399</v>
      </c>
      <c r="L222" t="s">
        <v>414</v>
      </c>
      <c r="M222" t="s">
        <v>4399</v>
      </c>
      <c r="N222" t="s">
        <v>414</v>
      </c>
    </row>
    <row r="223" spans="1:28" ht="15">
      <c r="A223" s="13" t="s">
        <v>1103</v>
      </c>
      <c r="B223" t="str">
        <f>IF(COUNTIF(HCPs!M:M,HCP_evidence!A218)&gt;0,"Yes","No")</f>
        <v>No</v>
      </c>
      <c r="H223" s="75" t="s">
        <v>801</v>
      </c>
      <c r="I223" t="s">
        <v>1170</v>
      </c>
      <c r="L223" t="s">
        <v>414</v>
      </c>
    </row>
    <row r="224" spans="1:28" ht="15">
      <c r="A224" s="13" t="s">
        <v>1103</v>
      </c>
      <c r="B224" t="str">
        <f>IF(COUNTIF(HCPs!M:M,HCP_evidence!A219)&gt;0,"Yes","No")</f>
        <v>Yes</v>
      </c>
      <c r="H224" s="75" t="s">
        <v>892</v>
      </c>
      <c r="I224" t="s">
        <v>1170</v>
      </c>
      <c r="K224" t="s">
        <v>414</v>
      </c>
      <c r="L224" t="s">
        <v>414</v>
      </c>
    </row>
    <row r="225" spans="1:31" ht="15">
      <c r="A225" t="s">
        <v>7955</v>
      </c>
      <c r="B225" t="str">
        <f>IF(COUNTIF(HCPs!M:M,HCP_evidence!A220)&gt;0,"Yes","No")</f>
        <v>Yes</v>
      </c>
      <c r="F225" t="s">
        <v>8136</v>
      </c>
      <c r="G225" t="s">
        <v>7926</v>
      </c>
    </row>
    <row r="226" spans="1:31" ht="15">
      <c r="A226" t="s">
        <v>453</v>
      </c>
      <c r="B226" t="str">
        <f>IF(COUNTIF(HCPs!M:M,HCP_evidence!A221)&gt;0,"Yes","No")</f>
        <v>Yes</v>
      </c>
      <c r="L226" t="s">
        <v>414</v>
      </c>
      <c r="AE226" t="s">
        <v>503</v>
      </c>
    </row>
    <row r="227" spans="1:31" ht="15">
      <c r="A227" t="s">
        <v>3975</v>
      </c>
      <c r="B227" t="str">
        <f>IF(COUNTIF(HCPs!M:M,HCP_evidence!A222)&gt;0,"Yes","No")</f>
        <v>Yes</v>
      </c>
      <c r="J227" t="s">
        <v>4399</v>
      </c>
      <c r="K227" t="s">
        <v>4399</v>
      </c>
      <c r="L227" t="s">
        <v>414</v>
      </c>
      <c r="M227" t="s">
        <v>4399</v>
      </c>
      <c r="N227" t="s">
        <v>414</v>
      </c>
      <c r="O227" t="s">
        <v>5034</v>
      </c>
      <c r="P227" t="s">
        <v>4141</v>
      </c>
    </row>
    <row r="228" spans="1:31" ht="15">
      <c r="A228" t="s">
        <v>1111</v>
      </c>
      <c r="B228" t="str">
        <f>IF(COUNTIF(HCPs!M:M,HCP_evidence!A223)&gt;0,"Yes","No")</f>
        <v>Yes</v>
      </c>
      <c r="H228" s="75" t="s">
        <v>892</v>
      </c>
      <c r="I228" t="s">
        <v>1170</v>
      </c>
      <c r="K228" t="s">
        <v>414</v>
      </c>
      <c r="L228" t="s">
        <v>414</v>
      </c>
    </row>
    <row r="229" spans="1:31" ht="15">
      <c r="A229" t="s">
        <v>3976</v>
      </c>
      <c r="B229" t="str">
        <f>IF(COUNTIF(HCPs!M:M,HCP_evidence!A224)&gt;0,"Yes","No")</f>
        <v>Yes</v>
      </c>
      <c r="J229" t="s">
        <v>414</v>
      </c>
      <c r="K229" t="s">
        <v>414</v>
      </c>
      <c r="L229" t="s">
        <v>414</v>
      </c>
      <c r="M229" t="s">
        <v>4399</v>
      </c>
      <c r="N229" t="s">
        <v>4399</v>
      </c>
      <c r="O229" t="s">
        <v>5037</v>
      </c>
      <c r="P229" t="s">
        <v>4144</v>
      </c>
    </row>
    <row r="230" spans="1:31" ht="15">
      <c r="A230" t="s">
        <v>1163</v>
      </c>
      <c r="B230" t="str">
        <f>IF(COUNTIF(HCPs!M:M,HCP_evidence!A225)&gt;0,"Yes","No")</f>
        <v>Yes</v>
      </c>
      <c r="H230" s="75" t="s">
        <v>990</v>
      </c>
      <c r="I230" t="s">
        <v>1170</v>
      </c>
      <c r="K230" t="s">
        <v>414</v>
      </c>
      <c r="L230" t="s">
        <v>414</v>
      </c>
    </row>
    <row r="231" spans="1:31" ht="15">
      <c r="A231" s="13" t="s">
        <v>4769</v>
      </c>
      <c r="B231" t="str">
        <f>IF(COUNTIF(HCPs!M:M,HCP_evidence!A226)&gt;0,"Yes","No")</f>
        <v>Yes</v>
      </c>
      <c r="H231" s="13" t="s">
        <v>4788</v>
      </c>
      <c r="I231" t="s">
        <v>4789</v>
      </c>
    </row>
    <row r="232" spans="1:31" ht="15">
      <c r="A232" t="s">
        <v>1110</v>
      </c>
      <c r="B232" t="str">
        <f>IF(COUNTIF(HCPs!M:M,HCP_evidence!A227)&gt;0,"Yes","No")</f>
        <v>Yes</v>
      </c>
      <c r="H232" s="75" t="s">
        <v>892</v>
      </c>
      <c r="I232" t="s">
        <v>1170</v>
      </c>
      <c r="K232" t="s">
        <v>414</v>
      </c>
      <c r="L232" t="s">
        <v>414</v>
      </c>
    </row>
    <row r="233" spans="1:31" ht="15">
      <c r="A233" t="s">
        <v>8154</v>
      </c>
      <c r="B233" t="str">
        <f>IF(COUNTIF(HCPs!M:M,HCP_evidence!A228)&gt;0,"Yes","No")</f>
        <v>Yes</v>
      </c>
      <c r="F233" t="s">
        <v>8137</v>
      </c>
      <c r="G233" t="s">
        <v>8138</v>
      </c>
    </row>
    <row r="234" spans="1:31" ht="15">
      <c r="A234" t="s">
        <v>433</v>
      </c>
      <c r="B234" t="str">
        <f>IF(COUNTIF(HCPs!M:M,HCP_evidence!A229)&gt;0,"Yes","No")</f>
        <v>Yes</v>
      </c>
      <c r="L234" t="s">
        <v>414</v>
      </c>
      <c r="AE234" t="s">
        <v>503</v>
      </c>
    </row>
    <row r="235" spans="1:31" ht="15">
      <c r="A235" s="13" t="s">
        <v>3977</v>
      </c>
      <c r="B235" t="str">
        <f>IF(COUNTIF(HCPs!M:M,HCP_evidence!A230)&gt;0,"Yes","No")</f>
        <v>Yes</v>
      </c>
      <c r="H235" s="13" t="s">
        <v>5071</v>
      </c>
      <c r="I235" t="s">
        <v>4177</v>
      </c>
      <c r="J235" t="s">
        <v>4399</v>
      </c>
      <c r="K235" t="s">
        <v>4399</v>
      </c>
      <c r="L235" t="s">
        <v>414</v>
      </c>
      <c r="M235" t="s">
        <v>4399</v>
      </c>
      <c r="N235" t="s">
        <v>4399</v>
      </c>
    </row>
    <row r="236" spans="1:31" ht="15">
      <c r="A236" s="13" t="s">
        <v>3977</v>
      </c>
      <c r="B236" t="str">
        <f>IF(COUNTIF(HCPs!M:M,HCP_evidence!A231)&gt;0,"Yes","No")</f>
        <v>Yes</v>
      </c>
      <c r="H236" s="13" t="s">
        <v>5072</v>
      </c>
      <c r="I236" t="s">
        <v>4178</v>
      </c>
      <c r="J236" t="s">
        <v>4399</v>
      </c>
      <c r="K236" t="s">
        <v>4399</v>
      </c>
      <c r="L236" t="s">
        <v>414</v>
      </c>
      <c r="M236" t="s">
        <v>4399</v>
      </c>
      <c r="N236" t="s">
        <v>414</v>
      </c>
    </row>
    <row r="237" spans="1:31" ht="15">
      <c r="A237" s="13" t="s">
        <v>3977</v>
      </c>
      <c r="B237" t="str">
        <f>IF(COUNTIF(HCPs!M:M,HCP_evidence!A232)&gt;0,"Yes","No")</f>
        <v>Yes</v>
      </c>
      <c r="H237" s="13" t="s">
        <v>5073</v>
      </c>
      <c r="I237" t="s">
        <v>4179</v>
      </c>
      <c r="J237" t="s">
        <v>4399</v>
      </c>
      <c r="K237" t="s">
        <v>4399</v>
      </c>
      <c r="L237" t="s">
        <v>414</v>
      </c>
      <c r="M237" t="s">
        <v>4399</v>
      </c>
      <c r="N237" t="s">
        <v>414</v>
      </c>
    </row>
    <row r="238" spans="1:31" ht="15">
      <c r="A238" t="s">
        <v>3977</v>
      </c>
      <c r="B238" t="str">
        <f>IF(COUNTIF(HCPs!M:M,HCP_evidence!A347)&gt;0,"Yes","No")</f>
        <v>Yes</v>
      </c>
      <c r="J238" t="s">
        <v>4399</v>
      </c>
      <c r="K238" t="s">
        <v>4399</v>
      </c>
      <c r="M238" t="s">
        <v>4399</v>
      </c>
      <c r="N238" t="s">
        <v>4399</v>
      </c>
      <c r="O238" t="s">
        <v>5080</v>
      </c>
      <c r="P238" t="s">
        <v>4186</v>
      </c>
    </row>
    <row r="239" spans="1:31" ht="15">
      <c r="A239" t="s">
        <v>3977</v>
      </c>
      <c r="B239" t="str">
        <f>IF(COUNTIF(HCPs!M:M,HCP_evidence!A348)&gt;0,"Yes","No")</f>
        <v>Yes</v>
      </c>
      <c r="H239" s="13" t="s">
        <v>5081</v>
      </c>
      <c r="I239" t="s">
        <v>4187</v>
      </c>
      <c r="J239" t="s">
        <v>4399</v>
      </c>
      <c r="K239" t="s">
        <v>4399</v>
      </c>
      <c r="L239" t="s">
        <v>414</v>
      </c>
      <c r="M239" t="s">
        <v>4399</v>
      </c>
      <c r="N239" t="s">
        <v>414</v>
      </c>
    </row>
    <row r="240" spans="1:31" ht="15">
      <c r="A240" t="s">
        <v>4800</v>
      </c>
      <c r="B240" t="str">
        <f>IF(COUNTIF(HCPs!M:M,HCP_evidence!A233)&gt;0,"Yes","No")</f>
        <v>Yes</v>
      </c>
      <c r="AB240" t="s">
        <v>4802</v>
      </c>
    </row>
    <row r="241" spans="1:31" ht="15">
      <c r="A241" t="s">
        <v>4800</v>
      </c>
      <c r="B241" t="str">
        <f>IF(COUNTIF(HCPs!M:M,HCP_evidence!A234)&gt;0,"Yes","No")</f>
        <v>Yes</v>
      </c>
      <c r="AB241" t="s">
        <v>4994</v>
      </c>
    </row>
    <row r="242" spans="1:31" ht="15">
      <c r="A242" s="13" t="s">
        <v>8428</v>
      </c>
      <c r="B242" t="str">
        <f>IF(COUNTIF(HCPs!M:M,HCP_evidence!A235)&gt;0,"Yes","No")</f>
        <v>Yes</v>
      </c>
      <c r="H242" s="13" t="s">
        <v>5076</v>
      </c>
      <c r="I242" t="s">
        <v>4182</v>
      </c>
      <c r="J242" t="s">
        <v>4399</v>
      </c>
      <c r="K242" t="s">
        <v>4399</v>
      </c>
      <c r="L242" t="s">
        <v>414</v>
      </c>
      <c r="M242" t="s">
        <v>4399</v>
      </c>
      <c r="N242" t="s">
        <v>414</v>
      </c>
    </row>
    <row r="243" spans="1:31" ht="15">
      <c r="A243" t="s">
        <v>4227</v>
      </c>
      <c r="B243" t="str">
        <f>IF(COUNTIF(HCPs!M:M,HCP_evidence!A236)&gt;0,"Yes","No")</f>
        <v>Yes</v>
      </c>
      <c r="D243" t="s">
        <v>4229</v>
      </c>
      <c r="E243" t="s">
        <v>4414</v>
      </c>
    </row>
    <row r="244" spans="1:31" ht="15">
      <c r="A244" s="13" t="s">
        <v>4793</v>
      </c>
      <c r="B244" t="str">
        <f>IF(COUNTIF(HCPs!M:M,HCP_evidence!A237)&gt;0,"Yes","No")</f>
        <v>Yes</v>
      </c>
      <c r="H244" s="13" t="s">
        <v>4794</v>
      </c>
      <c r="I244" t="s">
        <v>4795</v>
      </c>
    </row>
    <row r="245" spans="1:31" ht="15">
      <c r="A245" t="s">
        <v>7982</v>
      </c>
      <c r="B245" t="str">
        <f>IF(COUNTIF(HCPs!M:M,HCP_evidence!A238)&gt;0,"Yes","No")</f>
        <v>Yes</v>
      </c>
      <c r="F245" t="s">
        <v>8136</v>
      </c>
      <c r="G245" t="s">
        <v>7926</v>
      </c>
    </row>
    <row r="246" spans="1:31" ht="15">
      <c r="A246" s="13" t="s">
        <v>8526</v>
      </c>
      <c r="B246" t="str">
        <f>IF(COUNTIF(HCPs!M:M,HCP_evidence!A239)&gt;0,"Yes","No")</f>
        <v>Yes</v>
      </c>
      <c r="H246" s="13" t="s">
        <v>5042</v>
      </c>
      <c r="I246" t="s">
        <v>4149</v>
      </c>
      <c r="J246" t="s">
        <v>4399</v>
      </c>
      <c r="K246" t="s">
        <v>4399</v>
      </c>
      <c r="L246" t="s">
        <v>414</v>
      </c>
      <c r="M246" t="s">
        <v>4399</v>
      </c>
      <c r="N246" t="s">
        <v>414</v>
      </c>
    </row>
    <row r="247" spans="1:31" ht="15">
      <c r="A247" t="s">
        <v>3978</v>
      </c>
      <c r="B247" t="str">
        <f>IF(COUNTIF(HCPs!M:M,HCP_evidence!A240)&gt;0,"Yes","No")</f>
        <v>Yes</v>
      </c>
      <c r="J247" t="s">
        <v>414</v>
      </c>
      <c r="K247" t="s">
        <v>414</v>
      </c>
      <c r="L247" t="s">
        <v>414</v>
      </c>
      <c r="M247" t="s">
        <v>4399</v>
      </c>
      <c r="N247" t="s">
        <v>4399</v>
      </c>
      <c r="O247" t="s">
        <v>5037</v>
      </c>
      <c r="P247" t="s">
        <v>4144</v>
      </c>
    </row>
    <row r="248" spans="1:31" ht="15">
      <c r="A248" s="74" t="s">
        <v>3980</v>
      </c>
      <c r="B248" t="str">
        <f>IF(COUNTIF(HCPs!M:M,HCP_evidence!A241)&gt;0,"Yes","No")</f>
        <v>Yes</v>
      </c>
      <c r="H248" s="74" t="s">
        <v>5030</v>
      </c>
      <c r="I248" t="s">
        <v>4136</v>
      </c>
      <c r="J248" t="s">
        <v>4399</v>
      </c>
      <c r="K248" t="s">
        <v>4399</v>
      </c>
      <c r="L248" t="s">
        <v>414</v>
      </c>
      <c r="M248" t="s">
        <v>4399</v>
      </c>
      <c r="N248" t="s">
        <v>414</v>
      </c>
    </row>
    <row r="249" spans="1:31" ht="15">
      <c r="A249" t="s">
        <v>4918</v>
      </c>
      <c r="B249" t="str">
        <f>IF(COUNTIF(HCPs!M:M,HCP_evidence!A242)&gt;0,"Yes","No")</f>
        <v>Yes</v>
      </c>
      <c r="F249" t="s">
        <v>8136</v>
      </c>
      <c r="G249" t="s">
        <v>7926</v>
      </c>
    </row>
    <row r="250" spans="1:31" ht="15">
      <c r="A250" s="74" t="s">
        <v>3981</v>
      </c>
      <c r="B250" t="str">
        <f>IF(COUNTIF(HCPs!M:M,HCP_evidence!A243)&gt;0,"Yes","No")</f>
        <v>Yes</v>
      </c>
      <c r="H250" s="74" t="s">
        <v>5030</v>
      </c>
      <c r="I250" t="s">
        <v>4136</v>
      </c>
      <c r="J250" t="s">
        <v>4399</v>
      </c>
      <c r="K250" t="s">
        <v>4399</v>
      </c>
      <c r="L250" t="s">
        <v>414</v>
      </c>
      <c r="M250" t="s">
        <v>4399</v>
      </c>
      <c r="N250" t="s">
        <v>414</v>
      </c>
    </row>
    <row r="251" spans="1:31" ht="15">
      <c r="A251" t="s">
        <v>3981</v>
      </c>
      <c r="B251" t="str">
        <f>IF(COUNTIF(HCPs!M:M,HCP_evidence!A244)&gt;0,"Yes","No")</f>
        <v>Yes</v>
      </c>
      <c r="D251" t="s">
        <v>8136</v>
      </c>
      <c r="E251" t="s">
        <v>7926</v>
      </c>
    </row>
    <row r="252" spans="1:31" ht="15">
      <c r="A252" t="s">
        <v>3981</v>
      </c>
      <c r="B252" t="str">
        <f>IF(COUNTIF(HCPs!M:M,HCP_evidence!A245)&gt;0,"Yes","No")</f>
        <v>Yes</v>
      </c>
      <c r="F252" t="s">
        <v>8137</v>
      </c>
      <c r="G252" t="s">
        <v>8138</v>
      </c>
    </row>
    <row r="253" spans="1:31" ht="15">
      <c r="A253" t="s">
        <v>7999</v>
      </c>
      <c r="B253" t="str">
        <f>IF(COUNTIF(HCPs!M:M,HCP_evidence!A246)&gt;0,"Yes","No")</f>
        <v>Yes</v>
      </c>
      <c r="F253" t="s">
        <v>8136</v>
      </c>
      <c r="G253" t="s">
        <v>7926</v>
      </c>
    </row>
    <row r="254" spans="1:31" ht="15">
      <c r="A254" t="s">
        <v>3982</v>
      </c>
      <c r="B254" t="str">
        <f>IF(COUNTIF(HCPs!M:M,HCP_evidence!A247)&gt;0,"Yes","No")</f>
        <v>Yes</v>
      </c>
      <c r="J254" t="s">
        <v>4399</v>
      </c>
      <c r="K254" t="s">
        <v>4399</v>
      </c>
      <c r="L254" t="s">
        <v>414</v>
      </c>
      <c r="M254" t="s">
        <v>4399</v>
      </c>
      <c r="N254" t="s">
        <v>4399</v>
      </c>
      <c r="O254" t="s">
        <v>5057</v>
      </c>
      <c r="P254" t="s">
        <v>4163</v>
      </c>
    </row>
    <row r="255" spans="1:31" ht="15">
      <c r="A255" t="s">
        <v>3982</v>
      </c>
      <c r="B255" t="str">
        <f>IF(COUNTIF(HCPs!M:M,HCP_evidence!A248)&gt;0,"Yes","No")</f>
        <v>Yes</v>
      </c>
      <c r="J255" t="s">
        <v>4399</v>
      </c>
      <c r="K255" t="s">
        <v>4399</v>
      </c>
      <c r="L255" t="s">
        <v>414</v>
      </c>
      <c r="M255" t="s">
        <v>4399</v>
      </c>
      <c r="N255" t="s">
        <v>4399</v>
      </c>
      <c r="O255" t="s">
        <v>5057</v>
      </c>
      <c r="P255" t="s">
        <v>4163</v>
      </c>
    </row>
    <row r="256" spans="1:31" ht="15">
      <c r="A256" t="s">
        <v>470</v>
      </c>
      <c r="B256" t="str">
        <f>IF(COUNTIF(HCPs!M:M,HCP_evidence!A249)&gt;0,"Yes","No")</f>
        <v>Yes</v>
      </c>
      <c r="L256" t="s">
        <v>414</v>
      </c>
      <c r="AE256" t="s">
        <v>503</v>
      </c>
    </row>
    <row r="257" spans="1:32" ht="15">
      <c r="A257" t="s">
        <v>470</v>
      </c>
      <c r="B257" t="str">
        <f>IF(COUNTIF(HCPs!M:M,HCP_evidence!A250)&gt;0,"Yes","No")</f>
        <v>Yes</v>
      </c>
      <c r="L257" t="s">
        <v>414</v>
      </c>
      <c r="AE257" t="s">
        <v>503</v>
      </c>
    </row>
    <row r="258" spans="1:32" ht="15">
      <c r="A258" t="s">
        <v>473</v>
      </c>
      <c r="B258" t="str">
        <f>IF(COUNTIF(HCPs!M:M,HCP_evidence!A251)&gt;0,"Yes","No")</f>
        <v>Yes</v>
      </c>
      <c r="L258" t="s">
        <v>414</v>
      </c>
      <c r="AE258" t="s">
        <v>503</v>
      </c>
    </row>
    <row r="259" spans="1:32" ht="15">
      <c r="A259" t="s">
        <v>473</v>
      </c>
      <c r="B259" t="str">
        <f>IF(COUNTIF(HCPs!M:M,HCP_evidence!A252)&gt;0,"Yes","No")</f>
        <v>Yes</v>
      </c>
      <c r="AB259" t="s">
        <v>4943</v>
      </c>
    </row>
    <row r="260" spans="1:32" ht="15">
      <c r="A260" t="s">
        <v>509</v>
      </c>
      <c r="B260" t="str">
        <f>IF(COUNTIF(HCPs!M:M,HCP_evidence!A253)&gt;0,"Yes","No")</f>
        <v>Yes</v>
      </c>
      <c r="J260" t="s">
        <v>4399</v>
      </c>
      <c r="K260" t="s">
        <v>4399</v>
      </c>
      <c r="L260" t="s">
        <v>414</v>
      </c>
      <c r="M260" t="s">
        <v>4399</v>
      </c>
      <c r="N260" t="s">
        <v>414</v>
      </c>
      <c r="O260" t="s">
        <v>5040</v>
      </c>
      <c r="P260" t="s">
        <v>4147</v>
      </c>
    </row>
    <row r="261" spans="1:32" ht="15">
      <c r="A261" t="s">
        <v>509</v>
      </c>
      <c r="B261" t="str">
        <f>IF(COUNTIF(HCPs!M:M,HCP_evidence!A254)&gt;0,"Yes","No")</f>
        <v>Yes</v>
      </c>
      <c r="L261" t="s">
        <v>414</v>
      </c>
      <c r="AF261" t="s">
        <v>519</v>
      </c>
    </row>
    <row r="262" spans="1:32" ht="15">
      <c r="A262" t="s">
        <v>457</v>
      </c>
      <c r="B262" t="str">
        <f>IF(COUNTIF(HCPs!M:M,HCP_evidence!A255)&gt;0,"Yes","No")</f>
        <v>Yes</v>
      </c>
      <c r="L262" t="s">
        <v>414</v>
      </c>
      <c r="AE262" t="s">
        <v>503</v>
      </c>
    </row>
    <row r="263" spans="1:32" ht="15">
      <c r="A263" t="s">
        <v>8166</v>
      </c>
      <c r="B263" t="str">
        <f>IF(COUNTIF(HCPs!M:M,HCP_evidence!A256)&gt;0,"Yes","No")</f>
        <v>Yes</v>
      </c>
      <c r="F263" t="s">
        <v>8137</v>
      </c>
      <c r="G263" t="s">
        <v>8138</v>
      </c>
    </row>
    <row r="264" spans="1:32" ht="15">
      <c r="A264" s="74" t="s">
        <v>3983</v>
      </c>
      <c r="B264" t="str">
        <f>IF(COUNTIF(HCPs!M:M,HCP_evidence!A257)&gt;0,"Yes","No")</f>
        <v>Yes</v>
      </c>
      <c r="H264" s="74" t="s">
        <v>990</v>
      </c>
      <c r="I264" t="s">
        <v>1170</v>
      </c>
      <c r="K264" t="s">
        <v>414</v>
      </c>
      <c r="L264" t="s">
        <v>414</v>
      </c>
    </row>
    <row r="265" spans="1:32" ht="15">
      <c r="A265" s="74" t="s">
        <v>3983</v>
      </c>
      <c r="B265" t="str">
        <f>IF(COUNTIF(HCPs!M:M,HCP_evidence!A258)&gt;0,"Yes","No")</f>
        <v>Yes</v>
      </c>
      <c r="H265" s="74" t="s">
        <v>5053</v>
      </c>
      <c r="I265" t="s">
        <v>4160</v>
      </c>
      <c r="J265" t="s">
        <v>4399</v>
      </c>
      <c r="K265" t="s">
        <v>4399</v>
      </c>
      <c r="L265" t="s">
        <v>414</v>
      </c>
      <c r="M265" t="s">
        <v>4399</v>
      </c>
      <c r="N265" t="s">
        <v>4399</v>
      </c>
    </row>
    <row r="266" spans="1:32" ht="15">
      <c r="A266" s="74" t="s">
        <v>3983</v>
      </c>
      <c r="B266" t="str">
        <f>IF(COUNTIF(HCPs!M:M,HCP_evidence!A259)&gt;0,"Yes","No")</f>
        <v>Yes</v>
      </c>
      <c r="H266" s="74" t="s">
        <v>5052</v>
      </c>
      <c r="I266" t="s">
        <v>4159</v>
      </c>
      <c r="J266" t="s">
        <v>4399</v>
      </c>
      <c r="K266" t="s">
        <v>414</v>
      </c>
      <c r="L266" t="s">
        <v>414</v>
      </c>
      <c r="M266" t="s">
        <v>4399</v>
      </c>
      <c r="N266" t="s">
        <v>414</v>
      </c>
    </row>
    <row r="267" spans="1:32" ht="15">
      <c r="A267" s="74" t="s">
        <v>3983</v>
      </c>
      <c r="B267" t="str">
        <f>IF(COUNTIF(HCPs!M:M,HCP_evidence!A260)&gt;0,"Yes","No")</f>
        <v>No</v>
      </c>
      <c r="H267" s="74" t="s">
        <v>5039</v>
      </c>
      <c r="I267" t="s">
        <v>4146</v>
      </c>
      <c r="J267" t="s">
        <v>4399</v>
      </c>
      <c r="K267" t="s">
        <v>4399</v>
      </c>
      <c r="L267" t="s">
        <v>414</v>
      </c>
      <c r="M267" t="s">
        <v>4399</v>
      </c>
      <c r="N267" t="s">
        <v>414</v>
      </c>
    </row>
    <row r="268" spans="1:32" ht="15">
      <c r="A268" s="74" t="s">
        <v>3983</v>
      </c>
      <c r="B268" t="str">
        <f>IF(COUNTIF(HCPs!M:M,HCP_evidence!A261)&gt;0,"Yes","No")</f>
        <v>No</v>
      </c>
      <c r="H268" s="74" t="s">
        <v>5039</v>
      </c>
      <c r="I268" t="s">
        <v>4146</v>
      </c>
      <c r="J268" t="s">
        <v>4399</v>
      </c>
      <c r="K268" t="s">
        <v>4399</v>
      </c>
      <c r="L268" t="s">
        <v>414</v>
      </c>
      <c r="M268" t="s">
        <v>4399</v>
      </c>
      <c r="N268" t="s">
        <v>414</v>
      </c>
    </row>
    <row r="269" spans="1:32" ht="15">
      <c r="A269" s="74" t="s">
        <v>3983</v>
      </c>
      <c r="B269" t="str">
        <f>IF(COUNTIF(HCPs!M:M,HCP_evidence!A262)&gt;0,"Yes","No")</f>
        <v>Yes</v>
      </c>
      <c r="L269" t="s">
        <v>414</v>
      </c>
      <c r="AE269" t="s">
        <v>503</v>
      </c>
    </row>
    <row r="270" spans="1:32" ht="15">
      <c r="A270" s="74" t="s">
        <v>3983</v>
      </c>
      <c r="B270" t="str">
        <f>IF(COUNTIF(HCPs!M:M,HCP_evidence!A263)&gt;0,"Yes","No")</f>
        <v>Yes</v>
      </c>
      <c r="AB270" t="s">
        <v>4982</v>
      </c>
    </row>
    <row r="271" spans="1:32" ht="15">
      <c r="A271" t="s">
        <v>4757</v>
      </c>
      <c r="B271" t="str">
        <f>IF(COUNTIF(HCPs!M:M,HCP_evidence!A264)&gt;0,"Yes","No")</f>
        <v>Yes</v>
      </c>
      <c r="AB271" t="s">
        <v>4755</v>
      </c>
    </row>
    <row r="272" spans="1:32" ht="15">
      <c r="A272" s="74" t="s">
        <v>465</v>
      </c>
      <c r="B272" t="str">
        <f>IF(COUNTIF(HCPs!M:M,HCP_evidence!A265)&gt;0,"Yes","No")</f>
        <v>Yes</v>
      </c>
      <c r="H272" s="74" t="s">
        <v>5064</v>
      </c>
      <c r="I272" t="s">
        <v>4170</v>
      </c>
      <c r="J272" t="s">
        <v>4399</v>
      </c>
      <c r="K272" t="s">
        <v>4399</v>
      </c>
      <c r="L272" t="s">
        <v>414</v>
      </c>
      <c r="M272" t="s">
        <v>4399</v>
      </c>
      <c r="N272" t="s">
        <v>414</v>
      </c>
    </row>
    <row r="273" spans="1:32" ht="15">
      <c r="A273" s="74" t="s">
        <v>465</v>
      </c>
      <c r="B273" t="str">
        <f>IF(COUNTIF(HCPs!M:M,HCP_evidence!A266)&gt;0,"Yes","No")</f>
        <v>Yes</v>
      </c>
      <c r="H273" s="74" t="s">
        <v>5064</v>
      </c>
      <c r="I273" t="s">
        <v>4170</v>
      </c>
      <c r="J273" t="s">
        <v>4399</v>
      </c>
      <c r="K273" t="s">
        <v>4399</v>
      </c>
      <c r="L273" t="s">
        <v>414</v>
      </c>
      <c r="M273" t="s">
        <v>4399</v>
      </c>
      <c r="N273" t="s">
        <v>414</v>
      </c>
    </row>
    <row r="274" spans="1:32" ht="15">
      <c r="A274" s="74" t="s">
        <v>465</v>
      </c>
      <c r="B274" t="str">
        <f>IF(COUNTIF(HCPs!M:M,HCP_evidence!A267)&gt;0,"Yes","No")</f>
        <v>Yes</v>
      </c>
      <c r="L274" t="s">
        <v>414</v>
      </c>
      <c r="AE274" t="s">
        <v>503</v>
      </c>
    </row>
    <row r="275" spans="1:32" ht="15">
      <c r="A275" s="102" t="s">
        <v>7928</v>
      </c>
      <c r="B275" t="str">
        <f>IF(COUNTIF(HCPs!M:M,HCP_evidence!A268)&gt;0,"Yes","No")</f>
        <v>Yes</v>
      </c>
      <c r="D275" t="s">
        <v>8136</v>
      </c>
      <c r="E275" t="s">
        <v>7926</v>
      </c>
    </row>
    <row r="276" spans="1:32" ht="15">
      <c r="A276" t="s">
        <v>1205</v>
      </c>
      <c r="B276" t="str">
        <f>IF(COUNTIF(HCPs!M:M,HCP_evidence!A269)&gt;0,"Yes","No")</f>
        <v>Yes</v>
      </c>
      <c r="K276" t="s">
        <v>414</v>
      </c>
      <c r="L276" t="s">
        <v>414</v>
      </c>
      <c r="O276" t="s">
        <v>1203</v>
      </c>
      <c r="P276" t="s">
        <v>1204</v>
      </c>
    </row>
    <row r="277" spans="1:32" ht="15">
      <c r="A277" t="s">
        <v>512</v>
      </c>
      <c r="B277" t="str">
        <f>IF(COUNTIF(HCPs!M:M,HCP_evidence!A270)&gt;0,"Yes","No")</f>
        <v>Yes</v>
      </c>
      <c r="L277" t="s">
        <v>414</v>
      </c>
      <c r="AF277" t="s">
        <v>519</v>
      </c>
    </row>
    <row r="278" spans="1:32" ht="15">
      <c r="A278" t="s">
        <v>512</v>
      </c>
      <c r="B278" t="str">
        <f>IF(COUNTIF(HCPs!M:M,HCP_evidence!A271)&gt;0,"Yes","No")</f>
        <v>Yes</v>
      </c>
      <c r="F278" t="s">
        <v>8136</v>
      </c>
      <c r="G278" t="s">
        <v>7926</v>
      </c>
    </row>
    <row r="279" spans="1:32" ht="15">
      <c r="A279" s="74" t="s">
        <v>436</v>
      </c>
      <c r="B279" t="str">
        <f>IF(COUNTIF(HCPs!M:M,HCP_evidence!A272)&gt;0,"Yes","No")</f>
        <v>Yes</v>
      </c>
      <c r="H279" s="74" t="s">
        <v>5053</v>
      </c>
      <c r="I279" t="s">
        <v>4160</v>
      </c>
      <c r="J279" t="s">
        <v>4399</v>
      </c>
      <c r="K279" t="s">
        <v>4399</v>
      </c>
      <c r="L279" t="s">
        <v>414</v>
      </c>
      <c r="M279" t="s">
        <v>4399</v>
      </c>
      <c r="N279" t="s">
        <v>4399</v>
      </c>
    </row>
    <row r="280" spans="1:32" ht="15">
      <c r="A280" s="74" t="s">
        <v>436</v>
      </c>
      <c r="B280" t="str">
        <f>IF(COUNTIF(HCPs!M:M,HCP_evidence!A273)&gt;0,"Yes","No")</f>
        <v>Yes</v>
      </c>
      <c r="L280" t="s">
        <v>414</v>
      </c>
      <c r="AE280" t="s">
        <v>503</v>
      </c>
    </row>
    <row r="281" spans="1:32" ht="15">
      <c r="A281" s="74" t="s">
        <v>458</v>
      </c>
      <c r="B281" t="str">
        <f>IF(COUNTIF(HCPs!M:M,HCP_evidence!A274)&gt;0,"Yes","No")</f>
        <v>Yes</v>
      </c>
      <c r="H281" s="74" t="s">
        <v>990</v>
      </c>
      <c r="I281" t="s">
        <v>1170</v>
      </c>
      <c r="K281" t="s">
        <v>414</v>
      </c>
      <c r="L281" t="s">
        <v>414</v>
      </c>
    </row>
    <row r="282" spans="1:32" ht="15">
      <c r="A282" s="74" t="s">
        <v>458</v>
      </c>
      <c r="B282" t="str">
        <f>IF(COUNTIF(HCPs!M:M,HCP_evidence!A275)&gt;0,"Yes","No")</f>
        <v>Yes</v>
      </c>
      <c r="H282" s="74" t="s">
        <v>1183</v>
      </c>
      <c r="I282" t="s">
        <v>1184</v>
      </c>
      <c r="K282" t="s">
        <v>414</v>
      </c>
      <c r="L282" t="s">
        <v>414</v>
      </c>
    </row>
    <row r="283" spans="1:32" ht="15">
      <c r="A283" s="74" t="s">
        <v>458</v>
      </c>
      <c r="B283" t="str">
        <f>IF(COUNTIF(HCPs!M:M,HCP_evidence!A276)&gt;0,"Yes","No")</f>
        <v>Yes</v>
      </c>
      <c r="H283" s="74" t="s">
        <v>5052</v>
      </c>
      <c r="I283" t="s">
        <v>4159</v>
      </c>
      <c r="J283" t="s">
        <v>4399</v>
      </c>
      <c r="K283" t="s">
        <v>414</v>
      </c>
      <c r="L283" t="s">
        <v>414</v>
      </c>
      <c r="M283" t="s">
        <v>4399</v>
      </c>
      <c r="N283" t="s">
        <v>414</v>
      </c>
    </row>
    <row r="284" spans="1:32" ht="15">
      <c r="A284" s="74" t="s">
        <v>458</v>
      </c>
      <c r="B284" t="str">
        <f>IF(COUNTIF(HCPs!M:M,HCP_evidence!A277)&gt;0,"Yes","No")</f>
        <v>Yes</v>
      </c>
      <c r="H284" s="74" t="s">
        <v>801</v>
      </c>
      <c r="I284" t="s">
        <v>1170</v>
      </c>
      <c r="L284" t="s">
        <v>414</v>
      </c>
    </row>
    <row r="285" spans="1:32" ht="15">
      <c r="A285" s="74" t="s">
        <v>458</v>
      </c>
      <c r="B285" t="str">
        <f>IF(COUNTIF(HCPs!M:M,HCP_evidence!A278)&gt;0,"Yes","No")</f>
        <v>Yes</v>
      </c>
      <c r="J285" t="s">
        <v>4399</v>
      </c>
      <c r="K285" t="s">
        <v>4399</v>
      </c>
      <c r="L285" t="s">
        <v>414</v>
      </c>
      <c r="M285" t="s">
        <v>4399</v>
      </c>
      <c r="N285" t="s">
        <v>414</v>
      </c>
      <c r="O285" s="74" t="s">
        <v>5040</v>
      </c>
      <c r="P285" t="s">
        <v>4147</v>
      </c>
    </row>
    <row r="286" spans="1:32" ht="15">
      <c r="A286" s="74" t="s">
        <v>458</v>
      </c>
      <c r="B286" t="str">
        <f>IF(COUNTIF(HCPs!M:M,HCP_evidence!A279)&gt;0,"Yes","No")</f>
        <v>Yes</v>
      </c>
      <c r="H286" s="74" t="s">
        <v>5039</v>
      </c>
      <c r="I286" t="s">
        <v>4146</v>
      </c>
      <c r="J286" t="s">
        <v>4399</v>
      </c>
      <c r="K286" t="s">
        <v>4399</v>
      </c>
      <c r="L286" t="s">
        <v>414</v>
      </c>
      <c r="M286" t="s">
        <v>4399</v>
      </c>
      <c r="N286" t="s">
        <v>414</v>
      </c>
    </row>
    <row r="287" spans="1:32" ht="15">
      <c r="A287" s="74" t="s">
        <v>458</v>
      </c>
      <c r="B287" t="str">
        <f>IF(COUNTIF(HCPs!M:M,HCP_evidence!A280)&gt;0,"Yes","No")</f>
        <v>Yes</v>
      </c>
      <c r="L287" t="s">
        <v>414</v>
      </c>
      <c r="AE287" t="s">
        <v>503</v>
      </c>
    </row>
    <row r="288" spans="1:32" ht="15">
      <c r="A288" s="74" t="s">
        <v>458</v>
      </c>
      <c r="B288" t="str">
        <f>IF(COUNTIF(HCPs!M:M,HCP_evidence!A281)&gt;0,"Yes","No")</f>
        <v>Yes</v>
      </c>
      <c r="L288" t="s">
        <v>414</v>
      </c>
      <c r="AF288" t="s">
        <v>519</v>
      </c>
    </row>
    <row r="289" spans="1:31" ht="15">
      <c r="A289" t="s">
        <v>458</v>
      </c>
      <c r="B289" t="str">
        <f>IF(COUNTIF(HCPs!M:M,HCP_evidence!A282)&gt;0,"Yes","No")</f>
        <v>Yes</v>
      </c>
      <c r="D289" t="s">
        <v>8137</v>
      </c>
      <c r="E289" t="s">
        <v>8138</v>
      </c>
    </row>
    <row r="290" spans="1:31" ht="15">
      <c r="A290" t="s">
        <v>458</v>
      </c>
      <c r="B290" t="str">
        <f>IF(COUNTIF(HCPs!M:M,HCP_evidence!A283)&gt;0,"Yes","No")</f>
        <v>Yes</v>
      </c>
      <c r="F290" t="s">
        <v>8136</v>
      </c>
      <c r="G290" t="s">
        <v>7926</v>
      </c>
    </row>
    <row r="291" spans="1:31" ht="15">
      <c r="A291" t="s">
        <v>458</v>
      </c>
      <c r="B291" t="str">
        <f>IF(COUNTIF(HCPs!M:M,HCP_evidence!A284)&gt;0,"Yes","No")</f>
        <v>Yes</v>
      </c>
      <c r="D291" t="s">
        <v>8173</v>
      </c>
      <c r="E291" t="s">
        <v>8174</v>
      </c>
    </row>
    <row r="292" spans="1:31" ht="15">
      <c r="A292" t="s">
        <v>1126</v>
      </c>
      <c r="B292" t="str">
        <f>IF(COUNTIF(HCPs!M:M,HCP_evidence!A285)&gt;0,"Yes","No")</f>
        <v>Yes</v>
      </c>
      <c r="H292" s="75" t="s">
        <v>892</v>
      </c>
      <c r="I292" t="s">
        <v>1170</v>
      </c>
      <c r="K292" t="s">
        <v>414</v>
      </c>
      <c r="L292" t="s">
        <v>414</v>
      </c>
    </row>
    <row r="293" spans="1:31" ht="15">
      <c r="A293" s="74" t="s">
        <v>427</v>
      </c>
      <c r="B293" t="str">
        <f>IF(COUNTIF(HCPs!M:M,HCP_evidence!A286)&gt;0,"Yes","No")</f>
        <v>Yes</v>
      </c>
      <c r="H293" s="74" t="s">
        <v>5053</v>
      </c>
      <c r="I293" t="s">
        <v>4160</v>
      </c>
      <c r="J293" t="s">
        <v>4399</v>
      </c>
      <c r="K293" t="s">
        <v>4399</v>
      </c>
      <c r="L293" t="s">
        <v>414</v>
      </c>
      <c r="M293" t="s">
        <v>4399</v>
      </c>
      <c r="N293" t="s">
        <v>4399</v>
      </c>
    </row>
    <row r="294" spans="1:31" ht="15">
      <c r="A294" s="74" t="s">
        <v>427</v>
      </c>
      <c r="B294" t="str">
        <f>IF(COUNTIF(HCPs!M:M,HCP_evidence!A287)&gt;0,"Yes","No")</f>
        <v>Yes</v>
      </c>
      <c r="H294" s="74" t="s">
        <v>5076</v>
      </c>
      <c r="I294" t="s">
        <v>4182</v>
      </c>
      <c r="J294" t="s">
        <v>4399</v>
      </c>
      <c r="K294" t="s">
        <v>4399</v>
      </c>
      <c r="L294" t="s">
        <v>414</v>
      </c>
      <c r="M294" t="s">
        <v>4399</v>
      </c>
      <c r="N294" t="s">
        <v>414</v>
      </c>
    </row>
    <row r="295" spans="1:31" ht="15">
      <c r="A295" s="74" t="s">
        <v>427</v>
      </c>
      <c r="B295" t="str">
        <f>IF(COUNTIF(HCPs!M:M,HCP_evidence!A288)&gt;0,"Yes","No")</f>
        <v>Yes</v>
      </c>
      <c r="H295" s="74" t="s">
        <v>5054</v>
      </c>
      <c r="I295" t="s">
        <v>4138</v>
      </c>
      <c r="J295" t="s">
        <v>4399</v>
      </c>
      <c r="K295" t="s">
        <v>4399</v>
      </c>
      <c r="L295" t="s">
        <v>414</v>
      </c>
      <c r="M295" t="s">
        <v>4399</v>
      </c>
      <c r="N295" t="s">
        <v>4399</v>
      </c>
    </row>
    <row r="296" spans="1:31" ht="15">
      <c r="A296" s="74" t="s">
        <v>427</v>
      </c>
      <c r="B296" t="str">
        <f>IF(COUNTIF(HCPs!M:M,HCP_evidence!A289)&gt;0,"Yes","No")</f>
        <v>Yes</v>
      </c>
      <c r="H296" s="74" t="s">
        <v>5030</v>
      </c>
      <c r="I296" t="s">
        <v>4136</v>
      </c>
      <c r="J296" t="s">
        <v>4399</v>
      </c>
      <c r="K296" t="s">
        <v>4399</v>
      </c>
      <c r="L296" t="s">
        <v>414</v>
      </c>
      <c r="M296" t="s">
        <v>4399</v>
      </c>
      <c r="N296" t="s">
        <v>414</v>
      </c>
    </row>
    <row r="297" spans="1:31" ht="15">
      <c r="A297" s="74" t="s">
        <v>427</v>
      </c>
      <c r="B297" t="str">
        <f>IF(COUNTIF(HCPs!M:M,HCP_evidence!A290)&gt;0,"Yes","No")</f>
        <v>Yes</v>
      </c>
      <c r="L297" t="s">
        <v>414</v>
      </c>
      <c r="AE297" t="s">
        <v>503</v>
      </c>
    </row>
    <row r="298" spans="1:31" ht="15">
      <c r="A298" t="s">
        <v>4228</v>
      </c>
      <c r="B298" t="str">
        <f>IF(COUNTIF(HCPs!M:M,HCP_evidence!A291)&gt;0,"Yes","No")</f>
        <v>Yes</v>
      </c>
      <c r="C298" s="9" t="s">
        <v>4420</v>
      </c>
    </row>
    <row r="299" spans="1:31" ht="15">
      <c r="A299" t="s">
        <v>4228</v>
      </c>
      <c r="B299" t="str">
        <f>IF(COUNTIF(HCPs!M:M,HCP_evidence!A292)&gt;0,"Yes","No")</f>
        <v>Yes</v>
      </c>
      <c r="D299" t="s">
        <v>4229</v>
      </c>
      <c r="E299" t="s">
        <v>4414</v>
      </c>
    </row>
    <row r="300" spans="1:31" ht="15">
      <c r="A300" s="74" t="s">
        <v>3985</v>
      </c>
      <c r="B300" t="str">
        <f>IF(COUNTIF(HCPs!M:M,HCP_evidence!A293)&gt;0,"Yes","No")</f>
        <v>Yes</v>
      </c>
      <c r="H300" s="74" t="s">
        <v>5052</v>
      </c>
      <c r="I300" t="s">
        <v>4159</v>
      </c>
      <c r="J300" t="s">
        <v>4399</v>
      </c>
      <c r="K300" t="s">
        <v>414</v>
      </c>
      <c r="L300" t="s">
        <v>414</v>
      </c>
      <c r="M300" t="s">
        <v>4399</v>
      </c>
      <c r="N300" t="s">
        <v>414</v>
      </c>
    </row>
    <row r="301" spans="1:31" ht="15">
      <c r="A301" t="s">
        <v>3985</v>
      </c>
      <c r="B301" t="str">
        <f>IF(COUNTIF(HCPs!M:M,HCP_evidence!A879)&gt;0,"Yes","No")</f>
        <v>Yes</v>
      </c>
      <c r="AB301" t="s">
        <v>8562</v>
      </c>
    </row>
    <row r="302" spans="1:31" ht="15">
      <c r="A302" s="95" t="s">
        <v>3986</v>
      </c>
      <c r="B302" t="str">
        <f>IF(COUNTIF(HCPs!M:M,HCP_evidence!A294)&gt;0,"Yes","No")</f>
        <v>Yes</v>
      </c>
      <c r="H302" s="95" t="s">
        <v>5047</v>
      </c>
      <c r="I302" t="s">
        <v>4154</v>
      </c>
      <c r="J302" t="s">
        <v>4399</v>
      </c>
      <c r="K302" t="s">
        <v>414</v>
      </c>
      <c r="L302" t="s">
        <v>414</v>
      </c>
      <c r="M302" t="s">
        <v>4399</v>
      </c>
      <c r="N302" t="s">
        <v>414</v>
      </c>
    </row>
    <row r="303" spans="1:31" ht="15">
      <c r="A303" s="74" t="s">
        <v>3987</v>
      </c>
      <c r="B303" t="str">
        <f>IF(COUNTIF(HCPs!M:M,HCP_evidence!A295)&gt;0,"Yes","No")</f>
        <v>Yes</v>
      </c>
      <c r="H303" s="95" t="s">
        <v>5052</v>
      </c>
      <c r="I303" t="s">
        <v>4159</v>
      </c>
      <c r="J303" t="s">
        <v>4399</v>
      </c>
      <c r="K303" t="s">
        <v>414</v>
      </c>
      <c r="M303" t="s">
        <v>4399</v>
      </c>
      <c r="N303" t="s">
        <v>414</v>
      </c>
    </row>
    <row r="304" spans="1:31" ht="15">
      <c r="A304" t="s">
        <v>3988</v>
      </c>
      <c r="B304" t="str">
        <f>IF(COUNTIF(HCPs!M:M,HCP_evidence!A296)&gt;0,"Yes","No")</f>
        <v>Yes</v>
      </c>
      <c r="J304" t="s">
        <v>4399</v>
      </c>
      <c r="K304" t="s">
        <v>414</v>
      </c>
      <c r="M304" t="s">
        <v>4399</v>
      </c>
      <c r="N304" t="s">
        <v>414</v>
      </c>
      <c r="O304" t="s">
        <v>5048</v>
      </c>
      <c r="P304" t="s">
        <v>4155</v>
      </c>
    </row>
    <row r="305" spans="1:31" ht="15">
      <c r="A305" t="s">
        <v>3988</v>
      </c>
      <c r="B305" t="str">
        <f>IF(COUNTIF(HCPs!M:M,HCP_evidence!A297)&gt;0,"Yes","No")</f>
        <v>Yes</v>
      </c>
      <c r="J305" t="s">
        <v>4399</v>
      </c>
      <c r="K305" t="s">
        <v>414</v>
      </c>
      <c r="M305" t="s">
        <v>4399</v>
      </c>
      <c r="N305" t="s">
        <v>414</v>
      </c>
      <c r="O305" t="s">
        <v>5048</v>
      </c>
      <c r="P305" t="s">
        <v>4155</v>
      </c>
    </row>
    <row r="306" spans="1:31" ht="15">
      <c r="A306" t="s">
        <v>1140</v>
      </c>
      <c r="B306" t="str">
        <f>IF(COUNTIF(HCPs!M:M,HCP_evidence!A298)&gt;0,"Yes","No")</f>
        <v>Yes</v>
      </c>
      <c r="H306" s="75" t="s">
        <v>892</v>
      </c>
      <c r="I306" t="s">
        <v>1170</v>
      </c>
      <c r="K306" t="s">
        <v>414</v>
      </c>
    </row>
    <row r="307" spans="1:31" ht="15">
      <c r="A307" t="s">
        <v>3989</v>
      </c>
      <c r="B307" t="str">
        <f>IF(COUNTIF(HCPs!M:M,HCP_evidence!A299)&gt;0,"Yes","No")</f>
        <v>Yes</v>
      </c>
      <c r="J307" t="s">
        <v>414</v>
      </c>
      <c r="K307" t="s">
        <v>414</v>
      </c>
      <c r="L307" t="s">
        <v>414</v>
      </c>
      <c r="M307" t="s">
        <v>4399</v>
      </c>
      <c r="N307" t="s">
        <v>4399</v>
      </c>
      <c r="O307" t="s">
        <v>5037</v>
      </c>
      <c r="P307" t="s">
        <v>4144</v>
      </c>
    </row>
    <row r="308" spans="1:31" ht="15">
      <c r="A308" t="s">
        <v>469</v>
      </c>
      <c r="B308" t="str">
        <f>IF(COUNTIF(HCPs!M:M,HCP_evidence!A300)&gt;0,"Yes","No")</f>
        <v>Yes</v>
      </c>
      <c r="AE308" t="s">
        <v>503</v>
      </c>
    </row>
    <row r="309" spans="1:31" ht="15">
      <c r="A309" t="s">
        <v>469</v>
      </c>
      <c r="B309" t="str">
        <f>IF(COUNTIF(HCPs!M:M,HCP_evidence!A301)&gt;0,"Yes","No")</f>
        <v>Yes</v>
      </c>
      <c r="AE309" t="s">
        <v>503</v>
      </c>
    </row>
    <row r="310" spans="1:31" ht="15">
      <c r="A310" t="s">
        <v>3990</v>
      </c>
      <c r="B310" t="str">
        <f>IF(COUNTIF(HCPs!M:M,HCP_evidence!A302)&gt;0,"Yes","No")</f>
        <v>Yes</v>
      </c>
      <c r="O310" t="s">
        <v>5045</v>
      </c>
      <c r="P310" t="s">
        <v>4152</v>
      </c>
      <c r="Q310" t="s">
        <v>4399</v>
      </c>
      <c r="R310" t="s">
        <v>4399</v>
      </c>
      <c r="T310" t="s">
        <v>4399</v>
      </c>
      <c r="U310" t="s">
        <v>414</v>
      </c>
    </row>
    <row r="311" spans="1:31" ht="15">
      <c r="A311" t="s">
        <v>4522</v>
      </c>
      <c r="B311" t="str">
        <f>IF(COUNTIF(HCPs!M:M,HCP_evidence!A141)&gt;0,"Yes","No")</f>
        <v>Yes</v>
      </c>
      <c r="L311" t="s">
        <v>414</v>
      </c>
      <c r="AE311" t="s">
        <v>503</v>
      </c>
    </row>
    <row r="312" spans="1:31" ht="15">
      <c r="A312" t="s">
        <v>4979</v>
      </c>
      <c r="B312" t="str">
        <f>IF(COUNTIF(HCPs!M:M,HCP_evidence!A303)&gt;0,"Yes","No")</f>
        <v>Yes</v>
      </c>
      <c r="AB312" t="s">
        <v>4981</v>
      </c>
    </row>
    <row r="313" spans="1:31" ht="15">
      <c r="A313" t="s">
        <v>1091</v>
      </c>
      <c r="B313" t="str">
        <f>IF(COUNTIF(HCPs!M:M,HCP_evidence!A304)&gt;0,"Yes","No")</f>
        <v>Yes</v>
      </c>
      <c r="H313" s="75" t="s">
        <v>801</v>
      </c>
      <c r="I313" t="s">
        <v>1170</v>
      </c>
      <c r="L313" t="s">
        <v>414</v>
      </c>
    </row>
    <row r="314" spans="1:31" ht="15">
      <c r="A314" t="s">
        <v>1091</v>
      </c>
      <c r="B314" t="str">
        <f>IF(COUNTIF(HCPs!M:M,HCP_evidence!A305)&gt;0,"Yes","No")</f>
        <v>Yes</v>
      </c>
      <c r="H314" s="75" t="s">
        <v>892</v>
      </c>
      <c r="I314" t="s">
        <v>1170</v>
      </c>
      <c r="K314" t="s">
        <v>414</v>
      </c>
    </row>
    <row r="315" spans="1:31" ht="15">
      <c r="A315" t="s">
        <v>3991</v>
      </c>
      <c r="B315" t="str">
        <f>IF(COUNTIF(HCPs!M:M,HCP_evidence!A306)&gt;0,"Yes","No")</f>
        <v>Yes</v>
      </c>
      <c r="J315" t="s">
        <v>4399</v>
      </c>
      <c r="K315" t="s">
        <v>4399</v>
      </c>
      <c r="M315" t="s">
        <v>4399</v>
      </c>
      <c r="N315" t="s">
        <v>414</v>
      </c>
      <c r="O315" t="s">
        <v>5034</v>
      </c>
      <c r="P315" t="s">
        <v>4141</v>
      </c>
    </row>
    <row r="316" spans="1:31" ht="15">
      <c r="A316" t="s">
        <v>3991</v>
      </c>
      <c r="B316" t="str">
        <f>IF(COUNTIF(HCPs!M:M,HCP_evidence!A307)&gt;0,"Yes","No")</f>
        <v>Yes</v>
      </c>
      <c r="J316" t="s">
        <v>4399</v>
      </c>
      <c r="K316" t="s">
        <v>4399</v>
      </c>
      <c r="M316" t="s">
        <v>4399</v>
      </c>
      <c r="N316" t="s">
        <v>414</v>
      </c>
      <c r="O316" t="s">
        <v>5034</v>
      </c>
      <c r="P316" t="s">
        <v>4141</v>
      </c>
    </row>
    <row r="317" spans="1:31" ht="15">
      <c r="A317" s="95" t="s">
        <v>3992</v>
      </c>
      <c r="B317" t="str">
        <f>IF(COUNTIF(HCPs!M:M,HCP_evidence!A308)&gt;0,"Yes","No")</f>
        <v>Yes</v>
      </c>
      <c r="H317" s="95" t="s">
        <v>1187</v>
      </c>
      <c r="I317" t="s">
        <v>1191</v>
      </c>
      <c r="K317" t="s">
        <v>414</v>
      </c>
      <c r="L317" t="s">
        <v>414</v>
      </c>
    </row>
    <row r="318" spans="1:31" ht="15">
      <c r="A318" s="95" t="s">
        <v>3992</v>
      </c>
      <c r="B318" t="str">
        <f>IF(COUNTIF(HCPs!M:M,HCP_evidence!A309)&gt;0,"Yes","No")</f>
        <v>Yes</v>
      </c>
      <c r="H318" s="95" t="s">
        <v>990</v>
      </c>
      <c r="I318" t="s">
        <v>1170</v>
      </c>
      <c r="K318" t="s">
        <v>414</v>
      </c>
    </row>
    <row r="319" spans="1:31" ht="15">
      <c r="A319" s="95" t="s">
        <v>3992</v>
      </c>
      <c r="B319" t="str">
        <f>IF(COUNTIF(HCPs!M:M,HCP_evidence!A310)&gt;0,"Yes","No")</f>
        <v>Yes</v>
      </c>
      <c r="O319" s="95" t="s">
        <v>5045</v>
      </c>
      <c r="P319" t="s">
        <v>4152</v>
      </c>
      <c r="Q319" t="s">
        <v>4399</v>
      </c>
      <c r="R319" t="s">
        <v>4399</v>
      </c>
      <c r="T319" t="s">
        <v>4399</v>
      </c>
      <c r="U319" t="s">
        <v>414</v>
      </c>
    </row>
    <row r="320" spans="1:31" ht="15">
      <c r="A320" s="95" t="s">
        <v>3992</v>
      </c>
      <c r="B320" t="str">
        <f>IF(COUNTIF(HCPs!M:M,HCP_evidence!A311)&gt;0,"Yes","No")</f>
        <v>Yes</v>
      </c>
      <c r="O320" s="95" t="s">
        <v>5045</v>
      </c>
      <c r="P320" t="s">
        <v>4152</v>
      </c>
      <c r="Q320" t="s">
        <v>4399</v>
      </c>
      <c r="R320" t="s">
        <v>4399</v>
      </c>
      <c r="T320" t="s">
        <v>4399</v>
      </c>
      <c r="U320" t="s">
        <v>414</v>
      </c>
    </row>
    <row r="321" spans="1:31" ht="15">
      <c r="A321" s="95" t="s">
        <v>3992</v>
      </c>
      <c r="B321" t="str">
        <f>IF(COUNTIF(HCPs!M:M,HCP_evidence!A312)&gt;0,"Yes","No")</f>
        <v>Yes</v>
      </c>
      <c r="J321" t="s">
        <v>414</v>
      </c>
      <c r="K321" t="s">
        <v>414</v>
      </c>
      <c r="L321" t="s">
        <v>414</v>
      </c>
      <c r="M321" t="s">
        <v>4399</v>
      </c>
      <c r="N321" t="s">
        <v>4399</v>
      </c>
      <c r="O321" s="95" t="s">
        <v>5037</v>
      </c>
      <c r="P321" t="s">
        <v>4144</v>
      </c>
    </row>
    <row r="322" spans="1:31" ht="15">
      <c r="A322" s="95" t="s">
        <v>3992</v>
      </c>
      <c r="B322" t="str">
        <f>IF(COUNTIF(HCPs!M:M,HCP_evidence!A313)&gt;0,"Yes","No")</f>
        <v>Yes</v>
      </c>
      <c r="H322" s="95" t="s">
        <v>5052</v>
      </c>
      <c r="I322" t="s">
        <v>4159</v>
      </c>
      <c r="J322" t="s">
        <v>4399</v>
      </c>
      <c r="K322" t="s">
        <v>414</v>
      </c>
      <c r="M322" t="s">
        <v>4399</v>
      </c>
      <c r="N322" t="s">
        <v>414</v>
      </c>
    </row>
    <row r="323" spans="1:31" ht="15">
      <c r="A323" s="95" t="s">
        <v>3992</v>
      </c>
      <c r="B323" t="str">
        <f>IF(COUNTIF(HCPs!M:M,HCP_evidence!A314)&gt;0,"Yes","No")</f>
        <v>Yes</v>
      </c>
      <c r="H323" s="95" t="s">
        <v>1200</v>
      </c>
      <c r="I323" t="s">
        <v>1201</v>
      </c>
      <c r="J323" t="s">
        <v>414</v>
      </c>
      <c r="L323" t="s">
        <v>414</v>
      </c>
    </row>
    <row r="324" spans="1:31" ht="15">
      <c r="A324" s="95" t="s">
        <v>3992</v>
      </c>
      <c r="B324" t="str">
        <f>IF(COUNTIF(HCPs!M:M,HCP_evidence!A315)&gt;0,"Yes","No")</f>
        <v>Yes</v>
      </c>
      <c r="H324" s="95" t="s">
        <v>5039</v>
      </c>
      <c r="I324" t="s">
        <v>4146</v>
      </c>
      <c r="J324" t="s">
        <v>4399</v>
      </c>
      <c r="K324" t="s">
        <v>4399</v>
      </c>
      <c r="L324" t="s">
        <v>414</v>
      </c>
      <c r="M324" t="s">
        <v>4399</v>
      </c>
      <c r="N324" t="s">
        <v>414</v>
      </c>
    </row>
    <row r="325" spans="1:31" ht="15">
      <c r="A325" s="95" t="s">
        <v>3992</v>
      </c>
      <c r="B325" t="str">
        <f>IF(COUNTIF(HCPs!M:M,HCP_evidence!A316)&gt;0,"Yes","No")</f>
        <v>Yes</v>
      </c>
      <c r="H325" s="95" t="s">
        <v>5039</v>
      </c>
      <c r="I325" t="s">
        <v>4146</v>
      </c>
      <c r="J325" t="s">
        <v>4399</v>
      </c>
      <c r="K325" t="s">
        <v>4399</v>
      </c>
      <c r="L325" t="s">
        <v>414</v>
      </c>
      <c r="M325" t="s">
        <v>4399</v>
      </c>
      <c r="N325" t="s">
        <v>414</v>
      </c>
    </row>
    <row r="326" spans="1:31" ht="15">
      <c r="A326" s="95" t="s">
        <v>3992</v>
      </c>
      <c r="B326" t="str">
        <f>IF(COUNTIF(HCPs!M:M,HCP_evidence!A317)&gt;0,"Yes","No")</f>
        <v>Yes</v>
      </c>
      <c r="J326" t="s">
        <v>4399</v>
      </c>
      <c r="K326" t="s">
        <v>414</v>
      </c>
      <c r="M326" t="s">
        <v>4399</v>
      </c>
      <c r="N326" t="s">
        <v>414</v>
      </c>
      <c r="O326" s="13" t="s">
        <v>5065</v>
      </c>
      <c r="P326" t="s">
        <v>4171</v>
      </c>
    </row>
    <row r="327" spans="1:31" ht="15">
      <c r="A327" s="95" t="s">
        <v>3992</v>
      </c>
      <c r="B327" t="str">
        <f>IF(COUNTIF(HCPs!M:M,HCP_evidence!A318)&gt;0,"Yes","No")</f>
        <v>Yes</v>
      </c>
      <c r="H327" s="13"/>
      <c r="J327" t="s">
        <v>4399</v>
      </c>
      <c r="K327" t="s">
        <v>414</v>
      </c>
      <c r="L327" t="s">
        <v>414</v>
      </c>
      <c r="M327" t="s">
        <v>414</v>
      </c>
      <c r="N327" t="s">
        <v>4399</v>
      </c>
      <c r="O327" s="13" t="s">
        <v>5051</v>
      </c>
      <c r="P327" t="s">
        <v>4158</v>
      </c>
    </row>
    <row r="328" spans="1:31" ht="15">
      <c r="A328" s="95" t="s">
        <v>3992</v>
      </c>
      <c r="B328" t="str">
        <f>IF(COUNTIF(HCPs!M:M,HCP_evidence!A319)&gt;0,"Yes","No")</f>
        <v>Yes</v>
      </c>
      <c r="AB328" t="s">
        <v>5000</v>
      </c>
    </row>
    <row r="329" spans="1:31">
      <c r="A329" s="95" t="s">
        <v>3992</v>
      </c>
      <c r="B329" t="str">
        <f>IF(COUNTIF(HCPs!M:M,HCP_evidence!A320)&gt;0,"Yes","No")</f>
        <v>Yes</v>
      </c>
      <c r="Z329" t="s">
        <v>8179</v>
      </c>
      <c r="AA329" t="s">
        <v>8178</v>
      </c>
    </row>
    <row r="330" spans="1:31">
      <c r="A330" s="95" t="s">
        <v>3992</v>
      </c>
      <c r="B330" t="str">
        <f>IF(COUNTIF(HCPs!M:M,HCP_evidence!A321)&gt;0,"Yes","No")</f>
        <v>Yes</v>
      </c>
      <c r="Z330" t="s">
        <v>8183</v>
      </c>
      <c r="AA330" t="s">
        <v>8178</v>
      </c>
    </row>
    <row r="331" spans="1:31" ht="15">
      <c r="A331" t="s">
        <v>3993</v>
      </c>
      <c r="B331" t="str">
        <f>IF(COUNTIF(HCPs!M:M,HCP_evidence!A322)&gt;0,"Yes","No")</f>
        <v>Yes</v>
      </c>
      <c r="J331" t="s">
        <v>4399</v>
      </c>
      <c r="K331" t="s">
        <v>4399</v>
      </c>
      <c r="L331" t="s">
        <v>414</v>
      </c>
      <c r="M331" t="s">
        <v>4399</v>
      </c>
      <c r="N331" t="s">
        <v>414</v>
      </c>
      <c r="O331" t="s">
        <v>5040</v>
      </c>
      <c r="P331" t="s">
        <v>4147</v>
      </c>
    </row>
    <row r="332" spans="1:31" ht="15">
      <c r="A332" t="s">
        <v>1213</v>
      </c>
      <c r="B332" t="str">
        <f>IF(COUNTIF(HCPs!M:M,HCP_evidence!A323)&gt;0,"Yes","No")</f>
        <v>Yes</v>
      </c>
      <c r="J332" t="s">
        <v>414</v>
      </c>
      <c r="K332" t="s">
        <v>414</v>
      </c>
      <c r="L332" t="s">
        <v>414</v>
      </c>
      <c r="O332" t="s">
        <v>1211</v>
      </c>
      <c r="P332" t="s">
        <v>1212</v>
      </c>
    </row>
    <row r="333" spans="1:31" ht="15">
      <c r="A333" t="s">
        <v>1213</v>
      </c>
      <c r="B333" t="str">
        <f>IF(COUNTIF(HCPs!M:M,HCP_evidence!A324)&gt;0,"Yes","No")</f>
        <v>Yes</v>
      </c>
      <c r="J333" t="s">
        <v>414</v>
      </c>
      <c r="K333" t="s">
        <v>414</v>
      </c>
      <c r="L333" t="s">
        <v>414</v>
      </c>
      <c r="O333" t="s">
        <v>1217</v>
      </c>
      <c r="P333" t="s">
        <v>1212</v>
      </c>
    </row>
    <row r="334" spans="1:31" ht="15">
      <c r="A334" t="s">
        <v>3995</v>
      </c>
      <c r="B334" t="str">
        <f>IF(COUNTIF(HCPs!M:M,HCP_evidence!A325)&gt;0,"Yes","No")</f>
        <v>Yes</v>
      </c>
      <c r="H334" s="74" t="s">
        <v>5103</v>
      </c>
      <c r="I334" t="s">
        <v>4209</v>
      </c>
      <c r="J334" t="s">
        <v>4399</v>
      </c>
      <c r="K334" t="s">
        <v>4399</v>
      </c>
      <c r="L334" t="s">
        <v>414</v>
      </c>
      <c r="M334" t="s">
        <v>4399</v>
      </c>
      <c r="N334" t="s">
        <v>414</v>
      </c>
    </row>
    <row r="335" spans="1:31" ht="15">
      <c r="A335" t="s">
        <v>3995</v>
      </c>
      <c r="B335" t="str">
        <f>IF(COUNTIF(HCPs!M:M,HCP_evidence!A326)&gt;0,"Yes","No")</f>
        <v>Yes</v>
      </c>
      <c r="H335" s="74" t="s">
        <v>5030</v>
      </c>
      <c r="I335" t="s">
        <v>4136</v>
      </c>
      <c r="J335" t="s">
        <v>4399</v>
      </c>
      <c r="K335" t="s">
        <v>4399</v>
      </c>
      <c r="L335" t="s">
        <v>414</v>
      </c>
      <c r="M335" t="s">
        <v>4399</v>
      </c>
      <c r="N335" t="s">
        <v>414</v>
      </c>
    </row>
    <row r="336" spans="1:31" ht="15">
      <c r="A336" t="s">
        <v>3995</v>
      </c>
      <c r="B336" t="str">
        <f>IF(COUNTIF(HCPs!M:M,HCP_evidence!A327)&gt;0,"Yes","No")</f>
        <v>Yes</v>
      </c>
      <c r="AE336" t="s">
        <v>503</v>
      </c>
    </row>
    <row r="337" spans="1:32" ht="15">
      <c r="A337" t="s">
        <v>3995</v>
      </c>
      <c r="B337" t="str">
        <f>IF(COUNTIF(HCPs!M:M,HCP_evidence!A328)&gt;0,"Yes","No")</f>
        <v>Yes</v>
      </c>
      <c r="AB337" t="s">
        <v>4981</v>
      </c>
    </row>
    <row r="338" spans="1:32" ht="15">
      <c r="A338" t="s">
        <v>3995</v>
      </c>
      <c r="B338" t="str">
        <f>IF(COUNTIF(HCPs!M:M,HCP_evidence!A329)&gt;0,"Yes","No")</f>
        <v>Yes</v>
      </c>
      <c r="F338" t="s">
        <v>8136</v>
      </c>
      <c r="G338" t="s">
        <v>7926</v>
      </c>
    </row>
    <row r="339" spans="1:32" ht="15">
      <c r="A339" t="s">
        <v>3996</v>
      </c>
      <c r="B339" t="str">
        <f>IF(COUNTIF(HCPs!M:M,HCP_evidence!A330)&gt;0,"Yes","No")</f>
        <v>Yes</v>
      </c>
      <c r="J339" t="s">
        <v>414</v>
      </c>
      <c r="K339" t="s">
        <v>414</v>
      </c>
      <c r="L339" t="s">
        <v>414</v>
      </c>
      <c r="M339" t="s">
        <v>4399</v>
      </c>
      <c r="N339" t="s">
        <v>4399</v>
      </c>
      <c r="O339" t="s">
        <v>5037</v>
      </c>
      <c r="P339" t="s">
        <v>4144</v>
      </c>
    </row>
    <row r="340" spans="1:32" ht="15">
      <c r="A340" t="s">
        <v>1128</v>
      </c>
      <c r="B340" t="str">
        <f>IF(COUNTIF(HCPs!M:M,HCP_evidence!A331)&gt;0,"Yes","No")</f>
        <v>Yes</v>
      </c>
      <c r="H340" s="75" t="s">
        <v>892</v>
      </c>
      <c r="I340" t="s">
        <v>1170</v>
      </c>
      <c r="K340" t="s">
        <v>414</v>
      </c>
    </row>
    <row r="341" spans="1:32" ht="15">
      <c r="A341" t="s">
        <v>1128</v>
      </c>
      <c r="B341" t="str">
        <f>IF(COUNTIF(HCPs!M:M,HCP_evidence!A875)&gt;0,"Yes","No")</f>
        <v>Yes</v>
      </c>
      <c r="AB341" t="s">
        <v>8517</v>
      </c>
    </row>
    <row r="342" spans="1:32" ht="15">
      <c r="A342" t="s">
        <v>7885</v>
      </c>
      <c r="B342" t="str">
        <f>IF(COUNTIF(HCPs!M:M,HCP_evidence!A332)&gt;0,"Yes","No")</f>
        <v>Yes</v>
      </c>
      <c r="AB342" t="s">
        <v>7887</v>
      </c>
    </row>
    <row r="343" spans="1:32" ht="15">
      <c r="A343" s="13" t="s">
        <v>1130</v>
      </c>
      <c r="B343" t="str">
        <f>IF(COUNTIF(HCPs!M:M,HCP_evidence!A333)&gt;0,"Yes","No")</f>
        <v>Yes</v>
      </c>
      <c r="H343" s="75" t="s">
        <v>990</v>
      </c>
      <c r="I343" t="s">
        <v>1170</v>
      </c>
      <c r="K343" t="s">
        <v>414</v>
      </c>
    </row>
    <row r="344" spans="1:32" ht="15">
      <c r="A344" s="13" t="s">
        <v>1130</v>
      </c>
      <c r="B344" t="str">
        <f>IF(COUNTIF(HCPs!M:M,HCP_evidence!A334)&gt;0,"Yes","No")</f>
        <v>Yes</v>
      </c>
      <c r="H344" s="75" t="s">
        <v>892</v>
      </c>
      <c r="I344" t="s">
        <v>1170</v>
      </c>
      <c r="K344" t="s">
        <v>414</v>
      </c>
    </row>
    <row r="345" spans="1:32" ht="15">
      <c r="A345" s="13" t="s">
        <v>8422</v>
      </c>
      <c r="B345" t="str">
        <f>IF(COUNTIF(HCPs!M:M,HCP_evidence!A335)&gt;0,"Yes","No")</f>
        <v>Yes</v>
      </c>
      <c r="H345" s="13" t="s">
        <v>5078</v>
      </c>
      <c r="I345" t="s">
        <v>4184</v>
      </c>
      <c r="J345" t="s">
        <v>4399</v>
      </c>
      <c r="K345" t="s">
        <v>414</v>
      </c>
      <c r="M345" t="s">
        <v>4399</v>
      </c>
      <c r="N345" t="s">
        <v>414</v>
      </c>
    </row>
    <row r="346" spans="1:32" ht="15">
      <c r="A346" t="s">
        <v>515</v>
      </c>
      <c r="B346" t="str">
        <f>IF(COUNTIF(HCPs!M:M,HCP_evidence!A336)&gt;0,"Yes","No")</f>
        <v>Yes</v>
      </c>
      <c r="AF346" t="s">
        <v>519</v>
      </c>
    </row>
    <row r="347" spans="1:32" ht="15">
      <c r="A347" t="s">
        <v>516</v>
      </c>
      <c r="B347" t="str">
        <f>IF(COUNTIF(HCPs!M:M,HCP_evidence!A337)&gt;0,"Yes","No")</f>
        <v>Yes</v>
      </c>
      <c r="AF347" t="s">
        <v>519</v>
      </c>
    </row>
    <row r="348" spans="1:32" ht="15">
      <c r="A348" t="s">
        <v>4988</v>
      </c>
      <c r="B348" t="str">
        <f>IF(COUNTIF(HCPs!M:M,HCP_evidence!A338)&gt;0,"Yes","No")</f>
        <v>Yes</v>
      </c>
      <c r="AB348" t="s">
        <v>4986</v>
      </c>
    </row>
    <row r="349" spans="1:32" ht="15">
      <c r="A349" s="86" t="s">
        <v>3997</v>
      </c>
      <c r="B349" t="str">
        <f>IF(COUNTIF(HCPs!M:M,HCP_evidence!A339)&gt;0,"Yes","No")</f>
        <v>Yes</v>
      </c>
      <c r="H349" s="86" t="s">
        <v>5076</v>
      </c>
      <c r="I349" t="s">
        <v>4182</v>
      </c>
      <c r="J349" t="s">
        <v>4399</v>
      </c>
      <c r="K349" t="s">
        <v>4399</v>
      </c>
      <c r="L349" t="s">
        <v>414</v>
      </c>
      <c r="M349" t="s">
        <v>4399</v>
      </c>
      <c r="N349" t="s">
        <v>414</v>
      </c>
    </row>
    <row r="350" spans="1:32" ht="15">
      <c r="A350" s="74" t="s">
        <v>1097</v>
      </c>
      <c r="B350" t="str">
        <f>IF(COUNTIF(HCPs!M:M,HCP_evidence!A340)&gt;0,"Yes","No")</f>
        <v>Yes</v>
      </c>
      <c r="H350" s="74" t="s">
        <v>990</v>
      </c>
      <c r="I350" t="s">
        <v>1170</v>
      </c>
      <c r="K350" t="s">
        <v>414</v>
      </c>
    </row>
    <row r="351" spans="1:32" ht="15">
      <c r="A351" s="74" t="s">
        <v>1097</v>
      </c>
      <c r="B351" t="str">
        <f>IF(COUNTIF(HCPs!M:M,HCP_evidence!A341)&gt;0,"Yes","No")</f>
        <v>Yes</v>
      </c>
      <c r="H351" s="74" t="s">
        <v>5052</v>
      </c>
      <c r="I351" t="s">
        <v>4159</v>
      </c>
      <c r="J351" t="s">
        <v>4399</v>
      </c>
      <c r="K351" t="s">
        <v>414</v>
      </c>
      <c r="M351" t="s">
        <v>4399</v>
      </c>
      <c r="N351" t="s">
        <v>414</v>
      </c>
    </row>
    <row r="352" spans="1:32" ht="15">
      <c r="A352" s="74" t="s">
        <v>1097</v>
      </c>
      <c r="B352" t="str">
        <f>IF(COUNTIF(HCPs!M:M,HCP_evidence!A342)&gt;0,"Yes","No")</f>
        <v>Yes</v>
      </c>
      <c r="H352" s="74" t="s">
        <v>1278</v>
      </c>
      <c r="I352" t="s">
        <v>1279</v>
      </c>
      <c r="K352" t="s">
        <v>414</v>
      </c>
      <c r="L352" t="s">
        <v>414</v>
      </c>
    </row>
    <row r="353" spans="1:31" ht="15">
      <c r="A353" s="74" t="s">
        <v>1097</v>
      </c>
      <c r="B353" t="str">
        <f>IF(COUNTIF(HCPs!M:M,HCP_evidence!A343)&gt;0,"Yes","No")</f>
        <v>Yes</v>
      </c>
      <c r="H353" s="74" t="s">
        <v>801</v>
      </c>
      <c r="I353" t="s">
        <v>1170</v>
      </c>
      <c r="L353" t="s">
        <v>414</v>
      </c>
    </row>
    <row r="354" spans="1:31">
      <c r="A354" s="74" t="s">
        <v>1097</v>
      </c>
      <c r="B354" t="str">
        <f>IF(COUNTIF(HCPs!M:M,HCP_evidence!A344)&gt;0,"Yes","No")</f>
        <v>Yes</v>
      </c>
      <c r="Z354" t="s">
        <v>5135</v>
      </c>
      <c r="AA354" t="s">
        <v>5134</v>
      </c>
    </row>
    <row r="355" spans="1:31" ht="15">
      <c r="A355" t="s">
        <v>1097</v>
      </c>
      <c r="B355" t="str">
        <f>IF(COUNTIF(HCPs!M:M,HCP_evidence!A345)&gt;0,"Yes","No")</f>
        <v>Yes</v>
      </c>
      <c r="D355" t="s">
        <v>8137</v>
      </c>
      <c r="E355" t="s">
        <v>8138</v>
      </c>
    </row>
    <row r="356" spans="1:31" ht="15">
      <c r="A356" t="s">
        <v>1097</v>
      </c>
      <c r="B356" t="str">
        <f>IF(COUNTIF(HCPs!M:M,HCP_evidence!A346)&gt;0,"Yes","No")</f>
        <v>Yes</v>
      </c>
      <c r="F356" t="s">
        <v>8136</v>
      </c>
      <c r="G356" t="s">
        <v>7926</v>
      </c>
    </row>
    <row r="357" spans="1:31" ht="15">
      <c r="A357" t="s">
        <v>451</v>
      </c>
      <c r="B357" t="str">
        <f>IF(COUNTIF(HCPs!M:M,HCP_evidence!A349)&gt;0,"Yes","No")</f>
        <v>Yes</v>
      </c>
      <c r="AE357" t="s">
        <v>503</v>
      </c>
    </row>
    <row r="358" spans="1:31" ht="15">
      <c r="A358" t="s">
        <v>3998</v>
      </c>
      <c r="B358" t="str">
        <f>IF(COUNTIF(HCPs!M:M,HCP_evidence!A350)&gt;0,"Yes","No")</f>
        <v>Yes</v>
      </c>
      <c r="J358" t="s">
        <v>4399</v>
      </c>
      <c r="K358" t="s">
        <v>4399</v>
      </c>
      <c r="M358" t="s">
        <v>4399</v>
      </c>
      <c r="N358" t="s">
        <v>4399</v>
      </c>
      <c r="O358" t="s">
        <v>5063</v>
      </c>
      <c r="P358" t="s">
        <v>4169</v>
      </c>
    </row>
    <row r="359" spans="1:31" ht="15">
      <c r="A359" s="74" t="s">
        <v>3999</v>
      </c>
      <c r="B359" t="str">
        <f>IF(COUNTIF(HCPs!M:M,HCP_evidence!A351)&gt;0,"Yes","No")</f>
        <v>Yes</v>
      </c>
      <c r="H359" s="74" t="s">
        <v>5053</v>
      </c>
      <c r="I359" t="s">
        <v>4160</v>
      </c>
      <c r="J359" t="s">
        <v>4399</v>
      </c>
      <c r="K359" t="s">
        <v>4399</v>
      </c>
      <c r="L359" t="s">
        <v>414</v>
      </c>
      <c r="M359" t="s">
        <v>4399</v>
      </c>
      <c r="N359" t="s">
        <v>4399</v>
      </c>
    </row>
    <row r="360" spans="1:31" ht="15">
      <c r="A360" t="s">
        <v>4000</v>
      </c>
      <c r="B360" t="str">
        <f>IF(COUNTIF(HCPs!M:M,HCP_evidence!A352)&gt;0,"Yes","No")</f>
        <v>Yes</v>
      </c>
      <c r="J360" t="s">
        <v>4399</v>
      </c>
      <c r="K360" t="s">
        <v>4399</v>
      </c>
      <c r="M360" t="s">
        <v>4399</v>
      </c>
      <c r="N360" t="s">
        <v>4399</v>
      </c>
      <c r="O360" t="s">
        <v>5082</v>
      </c>
      <c r="P360" t="s">
        <v>4188</v>
      </c>
    </row>
    <row r="361" spans="1:31" ht="15">
      <c r="A361" t="s">
        <v>1122</v>
      </c>
      <c r="B361" t="str">
        <f>IF(COUNTIF(HCPs!M:M,HCP_evidence!A353)&gt;0,"Yes","No")</f>
        <v>Yes</v>
      </c>
      <c r="H361" s="75" t="s">
        <v>892</v>
      </c>
      <c r="I361" t="s">
        <v>1170</v>
      </c>
      <c r="K361" t="s">
        <v>414</v>
      </c>
    </row>
    <row r="362" spans="1:31" ht="15">
      <c r="A362" t="s">
        <v>4001</v>
      </c>
      <c r="B362" t="str">
        <f>IF(COUNTIF(HCPs!M:M,HCP_evidence!A354)&gt;0,"Yes","No")</f>
        <v>Yes</v>
      </c>
      <c r="J362" t="s">
        <v>4399</v>
      </c>
      <c r="K362" t="s">
        <v>4399</v>
      </c>
      <c r="M362" t="s">
        <v>4399</v>
      </c>
      <c r="N362" t="s">
        <v>414</v>
      </c>
      <c r="O362" t="s">
        <v>5034</v>
      </c>
      <c r="P362" t="s">
        <v>4141</v>
      </c>
    </row>
    <row r="363" spans="1:31" ht="15">
      <c r="A363" t="s">
        <v>4001</v>
      </c>
      <c r="B363" t="str">
        <f>IF(COUNTIF(HCPs!M:M,HCP_evidence!A355)&gt;0,"Yes","No")</f>
        <v>Yes</v>
      </c>
      <c r="J363" t="s">
        <v>4399</v>
      </c>
      <c r="K363" t="s">
        <v>4399</v>
      </c>
      <c r="M363" t="s">
        <v>4399</v>
      </c>
      <c r="N363" t="s">
        <v>414</v>
      </c>
      <c r="O363" t="s">
        <v>5034</v>
      </c>
      <c r="P363" t="s">
        <v>4141</v>
      </c>
    </row>
    <row r="364" spans="1:31" ht="15">
      <c r="A364" t="s">
        <v>4002</v>
      </c>
      <c r="B364" t="str">
        <f>IF(COUNTIF(HCPs!M:M,HCP_evidence!A356)&gt;0,"Yes","No")</f>
        <v>Yes</v>
      </c>
      <c r="J364" t="s">
        <v>4399</v>
      </c>
      <c r="K364" t="s">
        <v>4399</v>
      </c>
      <c r="M364" t="s">
        <v>4399</v>
      </c>
      <c r="N364" t="s">
        <v>414</v>
      </c>
      <c r="O364" t="s">
        <v>5034</v>
      </c>
      <c r="P364" t="s">
        <v>4141</v>
      </c>
    </row>
    <row r="365" spans="1:31" ht="15">
      <c r="A365" t="s">
        <v>4003</v>
      </c>
      <c r="B365" t="str">
        <f>IF(COUNTIF(HCPs!M:M,HCP_evidence!A357)&gt;0,"Yes","No")</f>
        <v>Yes</v>
      </c>
      <c r="J365" t="s">
        <v>4399</v>
      </c>
      <c r="K365" t="s">
        <v>4399</v>
      </c>
      <c r="M365" t="s">
        <v>4399</v>
      </c>
      <c r="N365" t="s">
        <v>4399</v>
      </c>
      <c r="O365" t="s">
        <v>5083</v>
      </c>
      <c r="P365" t="s">
        <v>4189</v>
      </c>
    </row>
    <row r="366" spans="1:31" ht="15">
      <c r="A366" s="51" t="s">
        <v>7870</v>
      </c>
      <c r="B366" t="str">
        <f>IF(COUNTIF(HCPs!M:M,HCP_evidence!A358)&gt;0,"Yes","No")</f>
        <v>No</v>
      </c>
      <c r="AB366" t="s">
        <v>7871</v>
      </c>
    </row>
    <row r="367" spans="1:31" ht="15">
      <c r="A367" s="51" t="s">
        <v>1120</v>
      </c>
      <c r="B367" t="str">
        <f>IF(COUNTIF(HCPs!M:M,HCP_evidence!A359)&gt;0,"Yes","No")</f>
        <v>Yes</v>
      </c>
      <c r="H367" s="75" t="s">
        <v>892</v>
      </c>
      <c r="I367" t="s">
        <v>1170</v>
      </c>
      <c r="K367" t="s">
        <v>414</v>
      </c>
    </row>
    <row r="368" spans="1:31" ht="15">
      <c r="A368" t="s">
        <v>7980</v>
      </c>
      <c r="B368" t="str">
        <f>IF(COUNTIF(HCPs!M:M,HCP_evidence!A360)&gt;0,"Yes","No")</f>
        <v>Yes</v>
      </c>
      <c r="F368" t="s">
        <v>8136</v>
      </c>
      <c r="G368" t="s">
        <v>7926</v>
      </c>
    </row>
    <row r="369" spans="1:31" ht="15">
      <c r="A369" s="51" t="s">
        <v>483</v>
      </c>
      <c r="B369" t="str">
        <f>IF(COUNTIF(HCPs!M:M,HCP_evidence!A361)&gt;0,"Yes","No")</f>
        <v>Yes</v>
      </c>
      <c r="AE369" t="s">
        <v>503</v>
      </c>
    </row>
    <row r="370" spans="1:31" ht="15">
      <c r="A370" s="84" t="s">
        <v>468</v>
      </c>
      <c r="B370" t="str">
        <f>IF(COUNTIF(HCPs!M:M,HCP_evidence!A362)&gt;0,"Yes","No")</f>
        <v>Yes</v>
      </c>
      <c r="H370" s="74" t="s">
        <v>5053</v>
      </c>
      <c r="I370" t="s">
        <v>4160</v>
      </c>
      <c r="J370" t="s">
        <v>4399</v>
      </c>
      <c r="K370" t="s">
        <v>4399</v>
      </c>
      <c r="L370" t="s">
        <v>414</v>
      </c>
      <c r="M370" t="s">
        <v>4399</v>
      </c>
      <c r="N370" t="s">
        <v>4399</v>
      </c>
    </row>
    <row r="371" spans="1:31" ht="15">
      <c r="A371" s="84" t="s">
        <v>468</v>
      </c>
      <c r="B371" t="str">
        <f>IF(COUNTIF(HCPs!M:M,HCP_evidence!A363)&gt;0,"Yes","No")</f>
        <v>Yes</v>
      </c>
      <c r="H371" s="74" t="s">
        <v>5053</v>
      </c>
      <c r="I371" t="s">
        <v>4160</v>
      </c>
      <c r="J371" t="s">
        <v>4399</v>
      </c>
      <c r="K371" t="s">
        <v>4399</v>
      </c>
      <c r="L371" t="s">
        <v>414</v>
      </c>
      <c r="M371" t="s">
        <v>4399</v>
      </c>
      <c r="N371" t="s">
        <v>4399</v>
      </c>
    </row>
    <row r="372" spans="1:31" ht="15">
      <c r="A372" s="74" t="s">
        <v>468</v>
      </c>
      <c r="B372" t="str">
        <f>IF(COUNTIF(HCPs!M:M,HCP_evidence!A364)&gt;0,"Yes","No")</f>
        <v>Yes</v>
      </c>
      <c r="AE372" t="s">
        <v>503</v>
      </c>
    </row>
    <row r="373" spans="1:31" ht="15">
      <c r="A373" t="s">
        <v>3100</v>
      </c>
      <c r="B373" t="str">
        <f>IF(COUNTIF(HCPs!M:M,HCP_evidence!A365)&gt;0,"Yes","No")</f>
        <v>Yes</v>
      </c>
      <c r="AB373" t="s">
        <v>3117</v>
      </c>
    </row>
    <row r="374" spans="1:31" ht="15">
      <c r="A374" t="s">
        <v>4005</v>
      </c>
      <c r="B374" t="str">
        <f>IF(COUNTIF(HCPs!M:M,HCP_evidence!A366)&gt;0,"Yes","No")</f>
        <v>Yes</v>
      </c>
      <c r="J374" t="s">
        <v>4399</v>
      </c>
      <c r="K374" t="s">
        <v>4399</v>
      </c>
      <c r="L374" t="s">
        <v>414</v>
      </c>
      <c r="M374" t="s">
        <v>4399</v>
      </c>
      <c r="N374" t="s">
        <v>4399</v>
      </c>
      <c r="O374" t="s">
        <v>5062</v>
      </c>
      <c r="P374" t="s">
        <v>4168</v>
      </c>
    </row>
    <row r="375" spans="1:31" ht="15">
      <c r="A375" s="51" t="s">
        <v>8049</v>
      </c>
      <c r="B375" t="str">
        <f>IF(COUNTIF(HCPs!M:M,HCP_evidence!A367)&gt;0,"Yes","No")</f>
        <v>Yes</v>
      </c>
      <c r="AB375" t="s">
        <v>8051</v>
      </c>
    </row>
    <row r="376" spans="1:31" ht="15">
      <c r="A376" t="s">
        <v>4006</v>
      </c>
      <c r="B376" t="str">
        <f>IF(COUNTIF(HCPs!M:M,HCP_evidence!A368)&gt;0,"Yes","No")</f>
        <v>Yes</v>
      </c>
      <c r="J376" t="s">
        <v>4399</v>
      </c>
      <c r="K376" t="s">
        <v>4399</v>
      </c>
      <c r="L376" t="s">
        <v>414</v>
      </c>
      <c r="M376" t="s">
        <v>4399</v>
      </c>
      <c r="N376" t="s">
        <v>4399</v>
      </c>
      <c r="O376" t="s">
        <v>5062</v>
      </c>
      <c r="P376" t="s">
        <v>4168</v>
      </c>
    </row>
    <row r="377" spans="1:31" ht="15">
      <c r="A377" t="s">
        <v>4007</v>
      </c>
      <c r="B377" t="str">
        <f>IF(COUNTIF(HCPs!M:M,HCP_evidence!A369)&gt;0,"Yes","No")</f>
        <v>Yes</v>
      </c>
      <c r="J377" t="s">
        <v>4399</v>
      </c>
      <c r="K377" t="s">
        <v>4399</v>
      </c>
      <c r="M377" t="s">
        <v>4399</v>
      </c>
      <c r="N377" t="s">
        <v>4399</v>
      </c>
      <c r="O377" t="s">
        <v>5057</v>
      </c>
      <c r="P377" t="s">
        <v>4163</v>
      </c>
    </row>
    <row r="378" spans="1:31" ht="15">
      <c r="A378" s="51" t="s">
        <v>4007</v>
      </c>
      <c r="B378" t="str">
        <f>IF(COUNTIF(HCPs!M:M,HCP_evidence!A370)&gt;0,"Yes","No")</f>
        <v>Yes</v>
      </c>
      <c r="J378" t="s">
        <v>4399</v>
      </c>
      <c r="K378" t="s">
        <v>4399</v>
      </c>
      <c r="M378" t="s">
        <v>4399</v>
      </c>
      <c r="N378" t="s">
        <v>4399</v>
      </c>
      <c r="O378" t="s">
        <v>5057</v>
      </c>
      <c r="P378" t="s">
        <v>4163</v>
      </c>
    </row>
    <row r="379" spans="1:31" ht="15">
      <c r="A379" s="84" t="s">
        <v>481</v>
      </c>
      <c r="B379" t="str">
        <f>IF(COUNTIF(HCPs!M:M,HCP_evidence!A371)&gt;0,"Yes","No")</f>
        <v>Yes</v>
      </c>
      <c r="H379" s="74" t="s">
        <v>5053</v>
      </c>
      <c r="I379" t="s">
        <v>4160</v>
      </c>
      <c r="J379" t="s">
        <v>4399</v>
      </c>
      <c r="K379" t="s">
        <v>4399</v>
      </c>
      <c r="L379" t="s">
        <v>414</v>
      </c>
      <c r="M379" t="s">
        <v>4399</v>
      </c>
      <c r="N379" t="s">
        <v>4399</v>
      </c>
    </row>
    <row r="380" spans="1:31" ht="15">
      <c r="A380" s="84" t="s">
        <v>481</v>
      </c>
      <c r="B380" t="str">
        <f>IF(COUNTIF(HCPs!M:M,HCP_evidence!A372)&gt;0,"Yes","No")</f>
        <v>Yes</v>
      </c>
      <c r="AE380" t="s">
        <v>503</v>
      </c>
    </row>
    <row r="381" spans="1:31" ht="15">
      <c r="A381" s="51" t="s">
        <v>4008</v>
      </c>
      <c r="B381" t="str">
        <f>IF(COUNTIF(HCPs!M:M,HCP_evidence!A373)&gt;0,"Yes","No")</f>
        <v>Yes</v>
      </c>
      <c r="J381" t="s">
        <v>414</v>
      </c>
      <c r="K381" t="s">
        <v>414</v>
      </c>
      <c r="L381" t="s">
        <v>414</v>
      </c>
      <c r="M381" t="s">
        <v>4399</v>
      </c>
      <c r="N381" t="s">
        <v>4399</v>
      </c>
      <c r="O381" t="s">
        <v>5037</v>
      </c>
      <c r="P381" t="s">
        <v>4144</v>
      </c>
    </row>
    <row r="382" spans="1:31" ht="15">
      <c r="A382" s="51" t="s">
        <v>1137</v>
      </c>
      <c r="B382" t="str">
        <f>IF(COUNTIF(HCPs!M:M,HCP_evidence!A374)&gt;0,"Yes","No")</f>
        <v>Yes</v>
      </c>
      <c r="H382" s="75" t="s">
        <v>892</v>
      </c>
      <c r="I382" t="s">
        <v>1170</v>
      </c>
      <c r="K382" t="s">
        <v>414</v>
      </c>
    </row>
    <row r="383" spans="1:31" ht="15">
      <c r="A383" s="51" t="s">
        <v>1214</v>
      </c>
      <c r="B383" t="str">
        <f>IF(COUNTIF(HCPs!M:M,HCP_evidence!A375)&gt;0,"Yes","No")</f>
        <v>Yes</v>
      </c>
      <c r="J383" t="s">
        <v>414</v>
      </c>
      <c r="K383" t="s">
        <v>414</v>
      </c>
      <c r="L383" t="s">
        <v>414</v>
      </c>
      <c r="O383" t="s">
        <v>1211</v>
      </c>
      <c r="P383" t="s">
        <v>1212</v>
      </c>
    </row>
    <row r="384" spans="1:31" ht="15">
      <c r="A384" s="51" t="s">
        <v>1214</v>
      </c>
      <c r="B384" t="str">
        <f>IF(COUNTIF(HCPs!M:M,HCP_evidence!A376)&gt;0,"Yes","No")</f>
        <v>Yes</v>
      </c>
      <c r="J384" t="s">
        <v>414</v>
      </c>
      <c r="K384" t="s">
        <v>414</v>
      </c>
      <c r="L384" t="s">
        <v>414</v>
      </c>
      <c r="O384" t="s">
        <v>1217</v>
      </c>
      <c r="P384" t="s">
        <v>1212</v>
      </c>
    </row>
    <row r="385" spans="1:31" ht="15">
      <c r="A385" s="96" t="s">
        <v>4009</v>
      </c>
      <c r="B385" t="str">
        <f>IF(COUNTIF(HCPs!M:M,HCP_evidence!A377)&gt;0,"Yes","No")</f>
        <v>Yes</v>
      </c>
      <c r="H385" s="13" t="s">
        <v>5084</v>
      </c>
      <c r="I385" t="s">
        <v>4190</v>
      </c>
      <c r="J385" t="s">
        <v>4399</v>
      </c>
      <c r="K385" t="s">
        <v>4399</v>
      </c>
      <c r="L385" t="s">
        <v>414</v>
      </c>
      <c r="M385" t="s">
        <v>4399</v>
      </c>
      <c r="N385" t="s">
        <v>4399</v>
      </c>
    </row>
    <row r="386" spans="1:31" ht="15">
      <c r="A386" s="51" t="s">
        <v>4010</v>
      </c>
      <c r="B386" t="str">
        <f>IF(COUNTIF(HCPs!M:M,HCP_evidence!A378)&gt;0,"Yes","No")</f>
        <v>Yes</v>
      </c>
      <c r="J386" t="s">
        <v>4399</v>
      </c>
      <c r="K386" t="s">
        <v>4399</v>
      </c>
      <c r="M386" t="s">
        <v>4399</v>
      </c>
      <c r="N386" t="s">
        <v>4399</v>
      </c>
      <c r="O386" t="s">
        <v>5057</v>
      </c>
      <c r="P386" t="s">
        <v>4163</v>
      </c>
    </row>
    <row r="387" spans="1:31" ht="15">
      <c r="A387" s="51" t="s">
        <v>4010</v>
      </c>
      <c r="B387" t="str">
        <f>IF(COUNTIF(HCPs!M:M,HCP_evidence!A379)&gt;0,"Yes","No")</f>
        <v>Yes</v>
      </c>
      <c r="J387" t="s">
        <v>4399</v>
      </c>
      <c r="K387" t="s">
        <v>4399</v>
      </c>
      <c r="M387" t="s">
        <v>4399</v>
      </c>
      <c r="N387" t="s">
        <v>4399</v>
      </c>
      <c r="O387" t="s">
        <v>5057</v>
      </c>
      <c r="P387" t="s">
        <v>4163</v>
      </c>
    </row>
    <row r="388" spans="1:31" ht="15">
      <c r="A388" s="51" t="s">
        <v>4011</v>
      </c>
      <c r="B388" t="str">
        <f>IF(COUNTIF(HCPs!M:M,HCP_evidence!A380)&gt;0,"Yes","No")</f>
        <v>Yes</v>
      </c>
      <c r="J388" t="s">
        <v>4399</v>
      </c>
      <c r="K388" t="s">
        <v>414</v>
      </c>
      <c r="M388" t="s">
        <v>4399</v>
      </c>
      <c r="N388" t="s">
        <v>414</v>
      </c>
      <c r="O388" t="s">
        <v>5048</v>
      </c>
      <c r="P388" t="s">
        <v>4155</v>
      </c>
    </row>
    <row r="389" spans="1:31" ht="15">
      <c r="A389" s="51" t="s">
        <v>4011</v>
      </c>
      <c r="B389" t="str">
        <f>IF(COUNTIF(HCPs!M:M,HCP_evidence!A381)&gt;0,"Yes","No")</f>
        <v>Yes</v>
      </c>
      <c r="J389" t="s">
        <v>4399</v>
      </c>
      <c r="K389" t="s">
        <v>414</v>
      </c>
      <c r="M389" t="s">
        <v>4399</v>
      </c>
      <c r="N389" t="s">
        <v>414</v>
      </c>
      <c r="O389" t="s">
        <v>5048</v>
      </c>
      <c r="P389" t="s">
        <v>4155</v>
      </c>
    </row>
    <row r="390" spans="1:31" ht="15">
      <c r="A390" s="98" t="s">
        <v>4013</v>
      </c>
      <c r="B390" t="str">
        <f>IF(COUNTIF(HCPs!M:M,HCP_evidence!A382)&gt;0,"Yes","No")</f>
        <v>Yes</v>
      </c>
      <c r="H390" s="95" t="s">
        <v>5047</v>
      </c>
      <c r="I390" t="s">
        <v>4154</v>
      </c>
      <c r="J390" t="s">
        <v>4399</v>
      </c>
      <c r="K390" t="s">
        <v>414</v>
      </c>
      <c r="L390" t="s">
        <v>414</v>
      </c>
      <c r="M390" t="s">
        <v>4399</v>
      </c>
      <c r="N390" t="s">
        <v>414</v>
      </c>
    </row>
    <row r="391" spans="1:31" ht="15">
      <c r="A391" t="s">
        <v>4014</v>
      </c>
      <c r="B391" t="str">
        <f>IF(COUNTIF(HCPs!M:M,HCP_evidence!A383)&gt;0,"Yes","No")</f>
        <v>Yes</v>
      </c>
      <c r="J391" t="s">
        <v>4399</v>
      </c>
      <c r="K391" t="s">
        <v>414</v>
      </c>
      <c r="L391" t="s">
        <v>414</v>
      </c>
      <c r="M391" t="s">
        <v>4399</v>
      </c>
      <c r="N391" t="s">
        <v>4399</v>
      </c>
      <c r="O391" t="s">
        <v>5075</v>
      </c>
      <c r="P391" t="s">
        <v>4181</v>
      </c>
    </row>
    <row r="392" spans="1:31" ht="15">
      <c r="A392" s="51" t="s">
        <v>431</v>
      </c>
      <c r="B392" t="str">
        <f>IF(COUNTIF(HCPs!M:M,HCP_evidence!A384)&gt;0,"Yes","No")</f>
        <v>Yes</v>
      </c>
      <c r="AE392" t="s">
        <v>503</v>
      </c>
    </row>
    <row r="393" spans="1:31" ht="15">
      <c r="A393" s="96" t="s">
        <v>8465</v>
      </c>
      <c r="B393" t="str">
        <f>IF(COUNTIF(HCPs!M:M,HCP_evidence!A385)&gt;0,"Yes","No")</f>
        <v>Yes</v>
      </c>
      <c r="H393" s="13" t="s">
        <v>5079</v>
      </c>
      <c r="I393" t="s">
        <v>4185</v>
      </c>
      <c r="J393" t="s">
        <v>414</v>
      </c>
      <c r="K393" t="s">
        <v>414</v>
      </c>
      <c r="M393" t="s">
        <v>4399</v>
      </c>
      <c r="N393" t="s">
        <v>414</v>
      </c>
    </row>
    <row r="394" spans="1:31" ht="15">
      <c r="A394" s="84" t="s">
        <v>4015</v>
      </c>
      <c r="B394" t="str">
        <f>IF(COUNTIF(HCPs!M:M,HCP_evidence!A386)&gt;0,"Yes","No")</f>
        <v>Yes</v>
      </c>
      <c r="H394" s="74" t="s">
        <v>5047</v>
      </c>
      <c r="I394" t="s">
        <v>4154</v>
      </c>
      <c r="J394" t="s">
        <v>4399</v>
      </c>
      <c r="K394" t="s">
        <v>414</v>
      </c>
      <c r="L394" t="s">
        <v>414</v>
      </c>
      <c r="M394" t="s">
        <v>4399</v>
      </c>
      <c r="N394" t="s">
        <v>414</v>
      </c>
    </row>
    <row r="395" spans="1:31" ht="15">
      <c r="A395" s="84" t="s">
        <v>4015</v>
      </c>
      <c r="B395" t="str">
        <f>IF(COUNTIF(HCPs!M:M,HCP_evidence!A387)&gt;0,"Yes","No")</f>
        <v>Yes</v>
      </c>
      <c r="H395" s="74" t="s">
        <v>4669</v>
      </c>
      <c r="I395" t="s">
        <v>4667</v>
      </c>
    </row>
    <row r="396" spans="1:31" ht="15">
      <c r="A396" s="84" t="s">
        <v>4015</v>
      </c>
      <c r="B396" t="str">
        <f>IF(COUNTIF(HCPs!M:M,HCP_evidence!A388)&gt;0,"Yes","No")</f>
        <v>Yes</v>
      </c>
      <c r="H396" s="74" t="s">
        <v>1200</v>
      </c>
      <c r="I396" t="s">
        <v>1201</v>
      </c>
      <c r="J396" t="s">
        <v>414</v>
      </c>
      <c r="L396" t="s">
        <v>414</v>
      </c>
    </row>
    <row r="397" spans="1:31" ht="15">
      <c r="A397" s="84" t="s">
        <v>4015</v>
      </c>
      <c r="B397" t="str">
        <f>IF(COUNTIF(HCPs!M:M,HCP_evidence!A389)&gt;0,"Yes","No")</f>
        <v>Yes</v>
      </c>
      <c r="H397" s="74" t="s">
        <v>1192</v>
      </c>
      <c r="I397" t="s">
        <v>1193</v>
      </c>
      <c r="K397" t="s">
        <v>414</v>
      </c>
      <c r="L397" t="s">
        <v>414</v>
      </c>
      <c r="M397" t="s">
        <v>414</v>
      </c>
    </row>
    <row r="398" spans="1:31" ht="15">
      <c r="A398" s="84" t="s">
        <v>4015</v>
      </c>
      <c r="B398" t="str">
        <f>IF(COUNTIF(HCPs!M:M,HCP_evidence!A390)&gt;0,"Yes","No")</f>
        <v>Yes</v>
      </c>
      <c r="H398" s="74" t="s">
        <v>5039</v>
      </c>
      <c r="I398" t="s">
        <v>4146</v>
      </c>
      <c r="J398" t="s">
        <v>4399</v>
      </c>
      <c r="K398" t="s">
        <v>4399</v>
      </c>
      <c r="L398" t="s">
        <v>414</v>
      </c>
      <c r="M398" t="s">
        <v>4399</v>
      </c>
      <c r="N398" t="s">
        <v>414</v>
      </c>
    </row>
    <row r="399" spans="1:31" ht="15">
      <c r="A399" s="84" t="s">
        <v>4015</v>
      </c>
      <c r="B399" t="str">
        <f>IF(COUNTIF(HCPs!M:M,HCP_evidence!A391)&gt;0,"Yes","No")</f>
        <v>Yes</v>
      </c>
      <c r="H399" s="74" t="s">
        <v>5039</v>
      </c>
      <c r="I399" t="s">
        <v>4146</v>
      </c>
      <c r="J399" t="s">
        <v>4399</v>
      </c>
      <c r="K399" t="s">
        <v>4399</v>
      </c>
      <c r="L399" t="s">
        <v>414</v>
      </c>
      <c r="M399" t="s">
        <v>4399</v>
      </c>
      <c r="N399" t="s">
        <v>414</v>
      </c>
    </row>
    <row r="400" spans="1:31" ht="15">
      <c r="A400" s="51" t="s">
        <v>471</v>
      </c>
      <c r="B400" t="str">
        <f>IF(COUNTIF(HCPs!M:M,HCP_evidence!A392)&gt;0,"Yes","No")</f>
        <v>Yes</v>
      </c>
      <c r="AE400" t="s">
        <v>503</v>
      </c>
    </row>
    <row r="401" spans="1:31" ht="15">
      <c r="A401" s="51" t="s">
        <v>471</v>
      </c>
      <c r="B401" t="str">
        <f>IF(COUNTIF(HCPs!M:M,HCP_evidence!A393)&gt;0,"Yes","No")</f>
        <v>Yes</v>
      </c>
      <c r="AB401" t="s">
        <v>4938</v>
      </c>
    </row>
    <row r="402" spans="1:31" ht="15">
      <c r="A402" s="51" t="s">
        <v>3105</v>
      </c>
      <c r="B402" t="str">
        <f>IF(COUNTIF(HCPs!M:M,HCP_evidence!A394)&gt;0,"Yes","No")</f>
        <v>Yes</v>
      </c>
      <c r="AB402" t="s">
        <v>3116</v>
      </c>
    </row>
    <row r="403" spans="1:31" ht="15">
      <c r="A403" s="51" t="s">
        <v>475</v>
      </c>
      <c r="B403" t="str">
        <f>IF(COUNTIF(HCPs!M:M,HCP_evidence!A395)&gt;0,"Yes","No")</f>
        <v>Yes</v>
      </c>
      <c r="AE403" t="s">
        <v>503</v>
      </c>
    </row>
    <row r="404" spans="1:31" ht="15">
      <c r="A404" s="51" t="s">
        <v>475</v>
      </c>
      <c r="B404" t="str">
        <f>IF(COUNTIF(HCPs!M:M,HCP_evidence!A396)&gt;0,"Yes","No")</f>
        <v>Yes</v>
      </c>
      <c r="AB404" t="s">
        <v>8217</v>
      </c>
    </row>
    <row r="405" spans="1:31" ht="15">
      <c r="A405" s="51" t="s">
        <v>1096</v>
      </c>
      <c r="B405" t="str">
        <f>IF(COUNTIF(HCPs!M:M,HCP_evidence!A397)&gt;0,"Yes","No")</f>
        <v>Yes</v>
      </c>
      <c r="H405" s="75" t="s">
        <v>801</v>
      </c>
      <c r="I405" t="s">
        <v>1170</v>
      </c>
      <c r="L405" t="s">
        <v>414</v>
      </c>
    </row>
    <row r="406" spans="1:31" ht="15">
      <c r="A406" s="51" t="s">
        <v>1096</v>
      </c>
      <c r="B406" t="str">
        <f>IF(COUNTIF(HCPs!M:M,HCP_evidence!A398)&gt;0,"Yes","No")</f>
        <v>Yes</v>
      </c>
      <c r="AB406" t="s">
        <v>5163</v>
      </c>
    </row>
    <row r="407" spans="1:31" ht="15">
      <c r="A407" s="51" t="s">
        <v>1154</v>
      </c>
      <c r="B407" t="str">
        <f>IF(COUNTIF(HCPs!M:M,HCP_evidence!A399)&gt;0,"Yes","No")</f>
        <v>Yes</v>
      </c>
      <c r="H407" s="75" t="s">
        <v>990</v>
      </c>
      <c r="I407" t="s">
        <v>1170</v>
      </c>
      <c r="K407" t="s">
        <v>414</v>
      </c>
    </row>
    <row r="408" spans="1:31" ht="15">
      <c r="A408" s="51" t="s">
        <v>1154</v>
      </c>
      <c r="B408" t="str">
        <f>IF(COUNTIF(HCPs!M:M,HCP_evidence!A400)&gt;0,"Yes","No")</f>
        <v>Yes</v>
      </c>
      <c r="F408" t="s">
        <v>8137</v>
      </c>
      <c r="G408" t="s">
        <v>8138</v>
      </c>
    </row>
    <row r="409" spans="1:31" ht="15">
      <c r="A409" s="51" t="s">
        <v>1154</v>
      </c>
      <c r="B409" t="str">
        <f>IF(COUNTIF(HCPs!M:M,HCP_evidence!A401)&gt;0,"Yes","No")</f>
        <v>Yes</v>
      </c>
      <c r="AB409" t="s">
        <v>8400</v>
      </c>
    </row>
    <row r="410" spans="1:31" ht="15">
      <c r="A410" s="96" t="s">
        <v>4016</v>
      </c>
      <c r="B410" t="str">
        <f>IF(COUNTIF(HCPs!M:M,HCP_evidence!A402)&gt;0,"Yes","No")</f>
        <v>Yes</v>
      </c>
      <c r="H410" s="13" t="s">
        <v>5081</v>
      </c>
      <c r="I410" t="s">
        <v>4187</v>
      </c>
      <c r="J410" t="s">
        <v>4399</v>
      </c>
      <c r="K410" t="s">
        <v>4399</v>
      </c>
      <c r="L410" t="s">
        <v>414</v>
      </c>
      <c r="M410" t="s">
        <v>4399</v>
      </c>
      <c r="N410" t="s">
        <v>414</v>
      </c>
    </row>
    <row r="411" spans="1:31" ht="15">
      <c r="A411" s="96" t="s">
        <v>4016</v>
      </c>
      <c r="B411" t="str">
        <f>IF(COUNTIF(HCPs!M:M,HCP_evidence!A403)&gt;0,"Yes","No")</f>
        <v>Yes</v>
      </c>
      <c r="D411" t="s">
        <v>8136</v>
      </c>
      <c r="E411" t="s">
        <v>7926</v>
      </c>
    </row>
    <row r="412" spans="1:31">
      <c r="A412" s="96" t="s">
        <v>4016</v>
      </c>
      <c r="B412" t="str">
        <f>IF(COUNTIF(HCPs!M:M,HCP_evidence!A404)&gt;0,"Yes","No")</f>
        <v>Yes</v>
      </c>
      <c r="Z412" t="s">
        <v>8112</v>
      </c>
      <c r="AA412" t="s">
        <v>8111</v>
      </c>
    </row>
    <row r="413" spans="1:31">
      <c r="A413" s="96" t="s">
        <v>4016</v>
      </c>
      <c r="B413" t="str">
        <f>IF(COUNTIF(HCPs!M:M,HCP_evidence!A405)&gt;0,"Yes","No")</f>
        <v>Yes</v>
      </c>
      <c r="Z413" t="s">
        <v>8122</v>
      </c>
      <c r="AA413" t="s">
        <v>8111</v>
      </c>
    </row>
    <row r="414" spans="1:31">
      <c r="A414" s="13" t="s">
        <v>4016</v>
      </c>
      <c r="B414" t="str">
        <f>IF(COUNTIF(HCPs!M:M,HCP_evidence!A406)&gt;0,"Yes","No")</f>
        <v>Yes</v>
      </c>
      <c r="Z414" t="s">
        <v>8124</v>
      </c>
      <c r="AA414" t="s">
        <v>8111</v>
      </c>
    </row>
    <row r="415" spans="1:31">
      <c r="A415" s="13" t="s">
        <v>4016</v>
      </c>
      <c r="B415" t="str">
        <f>IF(COUNTIF(HCPs!M:M,HCP_evidence!A407)&gt;0,"Yes","No")</f>
        <v>Yes</v>
      </c>
      <c r="Z415" t="s">
        <v>8129</v>
      </c>
      <c r="AA415" t="s">
        <v>8111</v>
      </c>
    </row>
    <row r="416" spans="1:31">
      <c r="A416" s="96" t="s">
        <v>4016</v>
      </c>
      <c r="B416" t="str">
        <f>IF(COUNTIF(HCPs!M:M,HCP_evidence!A408)&gt;0,"Yes","No")</f>
        <v>Yes</v>
      </c>
      <c r="Z416" t="s">
        <v>8133</v>
      </c>
      <c r="AA416" t="s">
        <v>8111</v>
      </c>
    </row>
    <row r="417" spans="1:33">
      <c r="A417" s="96" t="s">
        <v>4016</v>
      </c>
      <c r="B417" t="str">
        <f>IF(COUNTIF(HCPs!M:M,HCP_evidence!A409)&gt;0,"Yes","No")</f>
        <v>Yes</v>
      </c>
      <c r="F417" t="s">
        <v>8137</v>
      </c>
      <c r="G417" t="s">
        <v>8138</v>
      </c>
      <c r="Z417" t="s">
        <v>8614</v>
      </c>
      <c r="AA417" t="s">
        <v>8613</v>
      </c>
    </row>
    <row r="418" spans="1:33" ht="15">
      <c r="A418" s="84" t="s">
        <v>1202</v>
      </c>
      <c r="B418" t="str">
        <f>IF(COUNTIF(HCPs!M:M,HCP_evidence!A410)&gt;0,"Yes","No")</f>
        <v>Yes</v>
      </c>
      <c r="J418" t="s">
        <v>4399</v>
      </c>
      <c r="K418" t="s">
        <v>4399</v>
      </c>
      <c r="M418" t="s">
        <v>4399</v>
      </c>
      <c r="N418" t="s">
        <v>4399</v>
      </c>
      <c r="O418" s="74" t="s">
        <v>5057</v>
      </c>
      <c r="P418" t="s">
        <v>4163</v>
      </c>
    </row>
    <row r="419" spans="1:33" ht="15">
      <c r="A419" s="84" t="s">
        <v>1202</v>
      </c>
      <c r="B419" t="str">
        <f>IF(COUNTIF(HCPs!M:M,HCP_evidence!A411)&gt;0,"Yes","No")</f>
        <v>Yes</v>
      </c>
      <c r="J419" t="s">
        <v>4399</v>
      </c>
      <c r="K419" t="s">
        <v>4399</v>
      </c>
      <c r="M419" t="s">
        <v>4399</v>
      </c>
      <c r="N419" t="s">
        <v>4399</v>
      </c>
      <c r="O419" s="74" t="s">
        <v>5057</v>
      </c>
      <c r="P419" t="s">
        <v>4163</v>
      </c>
    </row>
    <row r="420" spans="1:33" ht="15">
      <c r="A420" s="74" t="s">
        <v>1202</v>
      </c>
      <c r="B420" t="str">
        <f>IF(COUNTIF(HCPs!M:M,HCP_evidence!A412)&gt;0,"Yes","No")</f>
        <v>Yes</v>
      </c>
      <c r="H420" s="74" t="s">
        <v>990</v>
      </c>
      <c r="I420" t="s">
        <v>1170</v>
      </c>
      <c r="K420" t="s">
        <v>414</v>
      </c>
    </row>
    <row r="421" spans="1:33" ht="15">
      <c r="A421" s="84" t="s">
        <v>1202</v>
      </c>
      <c r="B421" t="str">
        <f>IF(COUNTIF(HCPs!M:M,HCP_evidence!A413)&gt;0,"Yes","No")</f>
        <v>Yes</v>
      </c>
      <c r="H421" s="74" t="s">
        <v>5085</v>
      </c>
      <c r="I421" t="s">
        <v>4191</v>
      </c>
      <c r="J421" t="s">
        <v>4399</v>
      </c>
      <c r="K421" t="s">
        <v>414</v>
      </c>
      <c r="L421" t="s">
        <v>414</v>
      </c>
      <c r="M421" t="s">
        <v>4399</v>
      </c>
      <c r="N421" t="s">
        <v>414</v>
      </c>
    </row>
    <row r="422" spans="1:33" ht="15">
      <c r="A422" s="96" t="s">
        <v>1202</v>
      </c>
      <c r="B422" t="str">
        <f>IF(COUNTIF(HCPs!M:M,HCP_evidence!A414)&gt;0,"Yes","No")</f>
        <v>Yes</v>
      </c>
      <c r="H422" s="13" t="s">
        <v>5042</v>
      </c>
      <c r="I422" t="s">
        <v>4149</v>
      </c>
      <c r="J422" t="s">
        <v>4399</v>
      </c>
      <c r="K422" t="s">
        <v>4399</v>
      </c>
      <c r="L422" t="s">
        <v>414</v>
      </c>
      <c r="M422" t="s">
        <v>4399</v>
      </c>
      <c r="N422" t="s">
        <v>414</v>
      </c>
    </row>
    <row r="423" spans="1:33" ht="15">
      <c r="A423" s="84" t="s">
        <v>1202</v>
      </c>
      <c r="B423" t="str">
        <f>IF(COUNTIF(HCPs!M:M,HCP_evidence!A415)&gt;0,"Yes","No")</f>
        <v>Yes</v>
      </c>
      <c r="C423" s="22"/>
      <c r="D423" s="22"/>
      <c r="E423" s="22"/>
      <c r="F423" s="22"/>
      <c r="G423" s="22"/>
      <c r="H423" s="74" t="s">
        <v>1278</v>
      </c>
      <c r="I423" t="s">
        <v>1279</v>
      </c>
      <c r="K423" t="s">
        <v>414</v>
      </c>
      <c r="L423" t="s">
        <v>414</v>
      </c>
    </row>
    <row r="424" spans="1:33" ht="15">
      <c r="A424" s="84" t="s">
        <v>1202</v>
      </c>
      <c r="B424" t="str">
        <f>IF(COUNTIF(HCPs!M:M,HCP_evidence!A416)&gt;0,"Yes","No")</f>
        <v>Yes</v>
      </c>
      <c r="H424" s="74" t="s">
        <v>1200</v>
      </c>
      <c r="I424" t="s">
        <v>1201</v>
      </c>
      <c r="J424" t="s">
        <v>414</v>
      </c>
      <c r="L424" t="s">
        <v>414</v>
      </c>
    </row>
    <row r="425" spans="1:33" ht="15">
      <c r="A425" s="84" t="s">
        <v>1202</v>
      </c>
      <c r="B425" t="str">
        <f>IF(COUNTIF(HCPs!M:M,HCP_evidence!A417)&gt;0,"Yes","No")</f>
        <v>Yes</v>
      </c>
      <c r="H425" s="74" t="s">
        <v>892</v>
      </c>
      <c r="I425" t="s">
        <v>1170</v>
      </c>
      <c r="K425" t="s">
        <v>414</v>
      </c>
    </row>
    <row r="426" spans="1:33" ht="15">
      <c r="A426" s="84" t="s">
        <v>1202</v>
      </c>
      <c r="B426" t="str">
        <f>IF(COUNTIF(HCPs!M:M,HCP_evidence!A418)&gt;0,"Yes","No")</f>
        <v>Yes</v>
      </c>
      <c r="H426" s="74" t="s">
        <v>5039</v>
      </c>
      <c r="I426" t="s">
        <v>4146</v>
      </c>
      <c r="J426" t="s">
        <v>4399</v>
      </c>
      <c r="K426" t="s">
        <v>4399</v>
      </c>
      <c r="L426" t="s">
        <v>414</v>
      </c>
      <c r="M426" t="s">
        <v>4399</v>
      </c>
      <c r="N426" t="s">
        <v>414</v>
      </c>
    </row>
    <row r="427" spans="1:33" ht="15">
      <c r="A427" s="84" t="s">
        <v>1202</v>
      </c>
      <c r="B427" t="str">
        <f>IF(COUNTIF(HCPs!M:M,HCP_evidence!A419)&gt;0,"Yes","No")</f>
        <v>Yes</v>
      </c>
      <c r="H427" s="74" t="s">
        <v>5039</v>
      </c>
      <c r="I427" t="s">
        <v>4146</v>
      </c>
      <c r="J427" t="s">
        <v>4399</v>
      </c>
      <c r="K427" t="s">
        <v>4399</v>
      </c>
      <c r="L427" t="s">
        <v>414</v>
      </c>
      <c r="M427" t="s">
        <v>4399</v>
      </c>
      <c r="N427" t="s">
        <v>414</v>
      </c>
    </row>
    <row r="428" spans="1:33" ht="15">
      <c r="A428" s="96" t="s">
        <v>1202</v>
      </c>
      <c r="B428" t="str">
        <f>IF(COUNTIF(HCPs!M:M,HCP_evidence!A420)&gt;0,"Yes","No")</f>
        <v>Yes</v>
      </c>
      <c r="AG428" t="s">
        <v>1259</v>
      </c>
    </row>
    <row r="429" spans="1:33" ht="15">
      <c r="A429" s="13" t="s">
        <v>1202</v>
      </c>
      <c r="B429" t="str">
        <f>IF(COUNTIF(HCPs!M:M,HCP_evidence!A421)&gt;0,"Yes","No")</f>
        <v>Yes</v>
      </c>
      <c r="D429" t="s">
        <v>8136</v>
      </c>
      <c r="E429" t="s">
        <v>7926</v>
      </c>
    </row>
    <row r="430" spans="1:33" ht="15">
      <c r="A430" s="13" t="s">
        <v>1202</v>
      </c>
      <c r="B430" t="str">
        <f>IF(COUNTIF(HCPs!M:M,HCP_evidence!A422)&gt;0,"Yes","No")</f>
        <v>Yes</v>
      </c>
      <c r="AB430" t="s">
        <v>8013</v>
      </c>
    </row>
    <row r="431" spans="1:33" ht="15">
      <c r="A431" s="96" t="s">
        <v>1202</v>
      </c>
      <c r="B431" t="str">
        <f>IF(COUNTIF(HCPs!M:M,HCP_evidence!A423)&gt;0,"Yes","No")</f>
        <v>Yes</v>
      </c>
      <c r="D431" t="s">
        <v>8137</v>
      </c>
      <c r="E431" t="s">
        <v>8138</v>
      </c>
    </row>
    <row r="432" spans="1:33" ht="15">
      <c r="A432" s="96" t="s">
        <v>1202</v>
      </c>
      <c r="B432" t="str">
        <f>IF(COUNTIF(HCPs!M:M,HCP_evidence!A424)&gt;0,"Yes","No")</f>
        <v>Yes</v>
      </c>
      <c r="D432" t="s">
        <v>8171</v>
      </c>
      <c r="E432" t="s">
        <v>8172</v>
      </c>
    </row>
    <row r="433" spans="1:31" ht="15">
      <c r="A433" s="96" t="s">
        <v>1202</v>
      </c>
      <c r="B433" t="str">
        <f>IF(COUNTIF(HCPs!M:M,HCP_evidence!A425)&gt;0,"Yes","No")</f>
        <v>Yes</v>
      </c>
      <c r="D433" t="s">
        <v>8173</v>
      </c>
      <c r="E433" t="s">
        <v>8174</v>
      </c>
    </row>
    <row r="434" spans="1:31">
      <c r="A434" s="96" t="s">
        <v>1202</v>
      </c>
      <c r="B434" t="str">
        <f>IF(COUNTIF(HCPs!M:M,HCP_evidence!A426)&gt;0,"Yes","No")</f>
        <v>Yes</v>
      </c>
      <c r="Z434" t="s">
        <v>8182</v>
      </c>
      <c r="AA434" t="s">
        <v>8178</v>
      </c>
    </row>
    <row r="435" spans="1:31">
      <c r="A435" s="96" t="s">
        <v>1202</v>
      </c>
      <c r="B435" t="str">
        <f>IF(COUNTIF(HCPs!M:M,HCP_evidence!A427)&gt;0,"Yes","No")</f>
        <v>Yes</v>
      </c>
      <c r="Z435" t="s">
        <v>8188</v>
      </c>
      <c r="AA435" t="s">
        <v>8178</v>
      </c>
    </row>
    <row r="436" spans="1:31">
      <c r="A436" s="51" t="s">
        <v>8479</v>
      </c>
      <c r="B436" t="str">
        <f>IF(COUNTIF(HCPs!M:M,HCP_evidence!A428)&gt;0,"Yes","No")</f>
        <v>Yes</v>
      </c>
      <c r="Z436" t="s">
        <v>8480</v>
      </c>
      <c r="AA436" t="s">
        <v>8477</v>
      </c>
    </row>
    <row r="437" spans="1:31" ht="15">
      <c r="A437" s="84" t="s">
        <v>4358</v>
      </c>
      <c r="B437" t="str">
        <f>IF(COUNTIF(HCPs!M:M,HCP_evidence!A429)&gt;0,"Yes","No")</f>
        <v>Yes</v>
      </c>
      <c r="H437" s="74" t="s">
        <v>990</v>
      </c>
      <c r="I437" t="s">
        <v>1170</v>
      </c>
      <c r="K437" t="s">
        <v>414</v>
      </c>
    </row>
    <row r="438" spans="1:31" ht="15">
      <c r="A438" s="84" t="s">
        <v>4358</v>
      </c>
      <c r="B438" t="str">
        <f>IF(COUNTIF(HCPs!M:M,HCP_evidence!A430)&gt;0,"Yes","No")</f>
        <v>Yes</v>
      </c>
      <c r="H438" s="74" t="s">
        <v>5030</v>
      </c>
      <c r="I438" t="s">
        <v>4136</v>
      </c>
      <c r="J438" t="s">
        <v>4399</v>
      </c>
      <c r="K438" t="s">
        <v>4399</v>
      </c>
      <c r="L438" t="s">
        <v>414</v>
      </c>
      <c r="M438" t="s">
        <v>4399</v>
      </c>
      <c r="N438" t="s">
        <v>414</v>
      </c>
    </row>
    <row r="439" spans="1:31" ht="15">
      <c r="A439" s="51" t="s">
        <v>4017</v>
      </c>
      <c r="B439" t="str">
        <f>IF(COUNTIF(HCPs!M:M,HCP_evidence!A431)&gt;0,"Yes","No")</f>
        <v>Yes</v>
      </c>
      <c r="J439" t="s">
        <v>4399</v>
      </c>
      <c r="K439" t="s">
        <v>4399</v>
      </c>
      <c r="M439" t="s">
        <v>4399</v>
      </c>
      <c r="N439" t="s">
        <v>4399</v>
      </c>
      <c r="O439" t="s">
        <v>5063</v>
      </c>
      <c r="P439" t="s">
        <v>4169</v>
      </c>
    </row>
    <row r="440" spans="1:31" ht="15">
      <c r="A440" s="51" t="s">
        <v>8547</v>
      </c>
      <c r="B440" t="str">
        <f>IF(COUNTIF(HCPs!M:M,HCP_evidence!A878)&gt;0,"Yes","No")</f>
        <v>Yes</v>
      </c>
      <c r="AB440" t="s">
        <v>8546</v>
      </c>
    </row>
    <row r="441" spans="1:31" ht="15">
      <c r="A441" s="96" t="s">
        <v>4018</v>
      </c>
      <c r="B441" t="str">
        <f>IF(COUNTIF(HCPs!M:M,HCP_evidence!A432)&gt;0,"Yes","No")</f>
        <v>Yes</v>
      </c>
      <c r="H441" s="13" t="s">
        <v>5050</v>
      </c>
      <c r="I441" t="s">
        <v>4157</v>
      </c>
      <c r="J441" t="s">
        <v>4399</v>
      </c>
      <c r="K441" t="s">
        <v>4399</v>
      </c>
      <c r="L441" t="s">
        <v>414</v>
      </c>
      <c r="M441" t="s">
        <v>4399</v>
      </c>
      <c r="N441" t="s">
        <v>4399</v>
      </c>
    </row>
    <row r="442" spans="1:31" ht="15">
      <c r="A442" s="96" t="s">
        <v>4018</v>
      </c>
      <c r="B442" t="str">
        <f>IF(COUNTIF(HCPs!M:M,HCP_evidence!A433)&gt;0,"Yes","No")</f>
        <v>Yes</v>
      </c>
      <c r="AB442" t="s">
        <v>5152</v>
      </c>
    </row>
    <row r="443" spans="1:31" ht="15">
      <c r="A443" s="51" t="s">
        <v>8006</v>
      </c>
      <c r="B443" t="str">
        <f>IF(COUNTIF(HCPs!M:M,HCP_evidence!A434)&gt;0,"Yes","No")</f>
        <v>Yes</v>
      </c>
      <c r="F443" t="s">
        <v>8136</v>
      </c>
      <c r="G443" t="s">
        <v>7926</v>
      </c>
    </row>
    <row r="444" spans="1:31" ht="15">
      <c r="A444" s="51" t="s">
        <v>4337</v>
      </c>
      <c r="B444" t="str">
        <f>IF(COUNTIF(HCPs!M:M,HCP_evidence!A435)&gt;0,"Yes","No")</f>
        <v>Yes</v>
      </c>
      <c r="AB444" t="s">
        <v>4934</v>
      </c>
    </row>
    <row r="445" spans="1:31" ht="15">
      <c r="A445" s="51" t="s">
        <v>466</v>
      </c>
      <c r="B445" t="str">
        <f>IF(COUNTIF(HCPs!M:M,HCP_evidence!A436)&gt;0,"Yes","No")</f>
        <v>Yes</v>
      </c>
      <c r="AE445" t="s">
        <v>503</v>
      </c>
    </row>
    <row r="446" spans="1:31" ht="15">
      <c r="A446" s="51" t="s">
        <v>466</v>
      </c>
      <c r="B446" t="str">
        <f>IF(COUNTIF(HCPs!M:M,HCP_evidence!A437)&gt;0,"Yes","No")</f>
        <v>Yes</v>
      </c>
      <c r="D446" t="s">
        <v>8136</v>
      </c>
      <c r="E446" t="s">
        <v>7926</v>
      </c>
    </row>
    <row r="447" spans="1:31" ht="15">
      <c r="A447" s="51" t="s">
        <v>466</v>
      </c>
      <c r="B447" t="str">
        <f>IF(COUNTIF(HCPs!M:M,HCP_evidence!A438)&gt;0,"Yes","No")</f>
        <v>Yes</v>
      </c>
      <c r="D447" t="s">
        <v>8171</v>
      </c>
      <c r="E447" t="s">
        <v>8172</v>
      </c>
    </row>
    <row r="448" spans="1:31">
      <c r="A448" s="51" t="s">
        <v>8132</v>
      </c>
      <c r="B448" t="str">
        <f>IF(COUNTIF(HCPs!M:M,HCP_evidence!A439)&gt;0,"Yes","No")</f>
        <v>Yes</v>
      </c>
      <c r="Z448" t="s">
        <v>8130</v>
      </c>
      <c r="AA448" t="s">
        <v>8111</v>
      </c>
    </row>
    <row r="449" spans="1:31" ht="15">
      <c r="A449" s="51" t="s">
        <v>432</v>
      </c>
      <c r="B449" t="str">
        <f>IF(COUNTIF(HCPs!M:M,HCP_evidence!A440)&gt;0,"Yes","No")</f>
        <v>Yes</v>
      </c>
      <c r="AE449" t="s">
        <v>503</v>
      </c>
    </row>
    <row r="450" spans="1:31" ht="15">
      <c r="A450" s="84" t="s">
        <v>4019</v>
      </c>
      <c r="B450" t="str">
        <f>IF(COUNTIF(HCPs!M:M,HCP_evidence!A441)&gt;0,"Yes","No")</f>
        <v>Yes</v>
      </c>
      <c r="H450" s="74" t="s">
        <v>5086</v>
      </c>
      <c r="I450" t="s">
        <v>4192</v>
      </c>
      <c r="J450" t="s">
        <v>4399</v>
      </c>
      <c r="K450" t="s">
        <v>4399</v>
      </c>
      <c r="M450" t="s">
        <v>4399</v>
      </c>
      <c r="N450" t="s">
        <v>414</v>
      </c>
    </row>
    <row r="451" spans="1:31" ht="15">
      <c r="A451" s="84" t="s">
        <v>4020</v>
      </c>
      <c r="B451" t="str">
        <f>IF(COUNTIF(HCPs!M:M,HCP_evidence!A442)&gt;0,"Yes","No")</f>
        <v>Yes</v>
      </c>
      <c r="H451" s="74" t="s">
        <v>5030</v>
      </c>
      <c r="I451" t="s">
        <v>4136</v>
      </c>
      <c r="J451" t="s">
        <v>4399</v>
      </c>
      <c r="K451" t="s">
        <v>4399</v>
      </c>
      <c r="L451" t="s">
        <v>414</v>
      </c>
      <c r="M451" t="s">
        <v>4399</v>
      </c>
      <c r="N451" t="s">
        <v>414</v>
      </c>
    </row>
    <row r="452" spans="1:31" ht="15">
      <c r="A452" s="51" t="s">
        <v>478</v>
      </c>
      <c r="B452" t="str">
        <f>IF(COUNTIF(HCPs!M:M,HCP_evidence!A443)&gt;0,"Yes","No")</f>
        <v>Yes</v>
      </c>
      <c r="AE452" t="s">
        <v>503</v>
      </c>
    </row>
    <row r="453" spans="1:31" ht="15">
      <c r="A453" s="51" t="s">
        <v>478</v>
      </c>
      <c r="B453" t="str">
        <f>IF(COUNTIF(HCPs!M:M,HCP_evidence!A444)&gt;0,"Yes","No")</f>
        <v>Yes</v>
      </c>
      <c r="F453" t="s">
        <v>8136</v>
      </c>
      <c r="G453" t="s">
        <v>7926</v>
      </c>
    </row>
    <row r="454" spans="1:31" ht="15">
      <c r="A454" s="84" t="s">
        <v>4022</v>
      </c>
      <c r="B454" t="str">
        <f>IF(COUNTIF(HCPs!M:M,HCP_evidence!A445)&gt;0,"Yes","No")</f>
        <v>Yes</v>
      </c>
      <c r="H454" s="74" t="s">
        <v>5064</v>
      </c>
      <c r="I454" t="s">
        <v>4170</v>
      </c>
      <c r="J454" t="s">
        <v>4399</v>
      </c>
      <c r="K454" t="s">
        <v>4399</v>
      </c>
      <c r="L454" t="s">
        <v>414</v>
      </c>
      <c r="M454" t="s">
        <v>4399</v>
      </c>
      <c r="N454" t="s">
        <v>414</v>
      </c>
    </row>
    <row r="455" spans="1:31" ht="15">
      <c r="A455" s="84" t="s">
        <v>4022</v>
      </c>
      <c r="B455" t="str">
        <f>IF(COUNTIF(HCPs!M:M,HCP_evidence!A446)&gt;0,"Yes","No")</f>
        <v>Yes</v>
      </c>
      <c r="H455" s="74" t="s">
        <v>5064</v>
      </c>
      <c r="I455" t="s">
        <v>4170</v>
      </c>
      <c r="J455" t="s">
        <v>4399</v>
      </c>
      <c r="K455" t="s">
        <v>4399</v>
      </c>
      <c r="L455" t="s">
        <v>414</v>
      </c>
      <c r="M455" t="s">
        <v>4399</v>
      </c>
      <c r="N455" t="s">
        <v>414</v>
      </c>
    </row>
    <row r="456" spans="1:31" ht="15">
      <c r="A456" t="s">
        <v>467</v>
      </c>
      <c r="B456" t="str">
        <f>IF(COUNTIF(HCPs!M:M,HCP_evidence!A447)&gt;0,"Yes","No")</f>
        <v>Yes</v>
      </c>
      <c r="AE456" t="s">
        <v>503</v>
      </c>
    </row>
    <row r="457" spans="1:31" ht="15">
      <c r="A457" s="74" t="s">
        <v>4023</v>
      </c>
      <c r="B457" t="str">
        <f>IF(COUNTIF(HCPs!M:M,HCP_evidence!A448)&gt;0,"Yes","No")</f>
        <v>Yes</v>
      </c>
      <c r="H457" s="74" t="s">
        <v>5064</v>
      </c>
      <c r="I457" t="s">
        <v>4170</v>
      </c>
      <c r="J457" t="s">
        <v>4399</v>
      </c>
      <c r="K457" t="s">
        <v>4399</v>
      </c>
      <c r="L457" t="s">
        <v>414</v>
      </c>
      <c r="M457" t="s">
        <v>4399</v>
      </c>
      <c r="N457" t="s">
        <v>414</v>
      </c>
      <c r="S457" s="51"/>
    </row>
    <row r="458" spans="1:31" ht="15">
      <c r="A458" s="84" t="s">
        <v>4023</v>
      </c>
      <c r="B458" t="str">
        <f>IF(COUNTIF(HCPs!M:M,HCP_evidence!A449)&gt;0,"Yes","No")</f>
        <v>Yes</v>
      </c>
      <c r="H458" s="74" t="s">
        <v>5064</v>
      </c>
      <c r="I458" t="s">
        <v>4170</v>
      </c>
      <c r="J458" t="s">
        <v>4399</v>
      </c>
      <c r="K458" t="s">
        <v>4399</v>
      </c>
      <c r="L458" t="s">
        <v>414</v>
      </c>
      <c r="M458" t="s">
        <v>4399</v>
      </c>
      <c r="N458" t="s">
        <v>414</v>
      </c>
      <c r="S458" s="51"/>
    </row>
    <row r="459" spans="1:31" ht="15">
      <c r="A459" s="84" t="s">
        <v>4023</v>
      </c>
      <c r="B459" t="str">
        <f>IF(COUNTIF(HCPs!M:M,HCP_evidence!A450)&gt;0,"Yes","No")</f>
        <v>Yes</v>
      </c>
      <c r="O459" s="74" t="s">
        <v>5045</v>
      </c>
      <c r="P459" t="s">
        <v>4152</v>
      </c>
      <c r="Q459" t="s">
        <v>4399</v>
      </c>
      <c r="R459" t="s">
        <v>4399</v>
      </c>
      <c r="S459" s="51"/>
      <c r="T459" t="s">
        <v>4399</v>
      </c>
      <c r="U459" t="s">
        <v>414</v>
      </c>
    </row>
    <row r="460" spans="1:31" ht="15">
      <c r="A460" s="84" t="s">
        <v>4023</v>
      </c>
      <c r="B460" t="str">
        <f>IF(COUNTIF(HCPs!M:M,HCP_evidence!A451)&gt;0,"Yes","No")</f>
        <v>Yes</v>
      </c>
      <c r="O460" s="74" t="s">
        <v>5045</v>
      </c>
      <c r="P460" t="s">
        <v>4152</v>
      </c>
      <c r="Q460" t="s">
        <v>4399</v>
      </c>
      <c r="R460" t="s">
        <v>4399</v>
      </c>
      <c r="S460" s="51"/>
      <c r="T460" t="s">
        <v>4399</v>
      </c>
      <c r="U460" t="s">
        <v>414</v>
      </c>
    </row>
    <row r="461" spans="1:31" ht="15">
      <c r="A461" s="84" t="s">
        <v>4023</v>
      </c>
      <c r="B461" t="str">
        <f>IF(COUNTIF(HCPs!M:M,HCP_evidence!A452)&gt;0,"Yes","No")</f>
        <v>Yes</v>
      </c>
      <c r="J461" t="s">
        <v>4399</v>
      </c>
      <c r="K461" t="s">
        <v>414</v>
      </c>
      <c r="M461" t="s">
        <v>4399</v>
      </c>
      <c r="N461" t="s">
        <v>4399</v>
      </c>
      <c r="O461" s="74" t="s">
        <v>5087</v>
      </c>
      <c r="P461" t="s">
        <v>4193</v>
      </c>
      <c r="S461" s="51"/>
    </row>
    <row r="462" spans="1:31" ht="15">
      <c r="A462" t="s">
        <v>4023</v>
      </c>
      <c r="B462" t="str">
        <f>IF(COUNTIF(HCPs!M:M,HCP_evidence!A876)&gt;0,"Yes","No")</f>
        <v>Yes</v>
      </c>
      <c r="S462" s="51"/>
      <c r="AB462" t="s">
        <v>8541</v>
      </c>
    </row>
    <row r="463" spans="1:31">
      <c r="A463" s="51" t="s">
        <v>4654</v>
      </c>
      <c r="B463" t="str">
        <f>IF(COUNTIF(HCPs!M:M,HCP_evidence!A453)&gt;0,"Yes","No")</f>
        <v>Yes</v>
      </c>
      <c r="S463" s="51"/>
      <c r="Z463" t="s">
        <v>8133</v>
      </c>
      <c r="AA463" t="s">
        <v>8111</v>
      </c>
    </row>
    <row r="464" spans="1:31" ht="15">
      <c r="A464" s="51" t="s">
        <v>4024</v>
      </c>
      <c r="B464" t="str">
        <f>IF(COUNTIF(HCPs!M:M,HCP_evidence!A454)&gt;0,"Yes","No")</f>
        <v>Yes</v>
      </c>
      <c r="J464" t="s">
        <v>4399</v>
      </c>
      <c r="K464" t="s">
        <v>4399</v>
      </c>
      <c r="L464" t="s">
        <v>414</v>
      </c>
      <c r="M464" t="s">
        <v>4399</v>
      </c>
      <c r="N464" t="s">
        <v>414</v>
      </c>
      <c r="O464" t="s">
        <v>5040</v>
      </c>
      <c r="P464" t="s">
        <v>4147</v>
      </c>
      <c r="S464" s="51"/>
    </row>
    <row r="465" spans="1:31" ht="15">
      <c r="A465" s="84" t="s">
        <v>4025</v>
      </c>
      <c r="B465" t="str">
        <f>IF(COUNTIF(HCPs!M:M,HCP_evidence!A455)&gt;0,"Yes","No")</f>
        <v>Yes</v>
      </c>
      <c r="H465" s="74" t="s">
        <v>5076</v>
      </c>
      <c r="I465" t="s">
        <v>4182</v>
      </c>
      <c r="J465" t="s">
        <v>4399</v>
      </c>
      <c r="K465" t="s">
        <v>4399</v>
      </c>
      <c r="L465" t="s">
        <v>414</v>
      </c>
      <c r="M465" t="s">
        <v>4399</v>
      </c>
      <c r="N465" t="s">
        <v>414</v>
      </c>
      <c r="S465" s="51"/>
    </row>
    <row r="466" spans="1:31" ht="15">
      <c r="A466" s="84" t="s">
        <v>4025</v>
      </c>
      <c r="B466" t="str">
        <f>IF(COUNTIF(HCPs!M:M,HCP_evidence!A456)&gt;0,"Yes","No")</f>
        <v>Yes</v>
      </c>
      <c r="H466" s="74" t="s">
        <v>5030</v>
      </c>
      <c r="I466" t="s">
        <v>4136</v>
      </c>
      <c r="J466" t="s">
        <v>4399</v>
      </c>
      <c r="K466" t="s">
        <v>4399</v>
      </c>
      <c r="L466" t="s">
        <v>414</v>
      </c>
      <c r="M466" t="s">
        <v>4399</v>
      </c>
      <c r="N466" t="s">
        <v>414</v>
      </c>
      <c r="S466" s="51"/>
    </row>
    <row r="467" spans="1:31" ht="15">
      <c r="A467" s="51" t="s">
        <v>7867</v>
      </c>
      <c r="B467" t="str">
        <f>IF(COUNTIF(HCPs!M:M,HCP_evidence!A457)&gt;0,"Yes","No")</f>
        <v>Yes</v>
      </c>
      <c r="S467" s="51"/>
      <c r="AB467" t="s">
        <v>7868</v>
      </c>
    </row>
    <row r="468" spans="1:31" ht="15">
      <c r="A468" s="51" t="s">
        <v>460</v>
      </c>
      <c r="B468" t="str">
        <f>IF(COUNTIF(HCPs!M:M,HCP_evidence!A458)&gt;0,"Yes","No")</f>
        <v>Yes</v>
      </c>
      <c r="S468" s="51"/>
      <c r="AE468" t="s">
        <v>503</v>
      </c>
    </row>
    <row r="469" spans="1:31" ht="15">
      <c r="A469" s="51" t="s">
        <v>460</v>
      </c>
      <c r="B469" t="str">
        <f>IF(COUNTIF(HCPs!M:M,HCP_evidence!A459)&gt;0,"Yes","No")</f>
        <v>Yes</v>
      </c>
      <c r="D469" t="s">
        <v>8136</v>
      </c>
      <c r="E469" t="s">
        <v>7926</v>
      </c>
      <c r="U469" s="51"/>
    </row>
    <row r="470" spans="1:31">
      <c r="A470" s="51" t="s">
        <v>460</v>
      </c>
      <c r="B470" t="str">
        <f>IF(COUNTIF(HCPs!M:M,HCP_evidence!A460)&gt;0,"Yes","No")</f>
        <v>Yes</v>
      </c>
      <c r="U470" s="51"/>
      <c r="Z470" t="s">
        <v>8116</v>
      </c>
      <c r="AA470" t="s">
        <v>8111</v>
      </c>
    </row>
    <row r="471" spans="1:31" ht="15">
      <c r="A471" s="84" t="s">
        <v>437</v>
      </c>
      <c r="B471" t="str">
        <f>IF(COUNTIF(HCPs!M:M,HCP_evidence!A461)&gt;0,"Yes","No")</f>
        <v>Yes</v>
      </c>
      <c r="H471" s="74" t="s">
        <v>5064</v>
      </c>
      <c r="I471" t="s">
        <v>4170</v>
      </c>
      <c r="J471" t="s">
        <v>4399</v>
      </c>
      <c r="K471" t="s">
        <v>4399</v>
      </c>
      <c r="L471" t="s">
        <v>414</v>
      </c>
      <c r="M471" t="s">
        <v>4399</v>
      </c>
      <c r="N471" t="s">
        <v>414</v>
      </c>
      <c r="U471" s="51"/>
    </row>
    <row r="472" spans="1:31" ht="15">
      <c r="A472" s="84" t="s">
        <v>437</v>
      </c>
      <c r="B472" t="str">
        <f>IF(COUNTIF(HCPs!M:M,HCP_evidence!A462)&gt;0,"Yes","No")</f>
        <v>Yes</v>
      </c>
      <c r="H472" s="74" t="s">
        <v>5064</v>
      </c>
      <c r="I472" t="s">
        <v>4170</v>
      </c>
      <c r="J472" t="s">
        <v>4399</v>
      </c>
      <c r="K472" t="s">
        <v>4399</v>
      </c>
      <c r="L472" t="s">
        <v>414</v>
      </c>
      <c r="M472" t="s">
        <v>4399</v>
      </c>
      <c r="N472" t="s">
        <v>414</v>
      </c>
      <c r="U472" s="51"/>
    </row>
    <row r="473" spans="1:31" ht="15">
      <c r="A473" s="84" t="s">
        <v>437</v>
      </c>
      <c r="B473" t="str">
        <f>IF(COUNTIF(HCPs!M:M,HCP_evidence!A463)&gt;0,"Yes","No")</f>
        <v>Yes</v>
      </c>
      <c r="H473" s="74" t="s">
        <v>5053</v>
      </c>
      <c r="I473" t="s">
        <v>4160</v>
      </c>
      <c r="J473" t="s">
        <v>4399</v>
      </c>
      <c r="K473" t="s">
        <v>4399</v>
      </c>
      <c r="L473" t="s">
        <v>414</v>
      </c>
      <c r="M473" t="s">
        <v>4399</v>
      </c>
      <c r="N473" t="s">
        <v>4399</v>
      </c>
      <c r="U473" s="51"/>
    </row>
    <row r="474" spans="1:31" ht="15">
      <c r="A474" s="74" t="s">
        <v>437</v>
      </c>
      <c r="B474" t="str">
        <f>IF(COUNTIF(HCPs!M:M,HCP_evidence!A464)&gt;0,"Yes","No")</f>
        <v>Yes</v>
      </c>
      <c r="H474" s="74" t="s">
        <v>892</v>
      </c>
      <c r="I474" t="s">
        <v>1170</v>
      </c>
      <c r="K474" t="s">
        <v>414</v>
      </c>
      <c r="U474" s="51"/>
    </row>
    <row r="475" spans="1:31" ht="15">
      <c r="A475" s="84" t="s">
        <v>437</v>
      </c>
      <c r="B475" t="str">
        <f>IF(COUNTIF(HCPs!M:M,HCP_evidence!A465)&gt;0,"Yes","No")</f>
        <v>Yes</v>
      </c>
      <c r="U475" s="51"/>
      <c r="AE475" t="s">
        <v>503</v>
      </c>
    </row>
    <row r="476" spans="1:31" ht="15">
      <c r="A476" t="s">
        <v>4741</v>
      </c>
      <c r="B476" t="str">
        <f>IF(COUNTIF(HCPs!M:M,HCP_evidence!A466)&gt;0,"Yes","No")</f>
        <v>Yes</v>
      </c>
      <c r="U476" s="51"/>
      <c r="AB476" t="s">
        <v>4742</v>
      </c>
    </row>
    <row r="477" spans="1:31" ht="15">
      <c r="A477" s="51" t="s">
        <v>4741</v>
      </c>
      <c r="B477" t="str">
        <f>IF(COUNTIF(HCPs!M:M,HCP_evidence!A467)&gt;0,"Yes","No")</f>
        <v>Yes</v>
      </c>
      <c r="U477" s="51"/>
      <c r="AB477" t="s">
        <v>8045</v>
      </c>
    </row>
    <row r="478" spans="1:31" ht="15">
      <c r="A478" t="s">
        <v>1147</v>
      </c>
      <c r="B478" t="str">
        <f>IF(COUNTIF(HCPs!M:M,HCP_evidence!A468)&gt;0,"Yes","No")</f>
        <v>Yes</v>
      </c>
      <c r="H478" s="75" t="s">
        <v>990</v>
      </c>
      <c r="I478" t="s">
        <v>1170</v>
      </c>
      <c r="K478" t="s">
        <v>414</v>
      </c>
      <c r="U478" s="51"/>
    </row>
    <row r="479" spans="1:31" ht="15">
      <c r="A479" s="51" t="s">
        <v>1147</v>
      </c>
      <c r="B479" t="str">
        <f>IF(COUNTIF(HCPs!M:M,HCP_evidence!A469)&gt;0,"Yes","No")</f>
        <v>Yes</v>
      </c>
      <c r="U479" s="51"/>
      <c r="AB479" t="s">
        <v>7806</v>
      </c>
    </row>
    <row r="480" spans="1:31" ht="15">
      <c r="A480" s="96" t="s">
        <v>7913</v>
      </c>
      <c r="B480" t="str">
        <f>IF(COUNTIF(HCPs!M:M,HCP_evidence!A470)&gt;0,"Yes","No")</f>
        <v>Yes</v>
      </c>
      <c r="H480" s="13" t="s">
        <v>5076</v>
      </c>
      <c r="I480" t="s">
        <v>4182</v>
      </c>
      <c r="J480" t="s">
        <v>4399</v>
      </c>
      <c r="K480" t="s">
        <v>4399</v>
      </c>
      <c r="L480" t="s">
        <v>414</v>
      </c>
      <c r="M480" t="s">
        <v>4399</v>
      </c>
      <c r="N480" t="s">
        <v>414</v>
      </c>
      <c r="U480" s="51"/>
    </row>
    <row r="481" spans="1:21" ht="15">
      <c r="A481" s="96" t="s">
        <v>4344</v>
      </c>
      <c r="B481" t="str">
        <f>IF(COUNTIF(HCPs!M:M,HCP_evidence!A471)&gt;0,"Yes","No")</f>
        <v>Yes</v>
      </c>
      <c r="H481" s="13" t="s">
        <v>4672</v>
      </c>
      <c r="I481" t="s">
        <v>4667</v>
      </c>
      <c r="U481" s="51"/>
    </row>
    <row r="482" spans="1:21" ht="15">
      <c r="A482" s="96" t="s">
        <v>4344</v>
      </c>
      <c r="B482" t="str">
        <f>IF(COUNTIF(HCPs!M:M,HCP_evidence!A472)&gt;0,"Yes","No")</f>
        <v>Yes</v>
      </c>
      <c r="H482" s="13" t="s">
        <v>4666</v>
      </c>
      <c r="I482" t="s">
        <v>4667</v>
      </c>
      <c r="U482" s="51"/>
    </row>
    <row r="483" spans="1:21" ht="15">
      <c r="A483" t="s">
        <v>4026</v>
      </c>
      <c r="B483" t="str">
        <f>IF(COUNTIF(HCPs!M:M,HCP_evidence!A473)&gt;0,"Yes","No")</f>
        <v>Yes</v>
      </c>
      <c r="H483" s="13" t="s">
        <v>5089</v>
      </c>
      <c r="I483" t="s">
        <v>4195</v>
      </c>
      <c r="J483" t="s">
        <v>4399</v>
      </c>
      <c r="K483" t="s">
        <v>414</v>
      </c>
      <c r="M483" t="s">
        <v>4399</v>
      </c>
      <c r="N483" t="s">
        <v>414</v>
      </c>
      <c r="U483" s="51"/>
    </row>
    <row r="484" spans="1:21" ht="15">
      <c r="A484" s="51" t="s">
        <v>1164</v>
      </c>
      <c r="B484" t="str">
        <f>IF(COUNTIF(HCPs!M:M,HCP_evidence!A474)&gt;0,"Yes","No")</f>
        <v>Yes</v>
      </c>
      <c r="H484" s="75" t="s">
        <v>990</v>
      </c>
      <c r="I484" t="s">
        <v>1170</v>
      </c>
      <c r="K484" t="s">
        <v>414</v>
      </c>
      <c r="U484" s="51"/>
    </row>
    <row r="485" spans="1:21" ht="15">
      <c r="A485" s="96" t="s">
        <v>1164</v>
      </c>
      <c r="B485" t="str">
        <f>IF(COUNTIF(HCPs!M:M,HCP_evidence!A475)&gt;0,"Yes","No")</f>
        <v>Yes</v>
      </c>
      <c r="H485" s="13" t="s">
        <v>5042</v>
      </c>
      <c r="I485" t="s">
        <v>4149</v>
      </c>
      <c r="J485" t="s">
        <v>4399</v>
      </c>
      <c r="K485" t="s">
        <v>4399</v>
      </c>
      <c r="L485" t="s">
        <v>414</v>
      </c>
      <c r="M485" t="s">
        <v>4399</v>
      </c>
      <c r="N485" t="s">
        <v>414</v>
      </c>
      <c r="U485" s="51"/>
    </row>
    <row r="486" spans="1:21" ht="15">
      <c r="A486" s="96" t="s">
        <v>4027</v>
      </c>
      <c r="B486" t="str">
        <f>IF(COUNTIF(HCPs!M:M,HCP_evidence!A476)&gt;0,"Yes","No")</f>
        <v>Yes</v>
      </c>
      <c r="H486" s="13" t="s">
        <v>5074</v>
      </c>
      <c r="I486" t="s">
        <v>4180</v>
      </c>
      <c r="J486" t="s">
        <v>4399</v>
      </c>
      <c r="K486" t="s">
        <v>4399</v>
      </c>
      <c r="L486" t="s">
        <v>414</v>
      </c>
      <c r="M486" t="s">
        <v>4399</v>
      </c>
      <c r="N486" t="s">
        <v>4399</v>
      </c>
      <c r="U486" s="51"/>
    </row>
    <row r="487" spans="1:21" ht="15">
      <c r="A487" s="13" t="s">
        <v>4028</v>
      </c>
      <c r="B487" t="str">
        <f>IF(COUNTIF(HCPs!M:M,HCP_evidence!A477)&gt;0,"Yes","No")</f>
        <v>Yes</v>
      </c>
      <c r="H487" s="13" t="s">
        <v>5050</v>
      </c>
      <c r="I487" t="s">
        <v>4157</v>
      </c>
      <c r="J487" t="s">
        <v>4399</v>
      </c>
      <c r="K487" t="s">
        <v>4399</v>
      </c>
      <c r="L487" t="s">
        <v>414</v>
      </c>
      <c r="M487" t="s">
        <v>4399</v>
      </c>
      <c r="N487" t="s">
        <v>4399</v>
      </c>
      <c r="U487" s="51"/>
    </row>
    <row r="488" spans="1:21" ht="15">
      <c r="A488" s="96" t="s">
        <v>4028</v>
      </c>
      <c r="B488" t="str">
        <f>IF(COUNTIF(HCPs!M:M,HCP_evidence!A478)&gt;0,"Yes","No")</f>
        <v>Yes</v>
      </c>
      <c r="H488" t="s">
        <v>5076</v>
      </c>
      <c r="I488" t="s">
        <v>4182</v>
      </c>
      <c r="J488" t="s">
        <v>4399</v>
      </c>
      <c r="K488" t="s">
        <v>4399</v>
      </c>
      <c r="L488" t="s">
        <v>414</v>
      </c>
      <c r="M488" t="s">
        <v>4399</v>
      </c>
      <c r="N488" t="s">
        <v>414</v>
      </c>
      <c r="U488" s="51"/>
    </row>
    <row r="489" spans="1:21" ht="15">
      <c r="A489" s="51" t="s">
        <v>4029</v>
      </c>
      <c r="B489" t="str">
        <f>IF(COUNTIF(HCPs!M:M,HCP_evidence!A479)&gt;0,"Yes","No")</f>
        <v>Yes</v>
      </c>
      <c r="H489" s="74" t="s">
        <v>5030</v>
      </c>
      <c r="I489" t="s">
        <v>4136</v>
      </c>
      <c r="J489" t="s">
        <v>4399</v>
      </c>
      <c r="K489" t="s">
        <v>4399</v>
      </c>
      <c r="L489" t="s">
        <v>414</v>
      </c>
      <c r="M489" t="s">
        <v>4399</v>
      </c>
      <c r="N489" t="s">
        <v>414</v>
      </c>
      <c r="U489" s="51"/>
    </row>
    <row r="490" spans="1:21" ht="15">
      <c r="A490" s="13" t="s">
        <v>4029</v>
      </c>
      <c r="B490" t="str">
        <f>IF(COUNTIF(HCPs!M:M,HCP_evidence!A480)&gt;0,"Yes","No")</f>
        <v>No</v>
      </c>
      <c r="L490" t="s">
        <v>414</v>
      </c>
      <c r="O490" s="74" t="s">
        <v>1284</v>
      </c>
      <c r="P490" t="s">
        <v>1285</v>
      </c>
      <c r="S490" s="51"/>
    </row>
    <row r="491" spans="1:21" ht="15">
      <c r="A491" s="51" t="s">
        <v>4030</v>
      </c>
      <c r="B491" t="str">
        <f>IF(COUNTIF(HCPs!M:M,HCP_evidence!A481)&gt;0,"Yes","No")</f>
        <v>Yes</v>
      </c>
      <c r="J491" t="s">
        <v>4399</v>
      </c>
      <c r="K491" t="s">
        <v>414</v>
      </c>
      <c r="M491" t="s">
        <v>4399</v>
      </c>
      <c r="N491" t="s">
        <v>4399</v>
      </c>
      <c r="O491" t="s">
        <v>5090</v>
      </c>
      <c r="P491" t="s">
        <v>4196</v>
      </c>
      <c r="S491" s="51"/>
    </row>
    <row r="492" spans="1:21" ht="15">
      <c r="A492" s="51" t="s">
        <v>4030</v>
      </c>
      <c r="B492" t="str">
        <f>IF(COUNTIF(HCPs!M:M,HCP_evidence!A482)&gt;0,"Yes","No")</f>
        <v>Yes</v>
      </c>
      <c r="J492" t="s">
        <v>4399</v>
      </c>
      <c r="K492" t="s">
        <v>414</v>
      </c>
      <c r="M492" t="s">
        <v>4399</v>
      </c>
      <c r="N492" t="s">
        <v>4399</v>
      </c>
      <c r="O492" t="s">
        <v>5090</v>
      </c>
      <c r="P492" t="s">
        <v>4196</v>
      </c>
      <c r="U492" s="51"/>
    </row>
    <row r="493" spans="1:21" ht="15">
      <c r="A493" s="51" t="s">
        <v>4310</v>
      </c>
      <c r="B493" t="str">
        <f>IF(COUNTIF(HCPs!M:M,HCP_evidence!A483)&gt;0,"Yes","No")</f>
        <v>Yes</v>
      </c>
      <c r="I493" s="90" t="s">
        <v>8344</v>
      </c>
      <c r="U493" s="51"/>
    </row>
    <row r="494" spans="1:21" ht="15">
      <c r="A494" s="51" t="s">
        <v>4261</v>
      </c>
      <c r="B494" t="str">
        <f>IF(COUNTIF(HCPs!M:M,HCP_evidence!A484)&gt;0,"Yes","No")</f>
        <v>Yes</v>
      </c>
      <c r="F494" t="s">
        <v>8136</v>
      </c>
      <c r="G494" t="s">
        <v>7926</v>
      </c>
      <c r="U494" s="51"/>
    </row>
    <row r="495" spans="1:21" ht="15">
      <c r="A495" s="51" t="s">
        <v>7965</v>
      </c>
      <c r="B495" t="str">
        <f>IF(COUNTIF(HCPs!M:M,HCP_evidence!A485)&gt;0,"Yes","No")</f>
        <v>Yes</v>
      </c>
      <c r="F495" t="s">
        <v>8136</v>
      </c>
      <c r="G495" t="s">
        <v>7926</v>
      </c>
      <c r="U495" s="51"/>
    </row>
    <row r="496" spans="1:21" ht="15">
      <c r="A496" t="s">
        <v>4031</v>
      </c>
      <c r="B496" t="str">
        <f>IF(COUNTIF(HCPs!M:M,HCP_evidence!A486)&gt;0,"Yes","No")</f>
        <v>Yes</v>
      </c>
      <c r="J496" t="s">
        <v>4399</v>
      </c>
      <c r="K496" t="s">
        <v>4399</v>
      </c>
      <c r="M496" t="s">
        <v>4399</v>
      </c>
      <c r="N496" t="s">
        <v>414</v>
      </c>
      <c r="O496" t="s">
        <v>5034</v>
      </c>
      <c r="P496" t="s">
        <v>4141</v>
      </c>
      <c r="U496" s="51"/>
    </row>
    <row r="497" spans="1:33" ht="15">
      <c r="A497" s="98" t="s">
        <v>1146</v>
      </c>
      <c r="B497" t="str">
        <f>IF(COUNTIF(HCPs!M:M,HCP_evidence!A487)&gt;0,"Yes","No")</f>
        <v>Yes</v>
      </c>
      <c r="H497" s="95" t="s">
        <v>5047</v>
      </c>
      <c r="I497" t="s">
        <v>4154</v>
      </c>
      <c r="J497" t="s">
        <v>4399</v>
      </c>
      <c r="K497" t="s">
        <v>414</v>
      </c>
      <c r="L497" t="s">
        <v>414</v>
      </c>
      <c r="M497" t="s">
        <v>4399</v>
      </c>
      <c r="N497" t="s">
        <v>414</v>
      </c>
      <c r="U497" s="51"/>
    </row>
    <row r="498" spans="1:33" ht="15">
      <c r="A498" s="98" t="s">
        <v>1146</v>
      </c>
      <c r="B498" t="str">
        <f>IF(COUNTIF(HCPs!M:M,HCP_evidence!A488)&gt;0,"Yes","No")</f>
        <v>Yes</v>
      </c>
      <c r="H498" s="95" t="s">
        <v>892</v>
      </c>
      <c r="I498" t="s">
        <v>1170</v>
      </c>
      <c r="K498" t="s">
        <v>414</v>
      </c>
      <c r="U498" s="51"/>
    </row>
    <row r="499" spans="1:33" ht="15">
      <c r="A499" s="98" t="s">
        <v>1146</v>
      </c>
      <c r="B499" t="str">
        <f>IF(COUNTIF(HCPs!M:M,HCP_evidence!A489)&gt;0,"Yes","No")</f>
        <v>Yes</v>
      </c>
      <c r="U499" s="51"/>
      <c r="AG499" t="s">
        <v>1259</v>
      </c>
    </row>
    <row r="500" spans="1:33" ht="15">
      <c r="A500" s="98" t="s">
        <v>1146</v>
      </c>
      <c r="B500" t="str">
        <f>IF(COUNTIF(HCPs!M:M,HCP_evidence!A490)&gt;0,"Yes","No")</f>
        <v>Yes</v>
      </c>
      <c r="U500" s="51"/>
      <c r="AB500" t="s">
        <v>7900</v>
      </c>
    </row>
    <row r="501" spans="1:33" ht="15">
      <c r="A501" s="98" t="s">
        <v>1146</v>
      </c>
      <c r="B501" t="str">
        <f>IF(COUNTIF(HCPs!M:M,HCP_evidence!A491)&gt;0,"Yes","No")</f>
        <v>Yes</v>
      </c>
      <c r="D501" t="s">
        <v>8137</v>
      </c>
      <c r="E501" t="s">
        <v>8138</v>
      </c>
      <c r="U501" s="51"/>
    </row>
    <row r="502" spans="1:33" ht="15">
      <c r="A502" s="98" t="s">
        <v>1146</v>
      </c>
      <c r="B502" t="str">
        <f>IF(COUNTIF(HCPs!M:M,HCP_evidence!A492)&gt;0,"Yes","No")</f>
        <v>Yes</v>
      </c>
      <c r="D502" t="s">
        <v>8173</v>
      </c>
      <c r="E502" t="s">
        <v>8174</v>
      </c>
      <c r="U502" s="51"/>
    </row>
    <row r="503" spans="1:33" ht="15">
      <c r="A503" s="51" t="s">
        <v>1132</v>
      </c>
      <c r="B503" t="str">
        <f>IF(COUNTIF(HCPs!M:M,HCP_evidence!A493)&gt;0,"Yes","No")</f>
        <v>Yes</v>
      </c>
      <c r="H503" s="75" t="s">
        <v>892</v>
      </c>
      <c r="I503" t="s">
        <v>1170</v>
      </c>
      <c r="K503" t="s">
        <v>414</v>
      </c>
      <c r="U503" s="51"/>
    </row>
    <row r="504" spans="1:33" ht="15">
      <c r="A504" s="51" t="s">
        <v>4032</v>
      </c>
      <c r="B504" t="str">
        <f>IF(COUNTIF(HCPs!M:M,HCP_evidence!A494)&gt;0,"Yes","No")</f>
        <v>Yes</v>
      </c>
      <c r="J504" t="s">
        <v>4399</v>
      </c>
      <c r="K504" t="s">
        <v>414</v>
      </c>
      <c r="L504" t="s">
        <v>414</v>
      </c>
      <c r="M504" t="s">
        <v>4399</v>
      </c>
      <c r="N504" t="s">
        <v>4399</v>
      </c>
      <c r="O504" t="s">
        <v>5066</v>
      </c>
      <c r="P504" t="s">
        <v>4172</v>
      </c>
      <c r="U504" s="51"/>
    </row>
    <row r="505" spans="1:33" ht="15">
      <c r="A505" s="51" t="s">
        <v>4032</v>
      </c>
      <c r="B505" t="str">
        <f>IF(COUNTIF(HCPs!M:M,HCP_evidence!A495)&gt;0,"Yes","No")</f>
        <v>Yes</v>
      </c>
      <c r="J505" t="s">
        <v>4399</v>
      </c>
      <c r="K505" t="s">
        <v>414</v>
      </c>
      <c r="L505" t="s">
        <v>414</v>
      </c>
      <c r="M505" t="s">
        <v>4399</v>
      </c>
      <c r="N505" t="s">
        <v>4399</v>
      </c>
      <c r="O505" t="s">
        <v>5066</v>
      </c>
      <c r="P505" t="s">
        <v>4172</v>
      </c>
      <c r="U505" s="51"/>
    </row>
    <row r="506" spans="1:33" ht="15">
      <c r="A506" s="51" t="s">
        <v>1155</v>
      </c>
      <c r="B506" t="str">
        <f>IF(COUNTIF(HCPs!M:M,HCP_evidence!A496)&gt;0,"Yes","No")</f>
        <v>Yes</v>
      </c>
      <c r="H506" s="75" t="s">
        <v>990</v>
      </c>
      <c r="I506" t="s">
        <v>1170</v>
      </c>
      <c r="K506" t="s">
        <v>414</v>
      </c>
      <c r="U506" s="51"/>
    </row>
    <row r="507" spans="1:33" ht="15">
      <c r="A507" s="51" t="s">
        <v>4033</v>
      </c>
      <c r="B507" t="str">
        <f>IF(COUNTIF(HCPs!M:M,HCP_evidence!A497)&gt;0,"Yes","No")</f>
        <v>Yes</v>
      </c>
      <c r="J507" t="s">
        <v>4399</v>
      </c>
      <c r="K507" t="s">
        <v>414</v>
      </c>
      <c r="L507" t="s">
        <v>414</v>
      </c>
      <c r="M507" t="s">
        <v>4399</v>
      </c>
      <c r="N507" t="s">
        <v>4399</v>
      </c>
      <c r="O507" t="s">
        <v>5075</v>
      </c>
      <c r="P507" t="s">
        <v>4181</v>
      </c>
      <c r="U507" s="51"/>
    </row>
    <row r="508" spans="1:33" ht="15">
      <c r="A508" t="s">
        <v>4034</v>
      </c>
      <c r="B508" t="str">
        <f>IF(COUNTIF(HCPs!M:M,HCP_evidence!A498)&gt;0,"Yes","No")</f>
        <v>Yes</v>
      </c>
      <c r="J508" t="s">
        <v>4399</v>
      </c>
      <c r="K508" t="s">
        <v>414</v>
      </c>
      <c r="M508" t="s">
        <v>4399</v>
      </c>
      <c r="N508" t="s">
        <v>4399</v>
      </c>
      <c r="O508" t="s">
        <v>5087</v>
      </c>
      <c r="P508" t="s">
        <v>4193</v>
      </c>
      <c r="U508" s="51"/>
    </row>
    <row r="509" spans="1:33" ht="15">
      <c r="A509" t="s">
        <v>1119</v>
      </c>
      <c r="B509" t="str">
        <f>IF(COUNTIF(HCPs!M:M,HCP_evidence!A499)&gt;0,"Yes","No")</f>
        <v>Yes</v>
      </c>
      <c r="H509" s="75" t="s">
        <v>892</v>
      </c>
      <c r="I509" t="s">
        <v>1170</v>
      </c>
      <c r="K509" t="s">
        <v>414</v>
      </c>
      <c r="U509" s="51"/>
    </row>
    <row r="510" spans="1:33" ht="15">
      <c r="A510" t="s">
        <v>1119</v>
      </c>
      <c r="B510" t="str">
        <f>IF(COUNTIF(HCPs!M:M,HCP_evidence!A500)&gt;0,"Yes","No")</f>
        <v>Yes</v>
      </c>
      <c r="F510" t="s">
        <v>8136</v>
      </c>
      <c r="G510" t="s">
        <v>7926</v>
      </c>
      <c r="U510" s="51"/>
    </row>
    <row r="511" spans="1:33" ht="15">
      <c r="A511" s="51" t="s">
        <v>1119</v>
      </c>
      <c r="B511" t="str">
        <f>IF(COUNTIF(HCPs!M:M,HCP_evidence!A501)&gt;0,"Yes","No")</f>
        <v>Yes</v>
      </c>
      <c r="F511" t="s">
        <v>8137</v>
      </c>
      <c r="G511" t="s">
        <v>8138</v>
      </c>
      <c r="U511" s="51"/>
    </row>
    <row r="512" spans="1:33" ht="15">
      <c r="A512" s="84" t="s">
        <v>4035</v>
      </c>
      <c r="B512" t="str">
        <f>IF(COUNTIF(HCPs!M:M,HCP_evidence!A502)&gt;0,"Yes","No")</f>
        <v>Yes</v>
      </c>
      <c r="F512" t="s">
        <v>8136</v>
      </c>
      <c r="G512" t="s">
        <v>7926</v>
      </c>
      <c r="U512" s="51"/>
    </row>
    <row r="513" spans="1:31" ht="15">
      <c r="A513" s="84" t="s">
        <v>4035</v>
      </c>
      <c r="B513" t="str">
        <f>IF(COUNTIF(HCPs!M:M,HCP_evidence!A503)&gt;0,"Yes","No")</f>
        <v>Yes</v>
      </c>
      <c r="H513" s="74" t="s">
        <v>8395</v>
      </c>
      <c r="I513" s="74" t="s">
        <v>8396</v>
      </c>
      <c r="U513" s="51"/>
    </row>
    <row r="514" spans="1:31" ht="15">
      <c r="A514" s="13" t="s">
        <v>421</v>
      </c>
      <c r="B514" t="str">
        <f>IF(COUNTIF(HCPs!M:M,HCP_evidence!A504)&gt;0,"Yes","No")</f>
        <v>Yes</v>
      </c>
      <c r="H514" s="13" t="s">
        <v>5054</v>
      </c>
      <c r="I514" t="s">
        <v>4138</v>
      </c>
      <c r="J514" t="s">
        <v>4399</v>
      </c>
      <c r="K514" t="s">
        <v>4399</v>
      </c>
      <c r="M514" t="s">
        <v>4399</v>
      </c>
      <c r="N514" t="s">
        <v>4399</v>
      </c>
      <c r="U514" s="51"/>
    </row>
    <row r="515" spans="1:31" ht="15">
      <c r="A515" t="s">
        <v>421</v>
      </c>
      <c r="B515" t="str">
        <f>IF(COUNTIF(HCPs!M:M,HCP_evidence!A505)&gt;0,"Yes","No")</f>
        <v>Yes</v>
      </c>
      <c r="U515" s="51"/>
      <c r="AE515" t="s">
        <v>503</v>
      </c>
    </row>
    <row r="516" spans="1:31" ht="15">
      <c r="A516" t="s">
        <v>4036</v>
      </c>
      <c r="B516" t="str">
        <f>IF(COUNTIF(HCPs!M:M,HCP_evidence!A506)&gt;0,"Yes","No")</f>
        <v>Yes</v>
      </c>
      <c r="J516" t="s">
        <v>4399</v>
      </c>
      <c r="K516" t="s">
        <v>414</v>
      </c>
      <c r="M516" t="s">
        <v>4399</v>
      </c>
      <c r="N516" t="s">
        <v>4399</v>
      </c>
      <c r="O516" t="s">
        <v>5090</v>
      </c>
      <c r="P516" t="s">
        <v>4196</v>
      </c>
      <c r="U516" s="51"/>
    </row>
    <row r="517" spans="1:31" ht="15">
      <c r="A517" s="51" t="s">
        <v>4036</v>
      </c>
      <c r="B517" t="str">
        <f>IF(COUNTIF(HCPs!M:M,HCP_evidence!A507)&gt;0,"Yes","No")</f>
        <v>No</v>
      </c>
      <c r="J517" t="s">
        <v>4399</v>
      </c>
      <c r="K517" t="s">
        <v>414</v>
      </c>
      <c r="M517" t="s">
        <v>4399</v>
      </c>
      <c r="N517" t="s">
        <v>4399</v>
      </c>
      <c r="O517" t="s">
        <v>5090</v>
      </c>
      <c r="P517" t="s">
        <v>4196</v>
      </c>
      <c r="U517" s="51"/>
    </row>
    <row r="518" spans="1:31" ht="15">
      <c r="A518" s="51" t="s">
        <v>1113</v>
      </c>
      <c r="B518" t="str">
        <f>IF(COUNTIF(HCPs!M:M,HCP_evidence!A508)&gt;0,"Yes","No")</f>
        <v>Yes</v>
      </c>
      <c r="H518" s="75" t="s">
        <v>892</v>
      </c>
      <c r="I518" t="s">
        <v>1170</v>
      </c>
      <c r="K518" t="s">
        <v>414</v>
      </c>
      <c r="U518" s="51"/>
    </row>
    <row r="519" spans="1:31" ht="15">
      <c r="A519" s="51" t="s">
        <v>4037</v>
      </c>
      <c r="B519" t="str">
        <f>IF(COUNTIF(HCPs!M:M,HCP_evidence!A509)&gt;0,"Yes","No")</f>
        <v>Yes</v>
      </c>
      <c r="H519" s="13" t="s">
        <v>5036</v>
      </c>
      <c r="I519" t="s">
        <v>4143</v>
      </c>
      <c r="J519" t="s">
        <v>4399</v>
      </c>
      <c r="K519" t="s">
        <v>414</v>
      </c>
      <c r="L519" t="s">
        <v>414</v>
      </c>
      <c r="M519" t="s">
        <v>4399</v>
      </c>
      <c r="N519" t="s">
        <v>414</v>
      </c>
      <c r="U519" s="51"/>
    </row>
    <row r="520" spans="1:31" ht="15">
      <c r="A520" s="51" t="s">
        <v>1099</v>
      </c>
      <c r="B520" t="str">
        <f>IF(COUNTIF(HCPs!M:M,HCP_evidence!A510)&gt;0,"Yes","No")</f>
        <v>Yes</v>
      </c>
      <c r="H520" s="75" t="s">
        <v>801</v>
      </c>
      <c r="I520" t="s">
        <v>1170</v>
      </c>
      <c r="L520" t="s">
        <v>414</v>
      </c>
      <c r="U520" s="51"/>
    </row>
    <row r="521" spans="1:31" ht="15">
      <c r="A521" s="51" t="s">
        <v>4038</v>
      </c>
      <c r="B521" t="str">
        <f>IF(COUNTIF(HCPs!M:M,HCP_evidence!A511)&gt;0,"Yes","No")</f>
        <v>Yes</v>
      </c>
      <c r="J521" t="s">
        <v>414</v>
      </c>
      <c r="K521" t="s">
        <v>414</v>
      </c>
      <c r="L521" t="s">
        <v>414</v>
      </c>
      <c r="M521" t="s">
        <v>4399</v>
      </c>
      <c r="N521" t="s">
        <v>4399</v>
      </c>
      <c r="O521" t="s">
        <v>5037</v>
      </c>
      <c r="P521" t="s">
        <v>4144</v>
      </c>
      <c r="U521" s="51"/>
    </row>
    <row r="522" spans="1:31" ht="15">
      <c r="A522" s="51" t="s">
        <v>4038</v>
      </c>
      <c r="B522" t="str">
        <f>IF(COUNTIF(HCPs!M:M,HCP_evidence!A512)&gt;0,"Yes","No")</f>
        <v>Yes</v>
      </c>
      <c r="U522" s="51"/>
      <c r="AB522" t="s">
        <v>4940</v>
      </c>
    </row>
    <row r="523" spans="1:31" ht="15">
      <c r="A523" s="51" t="s">
        <v>4038</v>
      </c>
      <c r="B523" t="str">
        <f>IF(COUNTIF(HCPs!M:M,HCP_evidence!A513)&gt;0,"Yes","No")</f>
        <v>Yes</v>
      </c>
      <c r="D523" t="s">
        <v>8136</v>
      </c>
      <c r="E523" t="s">
        <v>7926</v>
      </c>
      <c r="U523" s="51"/>
    </row>
    <row r="524" spans="1:31" ht="15">
      <c r="A524" s="51" t="s">
        <v>4038</v>
      </c>
      <c r="B524" t="str">
        <f>IF(COUNTIF(HCPs!M:M,HCP_evidence!A514)&gt;0,"Yes","No")</f>
        <v>Yes</v>
      </c>
      <c r="D524" t="s">
        <v>8137</v>
      </c>
      <c r="E524" t="s">
        <v>8138</v>
      </c>
      <c r="U524" s="51"/>
    </row>
    <row r="525" spans="1:31" ht="15">
      <c r="A525" s="51" t="s">
        <v>4038</v>
      </c>
      <c r="B525" t="str">
        <f>IF(COUNTIF(HCPs!M:M,HCP_evidence!A515)&gt;0,"Yes","No")</f>
        <v>Yes</v>
      </c>
      <c r="D525" t="s">
        <v>8173</v>
      </c>
      <c r="E525" t="s">
        <v>8174</v>
      </c>
      <c r="U525" s="51"/>
    </row>
    <row r="526" spans="1:31" ht="15">
      <c r="A526" s="51" t="s">
        <v>4039</v>
      </c>
      <c r="B526" t="str">
        <f>IF(COUNTIF(HCPs!M:M,HCP_evidence!A516)&gt;0,"Yes","No")</f>
        <v>Yes</v>
      </c>
      <c r="J526" t="s">
        <v>4399</v>
      </c>
      <c r="K526" t="s">
        <v>4399</v>
      </c>
      <c r="M526" t="s">
        <v>4399</v>
      </c>
      <c r="N526" t="s">
        <v>4399</v>
      </c>
      <c r="O526" t="s">
        <v>5082</v>
      </c>
      <c r="P526" t="s">
        <v>4188</v>
      </c>
      <c r="U526" s="51"/>
    </row>
    <row r="527" spans="1:31" ht="15">
      <c r="A527" s="51" t="s">
        <v>1133</v>
      </c>
      <c r="B527" t="str">
        <f>IF(COUNTIF(HCPs!M:M,HCP_evidence!A517)&gt;0,"Yes","No")</f>
        <v>Yes</v>
      </c>
      <c r="H527" s="75" t="s">
        <v>892</v>
      </c>
      <c r="I527" t="s">
        <v>1170</v>
      </c>
      <c r="K527" t="s">
        <v>414</v>
      </c>
      <c r="U527" s="51"/>
    </row>
    <row r="528" spans="1:31" ht="15">
      <c r="A528" s="51" t="s">
        <v>4042</v>
      </c>
      <c r="B528" t="str">
        <f>IF(COUNTIF(HCPs!M:M,HCP_evidence!A518)&gt;0,"Yes","No")</f>
        <v>Yes</v>
      </c>
      <c r="J528" t="s">
        <v>4399</v>
      </c>
      <c r="K528" t="s">
        <v>4399</v>
      </c>
      <c r="M528" t="s">
        <v>4399</v>
      </c>
      <c r="N528" t="s">
        <v>4399</v>
      </c>
      <c r="O528" t="s">
        <v>5091</v>
      </c>
      <c r="P528" t="s">
        <v>4197</v>
      </c>
      <c r="U528" s="51"/>
    </row>
    <row r="529" spans="1:34" ht="15">
      <c r="A529" s="51" t="s">
        <v>3130</v>
      </c>
      <c r="B529" t="str">
        <f>IF(COUNTIF(HCPs!M:M,HCP_evidence!A519)&gt;0,"Yes","No")</f>
        <v>No</v>
      </c>
      <c r="U529" s="51"/>
      <c r="AH529" t="s">
        <v>3125</v>
      </c>
    </row>
    <row r="530" spans="1:34" ht="15">
      <c r="A530" t="s">
        <v>1134</v>
      </c>
      <c r="B530" t="str">
        <f>IF(COUNTIF(HCPs!M:M,HCP_evidence!A520)&gt;0,"Yes","No")</f>
        <v>No</v>
      </c>
      <c r="H530" s="75" t="s">
        <v>892</v>
      </c>
      <c r="I530" t="s">
        <v>1170</v>
      </c>
      <c r="K530" t="s">
        <v>414</v>
      </c>
      <c r="U530" s="51"/>
    </row>
    <row r="531" spans="1:34" ht="15">
      <c r="A531" s="51" t="s">
        <v>1134</v>
      </c>
      <c r="B531" t="str">
        <f>IF(COUNTIF(HCPs!M:M,HCP_evidence!A521)&gt;0,"Yes","No")</f>
        <v>Yes</v>
      </c>
      <c r="F531" t="s">
        <v>8137</v>
      </c>
      <c r="G531" t="s">
        <v>8138</v>
      </c>
      <c r="U531" s="51"/>
    </row>
    <row r="532" spans="1:34" ht="15">
      <c r="A532" s="51" t="s">
        <v>7873</v>
      </c>
      <c r="B532" t="str">
        <f>IF(COUNTIF(HCPs!M:M,HCP_evidence!A522)&gt;0,"Yes","No")</f>
        <v>Yes</v>
      </c>
      <c r="U532" s="51"/>
      <c r="AB532" t="s">
        <v>7875</v>
      </c>
    </row>
    <row r="533" spans="1:34" ht="15">
      <c r="A533" s="51" t="s">
        <v>441</v>
      </c>
      <c r="B533" t="str">
        <f>IF(COUNTIF(HCPs!M:M,HCP_evidence!A523)&gt;0,"Yes","No")</f>
        <v>Yes</v>
      </c>
      <c r="U533" s="51"/>
      <c r="AE533" t="s">
        <v>503</v>
      </c>
    </row>
    <row r="534" spans="1:34" ht="15">
      <c r="A534" s="84" t="s">
        <v>4044</v>
      </c>
      <c r="B534" t="str">
        <f>IF(COUNTIF(HCPs!M:M,HCP_evidence!A524)&gt;0,"Yes","No")</f>
        <v>Yes</v>
      </c>
      <c r="H534" s="74" t="s">
        <v>5086</v>
      </c>
      <c r="I534" t="s">
        <v>4192</v>
      </c>
      <c r="J534" t="s">
        <v>4399</v>
      </c>
      <c r="K534" t="s">
        <v>4399</v>
      </c>
      <c r="M534" t="s">
        <v>4399</v>
      </c>
      <c r="N534" t="s">
        <v>414</v>
      </c>
      <c r="U534" s="51"/>
    </row>
    <row r="535" spans="1:34" ht="15">
      <c r="A535" s="51" t="s">
        <v>1116</v>
      </c>
      <c r="B535" t="str">
        <f>IF(COUNTIF(HCPs!M:M,HCP_evidence!A525)&gt;0,"Yes","No")</f>
        <v>Yes</v>
      </c>
      <c r="H535" s="75" t="s">
        <v>892</v>
      </c>
      <c r="I535" t="s">
        <v>1170</v>
      </c>
      <c r="K535" t="s">
        <v>414</v>
      </c>
      <c r="U535" s="51"/>
    </row>
    <row r="536" spans="1:34" ht="15">
      <c r="A536" s="51" t="s">
        <v>1116</v>
      </c>
      <c r="B536" t="str">
        <f>IF(COUNTIF(HCPs!M:M,HCP_evidence!A526)&gt;0,"Yes","No")</f>
        <v>Yes</v>
      </c>
      <c r="U536" s="51"/>
      <c r="AB536" t="s">
        <v>4998</v>
      </c>
    </row>
    <row r="537" spans="1:34" ht="15">
      <c r="A537" s="51" t="s">
        <v>1102</v>
      </c>
      <c r="B537" t="str">
        <f>IF(COUNTIF(HCPs!M:M,HCP_evidence!A527)&gt;0,"Yes","No")</f>
        <v>Yes</v>
      </c>
      <c r="H537" s="75" t="s">
        <v>801</v>
      </c>
      <c r="I537" t="s">
        <v>1170</v>
      </c>
      <c r="L537" t="s">
        <v>414</v>
      </c>
      <c r="U537" s="51"/>
    </row>
    <row r="538" spans="1:34" ht="15">
      <c r="A538" s="51" t="s">
        <v>8157</v>
      </c>
      <c r="B538" t="str">
        <f>IF(COUNTIF(HCPs!M:M,HCP_evidence!A528)&gt;0,"Yes","No")</f>
        <v>Yes</v>
      </c>
      <c r="F538" t="s">
        <v>8137</v>
      </c>
      <c r="G538" t="s">
        <v>8138</v>
      </c>
      <c r="U538" s="51"/>
    </row>
    <row r="539" spans="1:34" ht="15">
      <c r="A539" s="51" t="s">
        <v>8143</v>
      </c>
      <c r="B539" t="str">
        <f>IF(COUNTIF(HCPs!M:M,HCP_evidence!A529)&gt;0,"Yes","No")</f>
        <v>Yes</v>
      </c>
      <c r="F539" t="s">
        <v>8137</v>
      </c>
      <c r="G539" t="s">
        <v>8138</v>
      </c>
      <c r="U539" s="51"/>
    </row>
    <row r="540" spans="1:34" ht="15">
      <c r="A540" s="51" t="s">
        <v>8603</v>
      </c>
      <c r="B540" t="str">
        <f>IF(COUNTIF(HCPs!M:M,HCP_evidence!A530)&gt;0,"Yes","No")</f>
        <v>Yes</v>
      </c>
      <c r="U540" s="51"/>
      <c r="AB540" t="s">
        <v>3116</v>
      </c>
    </row>
    <row r="541" spans="1:34" ht="15">
      <c r="A541" s="84" t="s">
        <v>1105</v>
      </c>
      <c r="B541" t="str">
        <f>IF(COUNTIF(HCPs!M:M,HCP_evidence!A531)&gt;0,"Yes","No")</f>
        <v>Yes</v>
      </c>
      <c r="H541" s="74" t="s">
        <v>5064</v>
      </c>
      <c r="I541" t="s">
        <v>4170</v>
      </c>
      <c r="J541" t="s">
        <v>4399</v>
      </c>
      <c r="K541" t="s">
        <v>4399</v>
      </c>
      <c r="L541" t="s">
        <v>414</v>
      </c>
      <c r="M541" t="s">
        <v>4399</v>
      </c>
      <c r="N541" t="s">
        <v>414</v>
      </c>
      <c r="U541" s="51"/>
    </row>
    <row r="542" spans="1:34" ht="15">
      <c r="A542" s="84" t="s">
        <v>1105</v>
      </c>
      <c r="B542" t="str">
        <f>IF(COUNTIF(HCPs!M:M,HCP_evidence!A532)&gt;0,"Yes","No")</f>
        <v>Yes</v>
      </c>
      <c r="H542" s="74" t="s">
        <v>5064</v>
      </c>
      <c r="I542" t="s">
        <v>4170</v>
      </c>
      <c r="J542" t="s">
        <v>4399</v>
      </c>
      <c r="K542" t="s">
        <v>4399</v>
      </c>
      <c r="L542" t="s">
        <v>414</v>
      </c>
      <c r="M542" t="s">
        <v>4399</v>
      </c>
      <c r="N542" t="s">
        <v>414</v>
      </c>
      <c r="U542" s="51"/>
    </row>
    <row r="543" spans="1:34" ht="15">
      <c r="A543" s="84" t="s">
        <v>1105</v>
      </c>
      <c r="B543" t="str">
        <f>IF(COUNTIF(HCPs!M:M,HCP_evidence!A533)&gt;0,"Yes","No")</f>
        <v>Yes</v>
      </c>
      <c r="H543" s="74" t="s">
        <v>990</v>
      </c>
      <c r="I543" t="s">
        <v>1170</v>
      </c>
      <c r="K543" t="s">
        <v>414</v>
      </c>
      <c r="U543" s="51"/>
    </row>
    <row r="544" spans="1:34" ht="15">
      <c r="A544" s="84" t="s">
        <v>1105</v>
      </c>
      <c r="B544" t="str">
        <f>IF(COUNTIF(HCPs!M:M,HCP_evidence!A534)&gt;0,"Yes","No")</f>
        <v>Yes</v>
      </c>
      <c r="H544" s="74" t="s">
        <v>5076</v>
      </c>
      <c r="I544" t="s">
        <v>4182</v>
      </c>
      <c r="J544" t="s">
        <v>4399</v>
      </c>
      <c r="K544" t="s">
        <v>4399</v>
      </c>
      <c r="L544" t="s">
        <v>414</v>
      </c>
      <c r="M544" t="s">
        <v>4399</v>
      </c>
      <c r="N544" t="s">
        <v>414</v>
      </c>
      <c r="U544" s="51"/>
    </row>
    <row r="545" spans="1:27" ht="15">
      <c r="A545" s="84" t="s">
        <v>1105</v>
      </c>
      <c r="B545" t="str">
        <f>IF(COUNTIF(HCPs!M:M,HCP_evidence!A535)&gt;0,"Yes","No")</f>
        <v>Yes</v>
      </c>
      <c r="H545" s="74" t="s">
        <v>801</v>
      </c>
      <c r="I545" t="s">
        <v>1170</v>
      </c>
      <c r="L545" t="s">
        <v>414</v>
      </c>
      <c r="U545" s="51"/>
    </row>
    <row r="546" spans="1:27" ht="15">
      <c r="A546" s="84" t="s">
        <v>1105</v>
      </c>
      <c r="B546" t="str">
        <f>IF(COUNTIF(HCPs!M:M,HCP_evidence!A536)&gt;0,"Yes","No")</f>
        <v>Yes</v>
      </c>
      <c r="H546" s="74" t="s">
        <v>5092</v>
      </c>
      <c r="I546" t="s">
        <v>4198</v>
      </c>
      <c r="J546" t="s">
        <v>4399</v>
      </c>
      <c r="K546" t="s">
        <v>4399</v>
      </c>
      <c r="L546" t="s">
        <v>414</v>
      </c>
      <c r="M546" t="s">
        <v>4399</v>
      </c>
      <c r="N546" t="s">
        <v>4399</v>
      </c>
      <c r="U546" s="51"/>
    </row>
    <row r="547" spans="1:27" ht="15">
      <c r="A547" s="84" t="s">
        <v>1105</v>
      </c>
      <c r="B547" t="str">
        <f>IF(COUNTIF(HCPs!M:M,HCP_evidence!A537)&gt;0,"Yes","No")</f>
        <v>Yes</v>
      </c>
      <c r="H547" s="74" t="s">
        <v>5092</v>
      </c>
      <c r="I547" t="s">
        <v>4198</v>
      </c>
      <c r="J547" t="s">
        <v>4399</v>
      </c>
      <c r="K547" t="s">
        <v>4399</v>
      </c>
      <c r="L547" t="s">
        <v>414</v>
      </c>
      <c r="M547" t="s">
        <v>4399</v>
      </c>
      <c r="N547" t="s">
        <v>4399</v>
      </c>
      <c r="U547" s="51"/>
    </row>
    <row r="548" spans="1:27" ht="15">
      <c r="A548" s="74" t="s">
        <v>1105</v>
      </c>
      <c r="B548" t="str">
        <f>IF(COUNTIF(HCPs!M:M,HCP_evidence!A538)&gt;0,"Yes","No")</f>
        <v>Yes</v>
      </c>
      <c r="H548" s="74" t="s">
        <v>5030</v>
      </c>
      <c r="I548" t="s">
        <v>4136</v>
      </c>
      <c r="J548" t="s">
        <v>4399</v>
      </c>
      <c r="K548" t="s">
        <v>4399</v>
      </c>
      <c r="L548" t="s">
        <v>414</v>
      </c>
      <c r="M548" t="s">
        <v>4399</v>
      </c>
      <c r="N548" t="s">
        <v>414</v>
      </c>
      <c r="U548" s="51"/>
    </row>
    <row r="549" spans="1:27" ht="15">
      <c r="A549" s="84" t="s">
        <v>1105</v>
      </c>
      <c r="B549" t="str">
        <f>IF(COUNTIF(HCPs!M:M,HCP_evidence!A539)&gt;0,"Yes","No")</f>
        <v>Yes</v>
      </c>
      <c r="L549" t="s">
        <v>414</v>
      </c>
      <c r="O549" s="74" t="s">
        <v>1284</v>
      </c>
      <c r="P549" t="s">
        <v>1285</v>
      </c>
      <c r="U549" s="51"/>
    </row>
    <row r="550" spans="1:27" ht="15">
      <c r="A550" s="51" t="s">
        <v>1105</v>
      </c>
      <c r="B550" t="str">
        <f>IF(COUNTIF(HCPs!M:M,HCP_evidence!A540)&gt;0,"Yes","No")</f>
        <v>Yes</v>
      </c>
      <c r="D550" t="s">
        <v>8136</v>
      </c>
      <c r="E550" t="s">
        <v>7926</v>
      </c>
      <c r="U550" s="51"/>
    </row>
    <row r="551" spans="1:27" ht="15">
      <c r="A551" s="51" t="s">
        <v>1105</v>
      </c>
      <c r="B551" t="str">
        <f>IF(COUNTIF(HCPs!M:M,HCP_evidence!A541)&gt;0,"Yes","No")</f>
        <v>Yes</v>
      </c>
      <c r="D551" t="s">
        <v>8137</v>
      </c>
      <c r="E551" t="s">
        <v>8138</v>
      </c>
      <c r="U551" s="51"/>
    </row>
    <row r="552" spans="1:27" ht="15">
      <c r="A552" s="51" t="s">
        <v>1105</v>
      </c>
      <c r="B552" t="str">
        <f>IF(COUNTIF(HCPs!M:M,HCP_evidence!A542)&gt;0,"Yes","No")</f>
        <v>Yes</v>
      </c>
      <c r="D552" t="s">
        <v>8173</v>
      </c>
      <c r="E552" t="s">
        <v>8174</v>
      </c>
      <c r="U552" s="51"/>
    </row>
    <row r="553" spans="1:27">
      <c r="A553" s="51" t="s">
        <v>1105</v>
      </c>
      <c r="B553" t="str">
        <f>IF(COUNTIF(HCPs!M:M,HCP_evidence!A543)&gt;0,"Yes","No")</f>
        <v>Yes</v>
      </c>
      <c r="U553" s="51"/>
      <c r="Z553" t="s">
        <v>8476</v>
      </c>
      <c r="AA553" t="s">
        <v>8477</v>
      </c>
    </row>
    <row r="554" spans="1:27" ht="15">
      <c r="A554" s="51" t="s">
        <v>1105</v>
      </c>
      <c r="B554" t="str">
        <f>IF(COUNTIF(HCPs!M:M,HCP_evidence!A885)&gt;0,"Yes","No")</f>
        <v>Yes</v>
      </c>
      <c r="D554" t="s">
        <v>8616</v>
      </c>
      <c r="E554" t="s">
        <v>8617</v>
      </c>
      <c r="U554" s="51"/>
    </row>
    <row r="555" spans="1:27" ht="15">
      <c r="A555" s="51" t="s">
        <v>1105</v>
      </c>
      <c r="B555" t="str">
        <f>IF(COUNTIF(HCPs!M:M,HCP_evidence!A891)&gt;0,"Yes","No")</f>
        <v>No</v>
      </c>
      <c r="H555" t="s">
        <v>8630</v>
      </c>
      <c r="I555" t="s">
        <v>8631</v>
      </c>
      <c r="U555" s="51"/>
    </row>
    <row r="556" spans="1:27" ht="15">
      <c r="A556" s="51" t="s">
        <v>4045</v>
      </c>
      <c r="B556" t="str">
        <f>IF(COUNTIF(HCPs!M:M,HCP_evidence!A544)&gt;0,"Yes","No")</f>
        <v>Yes</v>
      </c>
      <c r="J556" t="s">
        <v>4399</v>
      </c>
      <c r="K556" t="s">
        <v>4399</v>
      </c>
      <c r="M556" t="s">
        <v>4399</v>
      </c>
      <c r="N556" t="s">
        <v>414</v>
      </c>
      <c r="O556" t="s">
        <v>5034</v>
      </c>
      <c r="P556" t="s">
        <v>4141</v>
      </c>
      <c r="U556" s="51"/>
    </row>
    <row r="557" spans="1:27" ht="15">
      <c r="A557" s="51" t="s">
        <v>4045</v>
      </c>
      <c r="B557" t="str">
        <f>IF(COUNTIF(HCPs!M:M,HCP_evidence!A545)&gt;0,"Yes","No")</f>
        <v>Yes</v>
      </c>
      <c r="J557" t="s">
        <v>4399</v>
      </c>
      <c r="K557" t="s">
        <v>4399</v>
      </c>
      <c r="M557" t="s">
        <v>4399</v>
      </c>
      <c r="N557" t="s">
        <v>414</v>
      </c>
      <c r="O557" t="s">
        <v>5034</v>
      </c>
      <c r="P557" t="s">
        <v>4141</v>
      </c>
      <c r="U557" s="51"/>
    </row>
    <row r="558" spans="1:27" ht="15">
      <c r="A558" s="51" t="s">
        <v>4046</v>
      </c>
      <c r="B558" t="str">
        <f>IF(COUNTIF(HCPs!M:M,HCP_evidence!A546)&gt;0,"Yes","No")</f>
        <v>Yes</v>
      </c>
      <c r="J558" t="s">
        <v>4399</v>
      </c>
      <c r="K558" t="s">
        <v>4399</v>
      </c>
      <c r="M558" t="s">
        <v>4399</v>
      </c>
      <c r="N558" t="s">
        <v>414</v>
      </c>
      <c r="O558" t="s">
        <v>5034</v>
      </c>
      <c r="P558" t="s">
        <v>4141</v>
      </c>
      <c r="U558" s="51"/>
    </row>
    <row r="559" spans="1:27" ht="15">
      <c r="A559" s="51" t="s">
        <v>4046</v>
      </c>
      <c r="B559" t="str">
        <f>IF(COUNTIF(HCPs!M:M,HCP_evidence!A547)&gt;0,"Yes","No")</f>
        <v>Yes</v>
      </c>
      <c r="J559" t="s">
        <v>4399</v>
      </c>
      <c r="K559" t="s">
        <v>4399</v>
      </c>
      <c r="M559" t="s">
        <v>4399</v>
      </c>
      <c r="N559" t="s">
        <v>414</v>
      </c>
      <c r="O559" t="s">
        <v>5034</v>
      </c>
      <c r="P559" t="s">
        <v>4141</v>
      </c>
      <c r="U559" s="51"/>
    </row>
    <row r="560" spans="1:27" ht="15">
      <c r="A560" s="51" t="s">
        <v>4047</v>
      </c>
      <c r="B560" t="str">
        <f>IF(COUNTIF(HCPs!M:M,HCP_evidence!A548)&gt;0,"Yes","No")</f>
        <v>Yes</v>
      </c>
      <c r="J560" t="s">
        <v>4399</v>
      </c>
      <c r="K560" t="s">
        <v>4399</v>
      </c>
      <c r="M560" t="s">
        <v>4399</v>
      </c>
      <c r="N560" t="s">
        <v>414</v>
      </c>
      <c r="O560" t="s">
        <v>5034</v>
      </c>
      <c r="P560" t="s">
        <v>4141</v>
      </c>
      <c r="U560" s="51"/>
    </row>
    <row r="561" spans="1:32" ht="15">
      <c r="A561" s="51" t="s">
        <v>1210</v>
      </c>
      <c r="B561" t="str">
        <f>IF(COUNTIF(HCPs!M:M,HCP_evidence!A549)&gt;0,"Yes","No")</f>
        <v>Yes</v>
      </c>
      <c r="H561" s="80" t="s">
        <v>1208</v>
      </c>
      <c r="I561" t="s">
        <v>1209</v>
      </c>
      <c r="J561" t="s">
        <v>414</v>
      </c>
      <c r="K561" t="s">
        <v>414</v>
      </c>
      <c r="N561" t="s">
        <v>414</v>
      </c>
      <c r="U561" s="51"/>
    </row>
    <row r="562" spans="1:32" ht="15">
      <c r="A562" s="96" t="s">
        <v>419</v>
      </c>
      <c r="B562" t="str">
        <f>IF(COUNTIF(HCPs!M:M,HCP_evidence!A550)&gt;0,"Yes","No")</f>
        <v>Yes</v>
      </c>
      <c r="H562" s="13" t="s">
        <v>5054</v>
      </c>
      <c r="I562" t="s">
        <v>4138</v>
      </c>
      <c r="J562" t="s">
        <v>4399</v>
      </c>
      <c r="K562" t="s">
        <v>4399</v>
      </c>
      <c r="M562" t="s">
        <v>4399</v>
      </c>
      <c r="N562" t="s">
        <v>4399</v>
      </c>
      <c r="U562" s="51"/>
    </row>
    <row r="563" spans="1:32" ht="15">
      <c r="A563" t="s">
        <v>419</v>
      </c>
      <c r="B563" t="str">
        <f>IF(COUNTIF(HCPs!M:M,HCP_evidence!A551)&gt;0,"Yes","No")</f>
        <v>Yes</v>
      </c>
      <c r="U563" s="51"/>
      <c r="AE563" t="s">
        <v>503</v>
      </c>
    </row>
    <row r="564" spans="1:32" ht="15">
      <c r="A564" t="s">
        <v>419</v>
      </c>
      <c r="B564" t="str">
        <f>IF(COUNTIF(HCPs!M:M,HCP_evidence!A552)&gt;0,"Yes","No")</f>
        <v>Yes</v>
      </c>
      <c r="F564" t="s">
        <v>8137</v>
      </c>
      <c r="G564" t="s">
        <v>8138</v>
      </c>
      <c r="U564" s="51"/>
    </row>
    <row r="565" spans="1:32" ht="15">
      <c r="A565" s="96" t="s">
        <v>4048</v>
      </c>
      <c r="B565" t="str">
        <f>IF(COUNTIF(HCPs!M:M,HCP_evidence!A553)&gt;0,"Yes","No")</f>
        <v>Yes</v>
      </c>
      <c r="H565" s="13" t="s">
        <v>5046</v>
      </c>
      <c r="I565" t="s">
        <v>4153</v>
      </c>
      <c r="J565" t="s">
        <v>4399</v>
      </c>
      <c r="K565" t="s">
        <v>4399</v>
      </c>
      <c r="L565" t="s">
        <v>414</v>
      </c>
      <c r="M565" t="s">
        <v>4399</v>
      </c>
      <c r="N565" t="s">
        <v>4399</v>
      </c>
      <c r="U565" s="51"/>
    </row>
    <row r="566" spans="1:32" ht="15">
      <c r="A566" s="51" t="s">
        <v>507</v>
      </c>
      <c r="B566" t="str">
        <f>IF(COUNTIF(HCPs!M:M,HCP_evidence!A554)&gt;0,"Yes","No")</f>
        <v>Yes</v>
      </c>
      <c r="H566" s="75" t="s">
        <v>801</v>
      </c>
      <c r="I566" t="s">
        <v>1170</v>
      </c>
      <c r="L566" t="s">
        <v>414</v>
      </c>
      <c r="U566" s="51"/>
    </row>
    <row r="567" spans="1:32" ht="15">
      <c r="A567" s="51" t="s">
        <v>507</v>
      </c>
      <c r="B567" t="str">
        <f>IF(COUNTIF(HCPs!M:M,HCP_evidence!A555)&gt;0,"Yes","No")</f>
        <v>Yes</v>
      </c>
      <c r="U567" s="51"/>
      <c r="AF567" t="s">
        <v>519</v>
      </c>
    </row>
    <row r="568" spans="1:32" ht="15">
      <c r="A568" s="51" t="s">
        <v>507</v>
      </c>
      <c r="B568" t="str">
        <f>IF(COUNTIF(HCPs!M:M,HCP_evidence!A556)&gt;0,"Yes","No")</f>
        <v>Yes</v>
      </c>
      <c r="D568" t="s">
        <v>8137</v>
      </c>
      <c r="E568" t="s">
        <v>8138</v>
      </c>
      <c r="U568" s="51"/>
    </row>
    <row r="569" spans="1:32" ht="15">
      <c r="A569" s="51" t="s">
        <v>507</v>
      </c>
      <c r="B569" t="str">
        <f>IF(COUNTIF(HCPs!M:M,HCP_evidence!A557)&gt;0,"Yes","No")</f>
        <v>Yes</v>
      </c>
      <c r="D569" t="s">
        <v>8173</v>
      </c>
      <c r="E569" t="s">
        <v>8174</v>
      </c>
      <c r="U569" s="51"/>
    </row>
    <row r="570" spans="1:32" ht="15">
      <c r="A570" s="51" t="s">
        <v>4318</v>
      </c>
      <c r="B570" t="str">
        <f>IF(COUNTIF(HCPs!M:M,HCP_evidence!A558)&gt;0,"Yes","No")</f>
        <v>Yes</v>
      </c>
      <c r="D570" t="s">
        <v>8137</v>
      </c>
      <c r="E570" t="s">
        <v>8138</v>
      </c>
      <c r="U570" s="51"/>
    </row>
    <row r="571" spans="1:32" ht="15">
      <c r="A571" s="51" t="s">
        <v>4318</v>
      </c>
      <c r="B571" t="str">
        <f>IF(COUNTIF(HCPs!M:M,HCP_evidence!A559)&gt;0,"Yes","No")</f>
        <v>Yes</v>
      </c>
      <c r="D571" t="s">
        <v>8173</v>
      </c>
      <c r="E571" t="s">
        <v>8174</v>
      </c>
      <c r="U571" s="51"/>
    </row>
    <row r="572" spans="1:32" ht="15">
      <c r="A572" s="51" t="s">
        <v>8544</v>
      </c>
      <c r="B572" t="str">
        <f>IF(COUNTIF(HCPs!M:M,HCP_evidence!A877)&gt;0,"Yes","No")</f>
        <v>Yes</v>
      </c>
      <c r="U572" s="51"/>
      <c r="AB572" t="s">
        <v>8546</v>
      </c>
    </row>
    <row r="573" spans="1:32" ht="15">
      <c r="A573" s="51" t="s">
        <v>4049</v>
      </c>
      <c r="B573" t="str">
        <f>IF(COUNTIF(HCPs!M:M,HCP_evidence!A560)&gt;0,"Yes","No")</f>
        <v>Yes</v>
      </c>
      <c r="J573" t="s">
        <v>4399</v>
      </c>
      <c r="K573" t="s">
        <v>414</v>
      </c>
      <c r="M573" t="s">
        <v>4399</v>
      </c>
      <c r="N573" t="s">
        <v>4399</v>
      </c>
      <c r="O573" t="s">
        <v>5087</v>
      </c>
      <c r="P573" t="s">
        <v>4193</v>
      </c>
      <c r="U573" s="51"/>
    </row>
    <row r="574" spans="1:32" ht="15">
      <c r="A574" t="s">
        <v>4050</v>
      </c>
      <c r="B574" t="str">
        <f>IF(COUNTIF(HCPs!M:M,HCP_evidence!A561)&gt;0,"Yes","No")</f>
        <v>Yes</v>
      </c>
      <c r="J574" t="s">
        <v>4399</v>
      </c>
      <c r="K574" t="s">
        <v>4399</v>
      </c>
      <c r="M574" t="s">
        <v>4399</v>
      </c>
      <c r="N574" t="s">
        <v>414</v>
      </c>
      <c r="O574" t="s">
        <v>5093</v>
      </c>
      <c r="P574" t="s">
        <v>4199</v>
      </c>
      <c r="U574" s="51"/>
    </row>
    <row r="575" spans="1:32" ht="15">
      <c r="A575" s="51" t="s">
        <v>4050</v>
      </c>
      <c r="B575" t="str">
        <f>IF(COUNTIF(HCPs!M:M,HCP_evidence!A562)&gt;0,"Yes","No")</f>
        <v>Yes</v>
      </c>
      <c r="J575" t="s">
        <v>4399</v>
      </c>
      <c r="K575" t="s">
        <v>4399</v>
      </c>
      <c r="M575" t="s">
        <v>4399</v>
      </c>
      <c r="N575" t="s">
        <v>414</v>
      </c>
      <c r="O575" t="s">
        <v>5093</v>
      </c>
      <c r="P575" t="s">
        <v>4199</v>
      </c>
      <c r="U575" s="51"/>
    </row>
    <row r="576" spans="1:32" ht="15">
      <c r="A576" s="51" t="s">
        <v>4316</v>
      </c>
      <c r="B576" t="str">
        <f>IF(COUNTIF(HCPs!M:M,HCP_evidence!A563)&gt;0,"Yes","No")</f>
        <v>Yes</v>
      </c>
      <c r="D576" t="s">
        <v>8137</v>
      </c>
      <c r="E576" t="s">
        <v>8138</v>
      </c>
      <c r="U576" s="51"/>
    </row>
    <row r="577" spans="1:31" ht="15">
      <c r="A577" t="s">
        <v>4316</v>
      </c>
      <c r="B577" t="str">
        <f>IF(COUNTIF(HCPs!M:M,HCP_evidence!A564)&gt;0,"Yes","No")</f>
        <v>Yes</v>
      </c>
      <c r="D577" t="s">
        <v>8173</v>
      </c>
      <c r="E577" t="s">
        <v>8174</v>
      </c>
      <c r="U577" s="51"/>
    </row>
    <row r="578" spans="1:31" ht="15">
      <c r="A578" s="51" t="s">
        <v>450</v>
      </c>
      <c r="B578" t="str">
        <f>IF(COUNTIF(HCPs!M:M,HCP_evidence!A565)&gt;0,"Yes","No")</f>
        <v>Yes</v>
      </c>
      <c r="U578" s="51"/>
      <c r="AE578" t="s">
        <v>503</v>
      </c>
    </row>
    <row r="579" spans="1:31">
      <c r="A579" s="51" t="s">
        <v>450</v>
      </c>
      <c r="B579" t="str">
        <f>IF(COUNTIF(HCPs!M:M,HCP_evidence!A566)&gt;0,"Yes","No")</f>
        <v>Yes</v>
      </c>
      <c r="U579" s="51"/>
      <c r="Z579" t="s">
        <v>8125</v>
      </c>
      <c r="AA579" t="s">
        <v>8111</v>
      </c>
    </row>
    <row r="580" spans="1:31">
      <c r="A580" s="51" t="s">
        <v>450</v>
      </c>
      <c r="B580" t="str">
        <f>IF(COUNTIF(HCPs!M:M,HCP_evidence!A567)&gt;0,"Yes","No")</f>
        <v>Yes</v>
      </c>
      <c r="U580" s="51"/>
      <c r="Z580" t="s">
        <v>8127</v>
      </c>
      <c r="AA580" t="s">
        <v>8111</v>
      </c>
    </row>
    <row r="581" spans="1:31" ht="15">
      <c r="A581" s="51" t="s">
        <v>450</v>
      </c>
      <c r="B581" t="str">
        <f>IF(COUNTIF(HCPs!M:M,HCP_evidence!A568)&gt;0,"Yes","No")</f>
        <v>Yes</v>
      </c>
      <c r="U581" s="51"/>
      <c r="AB581" t="s">
        <v>8206</v>
      </c>
    </row>
    <row r="582" spans="1:31" ht="15">
      <c r="A582" s="51" t="s">
        <v>494</v>
      </c>
      <c r="B582" t="str">
        <f>IF(COUNTIF(HCPs!M:M,HCP_evidence!A569)&gt;0,"Yes","No")</f>
        <v>Yes</v>
      </c>
      <c r="U582" s="51"/>
      <c r="AC582" t="s">
        <v>498</v>
      </c>
    </row>
    <row r="583" spans="1:31" ht="15">
      <c r="A583" s="51" t="s">
        <v>4052</v>
      </c>
      <c r="B583" t="str">
        <f>IF(COUNTIF(HCPs!M:M,HCP_evidence!A570)&gt;0,"Yes","No")</f>
        <v>Yes</v>
      </c>
      <c r="J583" t="s">
        <v>4399</v>
      </c>
      <c r="K583" t="s">
        <v>4399</v>
      </c>
      <c r="L583" t="s">
        <v>414</v>
      </c>
      <c r="M583" t="s">
        <v>4399</v>
      </c>
      <c r="N583" t="s">
        <v>414</v>
      </c>
      <c r="O583" t="s">
        <v>5040</v>
      </c>
      <c r="P583" t="s">
        <v>4147</v>
      </c>
      <c r="U583" s="51"/>
    </row>
    <row r="584" spans="1:31" ht="15">
      <c r="A584" s="96" t="s">
        <v>8445</v>
      </c>
      <c r="B584" t="str">
        <f>IF(COUNTIF(HCPs!M:M,HCP_evidence!A571)&gt;0,"Yes","No")</f>
        <v>Yes</v>
      </c>
      <c r="H584" s="13"/>
      <c r="J584" t="s">
        <v>4399</v>
      </c>
      <c r="K584" t="s">
        <v>414</v>
      </c>
      <c r="L584" t="s">
        <v>414</v>
      </c>
      <c r="M584" t="s">
        <v>414</v>
      </c>
      <c r="N584" t="s">
        <v>4399</v>
      </c>
      <c r="O584" s="13" t="s">
        <v>5051</v>
      </c>
      <c r="P584" t="s">
        <v>4158</v>
      </c>
      <c r="U584" s="51"/>
    </row>
    <row r="585" spans="1:31" ht="15">
      <c r="A585" s="51" t="s">
        <v>4053</v>
      </c>
      <c r="B585" t="str">
        <f>IF(COUNTIF(HCPs!M:M,HCP_evidence!A572)&gt;0,"Yes","No")</f>
        <v>Yes</v>
      </c>
      <c r="J585" t="s">
        <v>4399</v>
      </c>
      <c r="K585" t="s">
        <v>4399</v>
      </c>
      <c r="L585" t="s">
        <v>414</v>
      </c>
      <c r="M585" t="s">
        <v>414</v>
      </c>
      <c r="N585" t="s">
        <v>4399</v>
      </c>
      <c r="O585" t="s">
        <v>5038</v>
      </c>
      <c r="P585" t="s">
        <v>4145</v>
      </c>
      <c r="U585" s="51"/>
    </row>
    <row r="586" spans="1:31" ht="15">
      <c r="A586" s="51" t="s">
        <v>477</v>
      </c>
      <c r="B586" t="str">
        <f>IF(COUNTIF(HCPs!M:M,HCP_evidence!A573)&gt;0,"Yes","No")</f>
        <v>Yes</v>
      </c>
      <c r="U586" s="51"/>
      <c r="AE586" t="s">
        <v>503</v>
      </c>
    </row>
    <row r="587" spans="1:31" ht="15">
      <c r="A587" s="51" t="s">
        <v>1149</v>
      </c>
      <c r="B587" t="str">
        <f>IF(COUNTIF(HCPs!M:M,HCP_evidence!A574)&gt;0,"Yes","No")</f>
        <v>Yes</v>
      </c>
      <c r="H587" s="75" t="s">
        <v>990</v>
      </c>
      <c r="I587" t="s">
        <v>1170</v>
      </c>
      <c r="K587" t="s">
        <v>414</v>
      </c>
      <c r="U587" s="51"/>
    </row>
    <row r="588" spans="1:31" ht="15">
      <c r="A588" s="51" t="s">
        <v>1109</v>
      </c>
      <c r="B588" t="str">
        <f>IF(COUNTIF(HCPs!M:M,HCP_evidence!A575)&gt;0,"Yes","No")</f>
        <v>Yes</v>
      </c>
      <c r="H588" s="75" t="s">
        <v>990</v>
      </c>
      <c r="I588" t="s">
        <v>1170</v>
      </c>
      <c r="K588" t="s">
        <v>414</v>
      </c>
      <c r="U588" s="51"/>
    </row>
    <row r="589" spans="1:31" ht="15">
      <c r="A589" s="51" t="s">
        <v>1109</v>
      </c>
      <c r="B589" t="str">
        <f>IF(COUNTIF(HCPs!M:M,HCP_evidence!A576)&gt;0,"Yes","No")</f>
        <v>Yes</v>
      </c>
      <c r="H589" s="75" t="s">
        <v>801</v>
      </c>
      <c r="I589" t="s">
        <v>1170</v>
      </c>
      <c r="L589" t="s">
        <v>414</v>
      </c>
      <c r="U589" s="51"/>
    </row>
    <row r="590" spans="1:31" ht="15">
      <c r="A590" s="51" t="s">
        <v>1109</v>
      </c>
      <c r="B590" t="str">
        <f>IF(COUNTIF(HCPs!M:M,HCP_evidence!A577)&gt;0,"Yes","No")</f>
        <v>Yes</v>
      </c>
      <c r="H590" s="75" t="s">
        <v>892</v>
      </c>
      <c r="I590" t="s">
        <v>1170</v>
      </c>
      <c r="K590" t="s">
        <v>414</v>
      </c>
      <c r="U590" s="51"/>
    </row>
    <row r="591" spans="1:31" ht="15">
      <c r="A591" s="51" t="s">
        <v>454</v>
      </c>
      <c r="B591" t="str">
        <f>IF(COUNTIF(HCPs!M:M,HCP_evidence!A578)&gt;0,"Yes","No")</f>
        <v>Yes</v>
      </c>
      <c r="U591" s="51"/>
      <c r="AE591" t="s">
        <v>503</v>
      </c>
    </row>
    <row r="592" spans="1:31" ht="15">
      <c r="A592" s="96" t="s">
        <v>8471</v>
      </c>
      <c r="B592" t="str">
        <f>IF(COUNTIF(HCPs!M:M,HCP_evidence!A579)&gt;0,"Yes","No")</f>
        <v>Yes</v>
      </c>
      <c r="L592" t="s">
        <v>414</v>
      </c>
      <c r="O592" t="s">
        <v>1284</v>
      </c>
      <c r="P592" t="s">
        <v>1285</v>
      </c>
      <c r="U592" s="51"/>
    </row>
    <row r="593" spans="1:34" ht="15">
      <c r="A593" s="51" t="s">
        <v>4054</v>
      </c>
      <c r="B593" t="str">
        <f>IF(COUNTIF(HCPs!M:M,HCP_evidence!A580)&gt;0,"Yes","No")</f>
        <v>Yes</v>
      </c>
      <c r="J593" t="s">
        <v>4399</v>
      </c>
      <c r="K593" t="s">
        <v>4399</v>
      </c>
      <c r="M593" t="s">
        <v>4399</v>
      </c>
      <c r="N593" t="s">
        <v>414</v>
      </c>
      <c r="O593" t="s">
        <v>5034</v>
      </c>
      <c r="P593" t="s">
        <v>4141</v>
      </c>
      <c r="U593" s="51"/>
    </row>
    <row r="594" spans="1:34" ht="15">
      <c r="A594" s="51" t="s">
        <v>4054</v>
      </c>
      <c r="B594" t="str">
        <f>IF(COUNTIF(HCPs!M:M,HCP_evidence!A581)&gt;0,"Yes","No")</f>
        <v>Yes</v>
      </c>
      <c r="J594" t="s">
        <v>4399</v>
      </c>
      <c r="K594" t="s">
        <v>4399</v>
      </c>
      <c r="M594" t="s">
        <v>4399</v>
      </c>
      <c r="N594" t="s">
        <v>414</v>
      </c>
      <c r="O594" t="s">
        <v>5034</v>
      </c>
      <c r="P594" t="s">
        <v>4141</v>
      </c>
      <c r="U594" s="51"/>
    </row>
    <row r="595" spans="1:34" ht="15">
      <c r="A595" s="51" t="s">
        <v>4054</v>
      </c>
      <c r="B595" t="str">
        <f>IF(COUNTIF(HCPs!M:M,HCP_evidence!A582)&gt;0,"Yes","No")</f>
        <v>No</v>
      </c>
      <c r="U595" s="51"/>
      <c r="AB595" t="s">
        <v>5152</v>
      </c>
    </row>
    <row r="596" spans="1:34" ht="15">
      <c r="A596" s="51" t="s">
        <v>3131</v>
      </c>
      <c r="B596" t="str">
        <f>IF(COUNTIF(HCPs!M:M,HCP_evidence!A583)&gt;0,"Yes","No")</f>
        <v>Yes</v>
      </c>
      <c r="U596" s="51"/>
      <c r="AH596" t="s">
        <v>3125</v>
      </c>
    </row>
    <row r="597" spans="1:34" ht="15">
      <c r="A597" s="51" t="s">
        <v>7962</v>
      </c>
      <c r="B597" t="str">
        <f>IF(COUNTIF(HCPs!M:M,HCP_evidence!A584)&gt;0,"Yes","No")</f>
        <v>Yes</v>
      </c>
      <c r="F597" t="s">
        <v>8136</v>
      </c>
      <c r="G597" t="s">
        <v>7926</v>
      </c>
      <c r="U597" s="51"/>
    </row>
    <row r="598" spans="1:34" ht="15">
      <c r="A598" s="98" t="s">
        <v>4055</v>
      </c>
      <c r="B598" t="str">
        <f>IF(COUNTIF(HCPs!M:M,HCP_evidence!A585)&gt;0,"Yes","No")</f>
        <v>Yes</v>
      </c>
      <c r="J598" t="s">
        <v>4399</v>
      </c>
      <c r="K598" t="s">
        <v>4399</v>
      </c>
      <c r="L598" t="s">
        <v>414</v>
      </c>
      <c r="M598" t="s">
        <v>4399</v>
      </c>
      <c r="N598" t="s">
        <v>414</v>
      </c>
      <c r="O598" s="95" t="s">
        <v>5056</v>
      </c>
      <c r="P598" t="s">
        <v>4162</v>
      </c>
      <c r="U598" s="51"/>
    </row>
    <row r="599" spans="1:34" ht="15">
      <c r="A599" s="51" t="s">
        <v>4055</v>
      </c>
      <c r="B599" t="str">
        <f>IF(COUNTIF(HCPs!M:M,HCP_evidence!A586)&gt;0,"Yes","No")</f>
        <v>Yes</v>
      </c>
      <c r="U599" s="51"/>
      <c r="AB599" t="s">
        <v>7807</v>
      </c>
    </row>
    <row r="600" spans="1:34">
      <c r="A600" s="51" t="s">
        <v>8181</v>
      </c>
      <c r="B600" t="str">
        <f>IF(COUNTIF(HCPs!M:M,HCP_evidence!A587)&gt;0,"Yes","No")</f>
        <v>Yes</v>
      </c>
      <c r="U600" s="51"/>
      <c r="Z600" t="s">
        <v>8483</v>
      </c>
      <c r="AA600" t="s">
        <v>8477</v>
      </c>
    </row>
    <row r="601" spans="1:34" ht="15">
      <c r="A601" s="51" t="s">
        <v>1121</v>
      </c>
      <c r="B601" t="str">
        <f>IF(COUNTIF(HCPs!M:M,HCP_evidence!A588)&gt;0,"Yes","No")</f>
        <v>Yes</v>
      </c>
      <c r="H601" s="75" t="s">
        <v>892</v>
      </c>
      <c r="I601" t="s">
        <v>1170</v>
      </c>
      <c r="K601" t="s">
        <v>414</v>
      </c>
      <c r="U601" s="51"/>
    </row>
    <row r="602" spans="1:34" ht="15">
      <c r="A602" s="51" t="s">
        <v>1093</v>
      </c>
      <c r="B602" t="str">
        <f>IF(COUNTIF(HCPs!M:M,HCP_evidence!A589)&gt;0,"Yes","No")</f>
        <v>Yes</v>
      </c>
      <c r="H602" s="75" t="s">
        <v>990</v>
      </c>
      <c r="I602" t="s">
        <v>1170</v>
      </c>
      <c r="K602" t="s">
        <v>414</v>
      </c>
      <c r="U602" s="51"/>
    </row>
    <row r="603" spans="1:34" ht="15">
      <c r="A603" s="51" t="s">
        <v>1093</v>
      </c>
      <c r="B603" t="str">
        <f>IF(COUNTIF(HCPs!M:M,HCP_evidence!A590)&gt;0,"Yes","No")</f>
        <v>Yes</v>
      </c>
      <c r="H603" s="75" t="s">
        <v>801</v>
      </c>
      <c r="I603" t="s">
        <v>1170</v>
      </c>
      <c r="L603" t="s">
        <v>414</v>
      </c>
      <c r="U603" s="51"/>
    </row>
    <row r="604" spans="1:34" ht="15">
      <c r="A604" s="51" t="s">
        <v>1093</v>
      </c>
      <c r="B604" t="str">
        <f>IF(COUNTIF(HCPs!M:M,HCP_evidence!A591)&gt;0,"Yes","No")</f>
        <v>Yes</v>
      </c>
      <c r="J604" t="s">
        <v>4399</v>
      </c>
      <c r="K604" t="s">
        <v>4399</v>
      </c>
      <c r="M604" t="s">
        <v>4399</v>
      </c>
      <c r="N604" t="s">
        <v>414</v>
      </c>
      <c r="O604" t="s">
        <v>5034</v>
      </c>
      <c r="P604" t="s">
        <v>4141</v>
      </c>
      <c r="U604" s="51"/>
    </row>
    <row r="605" spans="1:34" ht="15">
      <c r="A605" s="51" t="s">
        <v>1093</v>
      </c>
      <c r="B605" t="str">
        <f>IF(COUNTIF(HCPs!M:M,HCP_evidence!A592)&gt;0,"Yes","No")</f>
        <v>Yes</v>
      </c>
      <c r="J605" t="s">
        <v>4399</v>
      </c>
      <c r="K605" t="s">
        <v>4399</v>
      </c>
      <c r="M605" t="s">
        <v>4399</v>
      </c>
      <c r="N605" t="s">
        <v>414</v>
      </c>
      <c r="O605" t="s">
        <v>5034</v>
      </c>
      <c r="P605" t="s">
        <v>4141</v>
      </c>
      <c r="U605" s="51"/>
    </row>
    <row r="606" spans="1:34" ht="15">
      <c r="A606" s="51" t="s">
        <v>1093</v>
      </c>
      <c r="B606" t="str">
        <f>IF(COUNTIF(HCPs!M:M,HCP_evidence!A593)&gt;0,"Yes","No")</f>
        <v>Yes</v>
      </c>
      <c r="F606" t="s">
        <v>8136</v>
      </c>
      <c r="G606" t="s">
        <v>7926</v>
      </c>
      <c r="U606" s="51"/>
    </row>
    <row r="607" spans="1:34" ht="15">
      <c r="A607" s="51" t="s">
        <v>4056</v>
      </c>
      <c r="B607" t="str">
        <f>IF(COUNTIF(HCPs!M:M,HCP_evidence!A594)&gt;0,"Yes","No")</f>
        <v>Yes</v>
      </c>
      <c r="J607" t="s">
        <v>4399</v>
      </c>
      <c r="K607" t="s">
        <v>4399</v>
      </c>
      <c r="M607" t="s">
        <v>4399</v>
      </c>
      <c r="N607" t="s">
        <v>414</v>
      </c>
      <c r="O607" t="s">
        <v>5034</v>
      </c>
      <c r="P607" t="s">
        <v>4141</v>
      </c>
      <c r="U607" s="51"/>
    </row>
    <row r="608" spans="1:34" ht="15">
      <c r="A608" s="51" t="s">
        <v>4056</v>
      </c>
      <c r="B608" t="str">
        <f>IF(COUNTIF(HCPs!M:M,HCP_evidence!A595)&gt;0,"Yes","No")</f>
        <v>Yes</v>
      </c>
      <c r="J608" t="s">
        <v>4399</v>
      </c>
      <c r="K608" t="s">
        <v>4399</v>
      </c>
      <c r="M608" t="s">
        <v>4399</v>
      </c>
      <c r="N608" t="s">
        <v>414</v>
      </c>
      <c r="O608" t="s">
        <v>5034</v>
      </c>
      <c r="P608" t="s">
        <v>4141</v>
      </c>
      <c r="U608" s="51"/>
    </row>
    <row r="609" spans="1:31" ht="15">
      <c r="A609" s="96" t="s">
        <v>8330</v>
      </c>
      <c r="B609" t="str">
        <f>IF(COUNTIF(HCPs!M:M,HCP_evidence!A596)&gt;0,"Yes","No")</f>
        <v>Yes</v>
      </c>
      <c r="H609" s="13" t="s">
        <v>5053</v>
      </c>
      <c r="I609" t="s">
        <v>4160</v>
      </c>
      <c r="J609" t="s">
        <v>4399</v>
      </c>
      <c r="K609" t="s">
        <v>4399</v>
      </c>
      <c r="L609" t="s">
        <v>414</v>
      </c>
      <c r="M609" t="s">
        <v>4399</v>
      </c>
      <c r="N609" t="s">
        <v>4399</v>
      </c>
      <c r="U609" s="51"/>
    </row>
    <row r="610" spans="1:31" ht="15">
      <c r="A610" s="96" t="s">
        <v>8330</v>
      </c>
      <c r="B610" t="str">
        <f>IF(COUNTIF(HCPs!M:M,HCP_evidence!A597)&gt;0,"Yes","No")</f>
        <v>Yes</v>
      </c>
      <c r="U610" s="51"/>
      <c r="AE610" t="s">
        <v>503</v>
      </c>
    </row>
    <row r="611" spans="1:31" ht="15">
      <c r="A611" s="96" t="s">
        <v>426</v>
      </c>
      <c r="B611" t="str">
        <f>IF(COUNTIF(HCPs!M:M,HCP_evidence!A598)&gt;0,"Yes","No")</f>
        <v>Yes</v>
      </c>
      <c r="H611" s="13" t="s">
        <v>5053</v>
      </c>
      <c r="I611" t="s">
        <v>4160</v>
      </c>
      <c r="J611" t="s">
        <v>4399</v>
      </c>
      <c r="K611" t="s">
        <v>4399</v>
      </c>
      <c r="L611" t="s">
        <v>414</v>
      </c>
      <c r="M611" t="s">
        <v>4399</v>
      </c>
      <c r="N611" t="s">
        <v>4399</v>
      </c>
      <c r="U611" s="51"/>
    </row>
    <row r="612" spans="1:31" ht="15">
      <c r="A612" s="96" t="s">
        <v>426</v>
      </c>
      <c r="B612" t="str">
        <f>IF(COUNTIF(HCPs!M:M,HCP_evidence!A599)&gt;0,"Yes","No")</f>
        <v>Yes</v>
      </c>
      <c r="U612" s="51"/>
      <c r="AE612" t="s">
        <v>503</v>
      </c>
    </row>
    <row r="613" spans="1:31" ht="15">
      <c r="A613" s="51" t="s">
        <v>1152</v>
      </c>
      <c r="B613" t="str">
        <f>IF(COUNTIF(HCPs!M:M,HCP_evidence!A600)&gt;0,"Yes","No")</f>
        <v>Yes</v>
      </c>
      <c r="H613" s="75" t="s">
        <v>990</v>
      </c>
      <c r="I613" t="s">
        <v>1170</v>
      </c>
      <c r="K613" t="s">
        <v>414</v>
      </c>
      <c r="U613" s="51"/>
    </row>
    <row r="614" spans="1:31" ht="15">
      <c r="A614" s="51" t="s">
        <v>484</v>
      </c>
      <c r="B614" t="str">
        <f>IF(COUNTIF(HCPs!M:M,HCP_evidence!A601)&gt;0,"Yes","No")</f>
        <v>Yes</v>
      </c>
      <c r="U614" s="51"/>
      <c r="AE614" t="s">
        <v>503</v>
      </c>
    </row>
    <row r="615" spans="1:31">
      <c r="A615" s="51" t="s">
        <v>484</v>
      </c>
      <c r="B615" t="str">
        <f>IF(COUNTIF(HCPs!M:M,HCP_evidence!A602)&gt;0,"Yes","No")</f>
        <v>Yes</v>
      </c>
      <c r="U615" s="51"/>
      <c r="Z615" t="s">
        <v>8186</v>
      </c>
      <c r="AA615" t="s">
        <v>8178</v>
      </c>
    </row>
    <row r="616" spans="1:31" ht="15">
      <c r="A616" s="51" t="s">
        <v>493</v>
      </c>
      <c r="B616" t="str">
        <f>IF(COUNTIF(HCPs!M:M,HCP_evidence!A603)&gt;0,"Yes","No")</f>
        <v>Yes</v>
      </c>
      <c r="U616" s="51"/>
      <c r="AC616" t="s">
        <v>498</v>
      </c>
    </row>
    <row r="617" spans="1:31" ht="15">
      <c r="A617" s="51" t="s">
        <v>4057</v>
      </c>
      <c r="B617" t="str">
        <f>IF(COUNTIF(HCPs!M:M,HCP_evidence!A604)&gt;0,"Yes","No")</f>
        <v>Yes</v>
      </c>
      <c r="J617" t="s">
        <v>4399</v>
      </c>
      <c r="K617" t="s">
        <v>4399</v>
      </c>
      <c r="M617" t="s">
        <v>4399</v>
      </c>
      <c r="N617" t="s">
        <v>414</v>
      </c>
      <c r="O617" t="s">
        <v>5034</v>
      </c>
      <c r="P617" t="s">
        <v>4141</v>
      </c>
      <c r="U617" s="51"/>
    </row>
    <row r="618" spans="1:31" ht="15">
      <c r="A618" s="51" t="s">
        <v>442</v>
      </c>
      <c r="B618" t="str">
        <f>IF(COUNTIF(HCPs!M:M,HCP_evidence!A605)&gt;0,"Yes","No")</f>
        <v>Yes</v>
      </c>
      <c r="U618" s="51"/>
      <c r="AE618" t="s">
        <v>503</v>
      </c>
    </row>
    <row r="619" spans="1:31" ht="15">
      <c r="A619" s="51" t="s">
        <v>8146</v>
      </c>
      <c r="B619" t="str">
        <f>IF(COUNTIF(HCPs!M:M,HCP_evidence!A606)&gt;0,"Yes","No")</f>
        <v>Yes</v>
      </c>
      <c r="F619" t="s">
        <v>8137</v>
      </c>
      <c r="G619" t="s">
        <v>8138</v>
      </c>
      <c r="U619" s="51"/>
    </row>
    <row r="620" spans="1:31" ht="15">
      <c r="A620" s="96" t="s">
        <v>1280</v>
      </c>
      <c r="B620" t="str">
        <f>IF(COUNTIF(HCPs!M:M,HCP_evidence!A607)&gt;0,"Yes","No")</f>
        <v>Yes</v>
      </c>
      <c r="H620" s="13" t="s">
        <v>1278</v>
      </c>
      <c r="I620" t="s">
        <v>1279</v>
      </c>
      <c r="K620" t="s">
        <v>414</v>
      </c>
      <c r="L620" t="s">
        <v>414</v>
      </c>
      <c r="U620" s="51"/>
    </row>
    <row r="621" spans="1:31" ht="15">
      <c r="A621" s="51" t="s">
        <v>480</v>
      </c>
      <c r="B621" t="str">
        <f>IF(COUNTIF(HCPs!M:M,HCP_evidence!A608)&gt;0,"Yes","No")</f>
        <v>Yes</v>
      </c>
      <c r="U621" s="51"/>
      <c r="AE621" t="s">
        <v>503</v>
      </c>
    </row>
    <row r="622" spans="1:31" ht="15">
      <c r="A622" s="84" t="s">
        <v>1166</v>
      </c>
      <c r="B622" t="str">
        <f>IF(COUNTIF(HCPs!M:M,HCP_evidence!A609)&gt;0,"Yes","No")</f>
        <v>Yes</v>
      </c>
      <c r="H622" s="74" t="s">
        <v>990</v>
      </c>
      <c r="I622" t="s">
        <v>1170</v>
      </c>
      <c r="K622" t="s">
        <v>414</v>
      </c>
      <c r="U622" s="51"/>
    </row>
    <row r="623" spans="1:31" ht="15">
      <c r="A623" s="84" t="s">
        <v>1166</v>
      </c>
      <c r="B623" t="str">
        <f>IF(COUNTIF(HCPs!M:M,HCP_evidence!A610)&gt;0,"Yes","No")</f>
        <v>Yes</v>
      </c>
      <c r="H623" s="74" t="s">
        <v>5030</v>
      </c>
      <c r="I623" t="s">
        <v>4136</v>
      </c>
      <c r="J623" t="s">
        <v>4399</v>
      </c>
      <c r="K623" t="s">
        <v>4399</v>
      </c>
      <c r="L623" t="s">
        <v>414</v>
      </c>
      <c r="M623" t="s">
        <v>4399</v>
      </c>
      <c r="N623" t="s">
        <v>414</v>
      </c>
      <c r="U623" s="51"/>
    </row>
    <row r="624" spans="1:31" ht="15">
      <c r="A624" s="101" t="s">
        <v>7901</v>
      </c>
      <c r="B624" t="str">
        <f>IF(COUNTIF(HCPs!M:M,HCP_evidence!A611)&gt;0,"Yes","No")</f>
        <v>Yes</v>
      </c>
      <c r="U624" s="51"/>
      <c r="AB624" t="s">
        <v>7904</v>
      </c>
    </row>
    <row r="625" spans="1:28" ht="15">
      <c r="A625" s="84" t="s">
        <v>4059</v>
      </c>
      <c r="B625" t="str">
        <f>IF(COUNTIF(HCPs!M:M,HCP_evidence!A612)&gt;0,"Yes","No")</f>
        <v>Yes</v>
      </c>
      <c r="H625" s="74" t="s">
        <v>5064</v>
      </c>
      <c r="I625" t="s">
        <v>4170</v>
      </c>
      <c r="J625" t="s">
        <v>4399</v>
      </c>
      <c r="K625" t="s">
        <v>4399</v>
      </c>
      <c r="L625" t="s">
        <v>414</v>
      </c>
      <c r="M625" t="s">
        <v>4399</v>
      </c>
      <c r="N625" t="s">
        <v>414</v>
      </c>
      <c r="U625" s="51"/>
    </row>
    <row r="626" spans="1:28" ht="15">
      <c r="A626" s="74" t="s">
        <v>4059</v>
      </c>
      <c r="B626" t="str">
        <f>IF(COUNTIF(HCPs!M:M,HCP_evidence!A613)&gt;0,"Yes","No")</f>
        <v>No</v>
      </c>
      <c r="H626" s="74" t="s">
        <v>5064</v>
      </c>
      <c r="I626" t="s">
        <v>4170</v>
      </c>
      <c r="J626" t="s">
        <v>4399</v>
      </c>
      <c r="K626" t="s">
        <v>4399</v>
      </c>
      <c r="L626" t="s">
        <v>414</v>
      </c>
      <c r="M626" t="s">
        <v>4399</v>
      </c>
      <c r="N626" t="s">
        <v>414</v>
      </c>
      <c r="U626" s="51"/>
    </row>
    <row r="627" spans="1:28" ht="15">
      <c r="A627" s="51" t="s">
        <v>4781</v>
      </c>
      <c r="B627" t="str">
        <f>IF(COUNTIF(HCPs!M:M,HCP_evidence!A614)&gt;0,"Yes","No")</f>
        <v>Yes</v>
      </c>
      <c r="U627" s="51"/>
      <c r="AB627" t="s">
        <v>4784</v>
      </c>
    </row>
    <row r="628" spans="1:28" ht="15">
      <c r="A628" s="51" t="s">
        <v>4060</v>
      </c>
      <c r="B628" t="str">
        <f>IF(COUNTIF(HCPs!M:M,HCP_evidence!A615)&gt;0,"Yes","No")</f>
        <v>Yes</v>
      </c>
      <c r="J628" t="s">
        <v>4399</v>
      </c>
      <c r="K628" t="s">
        <v>4399</v>
      </c>
      <c r="L628" t="s">
        <v>414</v>
      </c>
      <c r="M628" t="s">
        <v>4399</v>
      </c>
      <c r="N628" t="s">
        <v>4399</v>
      </c>
      <c r="O628" t="s">
        <v>5062</v>
      </c>
      <c r="P628" t="s">
        <v>4168</v>
      </c>
      <c r="U628" s="51"/>
    </row>
    <row r="629" spans="1:28" ht="15">
      <c r="A629" s="51" t="s">
        <v>4061</v>
      </c>
      <c r="B629" t="str">
        <f>IF(COUNTIF(HCPs!M:M,HCP_evidence!A616)&gt;0,"Yes","No")</f>
        <v>No</v>
      </c>
      <c r="J629" t="s">
        <v>4399</v>
      </c>
      <c r="K629" t="s">
        <v>4399</v>
      </c>
      <c r="M629" t="s">
        <v>4399</v>
      </c>
      <c r="N629" t="s">
        <v>414</v>
      </c>
      <c r="O629" t="s">
        <v>5034</v>
      </c>
      <c r="P629" t="s">
        <v>4141</v>
      </c>
      <c r="U629" s="51"/>
    </row>
    <row r="630" spans="1:28" ht="15">
      <c r="A630" s="51" t="s">
        <v>4061</v>
      </c>
      <c r="B630" t="str">
        <f>IF(COUNTIF(HCPs!M:M,HCP_evidence!A617)&gt;0,"Yes","No")</f>
        <v>Yes</v>
      </c>
      <c r="J630" t="s">
        <v>4399</v>
      </c>
      <c r="K630" t="s">
        <v>4399</v>
      </c>
      <c r="M630" t="s">
        <v>4399</v>
      </c>
      <c r="N630" t="s">
        <v>414</v>
      </c>
      <c r="O630" t="s">
        <v>5034</v>
      </c>
      <c r="P630" t="s">
        <v>4141</v>
      </c>
      <c r="U630" s="51"/>
    </row>
    <row r="631" spans="1:28" ht="15">
      <c r="A631" s="51" t="s">
        <v>1194</v>
      </c>
      <c r="B631" t="str">
        <f>IF(COUNTIF(HCPs!M:M,HCP_evidence!A618)&gt;0,"Yes","No")</f>
        <v>Yes</v>
      </c>
      <c r="J631" t="s">
        <v>414</v>
      </c>
      <c r="K631" t="s">
        <v>414</v>
      </c>
      <c r="M631" t="s">
        <v>4399</v>
      </c>
      <c r="N631" t="s">
        <v>4399</v>
      </c>
      <c r="O631" t="s">
        <v>5096</v>
      </c>
      <c r="P631" t="s">
        <v>4202</v>
      </c>
      <c r="U631" s="51"/>
    </row>
    <row r="632" spans="1:28" ht="15">
      <c r="A632" s="51" t="s">
        <v>1194</v>
      </c>
      <c r="B632" t="str">
        <f>IF(COUNTIF(HCPs!M:M,HCP_evidence!A619)&gt;0,"Yes","No")</f>
        <v>Yes</v>
      </c>
      <c r="H632" s="80" t="s">
        <v>1192</v>
      </c>
      <c r="I632" t="s">
        <v>1193</v>
      </c>
      <c r="K632" t="s">
        <v>414</v>
      </c>
      <c r="L632" t="s">
        <v>414</v>
      </c>
      <c r="M632" t="s">
        <v>414</v>
      </c>
      <c r="U632" s="51"/>
    </row>
    <row r="633" spans="1:28" ht="15">
      <c r="A633" s="51" t="s">
        <v>1194</v>
      </c>
      <c r="B633" t="str">
        <f>IF(COUNTIF(HCPs!M:M,HCP_evidence!A620)&gt;0,"Yes","No")</f>
        <v>Yes</v>
      </c>
      <c r="D633" t="s">
        <v>4406</v>
      </c>
      <c r="E633" t="s">
        <v>4407</v>
      </c>
      <c r="U633" s="51"/>
    </row>
    <row r="634" spans="1:28" ht="15">
      <c r="A634" s="51" t="s">
        <v>1194</v>
      </c>
      <c r="B634" t="str">
        <f>IF(COUNTIF(HCPs!M:M,HCP_evidence!A621)&gt;0,"Yes","No")</f>
        <v>Yes</v>
      </c>
      <c r="D634" t="s">
        <v>4408</v>
      </c>
      <c r="E634" t="s">
        <v>4409</v>
      </c>
      <c r="U634" s="51"/>
    </row>
    <row r="635" spans="1:28" ht="15">
      <c r="A635" s="51" t="s">
        <v>1194</v>
      </c>
      <c r="B635" t="str">
        <f>IF(COUNTIF(HCPs!M:M,HCP_evidence!A622)&gt;0,"Yes","No")</f>
        <v>Yes</v>
      </c>
      <c r="D635" t="s">
        <v>4410</v>
      </c>
      <c r="E635" t="s">
        <v>4411</v>
      </c>
      <c r="U635" s="51"/>
    </row>
    <row r="636" spans="1:28" ht="15">
      <c r="A636" t="s">
        <v>1194</v>
      </c>
      <c r="B636" t="str">
        <f>IF(COUNTIF(HCPs!M:M,HCP_evidence!A623)&gt;0,"Yes","No")</f>
        <v>Yes</v>
      </c>
      <c r="D636" s="71"/>
      <c r="E636" s="71"/>
      <c r="AB636" t="s">
        <v>4606</v>
      </c>
    </row>
    <row r="637" spans="1:28" ht="15">
      <c r="A637" t="s">
        <v>1194</v>
      </c>
      <c r="B637" t="str">
        <f>IF(COUNTIF(HCPs!M:M,HCP_evidence!A624)&gt;0,"Yes","No")</f>
        <v>Yes</v>
      </c>
      <c r="D637" s="71"/>
      <c r="E637" s="71"/>
      <c r="F637" t="s">
        <v>8137</v>
      </c>
      <c r="G637" t="s">
        <v>8138</v>
      </c>
    </row>
    <row r="638" spans="1:28" ht="15">
      <c r="A638" t="s">
        <v>4062</v>
      </c>
      <c r="B638" t="str">
        <f>IF(COUNTIF(HCPs!M:M,HCP_evidence!A625)&gt;0,"Yes","No")</f>
        <v>Yes</v>
      </c>
      <c r="D638" s="71"/>
      <c r="E638" s="71"/>
      <c r="J638" t="s">
        <v>4399</v>
      </c>
      <c r="K638" t="s">
        <v>414</v>
      </c>
      <c r="M638" t="s">
        <v>4399</v>
      </c>
      <c r="N638" t="s">
        <v>414</v>
      </c>
      <c r="O638" t="s">
        <v>5048</v>
      </c>
      <c r="P638" t="s">
        <v>4155</v>
      </c>
    </row>
    <row r="639" spans="1:28" ht="15">
      <c r="A639" t="s">
        <v>4062</v>
      </c>
      <c r="B639" t="str">
        <f>IF(COUNTIF(HCPs!M:M,HCP_evidence!A626)&gt;0,"Yes","No")</f>
        <v>Yes</v>
      </c>
      <c r="D639" s="71"/>
      <c r="E639" s="71"/>
      <c r="J639" t="s">
        <v>4399</v>
      </c>
      <c r="K639" t="s">
        <v>414</v>
      </c>
      <c r="M639" t="s">
        <v>4399</v>
      </c>
      <c r="N639" t="s">
        <v>414</v>
      </c>
      <c r="O639" t="s">
        <v>5048</v>
      </c>
      <c r="P639" t="s">
        <v>4155</v>
      </c>
    </row>
    <row r="640" spans="1:28" ht="15">
      <c r="A640" t="s">
        <v>4435</v>
      </c>
      <c r="B640" t="str">
        <f>IF(COUNTIF(HCPs!M:M,HCP_evidence!A627)&gt;0,"Yes","No")</f>
        <v>Yes</v>
      </c>
      <c r="D640" s="71"/>
      <c r="E640" s="71"/>
      <c r="AB640" t="s">
        <v>7881</v>
      </c>
    </row>
    <row r="641" spans="1:31" ht="15">
      <c r="A641" s="13" t="s">
        <v>4063</v>
      </c>
      <c r="B641" t="str">
        <f>IF(COUNTIF(HCPs!M:M,HCP_evidence!A628)&gt;0,"Yes","No")</f>
        <v>Yes</v>
      </c>
      <c r="D641" s="71"/>
      <c r="E641" s="71"/>
      <c r="J641" t="s">
        <v>4399</v>
      </c>
      <c r="K641" t="s">
        <v>4399</v>
      </c>
      <c r="M641" t="s">
        <v>4399</v>
      </c>
      <c r="N641" t="s">
        <v>4399</v>
      </c>
      <c r="O641" s="13" t="s">
        <v>5068</v>
      </c>
      <c r="P641" t="s">
        <v>4174</v>
      </c>
    </row>
    <row r="642" spans="1:31" ht="15">
      <c r="A642" t="s">
        <v>449</v>
      </c>
      <c r="B642" t="str">
        <f>IF(COUNTIF(HCPs!M:M,HCP_evidence!A629)&gt;0,"Yes","No")</f>
        <v>Yes</v>
      </c>
      <c r="D642" s="71"/>
      <c r="E642" s="71"/>
      <c r="AE642" t="s">
        <v>503</v>
      </c>
    </row>
    <row r="643" spans="1:31" ht="15">
      <c r="A643" t="s">
        <v>4064</v>
      </c>
      <c r="B643" t="str">
        <f>IF(COUNTIF(HCPs!M:M,HCP_evidence!A630)&gt;0,"Yes","No")</f>
        <v>Yes</v>
      </c>
      <c r="D643" s="71"/>
      <c r="E643" s="71"/>
      <c r="J643" t="s">
        <v>4399</v>
      </c>
      <c r="K643" t="s">
        <v>4399</v>
      </c>
      <c r="M643" t="s">
        <v>4399</v>
      </c>
      <c r="N643" t="s">
        <v>4399</v>
      </c>
      <c r="O643" t="s">
        <v>5063</v>
      </c>
      <c r="P643" t="s">
        <v>4169</v>
      </c>
    </row>
    <row r="644" spans="1:31" ht="15">
      <c r="A644" t="s">
        <v>4065</v>
      </c>
      <c r="B644" t="str">
        <f>IF(COUNTIF(HCPs!M:M,HCP_evidence!A631)&gt;0,"Yes","No")</f>
        <v>Yes</v>
      </c>
      <c r="J644" t="s">
        <v>4399</v>
      </c>
      <c r="K644" t="s">
        <v>4399</v>
      </c>
      <c r="M644" t="s">
        <v>4399</v>
      </c>
      <c r="N644" t="s">
        <v>414</v>
      </c>
      <c r="O644" t="s">
        <v>5034</v>
      </c>
      <c r="P644" t="s">
        <v>4141</v>
      </c>
    </row>
    <row r="645" spans="1:31" ht="15">
      <c r="A645" t="s">
        <v>474</v>
      </c>
      <c r="B645" t="str">
        <f>IF(COUNTIF(HCPs!M:M,HCP_evidence!A632)&gt;0,"Yes","No")</f>
        <v>Yes</v>
      </c>
      <c r="D645" s="71"/>
      <c r="E645" s="71"/>
      <c r="AE645" t="s">
        <v>503</v>
      </c>
    </row>
    <row r="646" spans="1:31" ht="15">
      <c r="A646" t="s">
        <v>474</v>
      </c>
      <c r="B646" t="str">
        <f>IF(COUNTIF(HCPs!M:M,HCP_evidence!A633)&gt;0,"Yes","No")</f>
        <v>Yes</v>
      </c>
      <c r="D646" s="71"/>
      <c r="E646" s="71"/>
      <c r="AB646" t="s">
        <v>4943</v>
      </c>
    </row>
    <row r="647" spans="1:31" ht="15">
      <c r="A647" s="13" t="s">
        <v>425</v>
      </c>
      <c r="B647" t="str">
        <f>IF(COUNTIF(HCPs!M:M,HCP_evidence!A634)&gt;0,"Yes","No")</f>
        <v>Yes</v>
      </c>
      <c r="H647" s="13" t="s">
        <v>5053</v>
      </c>
      <c r="I647" t="s">
        <v>4160</v>
      </c>
      <c r="J647" t="s">
        <v>4399</v>
      </c>
      <c r="K647" t="s">
        <v>4399</v>
      </c>
      <c r="L647" t="s">
        <v>414</v>
      </c>
      <c r="M647" t="s">
        <v>4399</v>
      </c>
      <c r="N647" t="s">
        <v>4399</v>
      </c>
    </row>
    <row r="648" spans="1:31" ht="15">
      <c r="A648" s="13" t="s">
        <v>425</v>
      </c>
      <c r="B648" t="str">
        <f>IF(COUNTIF(HCPs!M:M,HCP_evidence!A635)&gt;0,"Yes","No")</f>
        <v>Yes</v>
      </c>
      <c r="H648" s="13" t="s">
        <v>801</v>
      </c>
      <c r="I648" t="s">
        <v>1170</v>
      </c>
      <c r="L648" t="s">
        <v>414</v>
      </c>
    </row>
    <row r="649" spans="1:31" ht="15">
      <c r="A649" s="13" t="s">
        <v>425</v>
      </c>
      <c r="B649" t="str">
        <f>IF(COUNTIF(HCPs!M:M,HCP_evidence!A636)&gt;0,"Yes","No")</f>
        <v>Yes</v>
      </c>
      <c r="AE649" t="s">
        <v>503</v>
      </c>
    </row>
    <row r="650" spans="1:31" ht="15">
      <c r="A650" t="s">
        <v>4067</v>
      </c>
      <c r="B650" t="str">
        <f>IF(COUNTIF(HCPs!M:M,HCP_evidence!A637)&gt;0,"Yes","No")</f>
        <v>Yes</v>
      </c>
      <c r="J650" t="s">
        <v>4399</v>
      </c>
      <c r="K650" t="s">
        <v>4399</v>
      </c>
      <c r="M650" t="s">
        <v>4399</v>
      </c>
      <c r="N650" t="s">
        <v>414</v>
      </c>
      <c r="O650" t="s">
        <v>5034</v>
      </c>
      <c r="P650" t="s">
        <v>4141</v>
      </c>
    </row>
    <row r="651" spans="1:31" ht="15">
      <c r="A651" t="s">
        <v>4068</v>
      </c>
      <c r="B651" t="str">
        <f>IF(COUNTIF(HCPs!M:M,HCP_evidence!A638)&gt;0,"Yes","No")</f>
        <v>Yes</v>
      </c>
      <c r="J651" t="s">
        <v>4399</v>
      </c>
      <c r="K651" t="s">
        <v>4399</v>
      </c>
      <c r="M651" t="s">
        <v>4399</v>
      </c>
      <c r="N651" t="s">
        <v>414</v>
      </c>
      <c r="O651" t="s">
        <v>5034</v>
      </c>
      <c r="P651" t="s">
        <v>4141</v>
      </c>
    </row>
    <row r="652" spans="1:31" ht="15">
      <c r="A652" t="s">
        <v>448</v>
      </c>
      <c r="B652" t="str">
        <f>IF(COUNTIF(HCPs!M:M,HCP_evidence!A639)&gt;0,"Yes","No")</f>
        <v>Yes</v>
      </c>
      <c r="AE652" t="s">
        <v>503</v>
      </c>
    </row>
    <row r="653" spans="1:31" ht="15">
      <c r="A653" t="s">
        <v>1157</v>
      </c>
      <c r="B653" t="str">
        <f>IF(COUNTIF(HCPs!M:M,HCP_evidence!A640)&gt;0,"Yes","No")</f>
        <v>Yes</v>
      </c>
      <c r="H653" s="75" t="s">
        <v>990</v>
      </c>
      <c r="I653" t="s">
        <v>1170</v>
      </c>
      <c r="K653" t="s">
        <v>414</v>
      </c>
    </row>
    <row r="654" spans="1:31" ht="15">
      <c r="A654" t="s">
        <v>4069</v>
      </c>
      <c r="B654" t="str">
        <f>IF(COUNTIF(HCPs!M:M,HCP_evidence!A641)&gt;0,"Yes","No")</f>
        <v>Yes</v>
      </c>
      <c r="J654" t="s">
        <v>4399</v>
      </c>
      <c r="K654" t="s">
        <v>4399</v>
      </c>
      <c r="M654" t="s">
        <v>4399</v>
      </c>
      <c r="N654" t="s">
        <v>4399</v>
      </c>
      <c r="O654" t="s">
        <v>5082</v>
      </c>
      <c r="P654" t="s">
        <v>4188</v>
      </c>
    </row>
    <row r="655" spans="1:31" ht="15">
      <c r="A655" s="13" t="s">
        <v>428</v>
      </c>
      <c r="B655" t="str">
        <f>IF(COUNTIF(HCPs!M:M,HCP_evidence!A642)&gt;0,"Yes","No")</f>
        <v>Yes</v>
      </c>
      <c r="H655" s="13" t="s">
        <v>5053</v>
      </c>
      <c r="I655" t="s">
        <v>4160</v>
      </c>
      <c r="J655" t="s">
        <v>4399</v>
      </c>
      <c r="K655" t="s">
        <v>4399</v>
      </c>
      <c r="L655" t="s">
        <v>414</v>
      </c>
      <c r="M655" t="s">
        <v>4399</v>
      </c>
      <c r="N655" t="s">
        <v>4399</v>
      </c>
    </row>
    <row r="656" spans="1:31" ht="15">
      <c r="A656" s="13" t="s">
        <v>428</v>
      </c>
      <c r="B656" t="str">
        <f>IF(COUNTIF(HCPs!M:M,HCP_evidence!A643)&gt;0,"Yes","No")</f>
        <v>Yes</v>
      </c>
      <c r="H656" s="13" t="s">
        <v>5054</v>
      </c>
      <c r="I656" t="s">
        <v>4138</v>
      </c>
      <c r="J656" t="s">
        <v>4399</v>
      </c>
      <c r="K656" t="s">
        <v>4399</v>
      </c>
      <c r="M656" t="s">
        <v>4399</v>
      </c>
      <c r="N656" t="s">
        <v>4399</v>
      </c>
    </row>
    <row r="657" spans="1:31" ht="15">
      <c r="A657" t="s">
        <v>428</v>
      </c>
      <c r="B657" t="str">
        <f>IF(COUNTIF(HCPs!M:M,HCP_evidence!A644)&gt;0,"Yes","No")</f>
        <v>Yes</v>
      </c>
      <c r="AE657" t="s">
        <v>503</v>
      </c>
    </row>
    <row r="658" spans="1:31" ht="15">
      <c r="A658" t="s">
        <v>428</v>
      </c>
      <c r="B658" t="str">
        <f>IF(COUNTIF(HCPs!M:M,HCP_evidence!A645)&gt;0,"Yes","No")</f>
        <v>Yes</v>
      </c>
      <c r="F658" t="s">
        <v>8136</v>
      </c>
      <c r="G658" t="s">
        <v>7926</v>
      </c>
    </row>
    <row r="659" spans="1:31" ht="15">
      <c r="A659" t="s">
        <v>428</v>
      </c>
      <c r="B659" t="str">
        <f>IF(COUNTIF(HCPs!M:M,HCP_evidence!A646)&gt;0,"Yes","No")</f>
        <v>Yes</v>
      </c>
      <c r="AB659" s="9" t="s">
        <v>8301</v>
      </c>
    </row>
    <row r="660" spans="1:31" ht="15">
      <c r="A660" s="13" t="s">
        <v>455</v>
      </c>
      <c r="B660" t="str">
        <f>IF(COUNTIF(HCPs!M:M,HCP_evidence!A647)&gt;0,"Yes","No")</f>
        <v>Yes</v>
      </c>
      <c r="H660" s="13" t="s">
        <v>5053</v>
      </c>
      <c r="I660" s="9" t="s">
        <v>4160</v>
      </c>
      <c r="J660" t="s">
        <v>4399</v>
      </c>
      <c r="K660" t="s">
        <v>4399</v>
      </c>
      <c r="L660" t="s">
        <v>414</v>
      </c>
      <c r="M660" t="s">
        <v>4399</v>
      </c>
      <c r="N660" t="s">
        <v>4399</v>
      </c>
    </row>
    <row r="661" spans="1:31" ht="15">
      <c r="A661" s="13" t="s">
        <v>455</v>
      </c>
      <c r="B661" t="str">
        <f>IF(COUNTIF(HCPs!M:M,HCP_evidence!A648)&gt;0,"Yes","No")</f>
        <v>Yes</v>
      </c>
      <c r="AE661" t="s">
        <v>503</v>
      </c>
    </row>
    <row r="662" spans="1:31" ht="15">
      <c r="A662" t="s">
        <v>4070</v>
      </c>
      <c r="B662" t="str">
        <f>IF(COUNTIF(HCPs!M:M,HCP_evidence!A649)&gt;0,"Yes","No")</f>
        <v>Yes</v>
      </c>
      <c r="O662" t="s">
        <v>5045</v>
      </c>
      <c r="P662" t="s">
        <v>4152</v>
      </c>
      <c r="Q662" t="s">
        <v>4399</v>
      </c>
      <c r="R662" t="s">
        <v>4399</v>
      </c>
      <c r="T662" t="s">
        <v>4399</v>
      </c>
      <c r="U662" t="s">
        <v>414</v>
      </c>
    </row>
    <row r="663" spans="1:31" ht="12" customHeight="1">
      <c r="A663" t="s">
        <v>4070</v>
      </c>
      <c r="B663" t="str">
        <f>IF(COUNTIF(HCPs!M:M,HCP_evidence!A650)&gt;0,"Yes","No")</f>
        <v>Yes</v>
      </c>
      <c r="J663" t="s">
        <v>4399</v>
      </c>
      <c r="K663" t="s">
        <v>414</v>
      </c>
      <c r="M663" t="s">
        <v>4399</v>
      </c>
      <c r="N663" t="s">
        <v>414</v>
      </c>
      <c r="O663" t="s">
        <v>5048</v>
      </c>
      <c r="P663" t="s">
        <v>4155</v>
      </c>
    </row>
    <row r="664" spans="1:31" ht="15">
      <c r="A664" t="s">
        <v>4070</v>
      </c>
      <c r="B664" t="str">
        <f>IF(COUNTIF(HCPs!M:M,HCP_evidence!A651)&gt;0,"Yes","No")</f>
        <v>Yes</v>
      </c>
      <c r="J664" t="s">
        <v>4399</v>
      </c>
      <c r="K664" t="s">
        <v>414</v>
      </c>
      <c r="M664" t="s">
        <v>4399</v>
      </c>
      <c r="N664" t="s">
        <v>414</v>
      </c>
      <c r="O664" t="s">
        <v>5048</v>
      </c>
      <c r="P664" t="s">
        <v>4155</v>
      </c>
    </row>
    <row r="665" spans="1:31" ht="15">
      <c r="A665" s="74" t="s">
        <v>4071</v>
      </c>
      <c r="B665" t="str">
        <f>IF(COUNTIF(HCPs!M:M,HCP_evidence!A652)&gt;0,"Yes","No")</f>
        <v>Yes</v>
      </c>
      <c r="H665" s="74" t="s">
        <v>5030</v>
      </c>
      <c r="I665" t="s">
        <v>4136</v>
      </c>
      <c r="J665" t="s">
        <v>4399</v>
      </c>
      <c r="K665" t="s">
        <v>4399</v>
      </c>
      <c r="L665" t="s">
        <v>414</v>
      </c>
      <c r="M665" t="s">
        <v>4399</v>
      </c>
      <c r="N665" t="s">
        <v>414</v>
      </c>
    </row>
    <row r="666" spans="1:31" ht="15">
      <c r="A666" t="s">
        <v>1106</v>
      </c>
      <c r="B666" t="str">
        <f>IF(COUNTIF(HCPs!M:M,HCP_evidence!A653)&gt;0,"Yes","No")</f>
        <v>Yes</v>
      </c>
      <c r="H666" s="13" t="s">
        <v>5042</v>
      </c>
      <c r="I666" t="s">
        <v>4149</v>
      </c>
      <c r="J666" t="s">
        <v>4399</v>
      </c>
      <c r="K666" t="s">
        <v>4399</v>
      </c>
      <c r="L666" t="s">
        <v>414</v>
      </c>
      <c r="M666" t="s">
        <v>4399</v>
      </c>
      <c r="N666" t="s">
        <v>414</v>
      </c>
    </row>
    <row r="667" spans="1:31" ht="15">
      <c r="A667" t="s">
        <v>1106</v>
      </c>
      <c r="B667" t="str">
        <f>IF(COUNTIF(HCPs!M:M,HCP_evidence!A654)&gt;0,"Yes","No")</f>
        <v>Yes</v>
      </c>
      <c r="H667" s="74" t="s">
        <v>801</v>
      </c>
      <c r="I667" t="s">
        <v>1170</v>
      </c>
      <c r="L667" t="s">
        <v>414</v>
      </c>
    </row>
    <row r="668" spans="1:31" ht="15">
      <c r="A668" s="13" t="s">
        <v>1106</v>
      </c>
      <c r="B668" t="str">
        <f>IF(COUNTIF(HCPs!M:M,HCP_evidence!A655)&gt;0,"Yes","No")</f>
        <v>Yes</v>
      </c>
      <c r="H668" s="74" t="s">
        <v>5086</v>
      </c>
      <c r="I668" t="s">
        <v>4192</v>
      </c>
      <c r="J668" t="s">
        <v>4399</v>
      </c>
      <c r="K668" t="s">
        <v>4399</v>
      </c>
      <c r="M668" t="s">
        <v>4399</v>
      </c>
      <c r="N668" t="s">
        <v>414</v>
      </c>
    </row>
    <row r="669" spans="1:31">
      <c r="A669" t="s">
        <v>1106</v>
      </c>
      <c r="B669" t="str">
        <f>IF(COUNTIF(HCPs!M:M,HCP_evidence!A656)&gt;0,"Yes","No")</f>
        <v>Yes</v>
      </c>
      <c r="Z669" t="s">
        <v>5144</v>
      </c>
      <c r="AA669" t="s">
        <v>5147</v>
      </c>
    </row>
    <row r="670" spans="1:31" ht="15">
      <c r="A670" t="s">
        <v>1106</v>
      </c>
      <c r="B670" t="str">
        <f>IF(COUNTIF(HCPs!M:M,HCP_evidence!A657)&gt;0,"Yes","No")</f>
        <v>Yes</v>
      </c>
      <c r="D670" t="s">
        <v>8137</v>
      </c>
      <c r="E670" t="s">
        <v>8138</v>
      </c>
    </row>
    <row r="671" spans="1:31" ht="15">
      <c r="A671" t="s">
        <v>1106</v>
      </c>
      <c r="B671" t="str">
        <f>IF(COUNTIF(HCPs!M:M,HCP_evidence!A658)&gt;0,"Yes","No")</f>
        <v>Yes</v>
      </c>
      <c r="D671" t="s">
        <v>8173</v>
      </c>
      <c r="E671" t="s">
        <v>8174</v>
      </c>
    </row>
    <row r="672" spans="1:31" ht="15">
      <c r="A672" t="s">
        <v>4072</v>
      </c>
      <c r="B672" t="str">
        <f>IF(COUNTIF(HCPs!M:M,HCP_evidence!A659)&gt;0,"Yes","No")</f>
        <v>Yes</v>
      </c>
      <c r="J672" t="s">
        <v>4399</v>
      </c>
      <c r="K672" t="s">
        <v>4399</v>
      </c>
      <c r="M672" t="s">
        <v>4399</v>
      </c>
      <c r="N672" t="s">
        <v>414</v>
      </c>
      <c r="O672" t="s">
        <v>5034</v>
      </c>
      <c r="P672" t="s">
        <v>4141</v>
      </c>
    </row>
    <row r="673" spans="1:28" ht="15">
      <c r="A673" t="s">
        <v>4073</v>
      </c>
      <c r="B673" t="str">
        <f>IF(COUNTIF(HCPs!M:M,HCP_evidence!A660)&gt;0,"Yes","No")</f>
        <v>Yes</v>
      </c>
      <c r="J673" t="s">
        <v>4399</v>
      </c>
      <c r="K673" t="s">
        <v>4399</v>
      </c>
      <c r="M673" t="s">
        <v>4399</v>
      </c>
      <c r="N673" t="s">
        <v>4399</v>
      </c>
      <c r="O673" t="s">
        <v>5058</v>
      </c>
      <c r="P673" t="s">
        <v>4164</v>
      </c>
    </row>
    <row r="674" spans="1:28" ht="15">
      <c r="A674" t="s">
        <v>4073</v>
      </c>
      <c r="B674" t="str">
        <f>IF(COUNTIF(HCPs!M:M,HCP_evidence!A661)&gt;0,"Yes","No")</f>
        <v>Yes</v>
      </c>
      <c r="J674" t="s">
        <v>4399</v>
      </c>
      <c r="K674" t="s">
        <v>4399</v>
      </c>
      <c r="L674" t="s">
        <v>414</v>
      </c>
      <c r="M674" t="s">
        <v>4399</v>
      </c>
      <c r="N674" t="s">
        <v>414</v>
      </c>
      <c r="O674" t="s">
        <v>5040</v>
      </c>
      <c r="P674" t="s">
        <v>4147</v>
      </c>
    </row>
    <row r="675" spans="1:28" ht="15">
      <c r="A675" t="s">
        <v>7940</v>
      </c>
      <c r="B675" t="str">
        <f>IF(COUNTIF(HCPs!M:M,HCP_evidence!A662)&gt;0,"Yes","No")</f>
        <v>Yes</v>
      </c>
      <c r="F675" t="s">
        <v>8136</v>
      </c>
      <c r="G675" t="s">
        <v>7926</v>
      </c>
    </row>
    <row r="676" spans="1:28" ht="15">
      <c r="A676" s="13" t="s">
        <v>4074</v>
      </c>
      <c r="B676" t="str">
        <f>IF(COUNTIF(HCPs!M:M,HCP_evidence!A664)&gt;0,"Yes","No")</f>
        <v>Yes</v>
      </c>
      <c r="H676" s="13" t="s">
        <v>5042</v>
      </c>
      <c r="I676" t="s">
        <v>4149</v>
      </c>
      <c r="J676" t="s">
        <v>4399</v>
      </c>
      <c r="K676" t="s">
        <v>4399</v>
      </c>
      <c r="L676" t="s">
        <v>414</v>
      </c>
      <c r="M676" t="s">
        <v>4399</v>
      </c>
      <c r="N676" t="s">
        <v>414</v>
      </c>
    </row>
    <row r="677" spans="1:28" ht="15">
      <c r="A677" t="s">
        <v>4074</v>
      </c>
      <c r="B677" t="str">
        <f>IF(COUNTIF(HCPs!M:M,HCP_evidence!A667)&gt;0,"Yes","No")</f>
        <v>Yes</v>
      </c>
      <c r="F677" t="s">
        <v>8137</v>
      </c>
      <c r="G677" t="s">
        <v>8138</v>
      </c>
    </row>
    <row r="678" spans="1:28" ht="15">
      <c r="A678" t="s">
        <v>4074</v>
      </c>
      <c r="B678" t="str">
        <f>IF(COUNTIF(HCPs!M:M,HCP_evidence!A668)&gt;0,"Yes","No")</f>
        <v>Yes</v>
      </c>
      <c r="D678" t="s">
        <v>8173</v>
      </c>
      <c r="E678" t="s">
        <v>8174</v>
      </c>
    </row>
    <row r="679" spans="1:28">
      <c r="A679" t="s">
        <v>4074</v>
      </c>
      <c r="B679" t="str">
        <f>IF(COUNTIF(HCPs!M:M,HCP_evidence!A669)&gt;0,"Yes","No")</f>
        <v>Yes</v>
      </c>
      <c r="Z679" t="s">
        <v>8179</v>
      </c>
      <c r="AA679" t="s">
        <v>8178</v>
      </c>
    </row>
    <row r="680" spans="1:28" ht="15">
      <c r="A680" s="96" t="s">
        <v>1104</v>
      </c>
      <c r="B680" t="str">
        <f>IF(COUNTIF(HCPs!M:M,HCP_evidence!A663)&gt;0,"Yes","No")</f>
        <v>Yes</v>
      </c>
      <c r="H680" s="74" t="s">
        <v>5064</v>
      </c>
      <c r="I680" t="s">
        <v>4170</v>
      </c>
      <c r="J680" t="s">
        <v>4399</v>
      </c>
      <c r="K680" t="s">
        <v>4399</v>
      </c>
      <c r="L680" t="s">
        <v>414</v>
      </c>
      <c r="M680" t="s">
        <v>4399</v>
      </c>
      <c r="N680" t="s">
        <v>414</v>
      </c>
      <c r="U680" s="51"/>
    </row>
    <row r="681" spans="1:28" ht="15">
      <c r="A681" s="13" t="s">
        <v>1104</v>
      </c>
      <c r="B681" t="str">
        <f>IF(COUNTIF(HCPs!M:M,HCP_evidence!A665)&gt;0,"Yes","No")</f>
        <v>Yes</v>
      </c>
      <c r="H681" s="13" t="s">
        <v>5046</v>
      </c>
      <c r="I681" t="s">
        <v>4153</v>
      </c>
      <c r="J681" t="s">
        <v>4399</v>
      </c>
      <c r="K681" t="s">
        <v>4399</v>
      </c>
      <c r="L681" t="s">
        <v>414</v>
      </c>
      <c r="M681" t="s">
        <v>4399</v>
      </c>
      <c r="N681" t="s">
        <v>4399</v>
      </c>
    </row>
    <row r="682" spans="1:28" ht="15">
      <c r="A682" s="13" t="s">
        <v>1104</v>
      </c>
      <c r="B682" t="str">
        <f>IF(COUNTIF(HCPs!M:M,HCP_evidence!A666)&gt;0,"Yes","No")</f>
        <v>Yes</v>
      </c>
      <c r="H682" s="75" t="s">
        <v>801</v>
      </c>
      <c r="I682" t="s">
        <v>1170</v>
      </c>
      <c r="L682" t="s">
        <v>414</v>
      </c>
    </row>
    <row r="683" spans="1:28" ht="15">
      <c r="A683" t="s">
        <v>1144</v>
      </c>
      <c r="B683" t="str">
        <f>IF(COUNTIF(HCPs!M:M,HCP_evidence!A670)&gt;0,"Yes","No")</f>
        <v>Yes</v>
      </c>
      <c r="H683" s="75" t="s">
        <v>892</v>
      </c>
      <c r="I683" t="s">
        <v>1170</v>
      </c>
      <c r="K683" t="s">
        <v>414</v>
      </c>
    </row>
    <row r="684" spans="1:28" ht="15">
      <c r="A684" t="s">
        <v>4355</v>
      </c>
      <c r="B684" t="str">
        <f>IF(COUNTIF(HCPs!M:M,HCP_evidence!A671)&gt;0,"Yes","No")</f>
        <v>Yes</v>
      </c>
      <c r="AB684" t="s">
        <v>5165</v>
      </c>
    </row>
    <row r="685" spans="1:28" ht="15">
      <c r="A685" t="s">
        <v>4075</v>
      </c>
      <c r="B685" t="str">
        <f>IF(COUNTIF(HCPs!M:M,HCP_evidence!A672)&gt;0,"Yes","No")</f>
        <v>Yes</v>
      </c>
      <c r="J685" t="s">
        <v>4399</v>
      </c>
      <c r="K685" t="s">
        <v>4399</v>
      </c>
      <c r="M685" t="s">
        <v>4399</v>
      </c>
      <c r="N685" t="s">
        <v>4399</v>
      </c>
      <c r="O685" t="s">
        <v>5058</v>
      </c>
      <c r="P685" t="s">
        <v>4164</v>
      </c>
    </row>
    <row r="686" spans="1:28" ht="15">
      <c r="A686" t="s">
        <v>4075</v>
      </c>
      <c r="B686" t="str">
        <f>IF(COUNTIF(HCPs!M:M,HCP_evidence!A673)&gt;0,"Yes","No")</f>
        <v>Yes</v>
      </c>
      <c r="J686" t="s">
        <v>4399</v>
      </c>
      <c r="K686" t="s">
        <v>4399</v>
      </c>
      <c r="M686" t="s">
        <v>4399</v>
      </c>
      <c r="N686" t="s">
        <v>414</v>
      </c>
      <c r="O686" t="s">
        <v>5034</v>
      </c>
      <c r="P686" t="s">
        <v>4141</v>
      </c>
    </row>
    <row r="687" spans="1:28" ht="15">
      <c r="A687" t="s">
        <v>4075</v>
      </c>
      <c r="B687" t="str">
        <f>IF(COUNTIF(HCPs!M:M,HCP_evidence!A674)&gt;0,"Yes","No")</f>
        <v>Yes</v>
      </c>
      <c r="J687" t="s">
        <v>4399</v>
      </c>
      <c r="K687" t="s">
        <v>4399</v>
      </c>
      <c r="M687" t="s">
        <v>4399</v>
      </c>
      <c r="N687" t="s">
        <v>414</v>
      </c>
      <c r="O687" t="s">
        <v>5034</v>
      </c>
      <c r="P687" t="s">
        <v>4141</v>
      </c>
    </row>
    <row r="688" spans="1:28" ht="15">
      <c r="A688" t="s">
        <v>1156</v>
      </c>
      <c r="B688" t="str">
        <f>IF(COUNTIF(HCPs!M:M,HCP_evidence!A675)&gt;0,"Yes","No")</f>
        <v>Yes</v>
      </c>
      <c r="H688" s="75" t="s">
        <v>990</v>
      </c>
      <c r="I688" t="s">
        <v>1170</v>
      </c>
      <c r="K688" t="s">
        <v>414</v>
      </c>
    </row>
    <row r="689" spans="1:31" ht="15">
      <c r="A689" t="s">
        <v>4076</v>
      </c>
      <c r="B689" t="str">
        <f>IF(COUNTIF(HCPs!M:M,HCP_evidence!A676)&gt;0,"Yes","No")</f>
        <v>No</v>
      </c>
      <c r="J689" t="s">
        <v>4399</v>
      </c>
      <c r="K689" t="s">
        <v>4399</v>
      </c>
      <c r="M689" t="s">
        <v>4399</v>
      </c>
      <c r="N689" t="s">
        <v>4399</v>
      </c>
      <c r="O689" t="s">
        <v>5063</v>
      </c>
      <c r="P689" t="s">
        <v>4169</v>
      </c>
    </row>
    <row r="690" spans="1:31" ht="15">
      <c r="A690" t="s">
        <v>4330</v>
      </c>
      <c r="B690" t="str">
        <f>IF(COUNTIF(HCPs!M:M,HCP_evidence!A677)&gt;0,"Yes","No")</f>
        <v>No</v>
      </c>
      <c r="AB690" t="s">
        <v>4798</v>
      </c>
    </row>
    <row r="691" spans="1:31" ht="15">
      <c r="A691" t="s">
        <v>8073</v>
      </c>
      <c r="B691" t="str">
        <f>IF(COUNTIF(HCPs!M:M,HCP_evidence!A678)&gt;0,"Yes","No")</f>
        <v>No</v>
      </c>
      <c r="AB691" t="s">
        <v>8074</v>
      </c>
    </row>
    <row r="692" spans="1:31" ht="15">
      <c r="A692" t="s">
        <v>4313</v>
      </c>
      <c r="B692" t="str">
        <f>IF(COUNTIF(HCPs!M:M,HCP_evidence!A679)&gt;0,"Yes","No")</f>
        <v>No</v>
      </c>
      <c r="AB692" t="s">
        <v>4638</v>
      </c>
    </row>
    <row r="693" spans="1:31">
      <c r="A693" t="s">
        <v>4313</v>
      </c>
      <c r="B693" t="str">
        <f>IF(COUNTIF(HCPs!M:M,HCP_evidence!A680)&gt;0,"Yes","No")</f>
        <v>Yes</v>
      </c>
      <c r="Z693" t="s">
        <v>8117</v>
      </c>
      <c r="AA693" t="s">
        <v>8111</v>
      </c>
    </row>
    <row r="694" spans="1:31">
      <c r="A694" t="s">
        <v>4313</v>
      </c>
      <c r="B694" t="str">
        <f>IF(COUNTIF(HCPs!M:M,HCP_evidence!A681)&gt;0,"Yes","No")</f>
        <v>Yes</v>
      </c>
      <c r="Z694" t="s">
        <v>8126</v>
      </c>
      <c r="AA694" t="s">
        <v>8111</v>
      </c>
    </row>
    <row r="695" spans="1:31" ht="15">
      <c r="A695" s="13" t="s">
        <v>445</v>
      </c>
      <c r="B695" t="str">
        <f>IF(COUNTIF(HCPs!M:M,HCP_evidence!A682)&gt;0,"Yes","No")</f>
        <v>Yes</v>
      </c>
      <c r="H695" s="13" t="s">
        <v>990</v>
      </c>
      <c r="I695" t="s">
        <v>1170</v>
      </c>
      <c r="K695" t="s">
        <v>414</v>
      </c>
    </row>
    <row r="696" spans="1:31" ht="15">
      <c r="A696" s="13" t="s">
        <v>445</v>
      </c>
      <c r="B696" t="str">
        <f>IF(COUNTIF(HCPs!M:M,HCP_evidence!A683)&gt;0,"Yes","No")</f>
        <v>Yes</v>
      </c>
      <c r="H696" s="13" t="s">
        <v>5053</v>
      </c>
      <c r="I696" t="s">
        <v>4160</v>
      </c>
      <c r="J696" t="s">
        <v>4399</v>
      </c>
      <c r="K696" t="s">
        <v>4399</v>
      </c>
      <c r="L696" t="s">
        <v>414</v>
      </c>
      <c r="M696" t="s">
        <v>4399</v>
      </c>
      <c r="N696" t="s">
        <v>4399</v>
      </c>
    </row>
    <row r="697" spans="1:31" ht="15">
      <c r="A697" s="13" t="s">
        <v>445</v>
      </c>
      <c r="B697" t="str">
        <f>IF(COUNTIF(HCPs!M:M,HCP_evidence!A684)&gt;0,"Yes","No")</f>
        <v>Yes</v>
      </c>
      <c r="AE697" t="s">
        <v>503</v>
      </c>
    </row>
    <row r="698" spans="1:31" ht="15">
      <c r="A698" s="13" t="s">
        <v>445</v>
      </c>
      <c r="B698" t="str">
        <f>IF(COUNTIF(HCPs!M:M,HCP_evidence!A685)&gt;0,"Yes","No")</f>
        <v>Yes</v>
      </c>
      <c r="F698" t="s">
        <v>8136</v>
      </c>
      <c r="G698" t="s">
        <v>7926</v>
      </c>
    </row>
    <row r="699" spans="1:31" ht="15">
      <c r="A699" t="s">
        <v>4077</v>
      </c>
      <c r="B699" t="str">
        <f>IF(COUNTIF(HCPs!M:M,HCP_evidence!A686)&gt;0,"Yes","No")</f>
        <v>Yes</v>
      </c>
      <c r="J699" t="s">
        <v>4399</v>
      </c>
      <c r="K699" t="s">
        <v>414</v>
      </c>
      <c r="M699" t="s">
        <v>4399</v>
      </c>
      <c r="N699" t="s">
        <v>414</v>
      </c>
      <c r="O699" t="s">
        <v>5048</v>
      </c>
      <c r="P699" t="s">
        <v>4155</v>
      </c>
    </row>
    <row r="700" spans="1:31" ht="15">
      <c r="A700" t="s">
        <v>4077</v>
      </c>
      <c r="B700" t="str">
        <f>IF(COUNTIF(HCPs!M:M,HCP_evidence!A687)&gt;0,"Yes","No")</f>
        <v>Yes</v>
      </c>
      <c r="J700" t="s">
        <v>4399</v>
      </c>
      <c r="K700" t="s">
        <v>414</v>
      </c>
      <c r="M700" t="s">
        <v>4399</v>
      </c>
      <c r="N700" t="s">
        <v>414</v>
      </c>
      <c r="O700" t="s">
        <v>5048</v>
      </c>
      <c r="P700" t="s">
        <v>4155</v>
      </c>
    </row>
    <row r="701" spans="1:31" ht="15">
      <c r="A701" s="74" t="s">
        <v>491</v>
      </c>
      <c r="B701" t="str">
        <f>IF(COUNTIF(HCPs!M:M,HCP_evidence!A688)&gt;0,"Yes","No")</f>
        <v>Yes</v>
      </c>
      <c r="H701" s="74" t="s">
        <v>5064</v>
      </c>
      <c r="I701" t="s">
        <v>4170</v>
      </c>
      <c r="J701" t="s">
        <v>4399</v>
      </c>
      <c r="K701" t="s">
        <v>4399</v>
      </c>
      <c r="L701" t="s">
        <v>414</v>
      </c>
      <c r="M701" t="s">
        <v>4399</v>
      </c>
      <c r="N701" t="s">
        <v>414</v>
      </c>
    </row>
    <row r="702" spans="1:31" ht="15">
      <c r="A702" s="74" t="s">
        <v>491</v>
      </c>
      <c r="B702" t="str">
        <f>IF(COUNTIF(HCPs!M:M,HCP_evidence!A689)&gt;0,"Yes","No")</f>
        <v>Yes</v>
      </c>
      <c r="H702" s="74" t="s">
        <v>1192</v>
      </c>
      <c r="I702" t="s">
        <v>1193</v>
      </c>
      <c r="K702" t="s">
        <v>414</v>
      </c>
      <c r="L702" t="s">
        <v>414</v>
      </c>
      <c r="M702" t="s">
        <v>414</v>
      </c>
    </row>
    <row r="703" spans="1:31" ht="15">
      <c r="A703" s="74" t="s">
        <v>491</v>
      </c>
      <c r="B703" t="str">
        <f>IF(COUNTIF(HCPs!M:M,HCP_evidence!A690)&gt;0,"Yes","No")</f>
        <v>Yes</v>
      </c>
      <c r="H703" s="74" t="s">
        <v>5039</v>
      </c>
      <c r="I703" t="s">
        <v>4146</v>
      </c>
      <c r="J703" t="s">
        <v>4399</v>
      </c>
      <c r="K703" t="s">
        <v>4399</v>
      </c>
      <c r="L703" t="s">
        <v>414</v>
      </c>
      <c r="M703" t="s">
        <v>4399</v>
      </c>
      <c r="N703" t="s">
        <v>414</v>
      </c>
    </row>
    <row r="704" spans="1:31" ht="15">
      <c r="A704" s="74" t="s">
        <v>491</v>
      </c>
      <c r="B704" t="str">
        <f>IF(COUNTIF(HCPs!M:M,HCP_evidence!A691)&gt;0,"Yes","No")</f>
        <v>Yes</v>
      </c>
      <c r="H704" s="74" t="s">
        <v>5039</v>
      </c>
      <c r="I704" t="s">
        <v>4146</v>
      </c>
      <c r="J704" t="s">
        <v>4399</v>
      </c>
      <c r="K704" t="s">
        <v>4399</v>
      </c>
      <c r="L704" t="s">
        <v>414</v>
      </c>
      <c r="M704" t="s">
        <v>4399</v>
      </c>
      <c r="N704" t="s">
        <v>414</v>
      </c>
    </row>
    <row r="705" spans="1:34" ht="15">
      <c r="A705" s="74" t="s">
        <v>491</v>
      </c>
      <c r="B705" t="str">
        <f>IF(COUNTIF(HCPs!M:M,HCP_evidence!A692)&gt;0,"Yes","No")</f>
        <v>Yes</v>
      </c>
      <c r="Q705" s="7"/>
      <c r="R705" s="7"/>
      <c r="S705" s="7"/>
      <c r="T705" s="7"/>
      <c r="U705" s="7"/>
      <c r="V705" s="7"/>
      <c r="W705" s="7"/>
      <c r="X705" s="7"/>
      <c r="Y705" s="7"/>
      <c r="Z705" s="7"/>
      <c r="AA705" s="7"/>
      <c r="AB705" s="7"/>
      <c r="AC705" t="s">
        <v>498</v>
      </c>
    </row>
    <row r="706" spans="1:34" ht="15">
      <c r="A706" s="74" t="s">
        <v>491</v>
      </c>
      <c r="B706" t="str">
        <f>IF(COUNTIF(HCPs!M:M,HCP_evidence!A693)&gt;0,"Yes","No")</f>
        <v>Yes</v>
      </c>
      <c r="AB706" t="s">
        <v>4986</v>
      </c>
    </row>
    <row r="707" spans="1:34" ht="15">
      <c r="A707" t="s">
        <v>491</v>
      </c>
      <c r="B707" t="str">
        <f>IF(COUNTIF(HCPs!M:M,HCP_evidence!A694)&gt;0,"Yes","No")</f>
        <v>Yes</v>
      </c>
      <c r="D707" t="s">
        <v>8137</v>
      </c>
      <c r="E707" t="s">
        <v>8138</v>
      </c>
    </row>
    <row r="708" spans="1:34" ht="15">
      <c r="A708" t="s">
        <v>491</v>
      </c>
      <c r="B708" t="str">
        <f>IF(COUNTIF(HCPs!M:M,HCP_evidence!A695)&gt;0,"Yes","No")</f>
        <v>Yes</v>
      </c>
      <c r="D708" t="s">
        <v>8173</v>
      </c>
      <c r="E708" t="s">
        <v>8174</v>
      </c>
    </row>
    <row r="709" spans="1:34">
      <c r="A709" t="s">
        <v>491</v>
      </c>
      <c r="B709" t="str">
        <f>IF(COUNTIF(HCPs!M:M,HCP_evidence!A881)&gt;0,"Yes","No")</f>
        <v>Yes</v>
      </c>
      <c r="Z709" t="s">
        <v>8615</v>
      </c>
      <c r="AA709" t="s">
        <v>8613</v>
      </c>
    </row>
    <row r="710" spans="1:34" ht="15">
      <c r="A710" t="s">
        <v>491</v>
      </c>
    </row>
    <row r="711" spans="1:34" ht="15">
      <c r="A711" t="s">
        <v>491</v>
      </c>
      <c r="D711" t="s">
        <v>8616</v>
      </c>
      <c r="E711" t="s">
        <v>8617</v>
      </c>
    </row>
    <row r="712" spans="1:34">
      <c r="A712" t="s">
        <v>491</v>
      </c>
      <c r="Z712" t="s">
        <v>8639</v>
      </c>
      <c r="AA712" t="s">
        <v>8623</v>
      </c>
    </row>
    <row r="713" spans="1:34" ht="15">
      <c r="A713" t="s">
        <v>8159</v>
      </c>
      <c r="B713" t="str">
        <f>IF(COUNTIF(HCPs!M:M,HCP_evidence!A696)&gt;0,"Yes","No")</f>
        <v>Yes</v>
      </c>
      <c r="F713" t="s">
        <v>8137</v>
      </c>
      <c r="G713" t="s">
        <v>8138</v>
      </c>
    </row>
    <row r="714" spans="1:34" ht="15">
      <c r="A714" s="13" t="s">
        <v>424</v>
      </c>
      <c r="B714" t="str">
        <f>IF(COUNTIF(HCPs!M:M,HCP_evidence!A697)&gt;0,"Yes","No")</f>
        <v>Yes</v>
      </c>
      <c r="H714" s="13" t="s">
        <v>5053</v>
      </c>
      <c r="I714" t="s">
        <v>4160</v>
      </c>
      <c r="J714" t="s">
        <v>4399</v>
      </c>
      <c r="K714" t="s">
        <v>4399</v>
      </c>
      <c r="L714" t="s">
        <v>414</v>
      </c>
      <c r="M714" t="s">
        <v>4399</v>
      </c>
      <c r="N714" t="s">
        <v>4399</v>
      </c>
    </row>
    <row r="715" spans="1:34" ht="15">
      <c r="A715" s="13" t="s">
        <v>424</v>
      </c>
      <c r="B715" t="str">
        <f>IF(COUNTIF(HCPs!M:M,HCP_evidence!A698)&gt;0,"Yes","No")</f>
        <v>Yes</v>
      </c>
      <c r="AE715" t="s">
        <v>503</v>
      </c>
    </row>
    <row r="716" spans="1:34" ht="15">
      <c r="A716" t="s">
        <v>3127</v>
      </c>
      <c r="B716" t="str">
        <f>IF(COUNTIF(HCPs!M:M,HCP_evidence!A699)&gt;0,"Yes","No")</f>
        <v>Yes</v>
      </c>
      <c r="AH716" t="s">
        <v>3125</v>
      </c>
    </row>
    <row r="717" spans="1:34" ht="15">
      <c r="A717" t="s">
        <v>462</v>
      </c>
      <c r="B717" t="str">
        <f>IF(COUNTIF(HCPs!M:M,HCP_evidence!A700)&gt;0,"Yes","No")</f>
        <v>Yes</v>
      </c>
      <c r="AE717" t="s">
        <v>503</v>
      </c>
    </row>
    <row r="718" spans="1:34">
      <c r="A718" t="s">
        <v>8109</v>
      </c>
      <c r="B718" t="str">
        <f>IF(COUNTIF(HCPs!M:M,HCP_evidence!A701)&gt;0,"Yes","No")</f>
        <v>Yes</v>
      </c>
      <c r="Z718" t="s">
        <v>8110</v>
      </c>
      <c r="AA718" t="s">
        <v>8111</v>
      </c>
    </row>
    <row r="719" spans="1:34" ht="15">
      <c r="A719" t="s">
        <v>4269</v>
      </c>
      <c r="B719" t="str">
        <f>IF(COUNTIF(HCPs!M:M,HCP_evidence!A702)&gt;0,"Yes","No")</f>
        <v>Yes</v>
      </c>
      <c r="AB719" t="s">
        <v>5006</v>
      </c>
    </row>
    <row r="720" spans="1:34" ht="15">
      <c r="A720" s="13" t="s">
        <v>495</v>
      </c>
      <c r="B720" t="str">
        <f>IF(COUNTIF(HCPs!M:M,HCP_evidence!A703)&gt;0,"Yes","No")</f>
        <v>Yes</v>
      </c>
      <c r="H720" s="13" t="s">
        <v>1278</v>
      </c>
      <c r="I720" t="s">
        <v>1279</v>
      </c>
      <c r="K720" t="s">
        <v>414</v>
      </c>
      <c r="L720" t="s">
        <v>414</v>
      </c>
    </row>
    <row r="721" spans="1:31" ht="15">
      <c r="A721" t="s">
        <v>495</v>
      </c>
      <c r="B721" t="str">
        <f>IF(COUNTIF(HCPs!M:M,HCP_evidence!A704)&gt;0,"Yes","No")</f>
        <v>Yes</v>
      </c>
      <c r="AC721" t="s">
        <v>498</v>
      </c>
    </row>
    <row r="722" spans="1:31" ht="15">
      <c r="A722" s="13" t="s">
        <v>4079</v>
      </c>
      <c r="B722" t="str">
        <f>IF(COUNTIF(HCPs!M:M,HCP_evidence!A705)&gt;0,"Yes","No")</f>
        <v>Yes</v>
      </c>
      <c r="H722" s="13" t="s">
        <v>5042</v>
      </c>
      <c r="I722" t="s">
        <v>4149</v>
      </c>
      <c r="J722" t="s">
        <v>4399</v>
      </c>
      <c r="K722" t="s">
        <v>4399</v>
      </c>
      <c r="L722" t="s">
        <v>414</v>
      </c>
      <c r="M722" t="s">
        <v>4399</v>
      </c>
      <c r="N722" t="s">
        <v>414</v>
      </c>
    </row>
    <row r="723" spans="1:31">
      <c r="A723" t="s">
        <v>8307</v>
      </c>
      <c r="B723" t="str">
        <f>IF(COUNTIF(HCPs!M:M,HCP_evidence!A706)&gt;0,"Yes","No")</f>
        <v>Yes</v>
      </c>
      <c r="Z723" t="s">
        <v>8310</v>
      </c>
      <c r="AA723" t="s">
        <v>8311</v>
      </c>
    </row>
    <row r="724" spans="1:31" ht="15">
      <c r="A724" t="s">
        <v>4080</v>
      </c>
      <c r="B724" t="str">
        <f>IF(COUNTIF(HCPs!M:M,HCP_evidence!A707)&gt;0,"Yes","No")</f>
        <v>Yes</v>
      </c>
      <c r="J724" t="s">
        <v>4399</v>
      </c>
      <c r="K724" t="s">
        <v>4399</v>
      </c>
      <c r="M724" t="s">
        <v>4399</v>
      </c>
      <c r="N724" t="s">
        <v>414</v>
      </c>
      <c r="O724" t="s">
        <v>5099</v>
      </c>
      <c r="P724" t="s">
        <v>4205</v>
      </c>
    </row>
    <row r="725" spans="1:31" ht="15">
      <c r="A725" t="s">
        <v>1108</v>
      </c>
      <c r="B725" t="str">
        <f>IF(COUNTIF(HCPs!M:M,HCP_evidence!A708)&gt;0,"Yes","No")</f>
        <v>Yes</v>
      </c>
      <c r="H725" s="75" t="s">
        <v>801</v>
      </c>
      <c r="I725" t="s">
        <v>1170</v>
      </c>
      <c r="L725" t="s">
        <v>414</v>
      </c>
    </row>
    <row r="726" spans="1:31" ht="15">
      <c r="A726" s="13" t="s">
        <v>4081</v>
      </c>
      <c r="B726" t="str">
        <f>IF(COUNTIF(HCPs!M:M,HCP_evidence!A709)&gt;0,"Yes","No")</f>
        <v>Yes</v>
      </c>
      <c r="H726" s="13" t="s">
        <v>5100</v>
      </c>
      <c r="I726" t="s">
        <v>4206</v>
      </c>
      <c r="J726" t="s">
        <v>4399</v>
      </c>
      <c r="K726" t="s">
        <v>4399</v>
      </c>
      <c r="M726" t="s">
        <v>4399</v>
      </c>
      <c r="N726" t="s">
        <v>4399</v>
      </c>
    </row>
    <row r="727" spans="1:31" ht="15">
      <c r="A727" t="s">
        <v>4225</v>
      </c>
      <c r="B727" t="str">
        <f>IF(COUNTIF(HCPs!M:M,HCP_evidence!A710)&gt;0,"Yes","No")</f>
        <v>Yes</v>
      </c>
      <c r="D727" t="s">
        <v>4229</v>
      </c>
      <c r="E727" t="s">
        <v>4414</v>
      </c>
    </row>
    <row r="728" spans="1:31" ht="15">
      <c r="A728" t="s">
        <v>4225</v>
      </c>
      <c r="B728" t="str">
        <f>IF(COUNTIF(HCPs!M:M,HCP_evidence!A711)&gt;0,"Yes","No")</f>
        <v>Yes</v>
      </c>
      <c r="AB728" t="s">
        <v>4806</v>
      </c>
    </row>
    <row r="729" spans="1:31">
      <c r="A729" t="s">
        <v>4225</v>
      </c>
      <c r="B729" t="str">
        <f>IF(COUNTIF(HCPs!M:M,HCP_evidence!A712)&gt;0,"Yes","No")</f>
        <v>Yes</v>
      </c>
      <c r="Z729" t="s">
        <v>8123</v>
      </c>
      <c r="AA729" t="s">
        <v>8111</v>
      </c>
    </row>
    <row r="730" spans="1:31" ht="15">
      <c r="A730" s="13" t="s">
        <v>461</v>
      </c>
      <c r="B730" t="str">
        <f>IF(COUNTIF(HCPs!M:M,HCP_evidence!A713)&gt;0,"Yes","No")</f>
        <v>Yes</v>
      </c>
      <c r="H730" s="13" t="s">
        <v>5053</v>
      </c>
      <c r="I730" t="s">
        <v>4160</v>
      </c>
      <c r="J730" t="s">
        <v>4399</v>
      </c>
      <c r="K730" t="s">
        <v>4399</v>
      </c>
      <c r="L730" t="s">
        <v>414</v>
      </c>
      <c r="M730" t="s">
        <v>4399</v>
      </c>
      <c r="N730" t="s">
        <v>4399</v>
      </c>
    </row>
    <row r="731" spans="1:31" ht="15">
      <c r="A731" t="s">
        <v>461</v>
      </c>
      <c r="B731" t="str">
        <f>IF(COUNTIF(HCPs!M:M,HCP_evidence!A714)&gt;0,"Yes","No")</f>
        <v>Yes</v>
      </c>
      <c r="AE731" t="s">
        <v>503</v>
      </c>
    </row>
    <row r="732" spans="1:31" ht="15">
      <c r="A732" s="13" t="s">
        <v>4082</v>
      </c>
      <c r="B732" t="str">
        <f>IF(COUNTIF(HCPs!M:M,HCP_evidence!A715)&gt;0,"Yes","No")</f>
        <v>Yes</v>
      </c>
      <c r="H732" s="13" t="s">
        <v>5102</v>
      </c>
      <c r="I732" t="s">
        <v>4208</v>
      </c>
      <c r="J732" t="s">
        <v>4399</v>
      </c>
      <c r="K732" t="s">
        <v>4399</v>
      </c>
      <c r="M732" t="s">
        <v>4399</v>
      </c>
      <c r="N732" t="s">
        <v>414</v>
      </c>
    </row>
    <row r="733" spans="1:31" ht="15">
      <c r="A733" s="13" t="s">
        <v>4082</v>
      </c>
      <c r="B733" t="str">
        <f>IF(COUNTIF(HCPs!M:M,HCP_evidence!A716)&gt;0,"Yes","No")</f>
        <v>Yes</v>
      </c>
      <c r="H733" s="13" t="s">
        <v>5101</v>
      </c>
      <c r="I733" t="s">
        <v>4207</v>
      </c>
      <c r="J733" t="s">
        <v>4399</v>
      </c>
      <c r="K733" t="s">
        <v>414</v>
      </c>
      <c r="M733" t="s">
        <v>4399</v>
      </c>
      <c r="N733" t="s">
        <v>414</v>
      </c>
    </row>
    <row r="734" spans="1:31" ht="15">
      <c r="A734" t="s">
        <v>4082</v>
      </c>
      <c r="B734" t="str">
        <f>IF(COUNTIF(HCPs!M:M,HCP_evidence!A717)&gt;0,"Yes","No")</f>
        <v>Yes</v>
      </c>
      <c r="J734" t="s">
        <v>4399</v>
      </c>
      <c r="K734" t="s">
        <v>414</v>
      </c>
      <c r="M734" t="s">
        <v>4399</v>
      </c>
      <c r="N734" t="s">
        <v>4399</v>
      </c>
      <c r="O734" t="s">
        <v>5087</v>
      </c>
      <c r="P734" t="s">
        <v>4193</v>
      </c>
    </row>
    <row r="735" spans="1:31" ht="15">
      <c r="A735" t="s">
        <v>4083</v>
      </c>
      <c r="B735" t="str">
        <f>IF(COUNTIF(HCPs!M:M,HCP_evidence!A718)&gt;0,"Yes","No")</f>
        <v>Yes</v>
      </c>
      <c r="J735" t="s">
        <v>4399</v>
      </c>
      <c r="K735" t="s">
        <v>4399</v>
      </c>
      <c r="M735" t="s">
        <v>4399</v>
      </c>
      <c r="N735" t="s">
        <v>414</v>
      </c>
      <c r="O735" t="s">
        <v>5034</v>
      </c>
      <c r="P735" t="s">
        <v>4141</v>
      </c>
    </row>
    <row r="736" spans="1:31" ht="15">
      <c r="A736" t="s">
        <v>472</v>
      </c>
      <c r="B736" t="str">
        <f>IF(COUNTIF(HCPs!M:M,HCP_evidence!A719)&gt;0,"Yes","No")</f>
        <v>Yes</v>
      </c>
      <c r="AE736" t="s">
        <v>503</v>
      </c>
    </row>
    <row r="737" spans="1:32" ht="15">
      <c r="A737" t="s">
        <v>472</v>
      </c>
      <c r="B737" t="str">
        <f>IF(COUNTIF(HCPs!M:M,HCP_evidence!A720)&gt;0,"Yes","No")</f>
        <v>Yes</v>
      </c>
      <c r="AB737" t="s">
        <v>8216</v>
      </c>
    </row>
    <row r="738" spans="1:32" ht="15">
      <c r="A738" t="s">
        <v>513</v>
      </c>
      <c r="B738" t="str">
        <f>IF(COUNTIF(HCPs!M:M,HCP_evidence!A721)&gt;0,"Yes","No")</f>
        <v>Yes</v>
      </c>
      <c r="AF738" t="s">
        <v>519</v>
      </c>
    </row>
    <row r="739" spans="1:32" ht="15">
      <c r="A739" t="s">
        <v>4084</v>
      </c>
      <c r="B739" t="str">
        <f>IF(COUNTIF(HCPs!M:M,HCP_evidence!A722)&gt;0,"Yes","No")</f>
        <v>Yes</v>
      </c>
      <c r="J739" t="s">
        <v>4399</v>
      </c>
      <c r="K739" t="s">
        <v>414</v>
      </c>
      <c r="M739" t="s">
        <v>4399</v>
      </c>
      <c r="N739" t="s">
        <v>414</v>
      </c>
      <c r="O739" t="s">
        <v>5048</v>
      </c>
      <c r="P739" t="s">
        <v>4155</v>
      </c>
    </row>
    <row r="740" spans="1:32" ht="15">
      <c r="A740" t="s">
        <v>4084</v>
      </c>
      <c r="B740" t="str">
        <f>IF(COUNTIF(HCPs!M:M,HCP_evidence!A723)&gt;0,"Yes","No")</f>
        <v>Yes</v>
      </c>
      <c r="J740" t="s">
        <v>4399</v>
      </c>
      <c r="K740" t="s">
        <v>414</v>
      </c>
      <c r="M740" t="s">
        <v>4399</v>
      </c>
      <c r="N740" t="s">
        <v>414</v>
      </c>
      <c r="O740" t="s">
        <v>5048</v>
      </c>
      <c r="P740" t="s">
        <v>4155</v>
      </c>
    </row>
    <row r="741" spans="1:32" ht="15">
      <c r="A741" t="s">
        <v>4085</v>
      </c>
      <c r="B741" t="str">
        <f>IF(COUNTIF(HCPs!M:M,HCP_evidence!A724)&gt;0,"Yes","No")</f>
        <v>Yes</v>
      </c>
      <c r="J741" t="s">
        <v>4399</v>
      </c>
      <c r="K741" t="s">
        <v>4399</v>
      </c>
      <c r="M741" t="s">
        <v>4399</v>
      </c>
      <c r="N741" t="s">
        <v>414</v>
      </c>
      <c r="O741" t="s">
        <v>5034</v>
      </c>
      <c r="P741" t="s">
        <v>4141</v>
      </c>
    </row>
    <row r="742" spans="1:32" ht="15">
      <c r="A742" t="s">
        <v>4086</v>
      </c>
      <c r="B742" t="str">
        <f>IF(COUNTIF(HCPs!M:M,HCP_evidence!A725)&gt;0,"Yes","No")</f>
        <v>Yes</v>
      </c>
      <c r="J742" t="s">
        <v>4399</v>
      </c>
      <c r="K742" t="s">
        <v>4399</v>
      </c>
      <c r="M742" t="s">
        <v>4399</v>
      </c>
      <c r="N742" t="s">
        <v>414</v>
      </c>
      <c r="O742" t="s">
        <v>5034</v>
      </c>
      <c r="P742" t="s">
        <v>4141</v>
      </c>
    </row>
    <row r="743" spans="1:32" ht="15">
      <c r="A743" t="s">
        <v>4086</v>
      </c>
      <c r="B743" t="str">
        <f>IF(COUNTIF(HCPs!M:M,HCP_evidence!A726)&gt;0,"Yes","No")</f>
        <v>Yes</v>
      </c>
      <c r="J743" t="s">
        <v>4399</v>
      </c>
      <c r="K743" t="s">
        <v>4399</v>
      </c>
      <c r="M743" t="s">
        <v>4399</v>
      </c>
      <c r="N743" t="s">
        <v>414</v>
      </c>
      <c r="O743" t="s">
        <v>5034</v>
      </c>
      <c r="P743" t="s">
        <v>4141</v>
      </c>
    </row>
    <row r="744" spans="1:32" ht="15">
      <c r="A744" t="s">
        <v>4087</v>
      </c>
      <c r="B744" t="str">
        <f>IF(COUNTIF(HCPs!M:M,HCP_evidence!A727)&gt;0,"Yes","No")</f>
        <v>Yes</v>
      </c>
      <c r="O744" t="s">
        <v>5045</v>
      </c>
      <c r="P744" t="s">
        <v>4152</v>
      </c>
      <c r="Q744" t="s">
        <v>4399</v>
      </c>
      <c r="R744" t="s">
        <v>4399</v>
      </c>
      <c r="T744" t="s">
        <v>4399</v>
      </c>
      <c r="U744" t="s">
        <v>414</v>
      </c>
    </row>
    <row r="745" spans="1:32" ht="15">
      <c r="A745" t="s">
        <v>4087</v>
      </c>
      <c r="B745" t="str">
        <f>IF(COUNTIF(HCPs!M:M,HCP_evidence!A728)&gt;0,"Yes","No")</f>
        <v>Yes</v>
      </c>
      <c r="O745" t="s">
        <v>5045</v>
      </c>
      <c r="P745" t="s">
        <v>4152</v>
      </c>
      <c r="Q745" t="s">
        <v>4399</v>
      </c>
      <c r="R745" t="s">
        <v>4399</v>
      </c>
      <c r="T745" t="s">
        <v>4399</v>
      </c>
      <c r="U745" t="s">
        <v>414</v>
      </c>
    </row>
    <row r="746" spans="1:32" ht="15">
      <c r="A746" t="s">
        <v>4088</v>
      </c>
      <c r="B746" t="str">
        <f>IF(COUNTIF(HCPs!M:M,HCP_evidence!A729)&gt;0,"Yes","No")</f>
        <v>Yes</v>
      </c>
      <c r="J746" t="s">
        <v>4399</v>
      </c>
      <c r="K746" t="s">
        <v>4399</v>
      </c>
      <c r="L746" t="s">
        <v>414</v>
      </c>
      <c r="M746" t="s">
        <v>4399</v>
      </c>
      <c r="N746" t="s">
        <v>414</v>
      </c>
      <c r="O746" t="s">
        <v>5040</v>
      </c>
      <c r="P746" t="s">
        <v>4147</v>
      </c>
    </row>
    <row r="747" spans="1:32" ht="15">
      <c r="A747" t="s">
        <v>1127</v>
      </c>
      <c r="B747" t="str">
        <f>IF(COUNTIF(HCPs!M:M,HCP_evidence!A730)&gt;0,"Yes","No")</f>
        <v>Yes</v>
      </c>
      <c r="H747" s="75" t="s">
        <v>892</v>
      </c>
      <c r="I747" t="s">
        <v>1170</v>
      </c>
      <c r="K747" t="s">
        <v>414</v>
      </c>
    </row>
    <row r="748" spans="1:32" ht="15">
      <c r="A748" t="s">
        <v>4089</v>
      </c>
      <c r="B748" t="str">
        <f>IF(COUNTIF(HCPs!M:M,HCP_evidence!A731)&gt;0,"Yes","No")</f>
        <v>Yes</v>
      </c>
      <c r="J748" t="s">
        <v>4399</v>
      </c>
      <c r="K748" t="s">
        <v>4399</v>
      </c>
      <c r="M748" t="s">
        <v>4399</v>
      </c>
      <c r="N748" t="s">
        <v>414</v>
      </c>
      <c r="O748" t="s">
        <v>5034</v>
      </c>
      <c r="P748" t="s">
        <v>4141</v>
      </c>
    </row>
    <row r="749" spans="1:32" ht="15">
      <c r="A749" t="s">
        <v>4089</v>
      </c>
      <c r="B749" t="str">
        <f>IF(COUNTIF(HCPs!M:M,HCP_evidence!A732)&gt;0,"Yes","No")</f>
        <v>Yes</v>
      </c>
      <c r="J749" t="s">
        <v>4399</v>
      </c>
      <c r="K749" t="s">
        <v>4399</v>
      </c>
      <c r="M749" t="s">
        <v>4399</v>
      </c>
      <c r="N749" t="s">
        <v>414</v>
      </c>
      <c r="O749" t="s">
        <v>5034</v>
      </c>
      <c r="P749" t="s">
        <v>4141</v>
      </c>
    </row>
    <row r="750" spans="1:32" ht="15">
      <c r="A750" t="s">
        <v>4090</v>
      </c>
      <c r="B750" t="str">
        <f>IF(COUNTIF(HCPs!M:M,HCP_evidence!A733)&gt;0,"Yes","No")</f>
        <v>Yes</v>
      </c>
      <c r="J750" t="s">
        <v>4399</v>
      </c>
      <c r="K750" t="s">
        <v>4399</v>
      </c>
      <c r="L750" t="s">
        <v>414</v>
      </c>
      <c r="M750" t="s">
        <v>4399</v>
      </c>
      <c r="N750" t="s">
        <v>414</v>
      </c>
      <c r="O750" t="s">
        <v>5040</v>
      </c>
      <c r="P750" t="s">
        <v>4147</v>
      </c>
    </row>
    <row r="751" spans="1:32" ht="15">
      <c r="A751" t="s">
        <v>7974</v>
      </c>
      <c r="B751" t="str">
        <f>IF(COUNTIF(HCPs!M:M,HCP_evidence!A734)&gt;0,"Yes","No")</f>
        <v>Yes</v>
      </c>
      <c r="F751" t="s">
        <v>8136</v>
      </c>
      <c r="G751" t="s">
        <v>7926</v>
      </c>
    </row>
    <row r="752" spans="1:32" ht="15">
      <c r="A752" t="s">
        <v>514</v>
      </c>
      <c r="B752" t="str">
        <f>IF(COUNTIF(HCPs!M:M,HCP_evidence!A735)&gt;0,"Yes","No")</f>
        <v>Yes</v>
      </c>
      <c r="AF752" t="s">
        <v>519</v>
      </c>
    </row>
    <row r="753" spans="1:32" ht="15">
      <c r="A753" t="s">
        <v>514</v>
      </c>
      <c r="B753" t="str">
        <f>IF(COUNTIF(HCPs!M:M,HCP_evidence!A736)&gt;0,"Yes","No")</f>
        <v>Yes</v>
      </c>
      <c r="AB753" t="s">
        <v>4929</v>
      </c>
    </row>
    <row r="754" spans="1:32" ht="15">
      <c r="A754" t="s">
        <v>7932</v>
      </c>
      <c r="B754" t="str">
        <f>IF(COUNTIF(HCPs!M:M,HCP_evidence!A737)&gt;0,"Yes","No")</f>
        <v>Yes</v>
      </c>
      <c r="D754" t="s">
        <v>8136</v>
      </c>
      <c r="E754" t="s">
        <v>7926</v>
      </c>
    </row>
    <row r="755" spans="1:32" ht="15">
      <c r="A755" t="s">
        <v>456</v>
      </c>
      <c r="B755" t="str">
        <f>IF(COUNTIF(HCPs!M:M,HCP_evidence!A738)&gt;0,"Yes","No")</f>
        <v>No</v>
      </c>
      <c r="AE755" t="s">
        <v>503</v>
      </c>
    </row>
    <row r="756" spans="1:32" ht="15">
      <c r="A756" t="s">
        <v>4092</v>
      </c>
      <c r="B756" t="str">
        <f>IF(COUNTIF(HCPs!M:M,HCP_evidence!A739)&gt;0,"Yes","No")</f>
        <v>Yes</v>
      </c>
      <c r="O756" t="s">
        <v>5045</v>
      </c>
      <c r="P756" t="s">
        <v>4152</v>
      </c>
      <c r="Q756" t="s">
        <v>4399</v>
      </c>
      <c r="R756" t="s">
        <v>4399</v>
      </c>
      <c r="T756" t="s">
        <v>4399</v>
      </c>
      <c r="U756" t="s">
        <v>414</v>
      </c>
    </row>
    <row r="757" spans="1:32" ht="15">
      <c r="A757" t="s">
        <v>459</v>
      </c>
      <c r="B757" t="str">
        <f>IF(COUNTIF(HCPs!M:M,HCP_evidence!A740)&gt;0,"Yes","No")</f>
        <v>Yes</v>
      </c>
      <c r="AE757" t="s">
        <v>503</v>
      </c>
    </row>
    <row r="758" spans="1:32" ht="15">
      <c r="A758" s="74" t="s">
        <v>4093</v>
      </c>
      <c r="B758" t="str">
        <f>IF(COUNTIF(HCPs!M:M,HCP_evidence!A741)&gt;0,"Yes","No")</f>
        <v>Yes</v>
      </c>
      <c r="H758" s="74" t="s">
        <v>5064</v>
      </c>
      <c r="I758" t="s">
        <v>4170</v>
      </c>
      <c r="J758" t="s">
        <v>4399</v>
      </c>
      <c r="K758" t="s">
        <v>4399</v>
      </c>
      <c r="L758" t="s">
        <v>414</v>
      </c>
      <c r="M758" t="s">
        <v>4399</v>
      </c>
      <c r="N758" t="s">
        <v>414</v>
      </c>
    </row>
    <row r="759" spans="1:32" ht="15">
      <c r="A759" s="74" t="s">
        <v>4093</v>
      </c>
      <c r="B759" t="str">
        <f>IF(COUNTIF(HCPs!M:M,HCP_evidence!A742)&gt;0,"Yes","No")</f>
        <v>Yes</v>
      </c>
      <c r="J759" t="s">
        <v>414</v>
      </c>
      <c r="K759" t="s">
        <v>414</v>
      </c>
      <c r="L759" t="s">
        <v>414</v>
      </c>
      <c r="M759" t="s">
        <v>4399</v>
      </c>
      <c r="N759" t="s">
        <v>4399</v>
      </c>
      <c r="O759" s="74" t="s">
        <v>5037</v>
      </c>
      <c r="P759" t="s">
        <v>4144</v>
      </c>
    </row>
    <row r="760" spans="1:32" ht="15">
      <c r="A760" s="74" t="s">
        <v>4093</v>
      </c>
      <c r="B760" t="str">
        <f>IF(COUNTIF(HCPs!M:M,HCP_evidence!A743)&gt;0,"Yes","No")</f>
        <v>Yes</v>
      </c>
      <c r="H760" s="74" t="s">
        <v>801</v>
      </c>
      <c r="I760" t="s">
        <v>1170</v>
      </c>
      <c r="L760" t="s">
        <v>414</v>
      </c>
    </row>
    <row r="761" spans="1:32" ht="15">
      <c r="A761" s="74" t="s">
        <v>4095</v>
      </c>
      <c r="B761" t="str">
        <f>IF(COUNTIF(HCPs!M:M,HCP_evidence!A744)&gt;0,"Yes","No")</f>
        <v>Yes</v>
      </c>
      <c r="H761" s="74" t="s">
        <v>5030</v>
      </c>
      <c r="I761" t="s">
        <v>4136</v>
      </c>
      <c r="J761" t="s">
        <v>4399</v>
      </c>
      <c r="K761" t="s">
        <v>4399</v>
      </c>
      <c r="L761" t="s">
        <v>414</v>
      </c>
      <c r="M761" t="s">
        <v>4399</v>
      </c>
      <c r="N761" t="s">
        <v>414</v>
      </c>
    </row>
    <row r="762" spans="1:32" ht="15">
      <c r="A762" s="74" t="s">
        <v>4095</v>
      </c>
      <c r="B762" t="str">
        <f>IF(COUNTIF(HCPs!M:M,HCP_evidence!A745)&gt;0,"Yes","No")</f>
        <v>Yes</v>
      </c>
      <c r="D762" t="s">
        <v>4229</v>
      </c>
      <c r="E762" t="s">
        <v>4414</v>
      </c>
      <c r="K762">
        <v>6.2607710331340403E+17</v>
      </c>
      <c r="M762" t="s">
        <v>8576</v>
      </c>
    </row>
    <row r="763" spans="1:32" ht="15">
      <c r="A763" s="74" t="s">
        <v>4095</v>
      </c>
      <c r="B763" t="str">
        <f>IF(COUNTIF(HCPs!M:M,HCP_evidence!A746)&gt;0,"Yes","No")</f>
        <v>Yes</v>
      </c>
      <c r="AB763" t="s">
        <v>4807</v>
      </c>
    </row>
    <row r="764" spans="1:32" ht="15">
      <c r="A764" t="s">
        <v>1107</v>
      </c>
      <c r="B764" t="str">
        <f>IF(COUNTIF(HCPs!M:M,HCP_evidence!A747)&gt;0,"Yes","No")</f>
        <v>Yes</v>
      </c>
      <c r="H764" s="75" t="s">
        <v>801</v>
      </c>
      <c r="I764" t="s">
        <v>1170</v>
      </c>
      <c r="L764" t="s">
        <v>414</v>
      </c>
    </row>
    <row r="765" spans="1:32" ht="15">
      <c r="A765" t="s">
        <v>4677</v>
      </c>
      <c r="B765" t="str">
        <f>IF(COUNTIF(HCPs!M:M,HCP_evidence!A748)&gt;0,"Yes","No")</f>
        <v>Yes</v>
      </c>
      <c r="F765" t="s">
        <v>8136</v>
      </c>
      <c r="G765" t="s">
        <v>7926</v>
      </c>
    </row>
    <row r="766" spans="1:32" ht="15">
      <c r="A766" t="s">
        <v>4096</v>
      </c>
      <c r="B766" t="str">
        <f>IF(COUNTIF(HCPs!M:M,HCP_evidence!A749)&gt;0,"Yes","No")</f>
        <v>Yes</v>
      </c>
      <c r="J766" t="s">
        <v>414</v>
      </c>
      <c r="K766" t="s">
        <v>414</v>
      </c>
      <c r="L766" t="s">
        <v>414</v>
      </c>
      <c r="M766" t="s">
        <v>4399</v>
      </c>
      <c r="N766" t="s">
        <v>4399</v>
      </c>
      <c r="O766" t="s">
        <v>5037</v>
      </c>
      <c r="P766" t="s">
        <v>4144</v>
      </c>
    </row>
    <row r="767" spans="1:32" ht="15">
      <c r="A767" t="s">
        <v>518</v>
      </c>
      <c r="B767" t="str">
        <f>IF(COUNTIF(HCPs!M:M,HCP_evidence!A750)&gt;0,"Yes","No")</f>
        <v>No</v>
      </c>
      <c r="H767" s="74" t="s">
        <v>5030</v>
      </c>
      <c r="I767" t="s">
        <v>4136</v>
      </c>
      <c r="J767" t="s">
        <v>4399</v>
      </c>
      <c r="K767" t="s">
        <v>4399</v>
      </c>
      <c r="L767" t="s">
        <v>414</v>
      </c>
      <c r="M767" t="s">
        <v>4399</v>
      </c>
      <c r="N767" t="s">
        <v>414</v>
      </c>
    </row>
    <row r="768" spans="1:32" ht="15">
      <c r="A768" t="s">
        <v>518</v>
      </c>
      <c r="B768" t="str">
        <f>IF(COUNTIF(HCPs!M:M,HCP_evidence!A751)&gt;0,"Yes","No")</f>
        <v>Yes</v>
      </c>
      <c r="AF768" t="s">
        <v>519</v>
      </c>
    </row>
    <row r="769" spans="1:31" ht="15">
      <c r="A769" t="s">
        <v>7957</v>
      </c>
      <c r="B769" t="str">
        <f>IF(COUNTIF(HCPs!M:M,HCP_evidence!A752)&gt;0,"Yes","No")</f>
        <v>Yes</v>
      </c>
      <c r="F769" t="s">
        <v>8136</v>
      </c>
      <c r="G769" t="s">
        <v>7926</v>
      </c>
    </row>
    <row r="770" spans="1:31" ht="15">
      <c r="A770" s="86" t="s">
        <v>8152</v>
      </c>
      <c r="B770" t="str">
        <f>IF(COUNTIF(HCPs!M:M,HCP_evidence!A753)&gt;0,"Yes","No")</f>
        <v>Yes</v>
      </c>
      <c r="F770" t="s">
        <v>8137</v>
      </c>
      <c r="G770" t="s">
        <v>8138</v>
      </c>
    </row>
    <row r="771" spans="1:31" ht="15">
      <c r="A771" s="86" t="s">
        <v>8152</v>
      </c>
      <c r="B771" t="str">
        <f>IF(COUNTIF(HCPs!M:M,HCP_evidence!A754)&gt;0,"Yes","No")</f>
        <v>Yes</v>
      </c>
      <c r="H771" s="86" t="s">
        <v>8485</v>
      </c>
      <c r="I771" t="s">
        <v>8486</v>
      </c>
    </row>
    <row r="772" spans="1:31" ht="15">
      <c r="A772" s="13" t="s">
        <v>440</v>
      </c>
      <c r="B772" t="str">
        <f>IF(COUNTIF(HCPs!M:M,HCP_evidence!A755)&gt;0,"Yes","No")</f>
        <v>Yes</v>
      </c>
      <c r="H772" s="13" t="s">
        <v>5104</v>
      </c>
      <c r="I772" t="s">
        <v>4210</v>
      </c>
      <c r="J772" t="s">
        <v>4399</v>
      </c>
      <c r="K772" t="s">
        <v>4399</v>
      </c>
      <c r="L772" t="s">
        <v>414</v>
      </c>
      <c r="M772" t="s">
        <v>4399</v>
      </c>
      <c r="N772" t="s">
        <v>4399</v>
      </c>
    </row>
    <row r="773" spans="1:31" ht="15">
      <c r="A773" s="13" t="s">
        <v>440</v>
      </c>
      <c r="B773" t="str">
        <f>IF(COUNTIF(HCPs!M:M,HCP_evidence!A756)&gt;0,"Yes","No")</f>
        <v>Yes</v>
      </c>
      <c r="H773" s="13" t="s">
        <v>5105</v>
      </c>
      <c r="I773" t="s">
        <v>4211</v>
      </c>
      <c r="J773" t="s">
        <v>4399</v>
      </c>
      <c r="K773" t="s">
        <v>4399</v>
      </c>
      <c r="L773" t="s">
        <v>414</v>
      </c>
      <c r="M773" t="s">
        <v>4399</v>
      </c>
      <c r="N773" t="s">
        <v>4399</v>
      </c>
    </row>
    <row r="774" spans="1:31" ht="15">
      <c r="A774" t="s">
        <v>440</v>
      </c>
      <c r="B774" t="str">
        <f>IF(COUNTIF(HCPs!M:M,HCP_evidence!A757)&gt;0,"Yes","No")</f>
        <v>Yes</v>
      </c>
      <c r="AE774" t="s">
        <v>503</v>
      </c>
    </row>
    <row r="775" spans="1:31">
      <c r="A775" t="s">
        <v>8498</v>
      </c>
      <c r="B775" t="str">
        <f>IF(COUNTIF(HCPs!M:M,HCP_evidence!A758)&gt;0,"Yes","No")</f>
        <v>Yes</v>
      </c>
      <c r="Z775" t="s">
        <v>8499</v>
      </c>
      <c r="AA775" t="s">
        <v>8500</v>
      </c>
    </row>
    <row r="776" spans="1:31" ht="15">
      <c r="A776" t="s">
        <v>1143</v>
      </c>
      <c r="B776" t="str">
        <f>IF(COUNTIF(HCPs!M:M,HCP_evidence!A759)&gt;0,"Yes","No")</f>
        <v>Yes</v>
      </c>
      <c r="H776" s="75" t="s">
        <v>892</v>
      </c>
      <c r="I776" t="s">
        <v>1170</v>
      </c>
      <c r="K776" t="s">
        <v>414</v>
      </c>
    </row>
    <row r="777" spans="1:31" ht="15">
      <c r="A777" t="s">
        <v>1143</v>
      </c>
      <c r="B777" t="str">
        <f>IF(COUNTIF(HCPs!M:M,HCP_evidence!A760)&gt;0,"Yes","No")</f>
        <v>Yes</v>
      </c>
      <c r="AB777" t="s">
        <v>7898</v>
      </c>
    </row>
    <row r="778" spans="1:31" ht="15">
      <c r="A778" t="s">
        <v>1143</v>
      </c>
      <c r="B778" t="str">
        <f>IF(COUNTIF(HCPs!M:M,HCP_evidence!A761)&gt;0,"Yes","No")</f>
        <v>Yes</v>
      </c>
      <c r="F778" t="s">
        <v>8136</v>
      </c>
      <c r="G778" t="s">
        <v>7926</v>
      </c>
    </row>
    <row r="779" spans="1:31" ht="15">
      <c r="A779" t="s">
        <v>4272</v>
      </c>
      <c r="B779" t="str">
        <f>IF(COUNTIF(HCPs!M:M,HCP_evidence!A762)&gt;0,"Yes","No")</f>
        <v>Yes</v>
      </c>
      <c r="F779" t="s">
        <v>8136</v>
      </c>
      <c r="G779" t="s">
        <v>7926</v>
      </c>
    </row>
    <row r="780" spans="1:31" ht="15">
      <c r="A780" s="74" t="s">
        <v>422</v>
      </c>
      <c r="B780" t="str">
        <f>IF(COUNTIF(HCPs!M:M,HCP_evidence!A763)&gt;0,"Yes","No")</f>
        <v>Yes</v>
      </c>
      <c r="H780" s="74" t="s">
        <v>5064</v>
      </c>
      <c r="I780" t="s">
        <v>4170</v>
      </c>
      <c r="J780" t="s">
        <v>4399</v>
      </c>
      <c r="K780" t="s">
        <v>4399</v>
      </c>
      <c r="L780" t="s">
        <v>414</v>
      </c>
      <c r="M780" t="s">
        <v>4399</v>
      </c>
      <c r="N780" t="s">
        <v>414</v>
      </c>
    </row>
    <row r="781" spans="1:31" ht="15">
      <c r="A781" s="74" t="s">
        <v>422</v>
      </c>
      <c r="B781" t="str">
        <f>IF(COUNTIF(HCPs!M:M,HCP_evidence!A764)&gt;0,"Yes","No")</f>
        <v>Yes</v>
      </c>
      <c r="H781" s="74" t="s">
        <v>5064</v>
      </c>
      <c r="I781" t="s">
        <v>4170</v>
      </c>
      <c r="J781" t="s">
        <v>4399</v>
      </c>
      <c r="K781" t="s">
        <v>4399</v>
      </c>
      <c r="L781" t="s">
        <v>414</v>
      </c>
      <c r="M781" t="s">
        <v>4399</v>
      </c>
      <c r="N781" t="s">
        <v>414</v>
      </c>
    </row>
    <row r="782" spans="1:31" ht="15">
      <c r="A782" s="13" t="s">
        <v>422</v>
      </c>
      <c r="B782" t="str">
        <f>IF(COUNTIF(HCPs!M:M,HCP_evidence!A765)&gt;0,"Yes","No")</f>
        <v>Yes</v>
      </c>
      <c r="H782" s="13" t="s">
        <v>5053</v>
      </c>
      <c r="I782" t="s">
        <v>4160</v>
      </c>
      <c r="J782" t="s">
        <v>4399</v>
      </c>
      <c r="K782" t="s">
        <v>4399</v>
      </c>
      <c r="L782" t="s">
        <v>414</v>
      </c>
      <c r="M782" t="s">
        <v>4399</v>
      </c>
      <c r="N782" t="s">
        <v>4399</v>
      </c>
    </row>
    <row r="783" spans="1:31" ht="15">
      <c r="A783" s="74" t="s">
        <v>422</v>
      </c>
      <c r="B783" t="str">
        <f>IF(COUNTIF(HCPs!M:M,HCP_evidence!A766)&gt;0,"Yes","No")</f>
        <v>Yes</v>
      </c>
      <c r="J783" t="s">
        <v>414</v>
      </c>
      <c r="K783" t="s">
        <v>414</v>
      </c>
      <c r="L783" t="s">
        <v>414</v>
      </c>
      <c r="M783" t="s">
        <v>4399</v>
      </c>
      <c r="N783" t="s">
        <v>4399</v>
      </c>
      <c r="O783" s="74" t="s">
        <v>5037</v>
      </c>
      <c r="P783" t="s">
        <v>4144</v>
      </c>
    </row>
    <row r="784" spans="1:31" ht="15">
      <c r="A784" s="74" t="s">
        <v>422</v>
      </c>
      <c r="B784" t="str">
        <f>IF(COUNTIF(HCPs!M:M,HCP_evidence!A767)&gt;0,"Yes","No")</f>
        <v>Yes</v>
      </c>
      <c r="H784" s="13" t="s">
        <v>5036</v>
      </c>
      <c r="I784" t="s">
        <v>4143</v>
      </c>
      <c r="J784" t="s">
        <v>4399</v>
      </c>
      <c r="K784" t="s">
        <v>414</v>
      </c>
      <c r="L784" t="s">
        <v>414</v>
      </c>
      <c r="M784" t="s">
        <v>4399</v>
      </c>
      <c r="N784" t="s">
        <v>414</v>
      </c>
    </row>
    <row r="785" spans="1:31" ht="15">
      <c r="A785" s="74" t="s">
        <v>422</v>
      </c>
      <c r="B785" t="str">
        <f>IF(COUNTIF(HCPs!M:M,HCP_evidence!A768)&gt;0,"Yes","No")</f>
        <v>Yes</v>
      </c>
      <c r="AE785" t="s">
        <v>503</v>
      </c>
    </row>
    <row r="786" spans="1:31" ht="15">
      <c r="A786" t="s">
        <v>422</v>
      </c>
      <c r="B786" t="str">
        <f>IF(COUNTIF(HCPs!M:M,HCP_evidence!A769)&gt;0,"Yes","No")</f>
        <v>Yes</v>
      </c>
      <c r="F786" t="s">
        <v>8137</v>
      </c>
      <c r="G786" t="s">
        <v>8138</v>
      </c>
    </row>
    <row r="787" spans="1:31" ht="15">
      <c r="A787" t="s">
        <v>422</v>
      </c>
      <c r="B787" t="str">
        <f>IF(COUNTIF(HCPs!M:M,HCP_evidence!A770)&gt;0,"Yes","No")</f>
        <v>Yes</v>
      </c>
      <c r="AB787" t="s">
        <v>8298</v>
      </c>
    </row>
    <row r="788" spans="1:31" ht="15">
      <c r="A788" t="s">
        <v>4224</v>
      </c>
      <c r="B788" t="str">
        <f>IF(COUNTIF(HCPs!M:M,HCP_evidence!A771)&gt;0,"Yes","No")</f>
        <v>Yes</v>
      </c>
      <c r="D788" t="s">
        <v>4229</v>
      </c>
      <c r="E788" t="s">
        <v>4414</v>
      </c>
    </row>
    <row r="789" spans="1:31" ht="15">
      <c r="A789" t="s">
        <v>4099</v>
      </c>
      <c r="B789" t="str">
        <f>IF(COUNTIF(HCPs!M:M,HCP_evidence!A772)&gt;0,"Yes","No")</f>
        <v>Yes</v>
      </c>
      <c r="J789" t="s">
        <v>4399</v>
      </c>
      <c r="K789" t="s">
        <v>4399</v>
      </c>
      <c r="L789" t="s">
        <v>414</v>
      </c>
      <c r="M789" t="s">
        <v>4399</v>
      </c>
      <c r="N789" t="s">
        <v>4399</v>
      </c>
      <c r="O789" t="s">
        <v>5062</v>
      </c>
      <c r="P789" t="s">
        <v>4168</v>
      </c>
    </row>
    <row r="790" spans="1:31" ht="15">
      <c r="A790" t="s">
        <v>4101</v>
      </c>
      <c r="B790" t="str">
        <f>IF(COUNTIF(HCPs!M:M,HCP_evidence!A773)&gt;0,"Yes","No")</f>
        <v>Yes</v>
      </c>
      <c r="H790" s="95" t="s">
        <v>5033</v>
      </c>
      <c r="I790" t="s">
        <v>4140</v>
      </c>
      <c r="J790" t="s">
        <v>4399</v>
      </c>
      <c r="K790" t="s">
        <v>4399</v>
      </c>
      <c r="L790" t="s">
        <v>414</v>
      </c>
      <c r="M790" t="s">
        <v>4399</v>
      </c>
      <c r="N790" t="s">
        <v>414</v>
      </c>
    </row>
    <row r="791" spans="1:31" ht="15">
      <c r="A791" s="74" t="s">
        <v>3267</v>
      </c>
      <c r="B791" t="str">
        <f>IF(COUNTIF(HCPs!M:M,HCP_evidence!A774)&gt;0,"Yes","No")</f>
        <v>Yes</v>
      </c>
      <c r="H791" s="13" t="s">
        <v>5036</v>
      </c>
      <c r="I791" t="s">
        <v>4143</v>
      </c>
      <c r="J791" t="s">
        <v>4399</v>
      </c>
      <c r="K791" t="s">
        <v>414</v>
      </c>
      <c r="L791" t="s">
        <v>414</v>
      </c>
      <c r="M791" t="s">
        <v>4399</v>
      </c>
      <c r="N791" t="s">
        <v>414</v>
      </c>
    </row>
    <row r="792" spans="1:31" ht="15">
      <c r="A792" t="s">
        <v>1141</v>
      </c>
      <c r="B792" t="str">
        <f>IF(COUNTIF(HCPs!M:M,HCP_evidence!A775)&gt;0,"Yes","No")</f>
        <v>Yes</v>
      </c>
      <c r="H792" s="75" t="s">
        <v>892</v>
      </c>
      <c r="I792" t="s">
        <v>1170</v>
      </c>
      <c r="K792" t="s">
        <v>414</v>
      </c>
    </row>
    <row r="793" spans="1:31" ht="15">
      <c r="A793" t="s">
        <v>1141</v>
      </c>
      <c r="B793" t="str">
        <f>IF(COUNTIF(HCPs!M:M,HCP_evidence!A776)&gt;0,"Yes","No")</f>
        <v>Yes</v>
      </c>
      <c r="H793" s="75" t="s">
        <v>892</v>
      </c>
      <c r="I793" t="s">
        <v>1170</v>
      </c>
      <c r="K793" t="s">
        <v>414</v>
      </c>
    </row>
    <row r="794" spans="1:31" ht="15">
      <c r="A794" t="s">
        <v>4104</v>
      </c>
      <c r="B794" t="str">
        <f>IF(COUNTIF(HCPs!M:M,HCP_evidence!A777)&gt;0,"Yes","No")</f>
        <v>Yes</v>
      </c>
      <c r="J794" t="s">
        <v>414</v>
      </c>
      <c r="K794" t="s">
        <v>414</v>
      </c>
      <c r="L794" t="s">
        <v>414</v>
      </c>
      <c r="M794" t="s">
        <v>4399</v>
      </c>
      <c r="N794" t="s">
        <v>4399</v>
      </c>
      <c r="O794" t="s">
        <v>5037</v>
      </c>
      <c r="P794" t="s">
        <v>4144</v>
      </c>
    </row>
    <row r="795" spans="1:31" ht="15">
      <c r="A795" s="13" t="s">
        <v>4104</v>
      </c>
      <c r="B795" t="str">
        <f>IF(COUNTIF(HCPs!M:M,HCP_evidence!A778)&gt;0,"Yes","No")</f>
        <v>Yes</v>
      </c>
      <c r="H795" s="13"/>
      <c r="J795" t="s">
        <v>4399</v>
      </c>
      <c r="K795" t="s">
        <v>414</v>
      </c>
      <c r="L795" t="s">
        <v>414</v>
      </c>
      <c r="M795" t="s">
        <v>414</v>
      </c>
      <c r="N795" t="s">
        <v>4399</v>
      </c>
      <c r="O795" s="13" t="s">
        <v>5051</v>
      </c>
      <c r="P795" t="s">
        <v>4158</v>
      </c>
    </row>
    <row r="796" spans="1:31" ht="15">
      <c r="A796" t="s">
        <v>444</v>
      </c>
      <c r="B796" t="str">
        <f>IF(COUNTIF(HCPs!M:M,HCP_evidence!A779)&gt;0,"Yes","No")</f>
        <v>Yes</v>
      </c>
      <c r="AE796" t="s">
        <v>503</v>
      </c>
    </row>
    <row r="797" spans="1:31" ht="15">
      <c r="A797" t="s">
        <v>4106</v>
      </c>
      <c r="B797" t="str">
        <f>IF(COUNTIF(HCPs!M:M,HCP_evidence!A780)&gt;0,"Yes","No")</f>
        <v>Yes</v>
      </c>
      <c r="J797" t="s">
        <v>4399</v>
      </c>
      <c r="K797" t="s">
        <v>4399</v>
      </c>
      <c r="L797" t="s">
        <v>414</v>
      </c>
      <c r="M797" t="s">
        <v>4399</v>
      </c>
      <c r="N797" t="s">
        <v>414</v>
      </c>
      <c r="O797" t="s">
        <v>5040</v>
      </c>
      <c r="P797" t="s">
        <v>4147</v>
      </c>
    </row>
    <row r="798" spans="1:31" ht="15">
      <c r="A798" t="s">
        <v>4107</v>
      </c>
      <c r="B798" t="str">
        <f>IF(COUNTIF(HCPs!M:M,HCP_evidence!A781)&gt;0,"Yes","No")</f>
        <v>Yes</v>
      </c>
      <c r="J798" t="s">
        <v>4399</v>
      </c>
      <c r="K798" t="s">
        <v>4399</v>
      </c>
      <c r="M798" t="s">
        <v>4399</v>
      </c>
      <c r="N798" t="s">
        <v>414</v>
      </c>
      <c r="O798" t="s">
        <v>5034</v>
      </c>
      <c r="P798" t="s">
        <v>4141</v>
      </c>
    </row>
    <row r="799" spans="1:31" ht="15">
      <c r="A799" t="s">
        <v>4107</v>
      </c>
      <c r="B799" t="str">
        <f>IF(COUNTIF(HCPs!M:M,HCP_evidence!A782)&gt;0,"Yes","No")</f>
        <v>Yes</v>
      </c>
      <c r="J799" t="s">
        <v>4399</v>
      </c>
      <c r="K799" t="s">
        <v>4399</v>
      </c>
      <c r="M799" t="s">
        <v>4399</v>
      </c>
      <c r="N799" t="s">
        <v>414</v>
      </c>
      <c r="O799" t="s">
        <v>5034</v>
      </c>
      <c r="P799" t="s">
        <v>4141</v>
      </c>
    </row>
    <row r="800" spans="1:31" ht="15">
      <c r="A800" t="s">
        <v>4108</v>
      </c>
      <c r="B800" t="str">
        <f>IF(COUNTIF(HCPs!M:M,HCP_evidence!A783)&gt;0,"Yes","No")</f>
        <v>Yes</v>
      </c>
      <c r="H800" s="74" t="s">
        <v>5064</v>
      </c>
      <c r="I800" t="s">
        <v>4170</v>
      </c>
      <c r="J800" t="s">
        <v>4399</v>
      </c>
      <c r="K800" t="s">
        <v>4399</v>
      </c>
      <c r="L800" t="s">
        <v>414</v>
      </c>
      <c r="M800" t="s">
        <v>4399</v>
      </c>
      <c r="N800" t="s">
        <v>414</v>
      </c>
    </row>
    <row r="801" spans="1:28" ht="15">
      <c r="A801" t="s">
        <v>4108</v>
      </c>
      <c r="B801" t="str">
        <f>IF(COUNTIF(HCPs!M:M,HCP_evidence!A784)&gt;0,"Yes","No")</f>
        <v>Yes</v>
      </c>
      <c r="H801" s="74" t="s">
        <v>5064</v>
      </c>
      <c r="I801" t="s">
        <v>4170</v>
      </c>
      <c r="J801" t="s">
        <v>4399</v>
      </c>
      <c r="K801" t="s">
        <v>4399</v>
      </c>
      <c r="L801" t="s">
        <v>414</v>
      </c>
      <c r="M801" t="s">
        <v>4399</v>
      </c>
      <c r="N801" t="s">
        <v>414</v>
      </c>
    </row>
    <row r="802" spans="1:28" ht="15">
      <c r="A802" t="s">
        <v>4108</v>
      </c>
      <c r="B802" t="str">
        <f>IF(COUNTIF(HCPs!M:M,HCP_evidence!A785)&gt;0,"Yes","No")</f>
        <v>Yes</v>
      </c>
      <c r="J802" t="s">
        <v>4399</v>
      </c>
      <c r="K802" t="s">
        <v>4399</v>
      </c>
      <c r="M802" t="s">
        <v>4399</v>
      </c>
      <c r="N802" t="s">
        <v>414</v>
      </c>
      <c r="O802" s="74" t="s">
        <v>5060</v>
      </c>
      <c r="P802" t="s">
        <v>4166</v>
      </c>
    </row>
    <row r="803" spans="1:28" ht="15">
      <c r="A803" t="s">
        <v>4108</v>
      </c>
      <c r="B803" t="str">
        <f>IF(COUNTIF(HCPs!M:M,HCP_evidence!A786)&gt;0,"Yes","No")</f>
        <v>Yes</v>
      </c>
      <c r="H803" s="74" t="s">
        <v>5030</v>
      </c>
      <c r="I803" t="s">
        <v>4136</v>
      </c>
      <c r="J803" t="s">
        <v>4399</v>
      </c>
      <c r="K803" t="s">
        <v>4399</v>
      </c>
      <c r="L803" t="s">
        <v>414</v>
      </c>
      <c r="M803" t="s">
        <v>4399</v>
      </c>
      <c r="N803" t="s">
        <v>414</v>
      </c>
    </row>
    <row r="804" spans="1:28" ht="15">
      <c r="A804" t="s">
        <v>4108</v>
      </c>
      <c r="B804" t="str">
        <f>IF(COUNTIF(HCPs!M:M,HCP_evidence!A787)&gt;0,"Yes","No")</f>
        <v>Yes</v>
      </c>
      <c r="D804" t="s">
        <v>4424</v>
      </c>
      <c r="E804" t="s">
        <v>4425</v>
      </c>
    </row>
    <row r="805" spans="1:28" ht="15">
      <c r="A805" t="s">
        <v>4108</v>
      </c>
      <c r="B805" t="str">
        <f>IF(COUNTIF(HCPs!M:M,HCP_evidence!A788)&gt;0,"Yes","No")</f>
        <v>Yes</v>
      </c>
      <c r="AB805" t="s">
        <v>4986</v>
      </c>
    </row>
    <row r="806" spans="1:28" ht="15">
      <c r="A806" t="s">
        <v>4108</v>
      </c>
      <c r="B806" t="str">
        <f>IF(COUNTIF(HCPs!M:M,HCP_evidence!A789)&gt;0,"Yes","No")</f>
        <v>No</v>
      </c>
      <c r="D806" t="s">
        <v>8137</v>
      </c>
      <c r="E806" t="s">
        <v>8138</v>
      </c>
    </row>
    <row r="807" spans="1:28" ht="15">
      <c r="A807" t="s">
        <v>4108</v>
      </c>
      <c r="B807" t="str">
        <f>IF(COUNTIF(HCPs!M:M,HCP_evidence!A790)&gt;0,"Yes","No")</f>
        <v>Yes</v>
      </c>
      <c r="F807" t="s">
        <v>8136</v>
      </c>
      <c r="G807" t="s">
        <v>7926</v>
      </c>
    </row>
    <row r="808" spans="1:28" ht="15">
      <c r="A808" t="s">
        <v>4108</v>
      </c>
      <c r="B808" t="str">
        <f>IF(COUNTIF(HCPs!M:M,HCP_evidence!A791)&gt;0,"Yes","No")</f>
        <v>Yes</v>
      </c>
      <c r="D808" t="s">
        <v>8173</v>
      </c>
      <c r="E808" t="s">
        <v>8174</v>
      </c>
    </row>
    <row r="809" spans="1:28" ht="15">
      <c r="A809" t="s">
        <v>7976</v>
      </c>
      <c r="B809" t="str">
        <f>IF(COUNTIF(HCPs!M:M,HCP_evidence!A792)&gt;0,"Yes","No")</f>
        <v>Yes</v>
      </c>
      <c r="F809" t="s">
        <v>8136</v>
      </c>
      <c r="G809" t="s">
        <v>7926</v>
      </c>
    </row>
    <row r="810" spans="1:28" ht="15">
      <c r="A810" t="s">
        <v>7953</v>
      </c>
      <c r="B810" t="str">
        <f>IF(COUNTIF(HCPs!M:M,HCP_evidence!A793)&gt;0,"Yes","No")</f>
        <v>Yes</v>
      </c>
      <c r="F810" t="s">
        <v>8136</v>
      </c>
      <c r="G810" t="s">
        <v>7926</v>
      </c>
    </row>
    <row r="811" spans="1:28" ht="15">
      <c r="A811" t="s">
        <v>4110</v>
      </c>
      <c r="B811" t="str">
        <f>IF(COUNTIF(HCPs!M:M,HCP_evidence!A794)&gt;0,"Yes","No")</f>
        <v>Yes</v>
      </c>
      <c r="J811" t="s">
        <v>4399</v>
      </c>
      <c r="K811" t="s">
        <v>4399</v>
      </c>
      <c r="M811" t="s">
        <v>4399</v>
      </c>
      <c r="N811" t="s">
        <v>414</v>
      </c>
      <c r="O811" t="s">
        <v>5107</v>
      </c>
      <c r="P811" t="s">
        <v>4213</v>
      </c>
    </row>
    <row r="812" spans="1:28" ht="15">
      <c r="A812" t="s">
        <v>4359</v>
      </c>
      <c r="B812" t="str">
        <f>IF(COUNTIF(HCPs!M:M,HCP_evidence!A795)&gt;0,"Yes","No")</f>
        <v>Yes</v>
      </c>
      <c r="AB812" t="s">
        <v>4657</v>
      </c>
    </row>
    <row r="813" spans="1:28">
      <c r="A813" t="s">
        <v>4359</v>
      </c>
      <c r="B813" t="str">
        <f>IF(COUNTIF(HCPs!M:M,HCP_evidence!A796)&gt;0,"Yes","No")</f>
        <v>Yes</v>
      </c>
      <c r="Z813" t="s">
        <v>4927</v>
      </c>
      <c r="AA813" t="s">
        <v>8111</v>
      </c>
    </row>
    <row r="814" spans="1:28" ht="15">
      <c r="A814" s="86" t="s">
        <v>1129</v>
      </c>
      <c r="B814" t="str">
        <f>IF(COUNTIF(HCPs!M:M,HCP_evidence!A797)&gt;0,"Yes","No")</f>
        <v>Yes</v>
      </c>
      <c r="H814" s="86" t="s">
        <v>892</v>
      </c>
      <c r="I814" t="s">
        <v>1170</v>
      </c>
      <c r="K814" t="s">
        <v>414</v>
      </c>
    </row>
    <row r="815" spans="1:28" ht="15">
      <c r="A815" t="s">
        <v>1129</v>
      </c>
      <c r="B815" t="str">
        <f>IF(COUNTIF(HCPs!M:M,HCP_evidence!A798)&gt;0,"Yes","No")</f>
        <v>Yes</v>
      </c>
      <c r="AB815" t="s">
        <v>8084</v>
      </c>
    </row>
    <row r="816" spans="1:28" ht="15">
      <c r="A816" s="13" t="s">
        <v>4111</v>
      </c>
      <c r="B816" t="str">
        <f>IF(COUNTIF(HCPs!M:M,HCP_evidence!A799)&gt;0,"Yes","No")</f>
        <v>Yes</v>
      </c>
      <c r="H816" s="13" t="s">
        <v>5076</v>
      </c>
      <c r="I816" t="s">
        <v>4182</v>
      </c>
      <c r="J816" t="s">
        <v>4399</v>
      </c>
      <c r="K816" t="s">
        <v>4399</v>
      </c>
      <c r="L816" t="s">
        <v>414</v>
      </c>
      <c r="M816" t="s">
        <v>4399</v>
      </c>
      <c r="N816" t="s">
        <v>414</v>
      </c>
    </row>
    <row r="817" spans="1:31" ht="15">
      <c r="A817" s="13" t="s">
        <v>4112</v>
      </c>
      <c r="B817" t="str">
        <f>IF(COUNTIF(HCPs!M:M,HCP_evidence!A800)&gt;0,"Yes","No")</f>
        <v>Yes</v>
      </c>
      <c r="H817" s="13" t="s">
        <v>5076</v>
      </c>
      <c r="I817" t="s">
        <v>4182</v>
      </c>
      <c r="J817" t="s">
        <v>4399</v>
      </c>
      <c r="K817" t="s">
        <v>4399</v>
      </c>
      <c r="L817" t="s">
        <v>414</v>
      </c>
      <c r="M817" t="s">
        <v>4399</v>
      </c>
      <c r="N817" t="s">
        <v>414</v>
      </c>
    </row>
    <row r="818" spans="1:31">
      <c r="A818" t="s">
        <v>8482</v>
      </c>
      <c r="B818" t="str">
        <f>IF(COUNTIF(HCPs!M:M,HCP_evidence!A801)&gt;0,"Yes","No")</f>
        <v>Yes</v>
      </c>
      <c r="Z818" t="s">
        <v>8483</v>
      </c>
      <c r="AA818" t="s">
        <v>8477</v>
      </c>
    </row>
    <row r="819" spans="1:31" ht="15">
      <c r="A819" t="s">
        <v>4114</v>
      </c>
      <c r="B819" t="str">
        <f>IF(COUNTIF(HCPs!M:M,HCP_evidence!A802)&gt;0,"Yes","No")</f>
        <v>Yes</v>
      </c>
      <c r="J819" t="s">
        <v>4399</v>
      </c>
      <c r="K819" t="s">
        <v>4399</v>
      </c>
      <c r="M819" t="s">
        <v>4399</v>
      </c>
      <c r="N819" t="s">
        <v>4399</v>
      </c>
      <c r="O819" t="s">
        <v>5083</v>
      </c>
      <c r="P819" t="s">
        <v>4189</v>
      </c>
    </row>
    <row r="820" spans="1:31" ht="15">
      <c r="A820" t="s">
        <v>4115</v>
      </c>
      <c r="B820" t="str">
        <f>IF(COUNTIF(HCPs!M:M,HCP_evidence!A803)&gt;0,"Yes","No")</f>
        <v>Yes</v>
      </c>
      <c r="J820" t="s">
        <v>4399</v>
      </c>
      <c r="K820" t="s">
        <v>4399</v>
      </c>
      <c r="M820" t="s">
        <v>4399</v>
      </c>
      <c r="N820" t="s">
        <v>414</v>
      </c>
      <c r="O820" t="s">
        <v>5034</v>
      </c>
      <c r="P820" t="s">
        <v>4141</v>
      </c>
    </row>
    <row r="821" spans="1:31" ht="15">
      <c r="A821" s="13" t="s">
        <v>1161</v>
      </c>
      <c r="B821" t="str">
        <f>IF(COUNTIF(HCPs!M:M,HCP_evidence!A804)&gt;0,"Yes","No")</f>
        <v>Yes</v>
      </c>
      <c r="H821" s="13" t="s">
        <v>990</v>
      </c>
      <c r="I821" s="9" t="s">
        <v>1170</v>
      </c>
      <c r="K821" t="s">
        <v>414</v>
      </c>
    </row>
    <row r="822" spans="1:31" ht="15">
      <c r="A822" t="s">
        <v>8210</v>
      </c>
      <c r="B822" t="str">
        <f>IF(COUNTIF(HCPs!M:M,HCP_evidence!A805)&gt;0,"Yes","No")</f>
        <v>Yes</v>
      </c>
      <c r="AB822" t="s">
        <v>8211</v>
      </c>
    </row>
    <row r="823" spans="1:31" ht="15">
      <c r="A823" t="s">
        <v>4116</v>
      </c>
      <c r="B823" t="str">
        <f>IF(COUNTIF(HCPs!M:M,HCP_evidence!A806)&gt;0,"Yes","No")</f>
        <v>Yes</v>
      </c>
      <c r="J823" t="s">
        <v>4399</v>
      </c>
      <c r="K823" t="s">
        <v>4399</v>
      </c>
      <c r="M823" t="s">
        <v>4399</v>
      </c>
      <c r="N823" t="s">
        <v>414</v>
      </c>
      <c r="O823" t="s">
        <v>5034</v>
      </c>
      <c r="P823" t="s">
        <v>4141</v>
      </c>
    </row>
    <row r="824" spans="1:31" ht="15">
      <c r="A824" t="s">
        <v>4116</v>
      </c>
      <c r="B824" t="str">
        <f>IF(COUNTIF(HCPs!M:M,HCP_evidence!A807)&gt;0,"Yes","No")</f>
        <v>Yes</v>
      </c>
      <c r="J824" t="s">
        <v>4399</v>
      </c>
      <c r="K824" t="s">
        <v>4399</v>
      </c>
      <c r="M824" t="s">
        <v>4399</v>
      </c>
      <c r="N824" t="s">
        <v>414</v>
      </c>
      <c r="O824" t="s">
        <v>5034</v>
      </c>
      <c r="P824" t="s">
        <v>4141</v>
      </c>
    </row>
    <row r="825" spans="1:31" ht="15">
      <c r="A825" t="s">
        <v>447</v>
      </c>
      <c r="B825" t="str">
        <f>IF(COUNTIF(HCPs!M:M,HCP_evidence!A808)&gt;0,"Yes","No")</f>
        <v>Yes</v>
      </c>
      <c r="AE825" t="s">
        <v>503</v>
      </c>
    </row>
    <row r="826" spans="1:31" ht="15">
      <c r="A826" t="s">
        <v>447</v>
      </c>
      <c r="B826" t="str">
        <f>IF(COUNTIF(HCPs!M:M,HCP_evidence!A809)&gt;0,"Yes","No")</f>
        <v>Yes</v>
      </c>
      <c r="D826" t="s">
        <v>8136</v>
      </c>
      <c r="E826" t="s">
        <v>7926</v>
      </c>
    </row>
    <row r="827" spans="1:31" ht="15">
      <c r="A827" s="74" t="s">
        <v>4117</v>
      </c>
      <c r="B827" t="str">
        <f>IF(COUNTIF(HCPs!M:M,HCP_evidence!A810)&gt;0,"Yes","No")</f>
        <v>Yes</v>
      </c>
      <c r="H827" s="74" t="s">
        <v>5039</v>
      </c>
      <c r="I827" t="s">
        <v>4146</v>
      </c>
      <c r="J827" t="s">
        <v>4399</v>
      </c>
      <c r="K827" t="s">
        <v>4399</v>
      </c>
      <c r="L827" t="s">
        <v>414</v>
      </c>
      <c r="M827" t="s">
        <v>4399</v>
      </c>
      <c r="N827" t="s">
        <v>414</v>
      </c>
    </row>
    <row r="828" spans="1:31" ht="15">
      <c r="A828" s="13" t="s">
        <v>482</v>
      </c>
      <c r="B828" t="str">
        <f>IF(COUNTIF(HCPs!M:M,HCP_evidence!A811)&gt;0,"Yes","No")</f>
        <v>Yes</v>
      </c>
      <c r="H828" s="13" t="s">
        <v>5053</v>
      </c>
      <c r="I828" t="s">
        <v>4160</v>
      </c>
      <c r="J828" t="s">
        <v>4399</v>
      </c>
      <c r="K828" t="s">
        <v>4399</v>
      </c>
      <c r="L828" t="s">
        <v>414</v>
      </c>
      <c r="M828" t="s">
        <v>4399</v>
      </c>
      <c r="N828" t="s">
        <v>4399</v>
      </c>
    </row>
    <row r="829" spans="1:31" ht="15">
      <c r="A829" s="74" t="s">
        <v>482</v>
      </c>
      <c r="B829" t="str">
        <f>IF(COUNTIF(HCPs!M:M,HCP_evidence!A812)&gt;0,"Yes","No")</f>
        <v>Yes</v>
      </c>
      <c r="H829" s="74" t="s">
        <v>5076</v>
      </c>
      <c r="I829" t="s">
        <v>4182</v>
      </c>
      <c r="J829" t="s">
        <v>4399</v>
      </c>
      <c r="K829" t="s">
        <v>4399</v>
      </c>
      <c r="L829" t="s">
        <v>414</v>
      </c>
      <c r="M829" t="s">
        <v>4399</v>
      </c>
      <c r="N829" t="s">
        <v>414</v>
      </c>
    </row>
    <row r="830" spans="1:31" ht="15">
      <c r="A830" s="74" t="s">
        <v>482</v>
      </c>
      <c r="B830" t="str">
        <f>IF(COUNTIF(HCPs!M:M,HCP_evidence!A813)&gt;0,"Yes","No")</f>
        <v>Yes</v>
      </c>
      <c r="H830" s="74" t="s">
        <v>5030</v>
      </c>
      <c r="I830" t="s">
        <v>4136</v>
      </c>
      <c r="J830" t="s">
        <v>4399</v>
      </c>
      <c r="K830" t="s">
        <v>4399</v>
      </c>
      <c r="L830" t="s">
        <v>414</v>
      </c>
      <c r="M830" t="s">
        <v>4399</v>
      </c>
      <c r="N830" t="s">
        <v>414</v>
      </c>
    </row>
    <row r="831" spans="1:31" ht="15">
      <c r="A831" s="74" t="s">
        <v>482</v>
      </c>
      <c r="B831" t="str">
        <f>IF(COUNTIF(HCPs!M:M,HCP_evidence!A814)&gt;0,"Yes","No")</f>
        <v>Yes</v>
      </c>
      <c r="AE831" t="s">
        <v>503</v>
      </c>
    </row>
    <row r="832" spans="1:31" ht="15">
      <c r="A832" t="s">
        <v>482</v>
      </c>
      <c r="B832" t="str">
        <f>IF(COUNTIF(HCPs!M:M,HCP_evidence!A815)&gt;0,"Yes","No")</f>
        <v>Yes</v>
      </c>
      <c r="D832" t="s">
        <v>8136</v>
      </c>
      <c r="E832" t="s">
        <v>7926</v>
      </c>
    </row>
    <row r="833" spans="1:29" ht="15">
      <c r="A833" t="s">
        <v>7987</v>
      </c>
      <c r="B833" t="str">
        <f>IF(COUNTIF(HCPs!M:M,HCP_evidence!A816)&gt;0,"Yes","No")</f>
        <v>Yes</v>
      </c>
      <c r="F833" t="s">
        <v>8136</v>
      </c>
      <c r="G833" t="s">
        <v>7926</v>
      </c>
    </row>
    <row r="834" spans="1:29">
      <c r="A834" t="s">
        <v>7987</v>
      </c>
      <c r="B834" t="str">
        <f>IF(COUNTIF(HCPs!M:M,HCP_evidence!A817)&gt;0,"Yes","No")</f>
        <v>Yes</v>
      </c>
      <c r="Z834" t="s">
        <v>8187</v>
      </c>
      <c r="AA834" t="s">
        <v>8178</v>
      </c>
    </row>
    <row r="835" spans="1:29" ht="15">
      <c r="A835" t="s">
        <v>4118</v>
      </c>
      <c r="B835" t="str">
        <f>IF(COUNTIF(HCPs!M:M,HCP_evidence!A818)&gt;0,"Yes","No")</f>
        <v>Yes</v>
      </c>
      <c r="J835" t="s">
        <v>4399</v>
      </c>
      <c r="K835" t="s">
        <v>414</v>
      </c>
      <c r="L835" t="s">
        <v>414</v>
      </c>
      <c r="M835" t="s">
        <v>4399</v>
      </c>
      <c r="N835" t="s">
        <v>4399</v>
      </c>
      <c r="O835" t="s">
        <v>5075</v>
      </c>
      <c r="P835" t="s">
        <v>4181</v>
      </c>
    </row>
    <row r="836" spans="1:29" ht="15">
      <c r="A836" t="s">
        <v>4119</v>
      </c>
      <c r="B836" t="str">
        <f>IF(COUNTIF(HCPs!M:M,HCP_evidence!A819)&gt;0,"Yes","No")</f>
        <v>No</v>
      </c>
      <c r="J836" t="s">
        <v>4399</v>
      </c>
      <c r="K836" t="s">
        <v>414</v>
      </c>
      <c r="M836" t="s">
        <v>4399</v>
      </c>
      <c r="N836" t="s">
        <v>4399</v>
      </c>
      <c r="O836" t="s">
        <v>5108</v>
      </c>
      <c r="P836" t="s">
        <v>4214</v>
      </c>
    </row>
    <row r="837" spans="1:29" ht="15">
      <c r="A837" t="s">
        <v>4119</v>
      </c>
      <c r="B837" t="str">
        <f>IF(COUNTIF(HCPs!M:M,HCP_evidence!A820)&gt;0,"Yes","No")</f>
        <v>Yes</v>
      </c>
      <c r="J837" t="s">
        <v>4399</v>
      </c>
      <c r="K837" t="s">
        <v>4399</v>
      </c>
      <c r="L837" t="s">
        <v>414</v>
      </c>
      <c r="M837" t="s">
        <v>4399</v>
      </c>
      <c r="N837" t="s">
        <v>414</v>
      </c>
      <c r="O837" t="s">
        <v>5040</v>
      </c>
      <c r="P837" t="s">
        <v>4147</v>
      </c>
    </row>
    <row r="838" spans="1:29" ht="15">
      <c r="A838" s="74" t="s">
        <v>8621</v>
      </c>
      <c r="B838" t="str">
        <f>IF(COUNTIF(HCPs!M:M,HCP_evidence!A821)&gt;0,"Yes","No")</f>
        <v>Yes</v>
      </c>
      <c r="J838" t="s">
        <v>414</v>
      </c>
      <c r="K838" t="s">
        <v>414</v>
      </c>
      <c r="M838" t="s">
        <v>4399</v>
      </c>
      <c r="N838" t="s">
        <v>4399</v>
      </c>
      <c r="O838" s="74" t="s">
        <v>5096</v>
      </c>
      <c r="P838" t="s">
        <v>4202</v>
      </c>
    </row>
    <row r="839" spans="1:29" ht="15">
      <c r="A839" s="74" t="s">
        <v>8621</v>
      </c>
      <c r="B839" t="str">
        <f>IF(COUNTIF(HCPs!M:M,HCP_evidence!A822)&gt;0,"Yes","No")</f>
        <v>Yes</v>
      </c>
      <c r="J839" t="s">
        <v>414</v>
      </c>
      <c r="K839" t="s">
        <v>414</v>
      </c>
      <c r="L839" t="s">
        <v>414</v>
      </c>
      <c r="M839" t="s">
        <v>4399</v>
      </c>
      <c r="N839" t="s">
        <v>4399</v>
      </c>
      <c r="O839" s="74" t="s">
        <v>5037</v>
      </c>
      <c r="P839" t="s">
        <v>4144</v>
      </c>
    </row>
    <row r="840" spans="1:29" ht="15">
      <c r="A840" s="74" t="s">
        <v>8621</v>
      </c>
      <c r="B840" t="str">
        <f>IF(COUNTIF(HCPs!M:M,HCP_evidence!A823)&gt;0,"Yes","No")</f>
        <v>Yes</v>
      </c>
      <c r="J840" t="s">
        <v>4399</v>
      </c>
      <c r="K840" t="s">
        <v>4399</v>
      </c>
      <c r="M840" t="s">
        <v>4399</v>
      </c>
      <c r="N840" t="s">
        <v>4399</v>
      </c>
      <c r="O840" s="74" t="s">
        <v>5063</v>
      </c>
      <c r="P840" t="s">
        <v>4169</v>
      </c>
    </row>
    <row r="841" spans="1:29" ht="15">
      <c r="A841" s="74" t="s">
        <v>8621</v>
      </c>
      <c r="B841" t="str">
        <f>IF(COUNTIF(HCPs!M:M,HCP_evidence!A824)&gt;0,"Yes","No")</f>
        <v>Yes</v>
      </c>
      <c r="AB841" t="s">
        <v>8053</v>
      </c>
    </row>
    <row r="842" spans="1:29" ht="15">
      <c r="A842" t="s">
        <v>492</v>
      </c>
      <c r="B842" t="str">
        <f>IF(COUNTIF(HCPs!M:M,HCP_evidence!A825)&gt;0,"Yes","No")</f>
        <v>No</v>
      </c>
      <c r="AC842" t="s">
        <v>498</v>
      </c>
    </row>
    <row r="843" spans="1:29" ht="15">
      <c r="A843" t="s">
        <v>492</v>
      </c>
      <c r="B843" t="str">
        <f>IF(COUNTIF(HCPs!M:M,HCP_evidence!A826)&gt;0,"Yes","No")</f>
        <v>No</v>
      </c>
      <c r="D843" t="s">
        <v>4406</v>
      </c>
      <c r="E843" t="s">
        <v>4407</v>
      </c>
    </row>
    <row r="844" spans="1:29" ht="15">
      <c r="A844" t="s">
        <v>492</v>
      </c>
      <c r="B844" t="str">
        <f>IF(COUNTIF(HCPs!M:M,HCP_evidence!A827)&gt;0,"Yes","No")</f>
        <v>Yes</v>
      </c>
      <c r="D844" t="s">
        <v>4408</v>
      </c>
      <c r="E844" t="s">
        <v>4409</v>
      </c>
    </row>
    <row r="845" spans="1:29" ht="15">
      <c r="A845" t="s">
        <v>492</v>
      </c>
      <c r="B845" t="str">
        <f>IF(COUNTIF(HCPs!M:M,HCP_evidence!A828)&gt;0,"Yes","No")</f>
        <v>Yes</v>
      </c>
      <c r="D845" t="s">
        <v>4410</v>
      </c>
      <c r="E845" t="s">
        <v>4411</v>
      </c>
    </row>
    <row r="846" spans="1:29">
      <c r="A846" t="s">
        <v>492</v>
      </c>
      <c r="B846" t="str">
        <f>IF(COUNTIF(HCPs!M:M,HCP_evidence!A829)&gt;0,"Yes","No")</f>
        <v>Yes</v>
      </c>
      <c r="Z846" t="s">
        <v>8128</v>
      </c>
      <c r="AA846" t="s">
        <v>8111</v>
      </c>
    </row>
    <row r="847" spans="1:29" ht="15">
      <c r="A847" t="s">
        <v>492</v>
      </c>
      <c r="B847" t="str">
        <f>IF(COUNTIF(HCPs!M:M,HCP_evidence!A830)&gt;0,"Yes","No")</f>
        <v>Yes</v>
      </c>
      <c r="D847" t="s">
        <v>8137</v>
      </c>
      <c r="E847" t="s">
        <v>8138</v>
      </c>
    </row>
    <row r="848" spans="1:29" ht="15">
      <c r="A848" t="s">
        <v>492</v>
      </c>
      <c r="B848" t="str">
        <f>IF(COUNTIF(HCPs!M:M,HCP_evidence!A831)&gt;0,"Yes","No")</f>
        <v>Yes</v>
      </c>
      <c r="F848" t="s">
        <v>8136</v>
      </c>
      <c r="G848" t="s">
        <v>7926</v>
      </c>
    </row>
    <row r="849" spans="1:31" ht="15">
      <c r="A849" t="s">
        <v>492</v>
      </c>
      <c r="B849" t="str">
        <f>IF(COUNTIF(HCPs!M:M,HCP_evidence!A832)&gt;0,"Yes","No")</f>
        <v>Yes</v>
      </c>
      <c r="D849" t="s">
        <v>8173</v>
      </c>
      <c r="E849" t="s">
        <v>8174</v>
      </c>
    </row>
    <row r="850" spans="1:31" ht="15">
      <c r="A850" t="s">
        <v>4353</v>
      </c>
      <c r="B850" t="str">
        <f>IF(COUNTIF(HCPs!M:M,HCP_evidence!A833)&gt;0,"Yes","No")</f>
        <v>Yes</v>
      </c>
      <c r="F850" t="s">
        <v>8136</v>
      </c>
      <c r="G850" t="s">
        <v>7926</v>
      </c>
    </row>
    <row r="851" spans="1:31" ht="15">
      <c r="A851" t="s">
        <v>4353</v>
      </c>
      <c r="B851" t="str">
        <f>IF(COUNTIF(HCPs!M:M,HCP_evidence!A834)&gt;0,"Yes","No")</f>
        <v>Yes</v>
      </c>
      <c r="F851" t="s">
        <v>8137</v>
      </c>
      <c r="G851" t="s">
        <v>8138</v>
      </c>
    </row>
    <row r="852" spans="1:31" ht="15">
      <c r="A852" t="s">
        <v>1139</v>
      </c>
      <c r="B852" t="str">
        <f>IF(COUNTIF(HCPs!M:M,HCP_evidence!A835)&gt;0,"Yes","No")</f>
        <v>Yes</v>
      </c>
      <c r="H852" s="75" t="s">
        <v>892</v>
      </c>
      <c r="I852" t="s">
        <v>1170</v>
      </c>
      <c r="K852" t="s">
        <v>414</v>
      </c>
    </row>
    <row r="853" spans="1:31" ht="15">
      <c r="A853" t="s">
        <v>4121</v>
      </c>
      <c r="B853" t="str">
        <f>IF(COUNTIF(HCPs!M:M,HCP_evidence!A836)&gt;0,"Yes","No")</f>
        <v>Yes</v>
      </c>
      <c r="J853" t="s">
        <v>414</v>
      </c>
      <c r="K853" t="s">
        <v>414</v>
      </c>
      <c r="M853" t="s">
        <v>4399</v>
      </c>
      <c r="N853" t="s">
        <v>4399</v>
      </c>
      <c r="O853" t="s">
        <v>5096</v>
      </c>
      <c r="P853" t="s">
        <v>4202</v>
      </c>
    </row>
    <row r="854" spans="1:31" ht="15">
      <c r="A854" t="s">
        <v>4121</v>
      </c>
      <c r="B854" t="str">
        <f>IF(COUNTIF(HCPs!M:M,HCP_evidence!A837)&gt;0,"Yes","No")</f>
        <v>Yes</v>
      </c>
      <c r="AB854" t="s">
        <v>8028</v>
      </c>
    </row>
    <row r="855" spans="1:31" ht="15">
      <c r="A855" t="s">
        <v>4121</v>
      </c>
      <c r="B855" t="str">
        <f>IF(COUNTIF(HCPs!M:M,HCP_evidence!A838)&gt;0,"Yes","No")</f>
        <v>Yes</v>
      </c>
      <c r="F855" t="s">
        <v>8136</v>
      </c>
      <c r="G855" t="s">
        <v>7926</v>
      </c>
    </row>
    <row r="856" spans="1:31" ht="15">
      <c r="A856" s="13" t="s">
        <v>479</v>
      </c>
      <c r="B856" t="str">
        <f>IF(COUNTIF(HCPs!M:M,HCP_evidence!A839)&gt;0,"Yes","No")</f>
        <v>Yes</v>
      </c>
      <c r="H856" s="13" t="s">
        <v>5109</v>
      </c>
      <c r="I856" t="s">
        <v>4215</v>
      </c>
      <c r="J856" t="s">
        <v>4399</v>
      </c>
      <c r="K856" t="s">
        <v>414</v>
      </c>
      <c r="L856" t="s">
        <v>414</v>
      </c>
      <c r="M856" t="s">
        <v>4399</v>
      </c>
      <c r="N856" t="s">
        <v>414</v>
      </c>
    </row>
    <row r="857" spans="1:31" ht="15">
      <c r="A857" t="s">
        <v>479</v>
      </c>
      <c r="B857" t="str">
        <f>IF(COUNTIF(HCPs!M:M,HCP_evidence!A840)&gt;0,"Yes","No")</f>
        <v>Yes</v>
      </c>
      <c r="AE857" t="s">
        <v>503</v>
      </c>
    </row>
    <row r="858" spans="1:31" ht="15">
      <c r="A858" s="74" t="s">
        <v>4123</v>
      </c>
      <c r="B858" t="str">
        <f>IF(COUNTIF(HCPs!M:M,HCP_evidence!A841)&gt;0,"Yes","No")</f>
        <v>Yes</v>
      </c>
      <c r="H858" s="74" t="s">
        <v>5064</v>
      </c>
      <c r="I858" t="s">
        <v>4170</v>
      </c>
      <c r="J858" t="s">
        <v>4399</v>
      </c>
      <c r="K858" t="s">
        <v>4399</v>
      </c>
      <c r="L858" t="s">
        <v>414</v>
      </c>
      <c r="M858" t="s">
        <v>4399</v>
      </c>
      <c r="N858" t="s">
        <v>414</v>
      </c>
    </row>
    <row r="859" spans="1:31" ht="15">
      <c r="A859" s="74" t="s">
        <v>4123</v>
      </c>
      <c r="B859" t="str">
        <f>IF(COUNTIF(HCPs!M:M,HCP_evidence!A842)&gt;0,"Yes","No")</f>
        <v>Yes</v>
      </c>
      <c r="H859" s="74" t="s">
        <v>5064</v>
      </c>
      <c r="I859" t="s">
        <v>4170</v>
      </c>
      <c r="J859" t="s">
        <v>4399</v>
      </c>
      <c r="K859" t="s">
        <v>4399</v>
      </c>
      <c r="L859" t="s">
        <v>414</v>
      </c>
      <c r="M859" t="s">
        <v>4399</v>
      </c>
      <c r="N859" t="s">
        <v>414</v>
      </c>
    </row>
    <row r="860" spans="1:31" ht="15">
      <c r="A860" s="74" t="s">
        <v>4123</v>
      </c>
      <c r="B860" t="str">
        <f>IF(COUNTIF(HCPs!M:M,HCP_evidence!A843)&gt;0,"Yes","No")</f>
        <v>Yes</v>
      </c>
      <c r="J860" t="s">
        <v>4399</v>
      </c>
      <c r="K860" t="s">
        <v>4399</v>
      </c>
      <c r="M860" t="s">
        <v>4399</v>
      </c>
      <c r="N860" t="s">
        <v>414</v>
      </c>
      <c r="O860" s="74" t="s">
        <v>5034</v>
      </c>
      <c r="P860" t="s">
        <v>4141</v>
      </c>
    </row>
    <row r="861" spans="1:31" ht="15">
      <c r="A861" s="74" t="s">
        <v>4123</v>
      </c>
      <c r="B861" t="str">
        <f>IF(COUNTIF(HCPs!M:M,HCP_evidence!A844)&gt;0,"Yes","No")</f>
        <v>Yes</v>
      </c>
      <c r="J861" t="s">
        <v>4399</v>
      </c>
      <c r="K861" t="s">
        <v>4399</v>
      </c>
      <c r="M861" t="s">
        <v>4399</v>
      </c>
      <c r="N861" t="s">
        <v>414</v>
      </c>
      <c r="O861" s="74" t="s">
        <v>5034</v>
      </c>
      <c r="P861" t="s">
        <v>4141</v>
      </c>
    </row>
    <row r="862" spans="1:31" ht="15">
      <c r="A862" t="s">
        <v>4255</v>
      </c>
      <c r="B862" t="str">
        <f>IF(COUNTIF(HCPs!M:M,HCP_evidence!A845)&gt;0,"Yes","No")</f>
        <v>Yes</v>
      </c>
      <c r="F862" t="s">
        <v>8137</v>
      </c>
      <c r="G862" t="s">
        <v>8138</v>
      </c>
    </row>
    <row r="863" spans="1:31" ht="15">
      <c r="A863" s="74" t="s">
        <v>4124</v>
      </c>
      <c r="B863" t="str">
        <f>IF(COUNTIF(HCPs!M:M,HCP_evidence!A846)&gt;0,"Yes","No")</f>
        <v>Yes</v>
      </c>
      <c r="H863" s="74" t="s">
        <v>5076</v>
      </c>
      <c r="I863" t="s">
        <v>4182</v>
      </c>
      <c r="J863" t="s">
        <v>4399</v>
      </c>
      <c r="K863" t="s">
        <v>4399</v>
      </c>
      <c r="L863" t="s">
        <v>414</v>
      </c>
      <c r="M863" t="s">
        <v>4399</v>
      </c>
      <c r="N863" t="s">
        <v>414</v>
      </c>
    </row>
    <row r="864" spans="1:31" ht="15">
      <c r="A864" s="74" t="s">
        <v>4124</v>
      </c>
      <c r="B864" t="str">
        <f>IF(COUNTIF(HCPs!M:M,HCP_evidence!A847)&gt;0,"Yes","No")</f>
        <v>Yes</v>
      </c>
      <c r="H864" s="74" t="s">
        <v>5030</v>
      </c>
      <c r="I864" t="s">
        <v>4136</v>
      </c>
      <c r="J864" t="s">
        <v>4399</v>
      </c>
      <c r="K864" t="s">
        <v>4399</v>
      </c>
      <c r="L864" t="s">
        <v>414</v>
      </c>
      <c r="M864" t="s">
        <v>4399</v>
      </c>
      <c r="N864" t="s">
        <v>414</v>
      </c>
    </row>
    <row r="865" spans="1:32" ht="15">
      <c r="A865" s="74" t="s">
        <v>4124</v>
      </c>
      <c r="B865" t="str">
        <f>IF(COUNTIF(HCPs!M:M,HCP_evidence!A848)&gt;0,"Yes","No")</f>
        <v>Yes</v>
      </c>
      <c r="AB865" t="s">
        <v>4986</v>
      </c>
    </row>
    <row r="866" spans="1:32">
      <c r="A866" t="s">
        <v>4124</v>
      </c>
      <c r="B866" t="str">
        <f>IF(COUNTIF(HCPs!M:M,HCP_evidence!A849)&gt;0,"Yes","No")</f>
        <v>Yes</v>
      </c>
      <c r="Z866" t="s">
        <v>8134</v>
      </c>
      <c r="AA866" t="s">
        <v>8111</v>
      </c>
    </row>
    <row r="867" spans="1:32" ht="15">
      <c r="A867" t="s">
        <v>4125</v>
      </c>
      <c r="B867" t="str">
        <f>IF(COUNTIF(HCPs!M:M,HCP_evidence!A850)&gt;0,"Yes","No")</f>
        <v>Yes</v>
      </c>
      <c r="J867" t="s">
        <v>4399</v>
      </c>
      <c r="K867" t="s">
        <v>4399</v>
      </c>
      <c r="M867" t="s">
        <v>4399</v>
      </c>
      <c r="N867" t="s">
        <v>414</v>
      </c>
      <c r="O867" t="s">
        <v>5110</v>
      </c>
      <c r="P867" t="s">
        <v>4216</v>
      </c>
    </row>
    <row r="868" spans="1:32" ht="15">
      <c r="A868" t="s">
        <v>4260</v>
      </c>
      <c r="B868" t="str">
        <f>IF(COUNTIF(HCPs!M:M,HCP_evidence!A851)&gt;0,"Yes","No")</f>
        <v>Yes</v>
      </c>
      <c r="F868" t="s">
        <v>8136</v>
      </c>
      <c r="G868" t="s">
        <v>7926</v>
      </c>
    </row>
    <row r="869" spans="1:32" ht="15">
      <c r="A869" s="13" t="s">
        <v>4129</v>
      </c>
      <c r="B869" t="str">
        <f>IF(COUNTIF(HCPs!M:M,HCP_evidence!A852)&gt;0,"Yes","No")</f>
        <v>Yes</v>
      </c>
      <c r="H869" s="13" t="s">
        <v>5077</v>
      </c>
      <c r="I869" t="s">
        <v>4183</v>
      </c>
      <c r="J869" t="s">
        <v>4399</v>
      </c>
      <c r="K869" t="s">
        <v>4399</v>
      </c>
      <c r="M869" t="s">
        <v>4399</v>
      </c>
      <c r="N869" t="s">
        <v>4399</v>
      </c>
    </row>
    <row r="870" spans="1:32" ht="15">
      <c r="A870" s="13" t="s">
        <v>4129</v>
      </c>
      <c r="B870" t="str">
        <f>IF(COUNTIF(HCPs!M:M,HCP_evidence!A853)&gt;0,"Yes","No")</f>
        <v>Yes</v>
      </c>
      <c r="H870" s="13"/>
      <c r="J870" t="s">
        <v>4399</v>
      </c>
      <c r="K870" t="s">
        <v>414</v>
      </c>
      <c r="L870" t="s">
        <v>414</v>
      </c>
      <c r="M870" t="s">
        <v>414</v>
      </c>
      <c r="N870" t="s">
        <v>4399</v>
      </c>
      <c r="O870" s="13" t="s">
        <v>5051</v>
      </c>
      <c r="P870" t="s">
        <v>4158</v>
      </c>
    </row>
    <row r="871" spans="1:32" ht="15">
      <c r="A871" t="s">
        <v>4130</v>
      </c>
      <c r="B871" t="str">
        <f>IF(COUNTIF(HCPs!M:M,HCP_evidence!A854)&gt;0,"Yes","No")</f>
        <v>Yes</v>
      </c>
      <c r="J871" t="s">
        <v>4399</v>
      </c>
      <c r="K871" t="s">
        <v>4399</v>
      </c>
      <c r="M871" t="s">
        <v>4399</v>
      </c>
      <c r="N871" t="s">
        <v>414</v>
      </c>
      <c r="O871" t="s">
        <v>5034</v>
      </c>
      <c r="P871" t="s">
        <v>4141</v>
      </c>
    </row>
    <row r="872" spans="1:32" ht="15">
      <c r="A872" t="s">
        <v>4131</v>
      </c>
      <c r="B872" t="str">
        <f>IF(COUNTIF(HCPs!M:M,HCP_evidence!A855)&gt;0,"Yes","No")</f>
        <v>Yes</v>
      </c>
      <c r="J872" t="s">
        <v>414</v>
      </c>
      <c r="K872" t="s">
        <v>414</v>
      </c>
      <c r="L872" t="s">
        <v>414</v>
      </c>
      <c r="M872" t="s">
        <v>4399</v>
      </c>
      <c r="N872" t="s">
        <v>4399</v>
      </c>
      <c r="O872" t="s">
        <v>5037</v>
      </c>
      <c r="P872" t="s">
        <v>4144</v>
      </c>
    </row>
    <row r="873" spans="1:32" ht="15">
      <c r="A873" t="s">
        <v>1125</v>
      </c>
      <c r="B873" t="str">
        <f>IF(COUNTIF(HCPs!M:M,HCP_evidence!A856)&gt;0,"Yes","No")</f>
        <v>Yes</v>
      </c>
      <c r="H873" s="75" t="s">
        <v>892</v>
      </c>
      <c r="I873" t="s">
        <v>1170</v>
      </c>
      <c r="K873" t="s">
        <v>414</v>
      </c>
    </row>
    <row r="874" spans="1:32" ht="15">
      <c r="A874" t="s">
        <v>508</v>
      </c>
      <c r="B874" t="str">
        <f>IF(COUNTIF(HCPs!M:M,HCP_evidence!A857)&gt;0,"Yes","No")</f>
        <v>Yes</v>
      </c>
      <c r="H874" s="75" t="s">
        <v>801</v>
      </c>
      <c r="I874" t="s">
        <v>1170</v>
      </c>
      <c r="L874" t="s">
        <v>414</v>
      </c>
    </row>
    <row r="875" spans="1:32" ht="15">
      <c r="A875" t="s">
        <v>508</v>
      </c>
      <c r="B875" t="str">
        <f>IF(COUNTIF(HCPs!M:M,HCP_evidence!A858)&gt;0,"Yes","No")</f>
        <v>Yes</v>
      </c>
      <c r="AF875" t="s">
        <v>519</v>
      </c>
    </row>
    <row r="876" spans="1:32" ht="15">
      <c r="A876" s="13" t="s">
        <v>439</v>
      </c>
      <c r="B876" t="str">
        <f>IF(COUNTIF(HCPs!M:M,HCP_evidence!A859)&gt;0,"Yes","No")</f>
        <v>Yes</v>
      </c>
      <c r="H876" s="13" t="s">
        <v>5053</v>
      </c>
      <c r="I876" t="s">
        <v>4160</v>
      </c>
      <c r="J876" t="s">
        <v>4399</v>
      </c>
      <c r="K876" t="s">
        <v>4399</v>
      </c>
      <c r="L876" t="s">
        <v>414</v>
      </c>
      <c r="M876" t="s">
        <v>4399</v>
      </c>
      <c r="N876" t="s">
        <v>4399</v>
      </c>
    </row>
    <row r="877" spans="1:32" ht="15">
      <c r="A877" s="13" t="s">
        <v>439</v>
      </c>
      <c r="B877" t="str">
        <f>IF(COUNTIF(HCPs!M:M,HCP_evidence!A860)&gt;0,"Yes","No")</f>
        <v>Yes</v>
      </c>
      <c r="AE877" t="s">
        <v>503</v>
      </c>
    </row>
    <row r="878" spans="1:32" ht="15">
      <c r="A878" s="95" t="s">
        <v>4252</v>
      </c>
      <c r="B878" t="str">
        <f>IF(COUNTIF(HCPs!M:M,HCP_evidence!A861)&gt;0,"Yes","No")</f>
        <v>Yes</v>
      </c>
      <c r="AB878" t="s">
        <v>4620</v>
      </c>
    </row>
    <row r="879" spans="1:32" ht="15">
      <c r="A879" s="95" t="s">
        <v>4252</v>
      </c>
      <c r="B879" t="str">
        <f>IF(COUNTIF(HCPs!M:M,HCP_evidence!A862)&gt;0,"Yes","No")</f>
        <v>Yes</v>
      </c>
      <c r="AF879" t="s">
        <v>519</v>
      </c>
    </row>
    <row r="880" spans="1:32" ht="15">
      <c r="A880" s="95" t="s">
        <v>4252</v>
      </c>
      <c r="B880" t="str">
        <f>IF(COUNTIF(HCPs!M:M,HCP_evidence!A863)&gt;0,"Yes","No")</f>
        <v>Yes</v>
      </c>
      <c r="D880" t="s">
        <v>8136</v>
      </c>
      <c r="E880" t="s">
        <v>7926</v>
      </c>
    </row>
    <row r="881" spans="1:28">
      <c r="A881" t="s">
        <v>5142</v>
      </c>
      <c r="B881" t="str">
        <f>IF(COUNTIF(HCPs!M:M,HCP_evidence!A864)&gt;0,"Yes","No")</f>
        <v>Yes</v>
      </c>
      <c r="Z881" t="s">
        <v>5140</v>
      </c>
      <c r="AA881" t="s">
        <v>5134</v>
      </c>
    </row>
    <row r="882" spans="1:28">
      <c r="A882" t="s">
        <v>5142</v>
      </c>
      <c r="B882" t="str">
        <f>IF(COUNTIF(HCPs!M:M,HCP_evidence!A865)&gt;0,"Yes","No")</f>
        <v>Yes</v>
      </c>
      <c r="Z882" t="s">
        <v>5143</v>
      </c>
      <c r="AA882" t="s">
        <v>5134</v>
      </c>
    </row>
    <row r="883" spans="1:28" ht="15">
      <c r="A883" s="13" t="s">
        <v>4132</v>
      </c>
      <c r="B883" t="str">
        <f>IF(COUNTIF(HCPs!M:M,HCP_evidence!A866)&gt;0,"Yes","No")</f>
        <v>Yes</v>
      </c>
      <c r="H883" s="13" t="s">
        <v>5050</v>
      </c>
      <c r="I883" t="s">
        <v>4157</v>
      </c>
      <c r="J883" t="s">
        <v>4399</v>
      </c>
      <c r="K883" t="s">
        <v>4399</v>
      </c>
      <c r="L883" t="s">
        <v>414</v>
      </c>
      <c r="M883" t="s">
        <v>4399</v>
      </c>
      <c r="N883" t="s">
        <v>4399</v>
      </c>
    </row>
    <row r="884" spans="1:28" ht="15">
      <c r="A884" t="s">
        <v>1118</v>
      </c>
      <c r="B884" t="str">
        <f>IF(COUNTIF(HCPs!M:M,HCP_evidence!A867)&gt;0,"Yes","No")</f>
        <v>Yes</v>
      </c>
      <c r="H884" s="75" t="s">
        <v>892</v>
      </c>
      <c r="I884" t="s">
        <v>1170</v>
      </c>
      <c r="K884" t="s">
        <v>414</v>
      </c>
    </row>
    <row r="885" spans="1:28" ht="15">
      <c r="A885" s="51" t="s">
        <v>7989</v>
      </c>
      <c r="B885" t="str">
        <f>IF(COUNTIF(HCPs!M:M,HCP_evidence!A868)&gt;0,"Yes","No")</f>
        <v>Yes</v>
      </c>
      <c r="F885" t="s">
        <v>8136</v>
      </c>
      <c r="G885" t="s">
        <v>7926</v>
      </c>
    </row>
    <row r="886" spans="1:28" ht="15">
      <c r="A886" s="13" t="s">
        <v>4133</v>
      </c>
      <c r="B886" t="str">
        <f>IF(COUNTIF(HCPs!M:M,HCP_evidence!A869)&gt;0,"Yes","No")</f>
        <v>Yes</v>
      </c>
      <c r="J886" t="s">
        <v>4399</v>
      </c>
      <c r="K886" t="s">
        <v>4399</v>
      </c>
      <c r="M886" t="s">
        <v>4399</v>
      </c>
      <c r="N886" t="s">
        <v>4399</v>
      </c>
      <c r="O886" s="13" t="s">
        <v>5068</v>
      </c>
      <c r="P886" t="s">
        <v>4174</v>
      </c>
    </row>
    <row r="887" spans="1:28" ht="15">
      <c r="A887" s="13" t="s">
        <v>4134</v>
      </c>
      <c r="B887" t="str">
        <f>IF(COUNTIF(HCPs!M:M,HCP_evidence!A870)&gt;0,"Yes","No")</f>
        <v>Yes</v>
      </c>
      <c r="H887" s="13"/>
      <c r="J887" t="s">
        <v>4399</v>
      </c>
      <c r="K887" t="s">
        <v>414</v>
      </c>
      <c r="L887" t="s">
        <v>414</v>
      </c>
      <c r="M887" t="s">
        <v>414</v>
      </c>
      <c r="N887" t="s">
        <v>4399</v>
      </c>
      <c r="O887" s="13" t="s">
        <v>5051</v>
      </c>
      <c r="P887" t="s">
        <v>4158</v>
      </c>
    </row>
    <row r="888" spans="1:28" ht="15">
      <c r="A888" t="s">
        <v>1136</v>
      </c>
      <c r="B888" t="str">
        <f>IF(COUNTIF(HCPs!M:M,HCP_evidence!A871)&gt;0,"Yes","No")</f>
        <v>Yes</v>
      </c>
      <c r="H888" s="75" t="s">
        <v>892</v>
      </c>
      <c r="I888" t="s">
        <v>1170</v>
      </c>
      <c r="K888" t="s">
        <v>414</v>
      </c>
    </row>
    <row r="889" spans="1:28" ht="15">
      <c r="A889" s="74" t="s">
        <v>4135</v>
      </c>
      <c r="B889" t="str">
        <f>IF(COUNTIF(HCPs!M:M,HCP_evidence!A872)&gt;0,"Yes","No")</f>
        <v>Yes</v>
      </c>
      <c r="H889" s="74" t="s">
        <v>5064</v>
      </c>
      <c r="I889" t="s">
        <v>4170</v>
      </c>
      <c r="J889" t="s">
        <v>4399</v>
      </c>
      <c r="K889" t="s">
        <v>4399</v>
      </c>
      <c r="L889" t="s">
        <v>414</v>
      </c>
      <c r="M889" t="s">
        <v>4399</v>
      </c>
      <c r="N889" t="s">
        <v>414</v>
      </c>
    </row>
    <row r="890" spans="1:28" ht="15">
      <c r="A890" t="s">
        <v>1138</v>
      </c>
      <c r="B890" t="str">
        <f>IF(COUNTIF(HCPs!M:M,HCP_evidence!A873)&gt;0,"Yes","No")</f>
        <v>Yes</v>
      </c>
      <c r="H890" s="75" t="s">
        <v>892</v>
      </c>
      <c r="I890" t="s">
        <v>1170</v>
      </c>
      <c r="K890" t="s">
        <v>414</v>
      </c>
    </row>
    <row r="891" spans="1:28">
      <c r="A891" s="51"/>
      <c r="B891" t="str">
        <f>IF(COUNTIF(HCPs!M:M,HCP_evidence!A874)&gt;0,"Yes","No")</f>
        <v>Yes</v>
      </c>
      <c r="Z891" t="s">
        <v>8135</v>
      </c>
      <c r="AA891" t="s">
        <v>8111</v>
      </c>
    </row>
    <row r="892" spans="1:28" ht="15">
      <c r="A892" t="s">
        <v>11096</v>
      </c>
      <c r="C892" t="s">
        <v>11100</v>
      </c>
    </row>
    <row r="893" spans="1:28" ht="15">
      <c r="A893" t="s">
        <v>11101</v>
      </c>
      <c r="C893" t="s">
        <v>11103</v>
      </c>
    </row>
    <row r="894" spans="1:28" ht="15">
      <c r="A894" t="s">
        <v>11116</v>
      </c>
      <c r="AB894" t="s">
        <v>11121</v>
      </c>
    </row>
    <row r="895" spans="1:28" ht="15">
      <c r="A895" t="s">
        <v>11105</v>
      </c>
      <c r="AB895" t="s">
        <v>11120</v>
      </c>
    </row>
    <row r="896" spans="1:28" ht="15">
      <c r="A896" t="s">
        <v>11130</v>
      </c>
      <c r="AB896" t="s">
        <v>11132</v>
      </c>
    </row>
    <row r="897" spans="1:28" ht="15">
      <c r="A897" t="s">
        <v>11134</v>
      </c>
      <c r="AB897" t="s">
        <v>11136</v>
      </c>
    </row>
    <row r="898" spans="1:28">
      <c r="A898" t="s">
        <v>466</v>
      </c>
      <c r="Z898" t="s">
        <v>11147</v>
      </c>
      <c r="AA898" t="s">
        <v>11146</v>
      </c>
    </row>
    <row r="899" spans="1:28" ht="15">
      <c r="A899" t="s">
        <v>11145</v>
      </c>
      <c r="AB899" t="s">
        <v>11150</v>
      </c>
    </row>
    <row r="900" spans="1:28" ht="15">
      <c r="A900" t="s">
        <v>11153</v>
      </c>
      <c r="AB900" t="s">
        <v>11155</v>
      </c>
    </row>
    <row r="901" spans="1:28" ht="15">
      <c r="A901" t="s">
        <v>11158</v>
      </c>
      <c r="AB901" t="s">
        <v>11160</v>
      </c>
    </row>
    <row r="902" spans="1:28" ht="15">
      <c r="A902" t="s">
        <v>11174</v>
      </c>
      <c r="AB902" t="s">
        <v>11176</v>
      </c>
    </row>
    <row r="903" spans="1:28">
      <c r="A903" t="s">
        <v>11177</v>
      </c>
      <c r="Z903" t="s">
        <v>11182</v>
      </c>
      <c r="AA903" t="s">
        <v>11183</v>
      </c>
    </row>
    <row r="904" spans="1:28">
      <c r="A904" t="s">
        <v>11161</v>
      </c>
      <c r="Z904" t="s">
        <v>11182</v>
      </c>
      <c r="AA904" t="s">
        <v>11183</v>
      </c>
    </row>
    <row r="905" spans="1:28">
      <c r="A905" t="s">
        <v>11185</v>
      </c>
      <c r="Z905" t="s">
        <v>11188</v>
      </c>
      <c r="AA905" t="s">
        <v>11183</v>
      </c>
    </row>
    <row r="906" spans="1:28">
      <c r="A906" t="s">
        <v>11189</v>
      </c>
      <c r="Z906" t="s">
        <v>11188</v>
      </c>
      <c r="AA906" t="s">
        <v>11183</v>
      </c>
    </row>
    <row r="907" spans="1:28" ht="15">
      <c r="A907" t="s">
        <v>11208</v>
      </c>
      <c r="AB907" t="s">
        <v>11210</v>
      </c>
    </row>
    <row r="908" spans="1:28" ht="15">
      <c r="A908" t="s">
        <v>11219</v>
      </c>
      <c r="AB908" t="s">
        <v>11221</v>
      </c>
    </row>
    <row r="909" spans="1:28" ht="15">
      <c r="A909" t="s">
        <v>11253</v>
      </c>
      <c r="AB909" t="s">
        <v>11255</v>
      </c>
    </row>
    <row r="910" spans="1:28" ht="15">
      <c r="A910" t="s">
        <v>1131</v>
      </c>
      <c r="AB910" t="s">
        <v>11270</v>
      </c>
    </row>
    <row r="911" spans="1:28" ht="15">
      <c r="A911" t="s">
        <v>11287</v>
      </c>
      <c r="AB911" t="s">
        <v>11289</v>
      </c>
    </row>
    <row r="912" spans="1:28">
      <c r="A912" t="s">
        <v>11281</v>
      </c>
      <c r="Z912" t="s">
        <v>11291</v>
      </c>
      <c r="AA912" t="s">
        <v>11290</v>
      </c>
    </row>
    <row r="913" spans="1:28" ht="15">
      <c r="A913" t="s">
        <v>11304</v>
      </c>
      <c r="AB913" s="9" t="s">
        <v>11308</v>
      </c>
    </row>
    <row r="914" spans="1:28" ht="15">
      <c r="A914" t="s">
        <v>1125</v>
      </c>
      <c r="AB914" t="s">
        <v>11325</v>
      </c>
    </row>
    <row r="915" spans="1:28">
      <c r="A915" t="s">
        <v>1125</v>
      </c>
      <c r="Z915" t="s">
        <v>11327</v>
      </c>
      <c r="AA915" t="s">
        <v>11326</v>
      </c>
    </row>
    <row r="916" spans="1:28" ht="15">
      <c r="A916" t="s">
        <v>11333</v>
      </c>
      <c r="AB916" t="s">
        <v>11335</v>
      </c>
    </row>
    <row r="917" spans="1:28" ht="15">
      <c r="A917" t="s">
        <v>1125</v>
      </c>
      <c r="H917" t="s">
        <v>5272</v>
      </c>
      <c r="I917" t="s">
        <v>5549</v>
      </c>
    </row>
    <row r="918" spans="1:28" ht="15">
      <c r="A918" t="s">
        <v>11339</v>
      </c>
      <c r="H918" t="s">
        <v>5272</v>
      </c>
      <c r="I918" t="s">
        <v>5549</v>
      </c>
    </row>
    <row r="919" spans="1:28" ht="15">
      <c r="A919" t="s">
        <v>1157</v>
      </c>
      <c r="H919" t="s">
        <v>5272</v>
      </c>
      <c r="I919" t="s">
        <v>5549</v>
      </c>
    </row>
    <row r="920" spans="1:28" ht="15">
      <c r="A920" t="s">
        <v>1129</v>
      </c>
      <c r="H920" t="s">
        <v>5272</v>
      </c>
      <c r="I920" t="s">
        <v>5549</v>
      </c>
    </row>
    <row r="921" spans="1:28" ht="15">
      <c r="A921" t="s">
        <v>11352</v>
      </c>
      <c r="H921" t="s">
        <v>5272</v>
      </c>
      <c r="I921" t="s">
        <v>5549</v>
      </c>
    </row>
    <row r="922" spans="1:28" ht="15">
      <c r="A922" t="s">
        <v>11360</v>
      </c>
      <c r="H922" t="s">
        <v>5272</v>
      </c>
      <c r="I922" t="s">
        <v>5549</v>
      </c>
    </row>
    <row r="923" spans="1:28" ht="15">
      <c r="A923" t="s">
        <v>8398</v>
      </c>
      <c r="H923" t="s">
        <v>5272</v>
      </c>
      <c r="I923" t="s">
        <v>5549</v>
      </c>
    </row>
    <row r="924" spans="1:28" ht="15">
      <c r="A924" t="s">
        <v>1116</v>
      </c>
      <c r="H924" t="s">
        <v>5272</v>
      </c>
      <c r="I924" t="s">
        <v>5549</v>
      </c>
    </row>
    <row r="925" spans="1:28" ht="15">
      <c r="A925" t="s">
        <v>11365</v>
      </c>
      <c r="H925" t="s">
        <v>5272</v>
      </c>
      <c r="I925" t="s">
        <v>5549</v>
      </c>
    </row>
    <row r="926" spans="1:28" ht="15">
      <c r="A926" t="s">
        <v>3992</v>
      </c>
      <c r="H926" t="s">
        <v>5272</v>
      </c>
      <c r="I926" t="s">
        <v>5549</v>
      </c>
    </row>
    <row r="927" spans="1:28" ht="15">
      <c r="A927" t="s">
        <v>11368</v>
      </c>
      <c r="H927" t="s">
        <v>5272</v>
      </c>
      <c r="I927" t="s">
        <v>5549</v>
      </c>
    </row>
    <row r="928" spans="1:28" ht="15">
      <c r="A928" t="s">
        <v>11370</v>
      </c>
      <c r="H928" t="s">
        <v>5272</v>
      </c>
      <c r="I928" t="s">
        <v>5549</v>
      </c>
    </row>
    <row r="929" spans="1:28" ht="15">
      <c r="A929" t="s">
        <v>8026</v>
      </c>
      <c r="H929" t="s">
        <v>5272</v>
      </c>
      <c r="I929" t="s">
        <v>5549</v>
      </c>
    </row>
    <row r="930" spans="1:28" ht="15">
      <c r="A930" t="s">
        <v>11385</v>
      </c>
      <c r="H930" t="s">
        <v>5272</v>
      </c>
      <c r="I930" t="s">
        <v>5549</v>
      </c>
    </row>
    <row r="931" spans="1:28" ht="15">
      <c r="A931" t="s">
        <v>1179</v>
      </c>
      <c r="H931" t="s">
        <v>5272</v>
      </c>
      <c r="I931" t="s">
        <v>5549</v>
      </c>
    </row>
    <row r="932" spans="1:28" ht="15">
      <c r="A932" t="s">
        <v>11388</v>
      </c>
      <c r="H932" t="s">
        <v>5272</v>
      </c>
      <c r="I932" t="s">
        <v>5549</v>
      </c>
    </row>
    <row r="933" spans="1:28" ht="15">
      <c r="A933" t="s">
        <v>11388</v>
      </c>
      <c r="AB933" t="s">
        <v>11390</v>
      </c>
    </row>
    <row r="934" spans="1:28" ht="15">
      <c r="A934" t="s">
        <v>11391</v>
      </c>
      <c r="H934" t="s">
        <v>5272</v>
      </c>
      <c r="I934" t="s">
        <v>5549</v>
      </c>
    </row>
    <row r="935" spans="1:28" ht="15">
      <c r="A935" t="s">
        <v>11393</v>
      </c>
      <c r="H935" t="s">
        <v>5272</v>
      </c>
      <c r="I935" t="s">
        <v>5549</v>
      </c>
    </row>
    <row r="936" spans="1:28" ht="15">
      <c r="A936" t="s">
        <v>1093</v>
      </c>
      <c r="H936" t="s">
        <v>5272</v>
      </c>
      <c r="I936" t="s">
        <v>5549</v>
      </c>
    </row>
    <row r="937" spans="1:28" ht="15">
      <c r="A937" t="s">
        <v>515</v>
      </c>
      <c r="H937" t="s">
        <v>5272</v>
      </c>
      <c r="I937" t="s">
        <v>5549</v>
      </c>
    </row>
    <row r="938" spans="1:28" ht="15">
      <c r="A938" t="s">
        <v>11393</v>
      </c>
      <c r="H938" t="s">
        <v>5272</v>
      </c>
      <c r="I938" t="s">
        <v>5549</v>
      </c>
    </row>
    <row r="939" spans="1:28" ht="15">
      <c r="A939" t="s">
        <v>11399</v>
      </c>
      <c r="H939" t="s">
        <v>5272</v>
      </c>
      <c r="I939" t="s">
        <v>5549</v>
      </c>
    </row>
    <row r="940" spans="1:28" ht="15">
      <c r="A940" t="s">
        <v>11402</v>
      </c>
      <c r="H940" t="s">
        <v>5272</v>
      </c>
      <c r="I940" t="s">
        <v>5549</v>
      </c>
    </row>
    <row r="941" spans="1:28" ht="15">
      <c r="A941" t="s">
        <v>7962</v>
      </c>
      <c r="H941" t="s">
        <v>5272</v>
      </c>
      <c r="I941" t="s">
        <v>5549</v>
      </c>
    </row>
    <row r="942" spans="1:28" ht="15">
      <c r="A942" t="s">
        <v>11404</v>
      </c>
      <c r="H942" t="s">
        <v>5272</v>
      </c>
      <c r="I942" t="s">
        <v>5549</v>
      </c>
    </row>
    <row r="943" spans="1:28" ht="15">
      <c r="A943" t="s">
        <v>8390</v>
      </c>
      <c r="H943" t="s">
        <v>5272</v>
      </c>
      <c r="I943" t="s">
        <v>5549</v>
      </c>
    </row>
    <row r="944" spans="1:28" ht="15">
      <c r="A944" t="s">
        <v>11430</v>
      </c>
      <c r="H944" t="s">
        <v>5272</v>
      </c>
      <c r="I944" t="s">
        <v>5549</v>
      </c>
    </row>
    <row r="945" spans="1:9" ht="15">
      <c r="A945" t="s">
        <v>11407</v>
      </c>
      <c r="H945" t="s">
        <v>5272</v>
      </c>
      <c r="I945" t="s">
        <v>5549</v>
      </c>
    </row>
    <row r="946" spans="1:9" ht="15">
      <c r="A946" t="s">
        <v>11412</v>
      </c>
      <c r="H946" t="s">
        <v>5272</v>
      </c>
      <c r="I946" t="s">
        <v>5549</v>
      </c>
    </row>
    <row r="947" spans="1:9" ht="15">
      <c r="A947" t="s">
        <v>11414</v>
      </c>
      <c r="H947" t="s">
        <v>5272</v>
      </c>
      <c r="I947" t="s">
        <v>5549</v>
      </c>
    </row>
    <row r="948" spans="1:9" ht="15">
      <c r="A948" t="s">
        <v>8462</v>
      </c>
      <c r="H948" t="s">
        <v>5272</v>
      </c>
      <c r="I948" t="s">
        <v>5549</v>
      </c>
    </row>
    <row r="949" spans="1:9" ht="15">
      <c r="A949" t="s">
        <v>11422</v>
      </c>
      <c r="H949" t="s">
        <v>5272</v>
      </c>
      <c r="I949" t="s">
        <v>5549</v>
      </c>
    </row>
    <row r="950" spans="1:9" ht="15">
      <c r="A950" t="s">
        <v>8148</v>
      </c>
      <c r="H950" t="s">
        <v>5272</v>
      </c>
      <c r="I950" t="s">
        <v>5549</v>
      </c>
    </row>
    <row r="951" spans="1:9" ht="15">
      <c r="A951" t="s">
        <v>11433</v>
      </c>
      <c r="H951" t="s">
        <v>5272</v>
      </c>
      <c r="I951" t="s">
        <v>5549</v>
      </c>
    </row>
    <row r="952" spans="1:9" ht="15">
      <c r="A952" t="s">
        <v>11430</v>
      </c>
      <c r="H952" t="s">
        <v>5272</v>
      </c>
      <c r="I952" t="s">
        <v>5549</v>
      </c>
    </row>
    <row r="953" spans="1:9" ht="15">
      <c r="A953" t="s">
        <v>7974</v>
      </c>
      <c r="H953" t="s">
        <v>5272</v>
      </c>
      <c r="I953" t="s">
        <v>5549</v>
      </c>
    </row>
    <row r="954" spans="1:9" ht="15">
      <c r="A954" t="s">
        <v>11436</v>
      </c>
      <c r="H954" t="s">
        <v>5272</v>
      </c>
      <c r="I954" t="s">
        <v>5549</v>
      </c>
    </row>
    <row r="955" spans="1:9" ht="15">
      <c r="A955" t="s">
        <v>11438</v>
      </c>
      <c r="H955" t="s">
        <v>5272</v>
      </c>
      <c r="I955" t="s">
        <v>5549</v>
      </c>
    </row>
    <row r="956" spans="1:9" ht="15">
      <c r="A956" t="s">
        <v>7932</v>
      </c>
      <c r="H956" t="s">
        <v>5272</v>
      </c>
      <c r="I956" t="s">
        <v>5549</v>
      </c>
    </row>
    <row r="957" spans="1:9" ht="15">
      <c r="A957" t="s">
        <v>11444</v>
      </c>
      <c r="H957" t="s">
        <v>5272</v>
      </c>
      <c r="I957" t="s">
        <v>5549</v>
      </c>
    </row>
    <row r="958" spans="1:9" ht="15">
      <c r="A958" t="s">
        <v>11451</v>
      </c>
      <c r="H958" t="s">
        <v>5272</v>
      </c>
      <c r="I958" t="s">
        <v>5549</v>
      </c>
    </row>
    <row r="959" spans="1:9" ht="15">
      <c r="A959" t="s">
        <v>11453</v>
      </c>
      <c r="H959" t="s">
        <v>5272</v>
      </c>
      <c r="I959" t="s">
        <v>5549</v>
      </c>
    </row>
    <row r="960" spans="1:9" ht="15">
      <c r="A960" t="s">
        <v>11454</v>
      </c>
      <c r="H960" t="s">
        <v>5272</v>
      </c>
      <c r="I960" t="s">
        <v>5549</v>
      </c>
    </row>
    <row r="961" spans="1:28" ht="15">
      <c r="A961" t="s">
        <v>11458</v>
      </c>
      <c r="AB961" s="9" t="s">
        <v>11461</v>
      </c>
    </row>
    <row r="962" spans="1:28" ht="15">
      <c r="A962" t="s">
        <v>11474</v>
      </c>
      <c r="AB962" t="s">
        <v>11476</v>
      </c>
    </row>
    <row r="963" spans="1:28" ht="15">
      <c r="A963" t="s">
        <v>11485</v>
      </c>
      <c r="H963" t="s">
        <v>11486</v>
      </c>
      <c r="I963" t="s">
        <v>8396</v>
      </c>
    </row>
    <row r="964" spans="1:28" ht="15">
      <c r="A964" t="s">
        <v>432</v>
      </c>
      <c r="H964" t="s">
        <v>11486</v>
      </c>
      <c r="I964" t="s">
        <v>8396</v>
      </c>
    </row>
    <row r="965" spans="1:28" ht="15">
      <c r="A965" t="s">
        <v>11489</v>
      </c>
      <c r="H965" t="s">
        <v>11486</v>
      </c>
      <c r="I965" t="s">
        <v>8396</v>
      </c>
    </row>
    <row r="966" spans="1:28" ht="15">
      <c r="A966" t="s">
        <v>1146</v>
      </c>
      <c r="H966" t="s">
        <v>11486</v>
      </c>
      <c r="I966" t="s">
        <v>8396</v>
      </c>
    </row>
    <row r="967" spans="1:28" ht="15">
      <c r="A967" t="s">
        <v>3939</v>
      </c>
      <c r="H967" t="s">
        <v>11486</v>
      </c>
      <c r="I967" t="s">
        <v>8396</v>
      </c>
    </row>
    <row r="968" spans="1:28" ht="15">
      <c r="A968" t="s">
        <v>4121</v>
      </c>
      <c r="H968" t="s">
        <v>11486</v>
      </c>
      <c r="I968" t="s">
        <v>8396</v>
      </c>
    </row>
    <row r="969" spans="1:28" ht="15">
      <c r="A969" t="s">
        <v>11490</v>
      </c>
      <c r="H969" t="s">
        <v>11486</v>
      </c>
      <c r="I969" t="s">
        <v>8396</v>
      </c>
    </row>
    <row r="970" spans="1:28" ht="15">
      <c r="A970" t="s">
        <v>1138</v>
      </c>
      <c r="H970" t="s">
        <v>11486</v>
      </c>
      <c r="I970" t="s">
        <v>8396</v>
      </c>
    </row>
    <row r="971" spans="1:28" ht="15">
      <c r="A971" t="s">
        <v>11493</v>
      </c>
      <c r="H971" t="s">
        <v>11486</v>
      </c>
      <c r="I971" t="s">
        <v>8396</v>
      </c>
    </row>
    <row r="972" spans="1:28" ht="15">
      <c r="A972" t="s">
        <v>3193</v>
      </c>
      <c r="H972" t="s">
        <v>11486</v>
      </c>
      <c r="I972" t="s">
        <v>8396</v>
      </c>
    </row>
    <row r="973" spans="1:28">
      <c r="A973" t="s">
        <v>7932</v>
      </c>
      <c r="H973" t="s">
        <v>11486</v>
      </c>
      <c r="I973" t="s">
        <v>8396</v>
      </c>
    </row>
    <row r="974" spans="1:28">
      <c r="A974" t="s">
        <v>471</v>
      </c>
      <c r="H974" t="s">
        <v>11486</v>
      </c>
      <c r="I974" t="s">
        <v>8396</v>
      </c>
    </row>
    <row r="975" spans="1:28">
      <c r="A975" t="s">
        <v>4353</v>
      </c>
      <c r="H975" t="s">
        <v>11486</v>
      </c>
      <c r="I975" t="s">
        <v>8396</v>
      </c>
    </row>
    <row r="976" spans="1:28">
      <c r="A976" t="s">
        <v>11499</v>
      </c>
      <c r="H976" t="s">
        <v>11486</v>
      </c>
      <c r="I976" t="s">
        <v>8396</v>
      </c>
    </row>
    <row r="977" spans="1:9">
      <c r="A977" t="s">
        <v>8101</v>
      </c>
      <c r="H977" t="s">
        <v>11486</v>
      </c>
      <c r="I977" t="s">
        <v>8396</v>
      </c>
    </row>
    <row r="978" spans="1:9">
      <c r="A978" t="s">
        <v>4035</v>
      </c>
      <c r="H978" t="s">
        <v>11486</v>
      </c>
      <c r="I978" t="s">
        <v>8396</v>
      </c>
    </row>
    <row r="979" spans="1:9">
      <c r="A979" t="s">
        <v>449</v>
      </c>
      <c r="H979" t="s">
        <v>11486</v>
      </c>
      <c r="I979" t="s">
        <v>8396</v>
      </c>
    </row>
    <row r="980" spans="1:9">
      <c r="A980" t="s">
        <v>11504</v>
      </c>
      <c r="H980" t="s">
        <v>11486</v>
      </c>
      <c r="I980" t="s">
        <v>8396</v>
      </c>
    </row>
    <row r="981" spans="1:9">
      <c r="A981" t="s">
        <v>11507</v>
      </c>
      <c r="H981" t="s">
        <v>11486</v>
      </c>
      <c r="I981" t="s">
        <v>8396</v>
      </c>
    </row>
    <row r="982" spans="1:9">
      <c r="A982" t="s">
        <v>11509</v>
      </c>
      <c r="H982" t="s">
        <v>11486</v>
      </c>
      <c r="I982" t="s">
        <v>8396</v>
      </c>
    </row>
    <row r="983" spans="1:9">
      <c r="A983" t="s">
        <v>4117</v>
      </c>
      <c r="H983" t="s">
        <v>11486</v>
      </c>
      <c r="I983" t="s">
        <v>8396</v>
      </c>
    </row>
    <row r="984" spans="1:9">
      <c r="A984" t="s">
        <v>1142</v>
      </c>
      <c r="H984" t="s">
        <v>11486</v>
      </c>
      <c r="I984" t="s">
        <v>8396</v>
      </c>
    </row>
    <row r="985" spans="1:9">
      <c r="A985" t="s">
        <v>4052</v>
      </c>
      <c r="H985" t="s">
        <v>11486</v>
      </c>
      <c r="I985" t="s">
        <v>8396</v>
      </c>
    </row>
    <row r="986" spans="1:9">
      <c r="A986" t="s">
        <v>1091</v>
      </c>
      <c r="H986" t="s">
        <v>11486</v>
      </c>
      <c r="I986" t="s">
        <v>8396</v>
      </c>
    </row>
    <row r="987" spans="1:9">
      <c r="A987" t="s">
        <v>11518</v>
      </c>
      <c r="H987" t="s">
        <v>11486</v>
      </c>
      <c r="I987" t="s">
        <v>8396</v>
      </c>
    </row>
    <row r="988" spans="1:9">
      <c r="A988" t="s">
        <v>1096</v>
      </c>
      <c r="H988" t="s">
        <v>11486</v>
      </c>
      <c r="I988" t="s">
        <v>8396</v>
      </c>
    </row>
    <row r="989" spans="1:9">
      <c r="A989" t="s">
        <v>11412</v>
      </c>
      <c r="H989" t="s">
        <v>11486</v>
      </c>
      <c r="I989" t="s">
        <v>8396</v>
      </c>
    </row>
    <row r="990" spans="1:9">
      <c r="A990" t="s">
        <v>11523</v>
      </c>
      <c r="H990" t="s">
        <v>11486</v>
      </c>
      <c r="I990" t="s">
        <v>8396</v>
      </c>
    </row>
    <row r="991" spans="1:9">
      <c r="A991" t="s">
        <v>11526</v>
      </c>
      <c r="H991" t="s">
        <v>11486</v>
      </c>
      <c r="I991" t="s">
        <v>8396</v>
      </c>
    </row>
    <row r="992" spans="1:9">
      <c r="A992" t="s">
        <v>11529</v>
      </c>
      <c r="H992" t="s">
        <v>11486</v>
      </c>
      <c r="I992" t="s">
        <v>8396</v>
      </c>
    </row>
    <row r="993" spans="1:28">
      <c r="A993" t="s">
        <v>1111</v>
      </c>
      <c r="H993" t="s">
        <v>11486</v>
      </c>
      <c r="I993" t="s">
        <v>8396</v>
      </c>
    </row>
    <row r="994" spans="1:28">
      <c r="A994" t="s">
        <v>11534</v>
      </c>
      <c r="H994" t="s">
        <v>11486</v>
      </c>
      <c r="I994" t="s">
        <v>8396</v>
      </c>
    </row>
    <row r="995" spans="1:28">
      <c r="A995" t="s">
        <v>11541</v>
      </c>
      <c r="AB995" t="s">
        <v>11543</v>
      </c>
    </row>
    <row r="996" spans="1:28">
      <c r="A996" t="s">
        <v>11566</v>
      </c>
      <c r="AB996" t="s">
        <v>11568</v>
      </c>
    </row>
    <row r="997" spans="1:28">
      <c r="A997" t="s">
        <v>11570</v>
      </c>
      <c r="AB997" t="s">
        <v>11572</v>
      </c>
    </row>
    <row r="998" spans="1:28">
      <c r="A998" t="s">
        <v>11574</v>
      </c>
      <c r="AB998" t="s">
        <v>11572</v>
      </c>
    </row>
  </sheetData>
  <autoFilter ref="A2:AH910" xr:uid="{6B0C1609-CD16-4664-8A35-158C60493B5B}"/>
  <sortState xmlns:xlrd2="http://schemas.microsoft.com/office/spreadsheetml/2017/richdata2" ref="A2:AH874">
    <sortCondition ref="A3:A874"/>
  </sortState>
  <mergeCells count="7">
    <mergeCell ref="Q1:Y1"/>
    <mergeCell ref="Z1:AA1"/>
    <mergeCell ref="AB1:AH1"/>
    <mergeCell ref="A1:A2"/>
    <mergeCell ref="C1:C2"/>
    <mergeCell ref="D1:E1"/>
    <mergeCell ref="H1:N1"/>
  </mergeCells>
  <conditionalFormatting sqref="A73">
    <cfRule type="duplicateValues" dxfId="677" priority="40"/>
  </conditionalFormatting>
  <conditionalFormatting sqref="A88">
    <cfRule type="duplicateValues" dxfId="676" priority="2775"/>
  </conditionalFormatting>
  <conditionalFormatting sqref="A96">
    <cfRule type="duplicateValues" dxfId="675" priority="210"/>
  </conditionalFormatting>
  <conditionalFormatting sqref="A147">
    <cfRule type="duplicateValues" dxfId="674" priority="55"/>
  </conditionalFormatting>
  <conditionalFormatting sqref="A179">
    <cfRule type="duplicateValues" dxfId="673" priority="53"/>
  </conditionalFormatting>
  <conditionalFormatting sqref="A365">
    <cfRule type="duplicateValues" dxfId="672" priority="2743"/>
  </conditionalFormatting>
  <conditionalFormatting sqref="A376">
    <cfRule type="duplicateValues" dxfId="671" priority="218"/>
  </conditionalFormatting>
  <conditionalFormatting sqref="A391 A143:A144">
    <cfRule type="duplicateValues" dxfId="670" priority="208"/>
  </conditionalFormatting>
  <conditionalFormatting sqref="A456:A457 A304 A187 A24:A25">
    <cfRule type="duplicateValues" dxfId="669" priority="2714"/>
  </conditionalFormatting>
  <conditionalFormatting sqref="A462 A245 A27">
    <cfRule type="duplicateValues" dxfId="668" priority="217"/>
  </conditionalFormatting>
  <conditionalFormatting sqref="A487 A368">
    <cfRule type="duplicateValues" dxfId="667" priority="202"/>
  </conditionalFormatting>
  <conditionalFormatting sqref="A510 A490 A149:A150">
    <cfRule type="duplicateValues" dxfId="666" priority="205"/>
  </conditionalFormatting>
  <conditionalFormatting sqref="A514 A235">
    <cfRule type="duplicateValues" dxfId="665" priority="215"/>
  </conditionalFormatting>
  <conditionalFormatting sqref="A530">
    <cfRule type="duplicateValues" dxfId="664" priority="31"/>
  </conditionalFormatting>
  <conditionalFormatting sqref="A548 A496 A483 A476 A474 A185">
    <cfRule type="duplicateValues" dxfId="663" priority="2774"/>
  </conditionalFormatting>
  <conditionalFormatting sqref="A563:A564 A515 A414:A415 A166 A102">
    <cfRule type="duplicateValues" dxfId="662" priority="212"/>
  </conditionalFormatting>
  <conditionalFormatting sqref="A574 A203">
    <cfRule type="duplicateValues" dxfId="661" priority="199"/>
  </conditionalFormatting>
  <conditionalFormatting sqref="A577 A509 A478 A429:A430 A301 A151:A152 A109">
    <cfRule type="duplicateValues" dxfId="660" priority="207"/>
  </conditionalFormatting>
  <conditionalFormatting sqref="A626 A373">
    <cfRule type="duplicateValues" dxfId="659" priority="200"/>
  </conditionalFormatting>
  <conditionalFormatting sqref="A636">
    <cfRule type="duplicateValues" dxfId="658" priority="288"/>
  </conditionalFormatting>
  <conditionalFormatting sqref="A637 A374 A212">
    <cfRule type="duplicateValues" dxfId="657" priority="203"/>
  </conditionalFormatting>
  <conditionalFormatting sqref="A638">
    <cfRule type="duplicateValues" dxfId="656" priority="286"/>
  </conditionalFormatting>
  <conditionalFormatting sqref="A639">
    <cfRule type="duplicateValues" dxfId="655" priority="284"/>
  </conditionalFormatting>
  <conditionalFormatting sqref="A640">
    <cfRule type="duplicateValues" dxfId="654" priority="281"/>
  </conditionalFormatting>
  <conditionalFormatting sqref="A641">
    <cfRule type="duplicateValues" dxfId="653" priority="280"/>
  </conditionalFormatting>
  <conditionalFormatting sqref="A642">
    <cfRule type="duplicateValues" dxfId="652" priority="279"/>
  </conditionalFormatting>
  <conditionalFormatting sqref="A644:A645">
    <cfRule type="duplicateValues" dxfId="651" priority="277"/>
  </conditionalFormatting>
  <conditionalFormatting sqref="A646">
    <cfRule type="duplicateValues" dxfId="650" priority="276"/>
  </conditionalFormatting>
  <conditionalFormatting sqref="A647">
    <cfRule type="duplicateValues" dxfId="649" priority="274"/>
  </conditionalFormatting>
  <conditionalFormatting sqref="A648">
    <cfRule type="duplicateValues" dxfId="648" priority="273"/>
  </conditionalFormatting>
  <conditionalFormatting sqref="A649">
    <cfRule type="duplicateValues" dxfId="647" priority="272"/>
  </conditionalFormatting>
  <conditionalFormatting sqref="A650">
    <cfRule type="duplicateValues" dxfId="646" priority="271"/>
  </conditionalFormatting>
  <conditionalFormatting sqref="A651">
    <cfRule type="duplicateValues" dxfId="645" priority="270"/>
  </conditionalFormatting>
  <conditionalFormatting sqref="A652">
    <cfRule type="duplicateValues" dxfId="644" priority="269"/>
  </conditionalFormatting>
  <conditionalFormatting sqref="A653:A654">
    <cfRule type="duplicateValues" dxfId="643" priority="268"/>
  </conditionalFormatting>
  <conditionalFormatting sqref="A656">
    <cfRule type="duplicateValues" dxfId="642" priority="265"/>
  </conditionalFormatting>
  <conditionalFormatting sqref="A657">
    <cfRule type="duplicateValues" dxfId="641" priority="264"/>
  </conditionalFormatting>
  <conditionalFormatting sqref="A658">
    <cfRule type="duplicateValues" dxfId="640" priority="263"/>
  </conditionalFormatting>
  <conditionalFormatting sqref="A659">
    <cfRule type="duplicateValues" dxfId="639" priority="260"/>
  </conditionalFormatting>
  <conditionalFormatting sqref="A660">
    <cfRule type="duplicateValues" dxfId="638" priority="259"/>
  </conditionalFormatting>
  <conditionalFormatting sqref="A661">
    <cfRule type="duplicateValues" dxfId="637" priority="258"/>
  </conditionalFormatting>
  <conditionalFormatting sqref="A662">
    <cfRule type="duplicateValues" dxfId="636" priority="256"/>
  </conditionalFormatting>
  <conditionalFormatting sqref="A663">
    <cfRule type="duplicateValues" dxfId="635" priority="34"/>
  </conditionalFormatting>
  <conditionalFormatting sqref="A664">
    <cfRule type="duplicateValues" dxfId="634" priority="252"/>
  </conditionalFormatting>
  <conditionalFormatting sqref="A665">
    <cfRule type="duplicateValues" dxfId="633" priority="251"/>
  </conditionalFormatting>
  <conditionalFormatting sqref="A666">
    <cfRule type="duplicateValues" dxfId="632" priority="250"/>
  </conditionalFormatting>
  <conditionalFormatting sqref="A667">
    <cfRule type="duplicateValues" dxfId="631" priority="249"/>
  </conditionalFormatting>
  <conditionalFormatting sqref="A668">
    <cfRule type="duplicateValues" dxfId="630" priority="247"/>
  </conditionalFormatting>
  <conditionalFormatting sqref="A669">
    <cfRule type="duplicateValues" dxfId="629" priority="246"/>
  </conditionalFormatting>
  <conditionalFormatting sqref="A670 A516 A80">
    <cfRule type="duplicateValues" dxfId="628" priority="201"/>
  </conditionalFormatting>
  <conditionalFormatting sqref="A671">
    <cfRule type="duplicateValues" dxfId="627" priority="244"/>
  </conditionalFormatting>
  <conditionalFormatting sqref="A672">
    <cfRule type="duplicateValues" dxfId="626" priority="243"/>
  </conditionalFormatting>
  <conditionalFormatting sqref="A673">
    <cfRule type="duplicateValues" dxfId="625" priority="242"/>
  </conditionalFormatting>
  <conditionalFormatting sqref="A674 A655 A364 A30:A31">
    <cfRule type="duplicateValues" dxfId="624" priority="214"/>
  </conditionalFormatting>
  <conditionalFormatting sqref="A675">
    <cfRule type="duplicateValues" dxfId="623" priority="239"/>
  </conditionalFormatting>
  <conditionalFormatting sqref="A676">
    <cfRule type="duplicateValues" dxfId="622" priority="238"/>
  </conditionalFormatting>
  <conditionalFormatting sqref="A677">
    <cfRule type="duplicateValues" dxfId="621" priority="237"/>
  </conditionalFormatting>
  <conditionalFormatting sqref="A678 A508 A420 A377 A350 A312 A242 A169 A148">
    <cfRule type="duplicateValues" dxfId="620" priority="209"/>
  </conditionalFormatting>
  <conditionalFormatting sqref="A679">
    <cfRule type="duplicateValues" dxfId="619" priority="235"/>
  </conditionalFormatting>
  <conditionalFormatting sqref="A681">
    <cfRule type="duplicateValues" dxfId="618" priority="234"/>
  </conditionalFormatting>
  <conditionalFormatting sqref="A682">
    <cfRule type="duplicateValues" dxfId="617" priority="233"/>
  </conditionalFormatting>
  <conditionalFormatting sqref="A683">
    <cfRule type="duplicateValues" dxfId="616" priority="232"/>
  </conditionalFormatting>
  <conditionalFormatting sqref="A684">
    <cfRule type="duplicateValues" dxfId="615" priority="231"/>
  </conditionalFormatting>
  <conditionalFormatting sqref="A685">
    <cfRule type="duplicateValues" dxfId="614" priority="230"/>
  </conditionalFormatting>
  <conditionalFormatting sqref="A686">
    <cfRule type="duplicateValues" dxfId="613" priority="229"/>
  </conditionalFormatting>
  <conditionalFormatting sqref="A687">
    <cfRule type="duplicateValues" dxfId="612" priority="228"/>
  </conditionalFormatting>
  <conditionalFormatting sqref="A688">
    <cfRule type="duplicateValues" dxfId="611" priority="227"/>
  </conditionalFormatting>
  <conditionalFormatting sqref="A689">
    <cfRule type="duplicateValues" dxfId="610" priority="225"/>
  </conditionalFormatting>
  <conditionalFormatting sqref="A690">
    <cfRule type="duplicateValues" dxfId="609" priority="224"/>
  </conditionalFormatting>
  <conditionalFormatting sqref="A693">
    <cfRule type="duplicateValues" dxfId="608" priority="221"/>
  </conditionalFormatting>
  <conditionalFormatting sqref="A694">
    <cfRule type="duplicateValues" dxfId="607" priority="220"/>
  </conditionalFormatting>
  <conditionalFormatting sqref="A695">
    <cfRule type="duplicateValues" dxfId="606" priority="198"/>
  </conditionalFormatting>
  <conditionalFormatting sqref="A696">
    <cfRule type="duplicateValues" dxfId="605" priority="197"/>
  </conditionalFormatting>
  <conditionalFormatting sqref="A697">
    <cfRule type="duplicateValues" dxfId="604" priority="196"/>
  </conditionalFormatting>
  <conditionalFormatting sqref="A698">
    <cfRule type="duplicateValues" dxfId="603" priority="195"/>
  </conditionalFormatting>
  <conditionalFormatting sqref="A699">
    <cfRule type="duplicateValues" dxfId="602" priority="194"/>
  </conditionalFormatting>
  <conditionalFormatting sqref="A700">
    <cfRule type="duplicateValues" dxfId="601" priority="193"/>
  </conditionalFormatting>
  <conditionalFormatting sqref="A701">
    <cfRule type="duplicateValues" dxfId="600" priority="192"/>
  </conditionalFormatting>
  <conditionalFormatting sqref="A702">
    <cfRule type="duplicateValues" dxfId="599" priority="188"/>
  </conditionalFormatting>
  <conditionalFormatting sqref="A704">
    <cfRule type="duplicateValues" dxfId="598" priority="186"/>
  </conditionalFormatting>
  <conditionalFormatting sqref="A705">
    <cfRule type="duplicateValues" dxfId="597" priority="185"/>
  </conditionalFormatting>
  <conditionalFormatting sqref="A706">
    <cfRule type="duplicateValues" dxfId="596" priority="184"/>
  </conditionalFormatting>
  <conditionalFormatting sqref="A707">
    <cfRule type="duplicateValues" dxfId="595" priority="183"/>
  </conditionalFormatting>
  <conditionalFormatting sqref="A708">
    <cfRule type="duplicateValues" dxfId="594" priority="182"/>
  </conditionalFormatting>
  <conditionalFormatting sqref="A709">
    <cfRule type="duplicateValues" dxfId="593" priority="181"/>
  </conditionalFormatting>
  <conditionalFormatting sqref="A710">
    <cfRule type="duplicateValues" dxfId="592" priority="180"/>
  </conditionalFormatting>
  <conditionalFormatting sqref="A711">
    <cfRule type="duplicateValues" dxfId="591" priority="179"/>
  </conditionalFormatting>
  <conditionalFormatting sqref="A712">
    <cfRule type="duplicateValues" dxfId="590" priority="178"/>
  </conditionalFormatting>
  <conditionalFormatting sqref="A713">
    <cfRule type="duplicateValues" dxfId="589" priority="177"/>
  </conditionalFormatting>
  <conditionalFormatting sqref="A714">
    <cfRule type="duplicateValues" dxfId="588" priority="176"/>
  </conditionalFormatting>
  <conditionalFormatting sqref="A715">
    <cfRule type="duplicateValues" dxfId="587" priority="175"/>
  </conditionalFormatting>
  <conditionalFormatting sqref="A716">
    <cfRule type="duplicateValues" dxfId="586" priority="174"/>
  </conditionalFormatting>
  <conditionalFormatting sqref="A717">
    <cfRule type="duplicateValues" dxfId="585" priority="173"/>
  </conditionalFormatting>
  <conditionalFormatting sqref="A718">
    <cfRule type="duplicateValues" dxfId="584" priority="172"/>
  </conditionalFormatting>
  <conditionalFormatting sqref="A719">
    <cfRule type="duplicateValues" dxfId="583" priority="171"/>
  </conditionalFormatting>
  <conditionalFormatting sqref="A720">
    <cfRule type="duplicateValues" dxfId="582" priority="170"/>
  </conditionalFormatting>
  <conditionalFormatting sqref="A721">
    <cfRule type="duplicateValues" dxfId="581" priority="169"/>
  </conditionalFormatting>
  <conditionalFormatting sqref="A723">
    <cfRule type="duplicateValues" dxfId="580" priority="168"/>
  </conditionalFormatting>
  <conditionalFormatting sqref="A724">
    <cfRule type="duplicateValues" dxfId="579" priority="167"/>
  </conditionalFormatting>
  <conditionalFormatting sqref="A725">
    <cfRule type="duplicateValues" dxfId="578" priority="166"/>
  </conditionalFormatting>
  <conditionalFormatting sqref="A726">
    <cfRule type="duplicateValues" dxfId="577" priority="165"/>
  </conditionalFormatting>
  <conditionalFormatting sqref="A727">
    <cfRule type="duplicateValues" dxfId="576" priority="164"/>
  </conditionalFormatting>
  <conditionalFormatting sqref="A728">
    <cfRule type="duplicateValues" dxfId="575" priority="163"/>
  </conditionalFormatting>
  <conditionalFormatting sqref="A729">
    <cfRule type="duplicateValues" dxfId="574" priority="162"/>
  </conditionalFormatting>
  <conditionalFormatting sqref="A730">
    <cfRule type="duplicateValues" dxfId="573" priority="161"/>
  </conditionalFormatting>
  <conditionalFormatting sqref="A731">
    <cfRule type="duplicateValues" dxfId="572" priority="160"/>
  </conditionalFormatting>
  <conditionalFormatting sqref="A732">
    <cfRule type="duplicateValues" dxfId="571" priority="159"/>
  </conditionalFormatting>
  <conditionalFormatting sqref="A733">
    <cfRule type="duplicateValues" dxfId="570" priority="158"/>
  </conditionalFormatting>
  <conditionalFormatting sqref="A734">
    <cfRule type="duplicateValues" dxfId="569" priority="157"/>
  </conditionalFormatting>
  <conditionalFormatting sqref="A735">
    <cfRule type="duplicateValues" dxfId="568" priority="155"/>
  </conditionalFormatting>
  <conditionalFormatting sqref="A736">
    <cfRule type="duplicateValues" dxfId="567" priority="154"/>
  </conditionalFormatting>
  <conditionalFormatting sqref="A737">
    <cfRule type="duplicateValues" dxfId="566" priority="153"/>
  </conditionalFormatting>
  <conditionalFormatting sqref="A738">
    <cfRule type="duplicateValues" dxfId="565" priority="152"/>
  </conditionalFormatting>
  <conditionalFormatting sqref="A739">
    <cfRule type="duplicateValues" dxfId="564" priority="151"/>
  </conditionalFormatting>
  <conditionalFormatting sqref="A740">
    <cfRule type="duplicateValues" dxfId="563" priority="150"/>
  </conditionalFormatting>
  <conditionalFormatting sqref="A741">
    <cfRule type="duplicateValues" dxfId="562" priority="149"/>
  </conditionalFormatting>
  <conditionalFormatting sqref="A742">
    <cfRule type="duplicateValues" dxfId="561" priority="148"/>
  </conditionalFormatting>
  <conditionalFormatting sqref="A743">
    <cfRule type="duplicateValues" dxfId="560" priority="147"/>
  </conditionalFormatting>
  <conditionalFormatting sqref="A744">
    <cfRule type="duplicateValues" dxfId="559" priority="146"/>
  </conditionalFormatting>
  <conditionalFormatting sqref="A746">
    <cfRule type="duplicateValues" dxfId="558" priority="145"/>
  </conditionalFormatting>
  <conditionalFormatting sqref="A747">
    <cfRule type="duplicateValues" dxfId="557" priority="144"/>
  </conditionalFormatting>
  <conditionalFormatting sqref="A748">
    <cfRule type="duplicateValues" dxfId="556" priority="143"/>
  </conditionalFormatting>
  <conditionalFormatting sqref="A749">
    <cfRule type="duplicateValues" dxfId="555" priority="142"/>
  </conditionalFormatting>
  <conditionalFormatting sqref="A750">
    <cfRule type="duplicateValues" dxfId="554" priority="141"/>
  </conditionalFormatting>
  <conditionalFormatting sqref="A751">
    <cfRule type="duplicateValues" dxfId="553" priority="140"/>
  </conditionalFormatting>
  <conditionalFormatting sqref="A752">
    <cfRule type="duplicateValues" dxfId="552" priority="139"/>
  </conditionalFormatting>
  <conditionalFormatting sqref="A753">
    <cfRule type="duplicateValues" dxfId="551" priority="138"/>
  </conditionalFormatting>
  <conditionalFormatting sqref="A754">
    <cfRule type="duplicateValues" dxfId="550" priority="137"/>
  </conditionalFormatting>
  <conditionalFormatting sqref="A755">
    <cfRule type="duplicateValues" dxfId="549" priority="134"/>
  </conditionalFormatting>
  <conditionalFormatting sqref="A756">
    <cfRule type="duplicateValues" dxfId="548" priority="133"/>
  </conditionalFormatting>
  <conditionalFormatting sqref="A757">
    <cfRule type="duplicateValues" dxfId="547" priority="132"/>
  </conditionalFormatting>
  <conditionalFormatting sqref="A758">
    <cfRule type="duplicateValues" dxfId="546" priority="131"/>
  </conditionalFormatting>
  <conditionalFormatting sqref="A784:A798 A760:A782">
    <cfRule type="duplicateValues" dxfId="545" priority="2776"/>
  </conditionalFormatting>
  <conditionalFormatting sqref="A799">
    <cfRule type="duplicateValues" dxfId="544" priority="128"/>
  </conditionalFormatting>
  <conditionalFormatting sqref="A800">
    <cfRule type="duplicateValues" dxfId="543" priority="127"/>
  </conditionalFormatting>
  <conditionalFormatting sqref="A801">
    <cfRule type="duplicateValues" dxfId="542" priority="126"/>
  </conditionalFormatting>
  <conditionalFormatting sqref="A802">
    <cfRule type="duplicateValues" dxfId="541" priority="125"/>
  </conditionalFormatting>
  <conditionalFormatting sqref="A803">
    <cfRule type="duplicateValues" dxfId="540" priority="124"/>
  </conditionalFormatting>
  <conditionalFormatting sqref="A804">
    <cfRule type="duplicateValues" dxfId="539" priority="123"/>
  </conditionalFormatting>
  <conditionalFormatting sqref="A805">
    <cfRule type="duplicateValues" dxfId="538" priority="122"/>
  </conditionalFormatting>
  <conditionalFormatting sqref="A806">
    <cfRule type="duplicateValues" dxfId="537" priority="121"/>
  </conditionalFormatting>
  <conditionalFormatting sqref="A807">
    <cfRule type="duplicateValues" dxfId="536" priority="120"/>
  </conditionalFormatting>
  <conditionalFormatting sqref="A808">
    <cfRule type="duplicateValues" dxfId="535" priority="118"/>
  </conditionalFormatting>
  <conditionalFormatting sqref="A809">
    <cfRule type="duplicateValues" dxfId="534" priority="117"/>
  </conditionalFormatting>
  <conditionalFormatting sqref="A810">
    <cfRule type="duplicateValues" dxfId="533" priority="116"/>
  </conditionalFormatting>
  <conditionalFormatting sqref="A811">
    <cfRule type="duplicateValues" dxfId="532" priority="113"/>
  </conditionalFormatting>
  <conditionalFormatting sqref="A812">
    <cfRule type="duplicateValues" dxfId="531" priority="112"/>
  </conditionalFormatting>
  <conditionalFormatting sqref="A813">
    <cfRule type="duplicateValues" dxfId="530" priority="111"/>
  </conditionalFormatting>
  <conditionalFormatting sqref="A814">
    <cfRule type="duplicateValues" dxfId="529" priority="110"/>
  </conditionalFormatting>
  <conditionalFormatting sqref="A815">
    <cfRule type="duplicateValues" dxfId="528" priority="109"/>
  </conditionalFormatting>
  <conditionalFormatting sqref="A816">
    <cfRule type="duplicateValues" dxfId="527" priority="108"/>
  </conditionalFormatting>
  <conditionalFormatting sqref="A817">
    <cfRule type="duplicateValues" dxfId="526" priority="107"/>
  </conditionalFormatting>
  <conditionalFormatting sqref="A818">
    <cfRule type="duplicateValues" dxfId="525" priority="105"/>
  </conditionalFormatting>
  <conditionalFormatting sqref="A819">
    <cfRule type="duplicateValues" dxfId="524" priority="104"/>
  </conditionalFormatting>
  <conditionalFormatting sqref="A820">
    <cfRule type="duplicateValues" dxfId="523" priority="103"/>
  </conditionalFormatting>
  <conditionalFormatting sqref="A821:A824">
    <cfRule type="duplicateValues" dxfId="522" priority="102"/>
  </conditionalFormatting>
  <conditionalFormatting sqref="A822">
    <cfRule type="duplicateValues" dxfId="521" priority="101"/>
  </conditionalFormatting>
  <conditionalFormatting sqref="A823">
    <cfRule type="duplicateValues" dxfId="520" priority="100"/>
  </conditionalFormatting>
  <conditionalFormatting sqref="A824 A759 A643 A313">
    <cfRule type="duplicateValues" dxfId="519" priority="64"/>
  </conditionalFormatting>
  <conditionalFormatting sqref="A825">
    <cfRule type="duplicateValues" dxfId="518" priority="98"/>
  </conditionalFormatting>
  <conditionalFormatting sqref="A826">
    <cfRule type="duplicateValues" dxfId="517" priority="97"/>
  </conditionalFormatting>
  <conditionalFormatting sqref="A827">
    <cfRule type="duplicateValues" dxfId="516" priority="96"/>
  </conditionalFormatting>
  <conditionalFormatting sqref="A828">
    <cfRule type="duplicateValues" dxfId="515" priority="95"/>
  </conditionalFormatting>
  <conditionalFormatting sqref="A829">
    <cfRule type="duplicateValues" dxfId="514" priority="94"/>
  </conditionalFormatting>
  <conditionalFormatting sqref="A830">
    <cfRule type="duplicateValues" dxfId="513" priority="93"/>
  </conditionalFormatting>
  <conditionalFormatting sqref="A831">
    <cfRule type="duplicateValues" dxfId="512" priority="92"/>
  </conditionalFormatting>
  <conditionalFormatting sqref="A832">
    <cfRule type="duplicateValues" dxfId="511" priority="91"/>
  </conditionalFormatting>
  <conditionalFormatting sqref="A833">
    <cfRule type="duplicateValues" dxfId="510" priority="90"/>
  </conditionalFormatting>
  <conditionalFormatting sqref="A834">
    <cfRule type="duplicateValues" dxfId="509" priority="89"/>
  </conditionalFormatting>
  <conditionalFormatting sqref="A835">
    <cfRule type="duplicateValues" dxfId="508" priority="88"/>
  </conditionalFormatting>
  <conditionalFormatting sqref="A836">
    <cfRule type="duplicateValues" dxfId="507" priority="87"/>
  </conditionalFormatting>
  <conditionalFormatting sqref="A837">
    <cfRule type="duplicateValues" dxfId="506" priority="86"/>
  </conditionalFormatting>
  <conditionalFormatting sqref="A838">
    <cfRule type="duplicateValues" dxfId="505" priority="85"/>
  </conditionalFormatting>
  <conditionalFormatting sqref="A839">
    <cfRule type="duplicateValues" dxfId="504" priority="84"/>
  </conditionalFormatting>
  <conditionalFormatting sqref="A840">
    <cfRule type="duplicateValues" dxfId="503" priority="83"/>
  </conditionalFormatting>
  <conditionalFormatting sqref="A841">
    <cfRule type="duplicateValues" dxfId="502" priority="82"/>
  </conditionalFormatting>
  <conditionalFormatting sqref="A842">
    <cfRule type="duplicateValues" dxfId="501" priority="81"/>
  </conditionalFormatting>
  <conditionalFormatting sqref="A843">
    <cfRule type="duplicateValues" dxfId="500" priority="80"/>
  </conditionalFormatting>
  <conditionalFormatting sqref="A844">
    <cfRule type="duplicateValues" dxfId="499" priority="79"/>
  </conditionalFormatting>
  <conditionalFormatting sqref="A845">
    <cfRule type="duplicateValues" dxfId="498" priority="78"/>
  </conditionalFormatting>
  <conditionalFormatting sqref="A846">
    <cfRule type="duplicateValues" dxfId="497" priority="77"/>
  </conditionalFormatting>
  <conditionalFormatting sqref="A847">
    <cfRule type="duplicateValues" dxfId="496" priority="76"/>
  </conditionalFormatting>
  <conditionalFormatting sqref="A848">
    <cfRule type="duplicateValues" dxfId="495" priority="75"/>
  </conditionalFormatting>
  <conditionalFormatting sqref="A849">
    <cfRule type="duplicateValues" dxfId="494" priority="74"/>
  </conditionalFormatting>
  <conditionalFormatting sqref="A850">
    <cfRule type="duplicateValues" dxfId="493" priority="73"/>
  </conditionalFormatting>
  <conditionalFormatting sqref="A851">
    <cfRule type="duplicateValues" dxfId="492" priority="72"/>
  </conditionalFormatting>
  <conditionalFormatting sqref="A852">
    <cfRule type="duplicateValues" dxfId="491" priority="70"/>
  </conditionalFormatting>
  <conditionalFormatting sqref="A853">
    <cfRule type="duplicateValues" dxfId="490" priority="69"/>
  </conditionalFormatting>
  <conditionalFormatting sqref="A854">
    <cfRule type="duplicateValues" dxfId="489" priority="67"/>
  </conditionalFormatting>
  <conditionalFormatting sqref="A855">
    <cfRule type="duplicateValues" dxfId="488" priority="65"/>
  </conditionalFormatting>
  <conditionalFormatting sqref="A856">
    <cfRule type="duplicateValues" dxfId="487" priority="63"/>
  </conditionalFormatting>
  <conditionalFormatting sqref="A857">
    <cfRule type="duplicateValues" dxfId="486" priority="62"/>
  </conditionalFormatting>
  <conditionalFormatting sqref="A858">
    <cfRule type="duplicateValues" dxfId="485" priority="61"/>
  </conditionalFormatting>
  <conditionalFormatting sqref="A859">
    <cfRule type="duplicateValues" dxfId="484" priority="60"/>
  </conditionalFormatting>
  <conditionalFormatting sqref="A860">
    <cfRule type="duplicateValues" dxfId="483" priority="59"/>
  </conditionalFormatting>
  <conditionalFormatting sqref="A861">
    <cfRule type="duplicateValues" dxfId="482" priority="57"/>
  </conditionalFormatting>
  <conditionalFormatting sqref="A862">
    <cfRule type="duplicateValues" dxfId="481" priority="56"/>
  </conditionalFormatting>
  <conditionalFormatting sqref="A863">
    <cfRule type="duplicateValues" dxfId="480" priority="52"/>
  </conditionalFormatting>
  <conditionalFormatting sqref="A864">
    <cfRule type="duplicateValues" dxfId="479" priority="50"/>
  </conditionalFormatting>
  <conditionalFormatting sqref="A865">
    <cfRule type="duplicateValues" dxfId="478" priority="49"/>
  </conditionalFormatting>
  <conditionalFormatting sqref="A866">
    <cfRule type="duplicateValues" dxfId="477" priority="48"/>
  </conditionalFormatting>
  <conditionalFormatting sqref="A867">
    <cfRule type="duplicateValues" dxfId="476" priority="47"/>
  </conditionalFormatting>
  <conditionalFormatting sqref="A868">
    <cfRule type="duplicateValues" dxfId="475" priority="46"/>
  </conditionalFormatting>
  <conditionalFormatting sqref="A869">
    <cfRule type="duplicateValues" dxfId="474" priority="45"/>
  </conditionalFormatting>
  <conditionalFormatting sqref="A870">
    <cfRule type="duplicateValues" dxfId="473" priority="44"/>
  </conditionalFormatting>
  <conditionalFormatting sqref="A871">
    <cfRule type="duplicateValues" dxfId="472" priority="43"/>
  </conditionalFormatting>
  <conditionalFormatting sqref="A873">
    <cfRule type="duplicateValues" dxfId="471" priority="42"/>
  </conditionalFormatting>
  <conditionalFormatting sqref="A874">
    <cfRule type="duplicateValues" dxfId="470" priority="41"/>
  </conditionalFormatting>
  <conditionalFormatting sqref="A875">
    <cfRule type="duplicateValues" dxfId="469" priority="39"/>
  </conditionalFormatting>
  <conditionalFormatting sqref="A876">
    <cfRule type="duplicateValues" dxfId="468" priority="38"/>
  </conditionalFormatting>
  <conditionalFormatting sqref="A877">
    <cfRule type="duplicateValues" dxfId="467" priority="37"/>
  </conditionalFormatting>
  <conditionalFormatting sqref="A878">
    <cfRule type="duplicateValues" dxfId="466" priority="36"/>
  </conditionalFormatting>
  <conditionalFormatting sqref="A879">
    <cfRule type="duplicateValues" dxfId="465" priority="35"/>
  </conditionalFormatting>
  <conditionalFormatting sqref="A881">
    <cfRule type="duplicateValues" dxfId="464" priority="30"/>
  </conditionalFormatting>
  <conditionalFormatting sqref="A883:A884">
    <cfRule type="duplicateValues" dxfId="463" priority="29"/>
  </conditionalFormatting>
  <conditionalFormatting sqref="A886">
    <cfRule type="duplicateValues" dxfId="462" priority="28"/>
  </conditionalFormatting>
  <conditionalFormatting sqref="A890">
    <cfRule type="duplicateValues" dxfId="461" priority="27"/>
  </conditionalFormatting>
  <conditionalFormatting sqref="A896">
    <cfRule type="duplicateValues" dxfId="460" priority="26"/>
  </conditionalFormatting>
  <conditionalFormatting sqref="A897">
    <cfRule type="duplicateValues" dxfId="459" priority="25"/>
  </conditionalFormatting>
  <conditionalFormatting sqref="A899">
    <cfRule type="duplicateValues" dxfId="458" priority="24"/>
  </conditionalFormatting>
  <conditionalFormatting sqref="A900">
    <cfRule type="duplicateValues" dxfId="457" priority="23"/>
  </conditionalFormatting>
  <conditionalFormatting sqref="A901">
    <cfRule type="duplicateValues" dxfId="456" priority="22"/>
  </conditionalFormatting>
  <conditionalFormatting sqref="A902">
    <cfRule type="duplicateValues" dxfId="455" priority="21"/>
  </conditionalFormatting>
  <conditionalFormatting sqref="A907">
    <cfRule type="duplicateValues" dxfId="454" priority="20"/>
  </conditionalFormatting>
  <conditionalFormatting sqref="A909">
    <cfRule type="duplicateValues" dxfId="453" priority="19"/>
  </conditionalFormatting>
  <conditionalFormatting sqref="A911">
    <cfRule type="duplicateValues" dxfId="452" priority="18"/>
  </conditionalFormatting>
  <conditionalFormatting sqref="A912">
    <cfRule type="duplicateValues" dxfId="451" priority="17"/>
  </conditionalFormatting>
  <conditionalFormatting sqref="A913">
    <cfRule type="duplicateValues" dxfId="450" priority="16"/>
  </conditionalFormatting>
  <conditionalFormatting sqref="A916">
    <cfRule type="duplicateValues" dxfId="449" priority="15"/>
  </conditionalFormatting>
  <conditionalFormatting sqref="A944">
    <cfRule type="duplicateValues" dxfId="448" priority="14"/>
  </conditionalFormatting>
  <conditionalFormatting sqref="A945:A947">
    <cfRule type="duplicateValues" dxfId="447" priority="13"/>
  </conditionalFormatting>
  <conditionalFormatting sqref="A949">
    <cfRule type="duplicateValues" dxfId="446" priority="12"/>
  </conditionalFormatting>
  <conditionalFormatting sqref="A956">
    <cfRule type="duplicateValues" dxfId="445" priority="11"/>
  </conditionalFormatting>
  <conditionalFormatting sqref="A962">
    <cfRule type="duplicateValues" dxfId="444" priority="10"/>
  </conditionalFormatting>
  <conditionalFormatting sqref="AB661">
    <cfRule type="duplicateValues" dxfId="443" priority="257"/>
  </conditionalFormatting>
  <conditionalFormatting sqref="AB673">
    <cfRule type="duplicateValues" dxfId="442" priority="241"/>
  </conditionalFormatting>
  <conditionalFormatting sqref="A968">
    <cfRule type="duplicateValues" dxfId="441" priority="9"/>
  </conditionalFormatting>
  <conditionalFormatting sqref="A981">
    <cfRule type="duplicateValues" dxfId="440" priority="8"/>
  </conditionalFormatting>
  <conditionalFormatting sqref="A983">
    <cfRule type="duplicateValues" dxfId="439" priority="7"/>
  </conditionalFormatting>
  <conditionalFormatting sqref="A987">
    <cfRule type="duplicateValues" dxfId="438" priority="6"/>
  </conditionalFormatting>
  <conditionalFormatting sqref="A988">
    <cfRule type="duplicateValues" dxfId="437" priority="5"/>
  </conditionalFormatting>
  <conditionalFormatting sqref="A995">
    <cfRule type="duplicateValues" dxfId="436" priority="4"/>
  </conditionalFormatting>
  <conditionalFormatting sqref="A996">
    <cfRule type="duplicateValues" dxfId="435" priority="3"/>
  </conditionalFormatting>
  <conditionalFormatting sqref="A997">
    <cfRule type="duplicateValues" dxfId="434" priority="2"/>
  </conditionalFormatting>
  <conditionalFormatting sqref="A998">
    <cfRule type="duplicateValues" dxfId="433" priority="1"/>
  </conditionalFormatting>
  <hyperlinks>
    <hyperlink ref="AD84" r:id="rId1" xr:uid="{F4DE33A8-FD44-45CD-88A7-6903DB9549F4}"/>
    <hyperlink ref="AC190" r:id="rId2" xr:uid="{41BDDC27-7D51-4837-A620-ECC7B13F2C72}"/>
    <hyperlink ref="AB131" r:id="rId3" xr:uid="{6CF312AD-7F94-48ED-BB79-BCBDE5A4A6EE}"/>
    <hyperlink ref="I660" r:id="rId4" xr:uid="{403F0DE7-39A0-4BEB-8662-60BACE7E2267}"/>
    <hyperlink ref="AB659" r:id="rId5" xr:uid="{32648C51-336A-4B7E-BC79-5EC1EFC6FDFB}"/>
    <hyperlink ref="I821" r:id="rId6" xr:uid="{6A076B9E-0786-4C6B-AABF-602FCA34283F}"/>
    <hyperlink ref="I57" r:id="rId7" display="https://www.sante.fr/essais-cliniques/2022-501854-12-01/a-phase-1b-study-to-evaluate-the-safety-tolerability-and-preliminary-efficacy-of-a-heterologous-prime-boost-vaccination-atp150-atp152-atp162-vsv-gp154-and-ezabenlimab-bi-754091-in-patients-with-pancreatic-ductal-adenocarcinoma" xr:uid="{82171137-9D12-4228-98AD-00F41E0C42F6}"/>
    <hyperlink ref="I175" r:id="rId8" display="https://www.sante.fr/essais-cliniques/2025-522093-36-00/c3651021-etude-de-phase-2b-3-randomisee-en-double-aveugle-visant-a-evaluer-l-efficacite-la-securite-et-la-tolerabilite-du-ponsegromab-pf-06946860-par-rapport-a-un-placebo-les-deux-associes-a-une-chimiotherapie-de-premiere-ligne-chez-des-participants-adultes-atteints-de-cachexie-et-d-adenocarcinome-ductal-pancreatique-metastatique" xr:uid="{C2AE2F82-D791-4A21-884E-42EE80B8D218}"/>
    <hyperlink ref="C298" r:id="rId9" xr:uid="{2CA0C6A7-5FAE-4C4E-92FF-730A785FDF19}"/>
    <hyperlink ref="I17" r:id="rId10" xr:uid="{42A9EF12-29E8-4761-BFCA-08F0C21EC0C2}"/>
    <hyperlink ref="AB961" r:id="rId11" display="https://www.ch-perigueux.fr/poles-et-services/rechercher-un-service-226/chirurgie-viscerale-et-bariatrique-8.html?cHash=331c1b251aef2189880e1045313352a3" xr:uid="{165EBE98-B342-4CAF-8AD4-0463BD3799B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FEB35-55A5-4FC5-8F3C-6559EB439D0F}">
  <sheetPr>
    <tabColor rgb="FF1E6A5D"/>
  </sheetPr>
  <dimension ref="A1:O57"/>
  <sheetViews>
    <sheetView topLeftCell="B1" workbookViewId="0">
      <pane ySplit="3" topLeftCell="A40" activePane="bottomLeft" state="frozen"/>
      <selection pane="bottomLeft" activeCell="G56" sqref="G56"/>
    </sheetView>
  </sheetViews>
  <sheetFormatPr defaultRowHeight="14.4"/>
  <cols>
    <col min="1" max="6" width="12.5546875" customWidth="1"/>
    <col min="7" max="7" width="15" customWidth="1"/>
    <col min="8" max="8" width="16.88671875" customWidth="1"/>
    <col min="9" max="9" width="14.5546875" customWidth="1"/>
    <col min="10" max="10" width="12.5546875" customWidth="1"/>
    <col min="11" max="11" width="20.88671875" customWidth="1"/>
    <col min="12" max="14" width="12.5546875" customWidth="1"/>
  </cols>
  <sheetData>
    <row r="1" spans="1:15" ht="14.4" customHeight="1">
      <c r="A1" s="119" t="s">
        <v>4388</v>
      </c>
      <c r="B1" s="119"/>
      <c r="C1" s="119"/>
      <c r="D1" s="119"/>
      <c r="E1" s="119"/>
      <c r="F1" s="119"/>
      <c r="G1" s="118" t="s">
        <v>4389</v>
      </c>
      <c r="H1" s="118"/>
      <c r="I1" s="118"/>
      <c r="J1" s="118"/>
      <c r="K1" s="118"/>
      <c r="L1" s="118"/>
      <c r="M1" s="118"/>
      <c r="N1" s="118"/>
      <c r="O1" s="118"/>
    </row>
    <row r="2" spans="1:15" ht="70.349999999999994" customHeight="1">
      <c r="A2" s="62" t="s">
        <v>4390</v>
      </c>
      <c r="B2" s="62" t="s">
        <v>4325</v>
      </c>
      <c r="C2" s="62" t="s">
        <v>4371</v>
      </c>
      <c r="D2" s="62" t="s">
        <v>4391</v>
      </c>
      <c r="E2" s="62" t="s">
        <v>4392</v>
      </c>
      <c r="F2" s="62" t="s">
        <v>4393</v>
      </c>
      <c r="G2" s="58" t="s">
        <v>4394</v>
      </c>
      <c r="H2" s="58" t="s">
        <v>4395</v>
      </c>
      <c r="I2" s="58" t="s">
        <v>6</v>
      </c>
      <c r="J2" s="58" t="s">
        <v>7</v>
      </c>
      <c r="K2" s="58" t="s">
        <v>8</v>
      </c>
      <c r="L2" s="58" t="s">
        <v>409</v>
      </c>
      <c r="M2" s="58" t="s">
        <v>9</v>
      </c>
      <c r="N2" s="58" t="s">
        <v>4396</v>
      </c>
      <c r="O2" s="58" t="s">
        <v>4708</v>
      </c>
    </row>
    <row r="3" spans="1:15">
      <c r="A3" s="62" t="s">
        <v>11</v>
      </c>
      <c r="B3" s="62" t="s">
        <v>11</v>
      </c>
      <c r="C3" s="62" t="s">
        <v>11</v>
      </c>
      <c r="D3" s="62" t="s">
        <v>11</v>
      </c>
      <c r="E3" s="62" t="s">
        <v>11</v>
      </c>
      <c r="F3" s="62" t="s">
        <v>11</v>
      </c>
      <c r="G3" s="58" t="s">
        <v>11</v>
      </c>
      <c r="H3" s="58" t="s">
        <v>11</v>
      </c>
      <c r="I3" s="58" t="s">
        <v>11</v>
      </c>
      <c r="J3" s="58" t="s">
        <v>11</v>
      </c>
      <c r="K3" s="58" t="s">
        <v>11</v>
      </c>
      <c r="L3" s="58" t="s">
        <v>11</v>
      </c>
      <c r="M3" s="58" t="s">
        <v>11</v>
      </c>
      <c r="N3" s="58" t="s">
        <v>11</v>
      </c>
      <c r="O3" s="58" t="s">
        <v>11</v>
      </c>
    </row>
    <row r="4" spans="1:15">
      <c r="E4" t="s">
        <v>414</v>
      </c>
      <c r="G4" t="s">
        <v>4814</v>
      </c>
      <c r="H4" t="s">
        <v>4282</v>
      </c>
      <c r="I4" t="s">
        <v>2164</v>
      </c>
      <c r="J4">
        <v>63003</v>
      </c>
      <c r="K4" t="s">
        <v>896</v>
      </c>
      <c r="N4" t="s">
        <v>4817</v>
      </c>
      <c r="O4" t="s">
        <v>4816</v>
      </c>
    </row>
    <row r="5" spans="1:15">
      <c r="E5" t="s">
        <v>414</v>
      </c>
      <c r="G5" t="s">
        <v>4818</v>
      </c>
      <c r="H5" t="s">
        <v>42</v>
      </c>
      <c r="I5" s="12" t="s">
        <v>50</v>
      </c>
      <c r="J5">
        <v>63011</v>
      </c>
      <c r="K5" t="s">
        <v>2960</v>
      </c>
      <c r="L5" s="12" t="s">
        <v>825</v>
      </c>
      <c r="N5" t="s">
        <v>4817</v>
      </c>
      <c r="O5" t="s">
        <v>4816</v>
      </c>
    </row>
    <row r="6" spans="1:15">
      <c r="A6" t="s">
        <v>4820</v>
      </c>
      <c r="E6" t="s">
        <v>414</v>
      </c>
      <c r="G6" t="s">
        <v>4819</v>
      </c>
      <c r="H6" t="s">
        <v>4571</v>
      </c>
      <c r="I6" t="s">
        <v>2190</v>
      </c>
      <c r="J6">
        <v>38700</v>
      </c>
      <c r="K6" t="s">
        <v>2191</v>
      </c>
      <c r="N6" t="s">
        <v>4817</v>
      </c>
      <c r="O6" t="s">
        <v>4816</v>
      </c>
    </row>
    <row r="7" spans="1:15">
      <c r="A7" t="s">
        <v>4824</v>
      </c>
      <c r="E7" t="s">
        <v>414</v>
      </c>
      <c r="G7" t="s">
        <v>4823</v>
      </c>
      <c r="H7" t="s">
        <v>3175</v>
      </c>
      <c r="N7" t="s">
        <v>4817</v>
      </c>
      <c r="O7" t="s">
        <v>4816</v>
      </c>
    </row>
    <row r="8" spans="1:15">
      <c r="E8" t="s">
        <v>414</v>
      </c>
      <c r="G8" t="s">
        <v>4825</v>
      </c>
      <c r="H8" t="s">
        <v>4524</v>
      </c>
      <c r="I8" s="12" t="s">
        <v>2942</v>
      </c>
      <c r="J8">
        <v>69008</v>
      </c>
      <c r="K8" t="s">
        <v>2961</v>
      </c>
      <c r="L8" s="12" t="s">
        <v>825</v>
      </c>
      <c r="N8" t="s">
        <v>4817</v>
      </c>
      <c r="O8" t="s">
        <v>4816</v>
      </c>
    </row>
    <row r="9" spans="1:15">
      <c r="E9" t="s">
        <v>414</v>
      </c>
      <c r="G9" t="s">
        <v>4826</v>
      </c>
      <c r="H9" t="s">
        <v>3207</v>
      </c>
      <c r="I9" t="s">
        <v>2192</v>
      </c>
      <c r="J9">
        <v>42277</v>
      </c>
      <c r="K9" t="s">
        <v>877</v>
      </c>
      <c r="N9" t="s">
        <v>4817</v>
      </c>
      <c r="O9" t="s">
        <v>4816</v>
      </c>
    </row>
    <row r="10" spans="1:15">
      <c r="E10" t="s">
        <v>414</v>
      </c>
      <c r="G10" t="s">
        <v>4827</v>
      </c>
      <c r="H10" t="s">
        <v>4280</v>
      </c>
      <c r="I10" t="s">
        <v>2009</v>
      </c>
      <c r="J10">
        <v>25030</v>
      </c>
      <c r="K10" t="s">
        <v>874</v>
      </c>
      <c r="N10" t="s">
        <v>4817</v>
      </c>
      <c r="O10" t="s">
        <v>4816</v>
      </c>
    </row>
    <row r="11" spans="1:15">
      <c r="E11" t="s">
        <v>414</v>
      </c>
      <c r="G11" t="s">
        <v>4829</v>
      </c>
      <c r="H11" t="s">
        <v>4828</v>
      </c>
      <c r="I11" t="s">
        <v>2180</v>
      </c>
      <c r="J11">
        <v>21079</v>
      </c>
      <c r="K11" t="s">
        <v>844</v>
      </c>
      <c r="N11" t="s">
        <v>4817</v>
      </c>
      <c r="O11" t="s">
        <v>4816</v>
      </c>
    </row>
    <row r="12" spans="1:15">
      <c r="E12" t="s">
        <v>414</v>
      </c>
      <c r="G12" t="s">
        <v>4830</v>
      </c>
      <c r="H12" t="s">
        <v>1289</v>
      </c>
      <c r="N12" t="s">
        <v>4817</v>
      </c>
      <c r="O12" t="s">
        <v>4816</v>
      </c>
    </row>
    <row r="13" spans="1:15">
      <c r="A13" t="s">
        <v>4833</v>
      </c>
      <c r="E13" t="s">
        <v>414</v>
      </c>
      <c r="G13" t="s">
        <v>4832</v>
      </c>
      <c r="H13" t="s">
        <v>107</v>
      </c>
      <c r="N13" t="s">
        <v>4817</v>
      </c>
      <c r="O13" t="s">
        <v>4816</v>
      </c>
    </row>
    <row r="14" spans="1:15">
      <c r="A14" t="s">
        <v>4835</v>
      </c>
      <c r="E14" t="s">
        <v>414</v>
      </c>
      <c r="G14" t="s">
        <v>4834</v>
      </c>
      <c r="H14" t="s">
        <v>1248</v>
      </c>
      <c r="I14" t="s">
        <v>1997</v>
      </c>
      <c r="J14">
        <v>35000</v>
      </c>
      <c r="K14" t="s">
        <v>1702</v>
      </c>
      <c r="N14" t="s">
        <v>4817</v>
      </c>
      <c r="O14" t="s">
        <v>4816</v>
      </c>
    </row>
    <row r="15" spans="1:15">
      <c r="A15" t="s">
        <v>4837</v>
      </c>
      <c r="E15" t="s">
        <v>414</v>
      </c>
      <c r="G15" t="s">
        <v>4836</v>
      </c>
      <c r="H15" t="s">
        <v>1249</v>
      </c>
      <c r="I15" t="s">
        <v>1998</v>
      </c>
      <c r="J15">
        <v>37170</v>
      </c>
      <c r="K15" t="s">
        <v>1999</v>
      </c>
      <c r="N15" t="s">
        <v>4817</v>
      </c>
      <c r="O15" t="s">
        <v>4816</v>
      </c>
    </row>
    <row r="16" spans="1:15">
      <c r="A16" t="s">
        <v>4839</v>
      </c>
      <c r="E16" t="s">
        <v>414</v>
      </c>
      <c r="G16" t="s">
        <v>4838</v>
      </c>
      <c r="H16" t="s">
        <v>4291</v>
      </c>
      <c r="I16" t="s">
        <v>1994</v>
      </c>
      <c r="J16">
        <v>45067</v>
      </c>
      <c r="K16" t="s">
        <v>1995</v>
      </c>
      <c r="N16" t="s">
        <v>4817</v>
      </c>
      <c r="O16" t="s">
        <v>4816</v>
      </c>
    </row>
    <row r="17" spans="1:15">
      <c r="E17" t="s">
        <v>414</v>
      </c>
      <c r="G17" t="s">
        <v>4840</v>
      </c>
      <c r="H17" t="s">
        <v>4590</v>
      </c>
      <c r="I17" t="s">
        <v>2313</v>
      </c>
      <c r="J17">
        <v>54519</v>
      </c>
      <c r="K17" t="s">
        <v>850</v>
      </c>
      <c r="N17" t="s">
        <v>4817</v>
      </c>
      <c r="O17" t="s">
        <v>4816</v>
      </c>
    </row>
    <row r="18" spans="1:15">
      <c r="A18" t="s">
        <v>4842</v>
      </c>
      <c r="B18" t="s">
        <v>414</v>
      </c>
      <c r="E18" t="s">
        <v>414</v>
      </c>
      <c r="G18" t="s">
        <v>4841</v>
      </c>
      <c r="H18" t="s">
        <v>3304</v>
      </c>
      <c r="I18" t="s">
        <v>2189</v>
      </c>
      <c r="J18">
        <v>51092</v>
      </c>
      <c r="K18" t="s">
        <v>880</v>
      </c>
      <c r="N18" t="s">
        <v>4817</v>
      </c>
      <c r="O18" t="s">
        <v>4816</v>
      </c>
    </row>
    <row r="19" spans="1:15">
      <c r="E19" t="s">
        <v>414</v>
      </c>
      <c r="G19" t="s">
        <v>4843</v>
      </c>
      <c r="H19" s="12" t="s">
        <v>3302</v>
      </c>
      <c r="I19" s="12" t="s">
        <v>2952</v>
      </c>
      <c r="J19">
        <v>51726</v>
      </c>
      <c r="K19" t="s">
        <v>2955</v>
      </c>
      <c r="L19" s="12" t="s">
        <v>849</v>
      </c>
      <c r="N19" t="s">
        <v>4817</v>
      </c>
      <c r="O19" t="s">
        <v>4816</v>
      </c>
    </row>
    <row r="20" spans="1:15">
      <c r="E20" t="s">
        <v>414</v>
      </c>
      <c r="G20" t="s">
        <v>4844</v>
      </c>
      <c r="H20" t="s">
        <v>164</v>
      </c>
      <c r="N20" t="s">
        <v>4817</v>
      </c>
      <c r="O20" t="s">
        <v>4816</v>
      </c>
    </row>
    <row r="21" spans="1:15">
      <c r="A21" t="s">
        <v>4848</v>
      </c>
      <c r="E21" t="s">
        <v>414</v>
      </c>
      <c r="G21" t="s">
        <v>4847</v>
      </c>
      <c r="H21" t="s">
        <v>168</v>
      </c>
      <c r="I21" t="s">
        <v>4846</v>
      </c>
      <c r="K21" t="s">
        <v>4845</v>
      </c>
      <c r="N21" t="s">
        <v>4817</v>
      </c>
      <c r="O21" t="s">
        <v>4816</v>
      </c>
    </row>
    <row r="22" spans="1:15">
      <c r="E22" t="s">
        <v>414</v>
      </c>
      <c r="G22" t="s">
        <v>4850</v>
      </c>
      <c r="H22" t="s">
        <v>4849</v>
      </c>
      <c r="I22" t="s">
        <v>2717</v>
      </c>
      <c r="J22">
        <v>59037</v>
      </c>
      <c r="K22" t="s">
        <v>871</v>
      </c>
      <c r="N22" t="s">
        <v>4817</v>
      </c>
      <c r="O22" t="s">
        <v>4816</v>
      </c>
    </row>
    <row r="23" spans="1:15">
      <c r="E23" t="s">
        <v>414</v>
      </c>
      <c r="G23" t="s">
        <v>4851</v>
      </c>
      <c r="H23" t="s">
        <v>185</v>
      </c>
      <c r="I23" t="s">
        <v>2295</v>
      </c>
      <c r="J23">
        <v>93009</v>
      </c>
      <c r="K23" t="s">
        <v>970</v>
      </c>
      <c r="N23" t="s">
        <v>4817</v>
      </c>
      <c r="O23" t="s">
        <v>4816</v>
      </c>
    </row>
    <row r="24" spans="1:15">
      <c r="A24" t="s">
        <v>4854</v>
      </c>
      <c r="E24" t="s">
        <v>414</v>
      </c>
      <c r="G24" t="s">
        <v>4853</v>
      </c>
      <c r="H24" t="s">
        <v>4852</v>
      </c>
      <c r="I24" t="s">
        <v>2292</v>
      </c>
      <c r="J24">
        <v>75877</v>
      </c>
      <c r="K24" t="s">
        <v>700</v>
      </c>
      <c r="N24" t="s">
        <v>4817</v>
      </c>
      <c r="O24" t="s">
        <v>4816</v>
      </c>
    </row>
    <row r="25" spans="1:15">
      <c r="A25" t="s">
        <v>4856</v>
      </c>
      <c r="E25" t="s">
        <v>414</v>
      </c>
      <c r="G25" t="s">
        <v>4855</v>
      </c>
      <c r="H25" t="s">
        <v>4298</v>
      </c>
      <c r="I25" t="s">
        <v>2303</v>
      </c>
      <c r="J25">
        <v>75475</v>
      </c>
      <c r="K25" t="s">
        <v>700</v>
      </c>
      <c r="N25" t="s">
        <v>4817</v>
      </c>
      <c r="O25" t="s">
        <v>4816</v>
      </c>
    </row>
    <row r="26" spans="1:15">
      <c r="E26" t="s">
        <v>414</v>
      </c>
      <c r="G26" t="s">
        <v>4857</v>
      </c>
      <c r="H26" t="s">
        <v>4284</v>
      </c>
      <c r="I26" t="s">
        <v>2289</v>
      </c>
      <c r="J26">
        <v>92104</v>
      </c>
      <c r="K26" t="s">
        <v>2115</v>
      </c>
      <c r="N26" t="s">
        <v>4817</v>
      </c>
      <c r="O26" t="s">
        <v>4816</v>
      </c>
    </row>
    <row r="27" spans="1:15">
      <c r="E27" t="s">
        <v>414</v>
      </c>
      <c r="G27" t="s">
        <v>4858</v>
      </c>
      <c r="H27" t="s">
        <v>4293</v>
      </c>
      <c r="I27" t="s">
        <v>2287</v>
      </c>
      <c r="J27">
        <v>94010</v>
      </c>
      <c r="K27" t="s">
        <v>1015</v>
      </c>
      <c r="N27" t="s">
        <v>4817</v>
      </c>
      <c r="O27" t="s">
        <v>4816</v>
      </c>
    </row>
    <row r="28" spans="1:15">
      <c r="E28" t="s">
        <v>414</v>
      </c>
      <c r="G28" t="s">
        <v>4859</v>
      </c>
      <c r="H28" t="s">
        <v>4300</v>
      </c>
      <c r="I28" t="s">
        <v>2301</v>
      </c>
      <c r="J28">
        <v>75651</v>
      </c>
      <c r="K28" t="s">
        <v>700</v>
      </c>
      <c r="N28" t="s">
        <v>4817</v>
      </c>
      <c r="O28" t="s">
        <v>4816</v>
      </c>
    </row>
    <row r="29" spans="1:15">
      <c r="E29" t="s">
        <v>414</v>
      </c>
      <c r="G29" t="s">
        <v>4860</v>
      </c>
      <c r="H29" t="s">
        <v>4297</v>
      </c>
      <c r="I29" t="s">
        <v>2284</v>
      </c>
      <c r="J29">
        <v>75571</v>
      </c>
      <c r="K29" t="s">
        <v>700</v>
      </c>
      <c r="N29" t="s">
        <v>4817</v>
      </c>
      <c r="O29" t="s">
        <v>4816</v>
      </c>
    </row>
    <row r="30" spans="1:15">
      <c r="E30" t="s">
        <v>414</v>
      </c>
      <c r="G30" t="s">
        <v>4861</v>
      </c>
      <c r="H30" t="s">
        <v>240</v>
      </c>
      <c r="I30" t="s">
        <v>2285</v>
      </c>
      <c r="J30">
        <v>75970</v>
      </c>
      <c r="K30" t="s">
        <v>700</v>
      </c>
      <c r="N30" t="s">
        <v>4817</v>
      </c>
      <c r="O30" t="s">
        <v>4816</v>
      </c>
    </row>
    <row r="31" spans="1:15">
      <c r="E31" t="s">
        <v>414</v>
      </c>
      <c r="G31" t="s">
        <v>4862</v>
      </c>
      <c r="H31" t="s">
        <v>4445</v>
      </c>
      <c r="N31" t="s">
        <v>4817</v>
      </c>
      <c r="O31" t="s">
        <v>4816</v>
      </c>
    </row>
    <row r="32" spans="1:15">
      <c r="E32" t="s">
        <v>414</v>
      </c>
      <c r="G32" t="s">
        <v>4863</v>
      </c>
      <c r="H32" t="s">
        <v>4287</v>
      </c>
      <c r="I32" t="s">
        <v>2290</v>
      </c>
      <c r="J32">
        <v>75679</v>
      </c>
      <c r="K32" t="s">
        <v>700</v>
      </c>
      <c r="N32" t="s">
        <v>4817</v>
      </c>
      <c r="O32" t="s">
        <v>4816</v>
      </c>
    </row>
    <row r="33" spans="1:15">
      <c r="A33" t="s">
        <v>4865</v>
      </c>
      <c r="E33" t="s">
        <v>414</v>
      </c>
      <c r="G33" t="s">
        <v>4864</v>
      </c>
      <c r="H33" s="12" t="s">
        <v>31</v>
      </c>
      <c r="I33" s="12" t="s">
        <v>2945</v>
      </c>
      <c r="J33">
        <v>75005</v>
      </c>
      <c r="K33" t="s">
        <v>262</v>
      </c>
      <c r="L33" s="12" t="s">
        <v>1300</v>
      </c>
      <c r="N33" t="s">
        <v>4817</v>
      </c>
      <c r="O33" t="s">
        <v>4816</v>
      </c>
    </row>
    <row r="34" spans="1:15">
      <c r="E34" t="s">
        <v>414</v>
      </c>
      <c r="G34" t="s">
        <v>4866</v>
      </c>
      <c r="H34" s="12" t="s">
        <v>33</v>
      </c>
      <c r="I34" s="12" t="s">
        <v>2944</v>
      </c>
      <c r="J34">
        <v>94805</v>
      </c>
      <c r="K34" t="s">
        <v>2963</v>
      </c>
      <c r="L34" s="12" t="s">
        <v>1300</v>
      </c>
      <c r="N34" t="s">
        <v>4817</v>
      </c>
      <c r="O34" t="s">
        <v>4816</v>
      </c>
    </row>
    <row r="35" spans="1:15">
      <c r="E35" t="s">
        <v>414</v>
      </c>
      <c r="G35" t="s">
        <v>4868</v>
      </c>
      <c r="H35" t="s">
        <v>4867</v>
      </c>
      <c r="N35" t="s">
        <v>4817</v>
      </c>
      <c r="O35" t="s">
        <v>4816</v>
      </c>
    </row>
    <row r="36" spans="1:15">
      <c r="E36" t="s">
        <v>414</v>
      </c>
      <c r="G36" t="s">
        <v>4869</v>
      </c>
      <c r="H36" s="12" t="s">
        <v>280</v>
      </c>
      <c r="I36" s="12" t="s">
        <v>2940</v>
      </c>
      <c r="J36">
        <v>14000</v>
      </c>
      <c r="K36" t="s">
        <v>2958</v>
      </c>
      <c r="L36" s="12" t="s">
        <v>1298</v>
      </c>
      <c r="N36" t="s">
        <v>4817</v>
      </c>
      <c r="O36" t="s">
        <v>4816</v>
      </c>
    </row>
    <row r="37" spans="1:15">
      <c r="E37" t="s">
        <v>414</v>
      </c>
      <c r="G37" t="s">
        <v>4870</v>
      </c>
      <c r="H37" t="s">
        <v>1243</v>
      </c>
      <c r="I37" t="s">
        <v>2150</v>
      </c>
      <c r="J37">
        <v>76031</v>
      </c>
      <c r="K37" t="s">
        <v>885</v>
      </c>
      <c r="N37" t="s">
        <v>4817</v>
      </c>
      <c r="O37" t="s">
        <v>4816</v>
      </c>
    </row>
    <row r="38" spans="1:15">
      <c r="A38" t="s">
        <v>4872</v>
      </c>
      <c r="E38" t="s">
        <v>414</v>
      </c>
      <c r="G38" t="s">
        <v>4871</v>
      </c>
      <c r="H38" t="s">
        <v>296</v>
      </c>
      <c r="I38" t="s">
        <v>2173</v>
      </c>
      <c r="J38">
        <v>33604</v>
      </c>
      <c r="K38" t="s">
        <v>2174</v>
      </c>
      <c r="N38" t="s">
        <v>4817</v>
      </c>
      <c r="O38" t="s">
        <v>4816</v>
      </c>
    </row>
    <row r="39" spans="1:15">
      <c r="E39" t="s">
        <v>414</v>
      </c>
      <c r="G39" t="s">
        <v>4874</v>
      </c>
      <c r="H39" t="s">
        <v>301</v>
      </c>
      <c r="I39" t="s">
        <v>2311</v>
      </c>
      <c r="J39">
        <v>33076</v>
      </c>
      <c r="K39" t="s">
        <v>942</v>
      </c>
      <c r="N39" t="s">
        <v>4817</v>
      </c>
      <c r="O39" t="s">
        <v>4816</v>
      </c>
    </row>
    <row r="40" spans="1:15">
      <c r="E40" t="s">
        <v>414</v>
      </c>
      <c r="G40" t="s">
        <v>4875</v>
      </c>
      <c r="H40" t="s">
        <v>4580</v>
      </c>
      <c r="I40" t="s">
        <v>1698</v>
      </c>
      <c r="J40">
        <v>87042</v>
      </c>
      <c r="K40" t="s">
        <v>855</v>
      </c>
      <c r="N40" t="s">
        <v>4817</v>
      </c>
      <c r="O40" t="s">
        <v>4816</v>
      </c>
    </row>
    <row r="41" spans="1:15">
      <c r="E41" t="s">
        <v>414</v>
      </c>
      <c r="G41" t="s">
        <v>4876</v>
      </c>
      <c r="H41" t="s">
        <v>4290</v>
      </c>
      <c r="I41" t="s">
        <v>2010</v>
      </c>
      <c r="J41">
        <v>86021</v>
      </c>
      <c r="K41" t="s">
        <v>888</v>
      </c>
      <c r="N41" t="s">
        <v>4817</v>
      </c>
      <c r="O41" t="s">
        <v>4816</v>
      </c>
    </row>
    <row r="42" spans="1:15">
      <c r="A42" t="s">
        <v>4878</v>
      </c>
      <c r="E42" t="s">
        <v>414</v>
      </c>
      <c r="G42" t="s">
        <v>4877</v>
      </c>
      <c r="H42" t="s">
        <v>3550</v>
      </c>
      <c r="I42" t="s">
        <v>2147</v>
      </c>
      <c r="J42">
        <v>34295</v>
      </c>
      <c r="K42" t="s">
        <v>858</v>
      </c>
      <c r="N42" t="s">
        <v>4817</v>
      </c>
      <c r="O42" t="s">
        <v>4816</v>
      </c>
    </row>
    <row r="43" spans="1:15">
      <c r="E43" t="s">
        <v>414</v>
      </c>
      <c r="G43" t="s">
        <v>4879</v>
      </c>
      <c r="H43" t="s">
        <v>504</v>
      </c>
      <c r="I43" t="s">
        <v>2306</v>
      </c>
      <c r="J43">
        <v>34298</v>
      </c>
      <c r="K43" t="s">
        <v>858</v>
      </c>
      <c r="N43" t="s">
        <v>4817</v>
      </c>
      <c r="O43" t="s">
        <v>4816</v>
      </c>
    </row>
    <row r="44" spans="1:15">
      <c r="E44" t="s">
        <v>414</v>
      </c>
      <c r="G44" t="s">
        <v>4880</v>
      </c>
      <c r="H44" t="s">
        <v>4281</v>
      </c>
      <c r="I44" t="s">
        <v>2011</v>
      </c>
      <c r="J44">
        <v>30029</v>
      </c>
      <c r="K44" t="s">
        <v>951</v>
      </c>
      <c r="N44" t="s">
        <v>4817</v>
      </c>
      <c r="O44" t="s">
        <v>4816</v>
      </c>
    </row>
    <row r="45" spans="1:15">
      <c r="E45" t="s">
        <v>414</v>
      </c>
      <c r="G45" t="s">
        <v>4881</v>
      </c>
      <c r="H45" t="s">
        <v>4304</v>
      </c>
      <c r="I45" t="s">
        <v>2324</v>
      </c>
      <c r="J45">
        <v>31059</v>
      </c>
      <c r="K45" t="s">
        <v>833</v>
      </c>
      <c r="N45" t="s">
        <v>4817</v>
      </c>
      <c r="O45" t="s">
        <v>4816</v>
      </c>
    </row>
    <row r="46" spans="1:15">
      <c r="E46" t="s">
        <v>414</v>
      </c>
      <c r="G46" t="s">
        <v>4882</v>
      </c>
      <c r="H46" t="s">
        <v>4301</v>
      </c>
      <c r="I46" t="s">
        <v>2307</v>
      </c>
      <c r="J46">
        <v>49055</v>
      </c>
      <c r="K46" t="s">
        <v>958</v>
      </c>
      <c r="N46" t="s">
        <v>4817</v>
      </c>
      <c r="O46" t="s">
        <v>4816</v>
      </c>
    </row>
    <row r="47" spans="1:15">
      <c r="E47" t="s">
        <v>414</v>
      </c>
      <c r="G47" t="s">
        <v>4884</v>
      </c>
      <c r="H47" t="s">
        <v>4883</v>
      </c>
      <c r="I47" t="s">
        <v>1988</v>
      </c>
      <c r="J47">
        <v>49933</v>
      </c>
      <c r="K47" t="s">
        <v>958</v>
      </c>
      <c r="N47" t="s">
        <v>4817</v>
      </c>
      <c r="O47" t="s">
        <v>4816</v>
      </c>
    </row>
    <row r="48" spans="1:15">
      <c r="E48" t="s">
        <v>414</v>
      </c>
      <c r="G48" t="s">
        <v>4886</v>
      </c>
      <c r="H48" t="s">
        <v>4885</v>
      </c>
      <c r="I48" t="s">
        <v>2002</v>
      </c>
      <c r="J48">
        <v>44093</v>
      </c>
      <c r="K48" t="s">
        <v>2003</v>
      </c>
      <c r="N48" t="s">
        <v>4817</v>
      </c>
      <c r="O48" t="s">
        <v>4816</v>
      </c>
    </row>
    <row r="49" spans="1:15">
      <c r="A49" t="s">
        <v>4888</v>
      </c>
      <c r="E49" t="s">
        <v>414</v>
      </c>
      <c r="G49" t="s">
        <v>4887</v>
      </c>
      <c r="H49" t="s">
        <v>3207</v>
      </c>
      <c r="I49" t="s">
        <v>1697</v>
      </c>
      <c r="J49">
        <v>13015</v>
      </c>
      <c r="K49" t="s">
        <v>822</v>
      </c>
      <c r="N49" t="s">
        <v>4817</v>
      </c>
      <c r="O49" t="s">
        <v>4816</v>
      </c>
    </row>
    <row r="50" spans="1:15">
      <c r="E50" t="s">
        <v>414</v>
      </c>
      <c r="G50" t="s">
        <v>4890</v>
      </c>
      <c r="H50" s="12" t="s">
        <v>1309</v>
      </c>
      <c r="I50" s="12" t="s">
        <v>2947</v>
      </c>
      <c r="J50">
        <v>13009</v>
      </c>
      <c r="K50" t="s">
        <v>2964</v>
      </c>
      <c r="L50" s="12" t="s">
        <v>1296</v>
      </c>
      <c r="N50" t="s">
        <v>4817</v>
      </c>
      <c r="O50" t="s">
        <v>4816</v>
      </c>
    </row>
    <row r="51" spans="1:15">
      <c r="E51" t="s">
        <v>414</v>
      </c>
      <c r="G51" t="s">
        <v>4891</v>
      </c>
      <c r="H51" t="s">
        <v>391</v>
      </c>
      <c r="K51" t="s">
        <v>2956</v>
      </c>
      <c r="N51" t="s">
        <v>4817</v>
      </c>
      <c r="O51" t="s">
        <v>4816</v>
      </c>
    </row>
    <row r="52" spans="1:15">
      <c r="E52" t="s">
        <v>414</v>
      </c>
      <c r="G52" t="s">
        <v>4892</v>
      </c>
      <c r="H52" s="12" t="s">
        <v>395</v>
      </c>
      <c r="I52" s="12" t="s">
        <v>2939</v>
      </c>
      <c r="J52">
        <v>6100</v>
      </c>
      <c r="K52" t="s">
        <v>2956</v>
      </c>
      <c r="L52" s="12" t="s">
        <v>1296</v>
      </c>
      <c r="N52" t="s">
        <v>4817</v>
      </c>
      <c r="O52" t="s">
        <v>4816</v>
      </c>
    </row>
    <row r="53" spans="1:15">
      <c r="E53" t="s">
        <v>414</v>
      </c>
      <c r="G53" t="s">
        <v>4935</v>
      </c>
      <c r="H53" s="74" t="s">
        <v>4288</v>
      </c>
      <c r="I53" t="s">
        <v>2154</v>
      </c>
      <c r="J53">
        <v>67200</v>
      </c>
      <c r="K53" t="s">
        <v>2056</v>
      </c>
      <c r="N53" t="s">
        <v>4817</v>
      </c>
      <c r="O53" t="s">
        <v>4936</v>
      </c>
    </row>
    <row r="54" spans="1:15">
      <c r="E54" t="s">
        <v>414</v>
      </c>
      <c r="G54" t="s">
        <v>8346</v>
      </c>
      <c r="H54" s="12" t="s">
        <v>1288</v>
      </c>
      <c r="I54" s="12" t="s">
        <v>2948</v>
      </c>
      <c r="J54">
        <v>35000</v>
      </c>
      <c r="K54" t="s">
        <v>2965</v>
      </c>
      <c r="N54" t="s">
        <v>4817</v>
      </c>
      <c r="O54" t="s">
        <v>8347</v>
      </c>
    </row>
    <row r="55" spans="1:15">
      <c r="E55" t="s">
        <v>414</v>
      </c>
      <c r="G55" t="s">
        <v>11193</v>
      </c>
      <c r="H55" t="s">
        <v>11192</v>
      </c>
      <c r="I55" t="s">
        <v>11196</v>
      </c>
      <c r="J55">
        <v>54000</v>
      </c>
      <c r="K55" t="s">
        <v>11194</v>
      </c>
      <c r="N55" t="s">
        <v>11197</v>
      </c>
      <c r="O55" t="s">
        <v>11198</v>
      </c>
    </row>
    <row r="56" spans="1:15">
      <c r="E56" t="s">
        <v>414</v>
      </c>
      <c r="G56" t="s">
        <v>11278</v>
      </c>
      <c r="H56" t="s">
        <v>11275</v>
      </c>
      <c r="I56" t="s">
        <v>11276</v>
      </c>
      <c r="J56">
        <v>79000</v>
      </c>
      <c r="K56" t="s">
        <v>11277</v>
      </c>
      <c r="N56" t="s">
        <v>4817</v>
      </c>
      <c r="O56" t="s">
        <v>11279</v>
      </c>
    </row>
    <row r="57" spans="1:15">
      <c r="E57" t="s">
        <v>414</v>
      </c>
      <c r="F57" t="s">
        <v>414</v>
      </c>
      <c r="G57" t="s">
        <v>11442</v>
      </c>
      <c r="H57" t="s">
        <v>11431</v>
      </c>
      <c r="I57" t="s">
        <v>11439</v>
      </c>
      <c r="J57">
        <v>69100</v>
      </c>
      <c r="K57" t="s">
        <v>11440</v>
      </c>
      <c r="N57" t="s">
        <v>11197</v>
      </c>
      <c r="O57" t="s">
        <v>11441</v>
      </c>
    </row>
  </sheetData>
  <autoFilter ref="A3:O53" xr:uid="{5A0FEB35-55A5-4FC5-8F3C-6559EB439D0F}"/>
  <mergeCells count="2">
    <mergeCell ref="A1:F1"/>
    <mergeCell ref="G1:O1"/>
  </mergeCells>
  <phoneticPr fontId="6" type="noConversion"/>
  <conditionalFormatting sqref="H4">
    <cfRule type="duplicateValues" dxfId="889" priority="143"/>
    <cfRule type="duplicateValues" dxfId="888" priority="144"/>
    <cfRule type="duplicateValues" dxfId="887" priority="145"/>
  </conditionalFormatting>
  <conditionalFormatting sqref="H5">
    <cfRule type="duplicateValues" dxfId="886" priority="140"/>
    <cfRule type="duplicateValues" dxfId="885" priority="141"/>
    <cfRule type="duplicateValues" dxfId="884" priority="142"/>
  </conditionalFormatting>
  <conditionalFormatting sqref="H6">
    <cfRule type="duplicateValues" dxfId="883" priority="137"/>
    <cfRule type="duplicateValues" dxfId="882" priority="138"/>
    <cfRule type="duplicateValues" dxfId="881" priority="139"/>
  </conditionalFormatting>
  <conditionalFormatting sqref="H7">
    <cfRule type="duplicateValues" dxfId="880" priority="135"/>
    <cfRule type="duplicateValues" dxfId="879" priority="136"/>
  </conditionalFormatting>
  <conditionalFormatting sqref="H8">
    <cfRule type="duplicateValues" dxfId="878" priority="132"/>
    <cfRule type="duplicateValues" dxfId="877" priority="133"/>
    <cfRule type="duplicateValues" dxfId="876" priority="134"/>
  </conditionalFormatting>
  <conditionalFormatting sqref="H9">
    <cfRule type="duplicateValues" dxfId="875" priority="129"/>
    <cfRule type="duplicateValues" dxfId="874" priority="130"/>
    <cfRule type="duplicateValues" dxfId="873" priority="131"/>
  </conditionalFormatting>
  <conditionalFormatting sqref="H10">
    <cfRule type="duplicateValues" dxfId="872" priority="127"/>
    <cfRule type="duplicateValues" dxfId="871" priority="128"/>
  </conditionalFormatting>
  <conditionalFormatting sqref="H11">
    <cfRule type="duplicateValues" dxfId="870" priority="125"/>
    <cfRule type="duplicateValues" dxfId="869" priority="126"/>
  </conditionalFormatting>
  <conditionalFormatting sqref="H12">
    <cfRule type="duplicateValues" dxfId="868" priority="122"/>
    <cfRule type="duplicateValues" dxfId="867" priority="123"/>
    <cfRule type="duplicateValues" dxfId="866" priority="124"/>
  </conditionalFormatting>
  <conditionalFormatting sqref="H13">
    <cfRule type="duplicateValues" dxfId="865" priority="116"/>
    <cfRule type="duplicateValues" dxfId="864" priority="117"/>
    <cfRule type="duplicateValues" dxfId="863" priority="118"/>
  </conditionalFormatting>
  <conditionalFormatting sqref="H14">
    <cfRule type="duplicateValues" dxfId="862" priority="113"/>
    <cfRule type="duplicateValues" dxfId="861" priority="114"/>
    <cfRule type="duplicateValues" dxfId="860" priority="115"/>
  </conditionalFormatting>
  <conditionalFormatting sqref="H15">
    <cfRule type="duplicateValues" dxfId="859" priority="110"/>
    <cfRule type="duplicateValues" dxfId="858" priority="111"/>
    <cfRule type="duplicateValues" dxfId="857" priority="112"/>
  </conditionalFormatting>
  <conditionalFormatting sqref="H16">
    <cfRule type="duplicateValues" dxfId="856" priority="107"/>
    <cfRule type="duplicateValues" dxfId="855" priority="108"/>
    <cfRule type="duplicateValues" dxfId="854" priority="109"/>
  </conditionalFormatting>
  <conditionalFormatting sqref="H17">
    <cfRule type="duplicateValues" dxfId="853" priority="104"/>
    <cfRule type="duplicateValues" dxfId="852" priority="105"/>
    <cfRule type="duplicateValues" dxfId="851" priority="106"/>
  </conditionalFormatting>
  <conditionalFormatting sqref="H18">
    <cfRule type="duplicateValues" dxfId="850" priority="101"/>
    <cfRule type="duplicateValues" dxfId="849" priority="102"/>
    <cfRule type="duplicateValues" dxfId="848" priority="103"/>
  </conditionalFormatting>
  <conditionalFormatting sqref="H19">
    <cfRule type="duplicateValues" dxfId="847" priority="98"/>
    <cfRule type="duplicateValues" dxfId="846" priority="99"/>
    <cfRule type="duplicateValues" dxfId="845" priority="100"/>
  </conditionalFormatting>
  <conditionalFormatting sqref="H20">
    <cfRule type="duplicateValues" dxfId="844" priority="95"/>
    <cfRule type="duplicateValues" dxfId="843" priority="96"/>
    <cfRule type="duplicateValues" dxfId="842" priority="97"/>
  </conditionalFormatting>
  <conditionalFormatting sqref="H21">
    <cfRule type="duplicateValues" dxfId="841" priority="92"/>
    <cfRule type="duplicateValues" dxfId="840" priority="93"/>
    <cfRule type="duplicateValues" dxfId="839" priority="94"/>
  </conditionalFormatting>
  <conditionalFormatting sqref="H22">
    <cfRule type="duplicateValues" dxfId="838" priority="89"/>
    <cfRule type="duplicateValues" dxfId="837" priority="90"/>
    <cfRule type="duplicateValues" dxfId="836" priority="91"/>
  </conditionalFormatting>
  <conditionalFormatting sqref="H23">
    <cfRule type="duplicateValues" dxfId="835" priority="86"/>
    <cfRule type="duplicateValues" dxfId="834" priority="87"/>
    <cfRule type="duplicateValues" dxfId="833" priority="88"/>
  </conditionalFormatting>
  <conditionalFormatting sqref="H24">
    <cfRule type="duplicateValues" dxfId="832" priority="83"/>
    <cfRule type="duplicateValues" dxfId="831" priority="84"/>
    <cfRule type="duplicateValues" dxfId="830" priority="85"/>
  </conditionalFormatting>
  <conditionalFormatting sqref="H25">
    <cfRule type="duplicateValues" dxfId="829" priority="81"/>
    <cfRule type="duplicateValues" dxfId="828" priority="82"/>
  </conditionalFormatting>
  <conditionalFormatting sqref="H26">
    <cfRule type="duplicateValues" dxfId="827" priority="78"/>
    <cfRule type="duplicateValues" dxfId="826" priority="79"/>
    <cfRule type="duplicateValues" dxfId="825" priority="80"/>
  </conditionalFormatting>
  <conditionalFormatting sqref="H27">
    <cfRule type="duplicateValues" dxfId="824" priority="75"/>
    <cfRule type="duplicateValues" dxfId="823" priority="76"/>
    <cfRule type="duplicateValues" dxfId="822" priority="77"/>
  </conditionalFormatting>
  <conditionalFormatting sqref="H28">
    <cfRule type="duplicateValues" dxfId="821" priority="73"/>
    <cfRule type="duplicateValues" dxfId="820" priority="74"/>
  </conditionalFormatting>
  <conditionalFormatting sqref="H29">
    <cfRule type="duplicateValues" dxfId="819" priority="70"/>
    <cfRule type="duplicateValues" dxfId="818" priority="71"/>
    <cfRule type="duplicateValues" dxfId="817" priority="72"/>
  </conditionalFormatting>
  <conditionalFormatting sqref="H30">
    <cfRule type="duplicateValues" dxfId="816" priority="67"/>
    <cfRule type="duplicateValues" dxfId="815" priority="68"/>
    <cfRule type="duplicateValues" dxfId="814" priority="69"/>
  </conditionalFormatting>
  <conditionalFormatting sqref="H31">
    <cfRule type="duplicateValues" dxfId="813" priority="65"/>
    <cfRule type="duplicateValues" dxfId="812" priority="66"/>
  </conditionalFormatting>
  <conditionalFormatting sqref="H32">
    <cfRule type="duplicateValues" dxfId="811" priority="63"/>
    <cfRule type="duplicateValues" dxfId="810" priority="64"/>
  </conditionalFormatting>
  <conditionalFormatting sqref="H33">
    <cfRule type="duplicateValues" dxfId="809" priority="60"/>
    <cfRule type="duplicateValues" dxfId="808" priority="61"/>
    <cfRule type="duplicateValues" dxfId="807" priority="62"/>
  </conditionalFormatting>
  <conditionalFormatting sqref="H34">
    <cfRule type="duplicateValues" dxfId="806" priority="58"/>
    <cfRule type="duplicateValues" dxfId="805" priority="59"/>
  </conditionalFormatting>
  <conditionalFormatting sqref="H35">
    <cfRule type="duplicateValues" dxfId="804" priority="56"/>
    <cfRule type="duplicateValues" dxfId="803" priority="57"/>
  </conditionalFormatting>
  <conditionalFormatting sqref="H36">
    <cfRule type="duplicateValues" dxfId="802" priority="53"/>
    <cfRule type="duplicateValues" dxfId="801" priority="54"/>
    <cfRule type="duplicateValues" dxfId="800" priority="55"/>
  </conditionalFormatting>
  <conditionalFormatting sqref="H37">
    <cfRule type="duplicateValues" dxfId="799" priority="51"/>
    <cfRule type="duplicateValues" dxfId="798" priority="52"/>
  </conditionalFormatting>
  <conditionalFormatting sqref="H38">
    <cfRule type="duplicateValues" dxfId="797" priority="48"/>
    <cfRule type="duplicateValues" dxfId="796" priority="49"/>
    <cfRule type="duplicateValues" dxfId="795" priority="50"/>
  </conditionalFormatting>
  <conditionalFormatting sqref="H39">
    <cfRule type="duplicateValues" dxfId="794" priority="42"/>
    <cfRule type="duplicateValues" dxfId="793" priority="43"/>
    <cfRule type="duplicateValues" dxfId="792" priority="44"/>
  </conditionalFormatting>
  <conditionalFormatting sqref="H40">
    <cfRule type="duplicateValues" dxfId="791" priority="39"/>
    <cfRule type="duplicateValues" dxfId="790" priority="40"/>
    <cfRule type="duplicateValues" dxfId="789" priority="41"/>
  </conditionalFormatting>
  <conditionalFormatting sqref="H41">
    <cfRule type="duplicateValues" dxfId="788" priority="37"/>
    <cfRule type="duplicateValues" dxfId="787" priority="38"/>
  </conditionalFormatting>
  <conditionalFormatting sqref="H42">
    <cfRule type="duplicateValues" dxfId="786" priority="34"/>
    <cfRule type="duplicateValues" dxfId="785" priority="35"/>
    <cfRule type="duplicateValues" dxfId="784" priority="36"/>
  </conditionalFormatting>
  <conditionalFormatting sqref="H43">
    <cfRule type="duplicateValues" dxfId="783" priority="30"/>
    <cfRule type="duplicateValues" dxfId="782" priority="31"/>
  </conditionalFormatting>
  <conditionalFormatting sqref="H44">
    <cfRule type="duplicateValues" dxfId="781" priority="27"/>
    <cfRule type="duplicateValues" dxfId="780" priority="28"/>
    <cfRule type="duplicateValues" dxfId="779" priority="29"/>
  </conditionalFormatting>
  <conditionalFormatting sqref="H45">
    <cfRule type="duplicateValues" dxfId="778" priority="24"/>
    <cfRule type="duplicateValues" dxfId="777" priority="25"/>
    <cfRule type="duplicateValues" dxfId="776" priority="26"/>
  </conditionalFormatting>
  <conditionalFormatting sqref="H46">
    <cfRule type="duplicateValues" dxfId="775" priority="3"/>
    <cfRule type="duplicateValues" dxfId="774" priority="4"/>
    <cfRule type="duplicateValues" dxfId="773" priority="5"/>
  </conditionalFormatting>
  <conditionalFormatting sqref="H47">
    <cfRule type="duplicateValues" dxfId="772" priority="18"/>
    <cfRule type="duplicateValues" dxfId="771" priority="19"/>
    <cfRule type="duplicateValues" dxfId="770" priority="20"/>
  </conditionalFormatting>
  <conditionalFormatting sqref="H48">
    <cfRule type="duplicateValues" dxfId="769" priority="15"/>
    <cfRule type="duplicateValues" dxfId="768" priority="16"/>
    <cfRule type="duplicateValues" dxfId="767" priority="17"/>
  </conditionalFormatting>
  <conditionalFormatting sqref="H49">
    <cfRule type="duplicateValues" dxfId="766" priority="13"/>
    <cfRule type="duplicateValues" dxfId="765" priority="14"/>
  </conditionalFormatting>
  <conditionalFormatting sqref="H50">
    <cfRule type="duplicateValues" dxfId="764" priority="11"/>
    <cfRule type="duplicateValues" dxfId="763" priority="12"/>
  </conditionalFormatting>
  <conditionalFormatting sqref="H51">
    <cfRule type="duplicateValues" dxfId="762" priority="9"/>
    <cfRule type="duplicateValues" dxfId="761" priority="10"/>
  </conditionalFormatting>
  <conditionalFormatting sqref="H52">
    <cfRule type="duplicateValues" dxfId="760" priority="6"/>
    <cfRule type="duplicateValues" dxfId="759" priority="7"/>
    <cfRule type="duplicateValues" dxfId="758" priority="8"/>
  </conditionalFormatting>
  <conditionalFormatting sqref="H53">
    <cfRule type="duplicateValues" dxfId="757" priority="1"/>
    <cfRule type="duplicateValues" dxfId="756"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CB57-B195-42D1-A0EE-46EACBC16A99}">
  <sheetPr>
    <tabColor rgb="FF1E6A5D"/>
  </sheetPr>
  <dimension ref="A1:F71"/>
  <sheetViews>
    <sheetView workbookViewId="0">
      <pane ySplit="1" topLeftCell="A4" activePane="bottomLeft" state="frozen"/>
      <selection pane="bottomLeft" activeCell="D68" sqref="D68"/>
    </sheetView>
  </sheetViews>
  <sheetFormatPr defaultRowHeight="14.4"/>
  <cols>
    <col min="1" max="4" width="19.109375" customWidth="1"/>
    <col min="5" max="5" width="21.44140625" customWidth="1"/>
  </cols>
  <sheetData>
    <row r="1" spans="1:6" ht="31.65" customHeight="1">
      <c r="A1" s="58" t="s">
        <v>3134</v>
      </c>
      <c r="B1" s="58" t="s">
        <v>3135</v>
      </c>
      <c r="C1" s="58" t="s">
        <v>3136</v>
      </c>
      <c r="D1" s="58" t="s">
        <v>3137</v>
      </c>
      <c r="E1" s="58" t="s">
        <v>3138</v>
      </c>
      <c r="F1" s="58" t="s">
        <v>4708</v>
      </c>
    </row>
    <row r="2" spans="1:6">
      <c r="A2" t="str">
        <f t="shared" ref="A2:A33" si="0">B2&amp;"-"&amp;C2&amp;"-"&amp;SUBSTITUTE(D2," ", "-")</f>
        <v>ID00047-TEST_00001-Testing</v>
      </c>
      <c r="B2" t="s">
        <v>3768</v>
      </c>
      <c r="C2" t="s">
        <v>4814</v>
      </c>
      <c r="D2" t="s">
        <v>4815</v>
      </c>
      <c r="E2">
        <v>1</v>
      </c>
      <c r="F2" t="s">
        <v>4816</v>
      </c>
    </row>
    <row r="3" spans="1:6">
      <c r="A3" t="str">
        <f t="shared" si="0"/>
        <v>ID00048-TEST_00001-Testing</v>
      </c>
      <c r="B3" t="s">
        <v>3769</v>
      </c>
      <c r="C3" t="s">
        <v>4814</v>
      </c>
      <c r="D3" t="s">
        <v>4815</v>
      </c>
      <c r="E3">
        <v>1</v>
      </c>
      <c r="F3" t="s">
        <v>4816</v>
      </c>
    </row>
    <row r="4" spans="1:6">
      <c r="A4" t="str">
        <f t="shared" si="0"/>
        <v>ID00049-TEST_00002-Testing</v>
      </c>
      <c r="B4" t="s">
        <v>3770</v>
      </c>
      <c r="C4" t="s">
        <v>4818</v>
      </c>
      <c r="D4" t="s">
        <v>4815</v>
      </c>
      <c r="E4">
        <v>1</v>
      </c>
      <c r="F4" t="s">
        <v>4821</v>
      </c>
    </row>
    <row r="5" spans="1:6">
      <c r="A5" t="str">
        <f t="shared" si="0"/>
        <v>ID00036-TEST_00003-Testing</v>
      </c>
      <c r="B5" t="s">
        <v>3758</v>
      </c>
      <c r="C5" t="s">
        <v>4819</v>
      </c>
      <c r="D5" t="s">
        <v>4815</v>
      </c>
      <c r="E5">
        <v>1</v>
      </c>
      <c r="F5" t="s">
        <v>4822</v>
      </c>
    </row>
    <row r="6" spans="1:6">
      <c r="A6" t="str">
        <f t="shared" si="0"/>
        <v>ID00013-TEST_00004-Testing</v>
      </c>
      <c r="B6" t="s">
        <v>4453</v>
      </c>
      <c r="C6" t="s">
        <v>4823</v>
      </c>
      <c r="D6" t="s">
        <v>4815</v>
      </c>
      <c r="E6">
        <v>1</v>
      </c>
      <c r="F6" t="s">
        <v>4822</v>
      </c>
    </row>
    <row r="7" spans="1:6">
      <c r="A7" t="str">
        <f t="shared" si="0"/>
        <v>ID00050-TEST_00004-Testing</v>
      </c>
      <c r="B7" t="s">
        <v>3771</v>
      </c>
      <c r="C7" t="s">
        <v>4823</v>
      </c>
      <c r="D7" t="s">
        <v>4815</v>
      </c>
      <c r="E7">
        <v>1</v>
      </c>
      <c r="F7" t="s">
        <v>4822</v>
      </c>
    </row>
    <row r="8" spans="1:6">
      <c r="A8" t="str">
        <f t="shared" si="0"/>
        <v>ID00022-TEST_00004-Testing</v>
      </c>
      <c r="B8" t="s">
        <v>4498</v>
      </c>
      <c r="C8" t="s">
        <v>4823</v>
      </c>
      <c r="D8" t="s">
        <v>4815</v>
      </c>
      <c r="E8">
        <v>1</v>
      </c>
      <c r="F8" t="s">
        <v>4822</v>
      </c>
    </row>
    <row r="9" spans="1:6">
      <c r="A9" t="str">
        <f t="shared" si="0"/>
        <v>ID00029-TEST_00005-Testing</v>
      </c>
      <c r="B9" t="s">
        <v>4525</v>
      </c>
      <c r="C9" t="s">
        <v>4825</v>
      </c>
      <c r="D9" t="s">
        <v>4815</v>
      </c>
      <c r="E9">
        <v>1</v>
      </c>
      <c r="F9" t="s">
        <v>4822</v>
      </c>
    </row>
    <row r="10" spans="1:6">
      <c r="A10" t="str">
        <f t="shared" si="0"/>
        <v>ID00042-TEST_00006-Testing</v>
      </c>
      <c r="B10" t="s">
        <v>3763</v>
      </c>
      <c r="C10" t="s">
        <v>4826</v>
      </c>
      <c r="D10" t="s">
        <v>4815</v>
      </c>
      <c r="E10">
        <v>1</v>
      </c>
      <c r="F10" t="s">
        <v>4822</v>
      </c>
    </row>
    <row r="11" spans="1:6">
      <c r="A11" t="str">
        <f t="shared" si="0"/>
        <v>ID00051-TEST_00007-Testing</v>
      </c>
      <c r="B11" t="s">
        <v>4554</v>
      </c>
      <c r="C11" t="s">
        <v>4827</v>
      </c>
      <c r="D11" t="s">
        <v>4815</v>
      </c>
      <c r="E11">
        <v>1</v>
      </c>
      <c r="F11" t="s">
        <v>4822</v>
      </c>
    </row>
    <row r="12" spans="1:6">
      <c r="A12" t="str">
        <f t="shared" si="0"/>
        <v>ID00052-TEST_00008-Testing</v>
      </c>
      <c r="B12" t="s">
        <v>3772</v>
      </c>
      <c r="C12" t="s">
        <v>4829</v>
      </c>
      <c r="D12" t="s">
        <v>4815</v>
      </c>
      <c r="E12">
        <v>1</v>
      </c>
      <c r="F12" t="s">
        <v>4822</v>
      </c>
    </row>
    <row r="13" spans="1:6">
      <c r="A13" t="str">
        <f t="shared" si="0"/>
        <v>ID00053-TEST_00009-Testing</v>
      </c>
      <c r="B13" t="s">
        <v>3773</v>
      </c>
      <c r="C13" t="s">
        <v>4830</v>
      </c>
      <c r="D13" t="s">
        <v>4815</v>
      </c>
      <c r="E13">
        <v>1</v>
      </c>
      <c r="F13" t="s">
        <v>4822</v>
      </c>
    </row>
    <row r="14" spans="1:6">
      <c r="A14" t="str">
        <f t="shared" si="0"/>
        <v>ID00054-TEST_00010-Testing</v>
      </c>
      <c r="B14" t="s">
        <v>3774</v>
      </c>
      <c r="C14" t="s">
        <v>4832</v>
      </c>
      <c r="D14" t="s">
        <v>4815</v>
      </c>
      <c r="E14">
        <v>1</v>
      </c>
      <c r="F14" t="s">
        <v>4822</v>
      </c>
    </row>
    <row r="15" spans="1:6">
      <c r="A15" t="str">
        <f t="shared" si="0"/>
        <v>ID00055-TEST_00010-Testing</v>
      </c>
      <c r="B15" t="s">
        <v>4555</v>
      </c>
      <c r="C15" t="s">
        <v>4832</v>
      </c>
      <c r="D15" t="s">
        <v>4815</v>
      </c>
      <c r="E15">
        <v>1</v>
      </c>
      <c r="F15" t="s">
        <v>4822</v>
      </c>
    </row>
    <row r="16" spans="1:6">
      <c r="A16" t="str">
        <f t="shared" si="0"/>
        <v>ID00056-TEST_00011-Testing</v>
      </c>
      <c r="B16" t="s">
        <v>4556</v>
      </c>
      <c r="C16" t="s">
        <v>4834</v>
      </c>
      <c r="D16" t="s">
        <v>4815</v>
      </c>
      <c r="E16">
        <v>1</v>
      </c>
      <c r="F16" t="s">
        <v>4822</v>
      </c>
    </row>
    <row r="17" spans="1:6">
      <c r="A17" t="str">
        <f t="shared" si="0"/>
        <v>ID00057-TEST_00012-Testing</v>
      </c>
      <c r="B17" t="s">
        <v>4557</v>
      </c>
      <c r="C17" t="s">
        <v>4836</v>
      </c>
      <c r="D17" t="s">
        <v>4815</v>
      </c>
      <c r="E17">
        <v>1</v>
      </c>
      <c r="F17" t="s">
        <v>4822</v>
      </c>
    </row>
    <row r="18" spans="1:6">
      <c r="A18" t="str">
        <f t="shared" si="0"/>
        <v>ID00058-TEST_00013-Testing</v>
      </c>
      <c r="B18" t="s">
        <v>4558</v>
      </c>
      <c r="C18" t="s">
        <v>4838</v>
      </c>
      <c r="D18" t="s">
        <v>4815</v>
      </c>
      <c r="E18">
        <v>1</v>
      </c>
      <c r="F18" t="s">
        <v>4822</v>
      </c>
    </row>
    <row r="19" spans="1:6">
      <c r="A19" t="str">
        <f t="shared" si="0"/>
        <v>ID00040-TEST_00014-Testing</v>
      </c>
      <c r="B19" t="s">
        <v>3761</v>
      </c>
      <c r="C19" t="s">
        <v>4840</v>
      </c>
      <c r="D19" t="s">
        <v>4815</v>
      </c>
      <c r="E19">
        <v>1</v>
      </c>
      <c r="F19" t="s">
        <v>4822</v>
      </c>
    </row>
    <row r="20" spans="1:6">
      <c r="A20" t="str">
        <f t="shared" si="0"/>
        <v>ID00059-TEST_00015-Testing</v>
      </c>
      <c r="B20" t="s">
        <v>4559</v>
      </c>
      <c r="C20" t="s">
        <v>4841</v>
      </c>
      <c r="D20" t="s">
        <v>4815</v>
      </c>
      <c r="E20">
        <v>1</v>
      </c>
      <c r="F20" t="s">
        <v>4822</v>
      </c>
    </row>
    <row r="21" spans="1:6">
      <c r="A21" t="str">
        <f t="shared" si="0"/>
        <v>ID00060-TEST_00016-Testing</v>
      </c>
      <c r="B21" t="s">
        <v>3775</v>
      </c>
      <c r="C21" t="s">
        <v>4843</v>
      </c>
      <c r="D21" t="s">
        <v>4815</v>
      </c>
      <c r="E21">
        <v>1</v>
      </c>
      <c r="F21" t="s">
        <v>4822</v>
      </c>
    </row>
    <row r="22" spans="1:6">
      <c r="A22" t="str">
        <f t="shared" si="0"/>
        <v>ID00061-TEST_00017-Testing</v>
      </c>
      <c r="B22" t="s">
        <v>3776</v>
      </c>
      <c r="C22" t="s">
        <v>4844</v>
      </c>
      <c r="D22" t="s">
        <v>4815</v>
      </c>
      <c r="E22">
        <v>1</v>
      </c>
      <c r="F22" t="s">
        <v>4822</v>
      </c>
    </row>
    <row r="23" spans="1:6">
      <c r="A23" t="str">
        <f t="shared" si="0"/>
        <v>ID00035-TEST_00018-Testing</v>
      </c>
      <c r="B23" t="s">
        <v>3757</v>
      </c>
      <c r="C23" t="s">
        <v>4847</v>
      </c>
      <c r="D23" t="s">
        <v>4815</v>
      </c>
      <c r="E23">
        <v>1</v>
      </c>
      <c r="F23" t="s">
        <v>4822</v>
      </c>
    </row>
    <row r="24" spans="1:6">
      <c r="A24" t="str">
        <f t="shared" si="0"/>
        <v>ID00062-TEST_00019-Testing</v>
      </c>
      <c r="B24" t="s">
        <v>3777</v>
      </c>
      <c r="C24" t="s">
        <v>4850</v>
      </c>
      <c r="D24" t="s">
        <v>4815</v>
      </c>
      <c r="E24">
        <v>1</v>
      </c>
      <c r="F24" t="s">
        <v>4822</v>
      </c>
    </row>
    <row r="25" spans="1:6">
      <c r="A25" t="str">
        <f t="shared" si="0"/>
        <v>ID00046-TEST_00019-Testing</v>
      </c>
      <c r="B25" t="s">
        <v>3767</v>
      </c>
      <c r="C25" t="s">
        <v>4850</v>
      </c>
      <c r="D25" t="s">
        <v>4815</v>
      </c>
      <c r="E25">
        <v>1</v>
      </c>
      <c r="F25" t="s">
        <v>4822</v>
      </c>
    </row>
    <row r="26" spans="1:6">
      <c r="A26" t="str">
        <f t="shared" si="0"/>
        <v>ID00063-TEST_00020-Testing</v>
      </c>
      <c r="B26" t="s">
        <v>3778</v>
      </c>
      <c r="C26" t="s">
        <v>4851</v>
      </c>
      <c r="D26" t="s">
        <v>4815</v>
      </c>
      <c r="E26">
        <v>1</v>
      </c>
      <c r="F26" t="s">
        <v>4822</v>
      </c>
    </row>
    <row r="27" spans="1:6">
      <c r="A27" t="str">
        <f t="shared" si="0"/>
        <v>ID00064-TEST_00021-Testing</v>
      </c>
      <c r="B27" t="s">
        <v>3779</v>
      </c>
      <c r="C27" t="s">
        <v>4853</v>
      </c>
      <c r="D27" t="s">
        <v>4815</v>
      </c>
      <c r="E27">
        <v>1</v>
      </c>
      <c r="F27" t="s">
        <v>4822</v>
      </c>
    </row>
    <row r="28" spans="1:6">
      <c r="A28" t="str">
        <f t="shared" si="0"/>
        <v>ID00001-TEST_00021-Testing</v>
      </c>
      <c r="B28" t="s">
        <v>3139</v>
      </c>
      <c r="C28" t="s">
        <v>4853</v>
      </c>
      <c r="D28" t="s">
        <v>4815</v>
      </c>
      <c r="E28">
        <v>1</v>
      </c>
      <c r="F28" t="s">
        <v>4822</v>
      </c>
    </row>
    <row r="29" spans="1:6">
      <c r="A29" t="str">
        <f t="shared" si="0"/>
        <v>ID00020-TEST_00022-Testing</v>
      </c>
      <c r="B29" t="s">
        <v>3747</v>
      </c>
      <c r="C29" t="s">
        <v>4855</v>
      </c>
      <c r="D29" t="s">
        <v>4815</v>
      </c>
      <c r="E29">
        <v>1</v>
      </c>
      <c r="F29" t="s">
        <v>4822</v>
      </c>
    </row>
    <row r="30" spans="1:6">
      <c r="A30" t="str">
        <f t="shared" si="0"/>
        <v>ID00038-TEST_00023-Testing</v>
      </c>
      <c r="B30" t="s">
        <v>3760</v>
      </c>
      <c r="C30" t="s">
        <v>4857</v>
      </c>
      <c r="D30" t="s">
        <v>4815</v>
      </c>
      <c r="E30">
        <v>1</v>
      </c>
      <c r="F30" t="s">
        <v>4822</v>
      </c>
    </row>
    <row r="31" spans="1:6">
      <c r="A31" t="str">
        <f t="shared" si="0"/>
        <v>ID00065-TEST_00024-Testing</v>
      </c>
      <c r="B31" t="s">
        <v>4560</v>
      </c>
      <c r="C31" t="s">
        <v>4858</v>
      </c>
      <c r="D31" t="s">
        <v>4815</v>
      </c>
      <c r="E31">
        <v>1</v>
      </c>
      <c r="F31" t="s">
        <v>4822</v>
      </c>
    </row>
    <row r="32" spans="1:6">
      <c r="A32" t="str">
        <f t="shared" si="0"/>
        <v>ID00005-TEST_00025-Testing</v>
      </c>
      <c r="B32" t="s">
        <v>3738</v>
      </c>
      <c r="C32" t="s">
        <v>4859</v>
      </c>
      <c r="D32" t="s">
        <v>4815</v>
      </c>
      <c r="E32">
        <v>1</v>
      </c>
      <c r="F32" t="s">
        <v>4822</v>
      </c>
    </row>
    <row r="33" spans="1:6">
      <c r="A33" t="str">
        <f t="shared" si="0"/>
        <v>ID00066-TEST_00026-Testing</v>
      </c>
      <c r="B33" t="s">
        <v>4561</v>
      </c>
      <c r="C33" t="s">
        <v>4860</v>
      </c>
      <c r="D33" t="s">
        <v>4815</v>
      </c>
      <c r="E33">
        <v>1</v>
      </c>
      <c r="F33" t="s">
        <v>4822</v>
      </c>
    </row>
    <row r="34" spans="1:6">
      <c r="A34" t="str">
        <f t="shared" ref="A34:A65" si="1">B34&amp;"-"&amp;C34&amp;"-"&amp;SUBSTITUTE(D34," ", "-")</f>
        <v>ID00067-TEST_00027-Testing</v>
      </c>
      <c r="B34" t="s">
        <v>4562</v>
      </c>
      <c r="C34" t="s">
        <v>4861</v>
      </c>
      <c r="D34" t="s">
        <v>4815</v>
      </c>
      <c r="E34">
        <v>1</v>
      </c>
      <c r="F34" t="s">
        <v>4822</v>
      </c>
    </row>
    <row r="35" spans="1:6">
      <c r="A35" t="str">
        <f t="shared" si="1"/>
        <v>ID00010-TEST_00028-Testing</v>
      </c>
      <c r="B35" t="s">
        <v>4446</v>
      </c>
      <c r="C35" t="s">
        <v>4862</v>
      </c>
      <c r="D35" t="s">
        <v>4815</v>
      </c>
      <c r="E35">
        <v>1</v>
      </c>
      <c r="F35" t="s">
        <v>4822</v>
      </c>
    </row>
    <row r="36" spans="1:6">
      <c r="A36" t="str">
        <f t="shared" si="1"/>
        <v>ID00009-TEST_00029-Testing</v>
      </c>
      <c r="B36" t="s">
        <v>4443</v>
      </c>
      <c r="C36" t="s">
        <v>4863</v>
      </c>
      <c r="D36" t="s">
        <v>4815</v>
      </c>
      <c r="E36">
        <v>1</v>
      </c>
      <c r="F36" t="s">
        <v>4822</v>
      </c>
    </row>
    <row r="37" spans="1:6">
      <c r="A37" t="str">
        <f t="shared" si="1"/>
        <v>ID00043-TEST_00030-Testing</v>
      </c>
      <c r="B37" t="s">
        <v>3764</v>
      </c>
      <c r="C37" t="s">
        <v>4864</v>
      </c>
      <c r="D37" t="s">
        <v>4815</v>
      </c>
      <c r="E37">
        <v>1</v>
      </c>
      <c r="F37" t="s">
        <v>4822</v>
      </c>
    </row>
    <row r="38" spans="1:6">
      <c r="A38" t="str">
        <f t="shared" si="1"/>
        <v>ID00044-TEST_00030-Testing</v>
      </c>
      <c r="B38" t="s">
        <v>3765</v>
      </c>
      <c r="C38" t="s">
        <v>4864</v>
      </c>
      <c r="D38" t="s">
        <v>4815</v>
      </c>
      <c r="E38">
        <v>1</v>
      </c>
      <c r="F38" t="s">
        <v>4822</v>
      </c>
    </row>
    <row r="39" spans="1:6">
      <c r="A39" t="str">
        <f t="shared" si="1"/>
        <v>ID00007-TEST_00031-Testing</v>
      </c>
      <c r="B39" t="s">
        <v>3739</v>
      </c>
      <c r="C39" t="s">
        <v>4866</v>
      </c>
      <c r="D39" t="s">
        <v>4815</v>
      </c>
      <c r="E39">
        <v>1</v>
      </c>
      <c r="F39" t="s">
        <v>4822</v>
      </c>
    </row>
    <row r="40" spans="1:6">
      <c r="A40" t="str">
        <f t="shared" si="1"/>
        <v>ID00068-TEST_00032-Testing</v>
      </c>
      <c r="B40" t="s">
        <v>3780</v>
      </c>
      <c r="C40" t="s">
        <v>4868</v>
      </c>
      <c r="D40" t="s">
        <v>4815</v>
      </c>
      <c r="E40">
        <v>1</v>
      </c>
      <c r="F40" t="s">
        <v>4822</v>
      </c>
    </row>
    <row r="41" spans="1:6">
      <c r="A41" t="str">
        <f t="shared" si="1"/>
        <v>ID00069-TEST_00033-Testing</v>
      </c>
      <c r="B41" t="s">
        <v>3781</v>
      </c>
      <c r="C41" t="s">
        <v>4869</v>
      </c>
      <c r="D41" t="s">
        <v>4815</v>
      </c>
      <c r="E41">
        <v>1</v>
      </c>
      <c r="F41" t="s">
        <v>4822</v>
      </c>
    </row>
    <row r="42" spans="1:6">
      <c r="A42" t="str">
        <f t="shared" si="1"/>
        <v>ID00017-TEST_00034-Testing</v>
      </c>
      <c r="B42" t="s">
        <v>3744</v>
      </c>
      <c r="C42" t="s">
        <v>4870</v>
      </c>
      <c r="D42" t="s">
        <v>4815</v>
      </c>
      <c r="E42">
        <v>1</v>
      </c>
      <c r="F42" t="s">
        <v>4822</v>
      </c>
    </row>
    <row r="43" spans="1:6">
      <c r="A43" t="str">
        <f t="shared" si="1"/>
        <v>ID00031-TEST_00035-Testing</v>
      </c>
      <c r="B43" t="s">
        <v>3754</v>
      </c>
      <c r="C43" t="s">
        <v>4871</v>
      </c>
      <c r="D43" t="s">
        <v>4815</v>
      </c>
      <c r="E43">
        <v>1</v>
      </c>
      <c r="F43" t="s">
        <v>4822</v>
      </c>
    </row>
    <row r="44" spans="1:6">
      <c r="A44" t="str">
        <f t="shared" si="1"/>
        <v>ID00070-TEST_00035-Testing</v>
      </c>
      <c r="B44" t="s">
        <v>3782</v>
      </c>
      <c r="C44" t="s">
        <v>4871</v>
      </c>
      <c r="D44" t="s">
        <v>4815</v>
      </c>
      <c r="E44">
        <v>1</v>
      </c>
      <c r="F44" t="s">
        <v>4822</v>
      </c>
    </row>
    <row r="45" spans="1:6">
      <c r="A45" t="str">
        <f t="shared" si="1"/>
        <v>ID00071-TEST_00036-Testing</v>
      </c>
      <c r="B45" t="s">
        <v>3783</v>
      </c>
      <c r="C45" t="s">
        <v>4874</v>
      </c>
      <c r="D45" t="s">
        <v>4815</v>
      </c>
      <c r="E45">
        <v>1</v>
      </c>
      <c r="F45" t="s">
        <v>4822</v>
      </c>
    </row>
    <row r="46" spans="1:6">
      <c r="A46" t="str">
        <f t="shared" si="1"/>
        <v>ID00039-TEST_00037-Testing</v>
      </c>
      <c r="B46" t="s">
        <v>4553</v>
      </c>
      <c r="C46" t="s">
        <v>4875</v>
      </c>
      <c r="D46" t="s">
        <v>4815</v>
      </c>
      <c r="E46">
        <v>1</v>
      </c>
      <c r="F46" t="s">
        <v>4822</v>
      </c>
    </row>
    <row r="47" spans="1:6">
      <c r="A47" t="str">
        <f t="shared" si="1"/>
        <v>ID00016-TEST_00038-Testing</v>
      </c>
      <c r="B47" t="s">
        <v>3743</v>
      </c>
      <c r="C47" t="s">
        <v>4876</v>
      </c>
      <c r="D47" t="s">
        <v>4815</v>
      </c>
      <c r="E47">
        <v>1</v>
      </c>
      <c r="F47" t="s">
        <v>4822</v>
      </c>
    </row>
    <row r="48" spans="1:6">
      <c r="A48" t="str">
        <f t="shared" si="1"/>
        <v>ID00072-TEST_00039-Testing</v>
      </c>
      <c r="B48" t="s">
        <v>4563</v>
      </c>
      <c r="C48" t="s">
        <v>4877</v>
      </c>
      <c r="D48" t="s">
        <v>4815</v>
      </c>
      <c r="E48">
        <v>1</v>
      </c>
      <c r="F48" t="s">
        <v>4822</v>
      </c>
    </row>
    <row r="49" spans="1:6">
      <c r="A49" t="str">
        <f t="shared" si="1"/>
        <v>ID00004-TEST_00039-Testing</v>
      </c>
      <c r="B49" t="s">
        <v>3737</v>
      </c>
      <c r="C49" t="s">
        <v>4877</v>
      </c>
      <c r="D49" t="s">
        <v>4815</v>
      </c>
      <c r="E49">
        <v>1</v>
      </c>
      <c r="F49" t="s">
        <v>4822</v>
      </c>
    </row>
    <row r="50" spans="1:6">
      <c r="A50" t="str">
        <f t="shared" si="1"/>
        <v>ID00026-TEST_00040-Testing</v>
      </c>
      <c r="B50" t="s">
        <v>3750</v>
      </c>
      <c r="C50" t="s">
        <v>4879</v>
      </c>
      <c r="D50" t="s">
        <v>4815</v>
      </c>
      <c r="E50">
        <v>1</v>
      </c>
      <c r="F50" t="s">
        <v>4822</v>
      </c>
    </row>
    <row r="51" spans="1:6">
      <c r="A51" t="str">
        <f t="shared" si="1"/>
        <v>ID00073-TEST_00041-Testing</v>
      </c>
      <c r="B51" t="s">
        <v>3784</v>
      </c>
      <c r="C51" t="s">
        <v>4880</v>
      </c>
      <c r="D51" t="s">
        <v>4815</v>
      </c>
      <c r="E51">
        <v>1</v>
      </c>
      <c r="F51" t="s">
        <v>4822</v>
      </c>
    </row>
    <row r="52" spans="1:6">
      <c r="A52" t="str">
        <f t="shared" si="1"/>
        <v>ID00074-TEST_00042-Testing</v>
      </c>
      <c r="B52" t="s">
        <v>3785</v>
      </c>
      <c r="C52" t="s">
        <v>4881</v>
      </c>
      <c r="D52" t="s">
        <v>4815</v>
      </c>
      <c r="E52">
        <v>1</v>
      </c>
      <c r="F52" t="s">
        <v>4822</v>
      </c>
    </row>
    <row r="53" spans="1:6">
      <c r="A53" t="str">
        <f t="shared" si="1"/>
        <v>ID00075-TEST_00043-Testing</v>
      </c>
      <c r="B53" t="s">
        <v>3786</v>
      </c>
      <c r="C53" t="s">
        <v>4882</v>
      </c>
      <c r="D53" t="s">
        <v>4815</v>
      </c>
      <c r="E53">
        <v>1</v>
      </c>
      <c r="F53" t="s">
        <v>4822</v>
      </c>
    </row>
    <row r="54" spans="1:6">
      <c r="A54" t="str">
        <f t="shared" si="1"/>
        <v>ID00076-TEST_00044-Testing</v>
      </c>
      <c r="B54" t="s">
        <v>3787</v>
      </c>
      <c r="C54" t="s">
        <v>4884</v>
      </c>
      <c r="D54" t="s">
        <v>4815</v>
      </c>
      <c r="E54">
        <v>1</v>
      </c>
      <c r="F54" t="s">
        <v>4822</v>
      </c>
    </row>
    <row r="55" spans="1:6">
      <c r="A55" t="str">
        <f t="shared" si="1"/>
        <v>ID00077-TEST_00045-Testing</v>
      </c>
      <c r="B55" t="s">
        <v>4564</v>
      </c>
      <c r="C55" t="s">
        <v>4886</v>
      </c>
      <c r="D55" t="s">
        <v>4815</v>
      </c>
      <c r="E55">
        <v>1</v>
      </c>
      <c r="F55" t="s">
        <v>4822</v>
      </c>
    </row>
    <row r="56" spans="1:6">
      <c r="A56" t="str">
        <f t="shared" si="1"/>
        <v>ID00023-TEST_00046-Testing</v>
      </c>
      <c r="B56" t="s">
        <v>4503</v>
      </c>
      <c r="C56" t="s">
        <v>4887</v>
      </c>
      <c r="D56" t="s">
        <v>4815</v>
      </c>
      <c r="E56">
        <v>1</v>
      </c>
      <c r="F56" t="s">
        <v>4822</v>
      </c>
    </row>
    <row r="57" spans="1:6">
      <c r="A57" t="str">
        <f t="shared" si="1"/>
        <v>ID00032-TEST_00046-Testing</v>
      </c>
      <c r="B57" t="s">
        <v>3755</v>
      </c>
      <c r="C57" t="s">
        <v>4887</v>
      </c>
      <c r="D57" t="s">
        <v>4815</v>
      </c>
      <c r="E57">
        <v>1</v>
      </c>
      <c r="F57" t="s">
        <v>4822</v>
      </c>
    </row>
    <row r="58" spans="1:6">
      <c r="A58" t="str">
        <f t="shared" si="1"/>
        <v>ID00078-TEST_00046-Testing</v>
      </c>
      <c r="B58" t="s">
        <v>3788</v>
      </c>
      <c r="C58" t="s">
        <v>4887</v>
      </c>
      <c r="D58" t="s">
        <v>4815</v>
      </c>
      <c r="E58">
        <v>1</v>
      </c>
      <c r="F58" t="s">
        <v>4822</v>
      </c>
    </row>
    <row r="59" spans="1:6">
      <c r="A59" t="str">
        <f t="shared" si="1"/>
        <v>ID00011-TEST_00047-Testing</v>
      </c>
      <c r="B59" t="s">
        <v>4448</v>
      </c>
      <c r="C59" t="s">
        <v>4890</v>
      </c>
      <c r="D59" t="s">
        <v>4815</v>
      </c>
      <c r="E59">
        <v>1</v>
      </c>
      <c r="F59" t="s">
        <v>4822</v>
      </c>
    </row>
    <row r="60" spans="1:6">
      <c r="A60" t="str">
        <f t="shared" si="1"/>
        <v>ID00025-TEST_00048-Testing</v>
      </c>
      <c r="B60" t="s">
        <v>3749</v>
      </c>
      <c r="C60" t="s">
        <v>4891</v>
      </c>
      <c r="D60" t="s">
        <v>4815</v>
      </c>
      <c r="E60">
        <v>1</v>
      </c>
      <c r="F60" t="s">
        <v>4822</v>
      </c>
    </row>
    <row r="61" spans="1:6">
      <c r="A61" t="str">
        <f t="shared" si="1"/>
        <v>ID00079-TEST_00049-Testing</v>
      </c>
      <c r="B61" t="s">
        <v>4565</v>
      </c>
      <c r="C61" t="s">
        <v>4892</v>
      </c>
      <c r="D61" t="s">
        <v>4815</v>
      </c>
      <c r="E61">
        <v>1</v>
      </c>
      <c r="F61" t="s">
        <v>4822</v>
      </c>
    </row>
    <row r="62" spans="1:6">
      <c r="A62" t="str">
        <f t="shared" si="1"/>
        <v>ID00002-TEST_00050-Testing</v>
      </c>
      <c r="B62" t="s">
        <v>3735</v>
      </c>
      <c r="C62" t="s">
        <v>4935</v>
      </c>
      <c r="D62" t="s">
        <v>4815</v>
      </c>
      <c r="E62">
        <v>1</v>
      </c>
    </row>
    <row r="63" spans="1:6">
      <c r="A63" t="str">
        <f t="shared" si="1"/>
        <v>ID00006-TEST_00050-Testing</v>
      </c>
      <c r="B63" t="s">
        <v>4431</v>
      </c>
      <c r="C63" t="s">
        <v>4935</v>
      </c>
      <c r="D63" t="s">
        <v>4815</v>
      </c>
      <c r="E63">
        <v>1</v>
      </c>
    </row>
    <row r="64" spans="1:6">
      <c r="A64" t="str">
        <f t="shared" si="1"/>
        <v>ID00085-TEST_00051-Testing</v>
      </c>
      <c r="B64" t="s">
        <v>3792</v>
      </c>
      <c r="C64" t="s">
        <v>8346</v>
      </c>
      <c r="D64" t="s">
        <v>4815</v>
      </c>
      <c r="E64">
        <v>1</v>
      </c>
    </row>
    <row r="65" spans="1:6">
      <c r="A65" t="str">
        <f t="shared" si="1"/>
        <v>ID00024-TEST_00048-Testing</v>
      </c>
      <c r="B65" t="s">
        <v>4508</v>
      </c>
      <c r="C65" t="s">
        <v>4891</v>
      </c>
      <c r="D65" t="s">
        <v>4815</v>
      </c>
      <c r="E65">
        <v>1</v>
      </c>
    </row>
    <row r="66" spans="1:6">
      <c r="A66" t="str">
        <f t="shared" ref="A66:A67" si="2">B66&amp;"-"&amp;C66&amp;"-"&amp;SUBSTITUTE(D66," ", "-")</f>
        <v>ID00014-TEST_00015-Testing</v>
      </c>
      <c r="B66" t="s">
        <v>3741</v>
      </c>
      <c r="C66" t="s">
        <v>4841</v>
      </c>
      <c r="D66" t="s">
        <v>4815</v>
      </c>
      <c r="E66">
        <v>1</v>
      </c>
    </row>
    <row r="67" spans="1:6">
      <c r="A67" t="str">
        <f t="shared" si="2"/>
        <v>ID00325-TEST_00052-Testing</v>
      </c>
      <c r="B67" t="s">
        <v>10297</v>
      </c>
      <c r="C67" t="s">
        <v>11193</v>
      </c>
      <c r="D67" t="s">
        <v>4815</v>
      </c>
      <c r="E67">
        <v>1</v>
      </c>
      <c r="F67" t="s">
        <v>11199</v>
      </c>
    </row>
    <row r="68" spans="1:6">
      <c r="A68" t="str">
        <f t="shared" ref="A68" si="3">B68&amp;"-"&amp;C68&amp;"-"&amp;SUBSTITUTE(D68," ", "-")</f>
        <v>ID00163-TEST_00053-Testing</v>
      </c>
      <c r="B68" t="s">
        <v>3838</v>
      </c>
      <c r="C68" t="s">
        <v>11278</v>
      </c>
      <c r="D68" t="s">
        <v>4815</v>
      </c>
      <c r="E68">
        <v>1</v>
      </c>
    </row>
    <row r="69" spans="1:6">
      <c r="A69" t="str">
        <f>B69&amp;"-"&amp;C69&amp;"-"&amp;SUBSTITUTE(D69," ", "-")</f>
        <v>ID00310-TEST_00001-Testing</v>
      </c>
      <c r="B69" t="s">
        <v>10282</v>
      </c>
      <c r="C69" t="s">
        <v>4814</v>
      </c>
      <c r="D69" t="s">
        <v>4815</v>
      </c>
      <c r="E69">
        <v>1</v>
      </c>
    </row>
    <row r="70" spans="1:6">
      <c r="A70" t="str">
        <f>B70&amp;"-"&amp;C70&amp;"-"&amp;SUBSTITUTE(D70," ", "-")</f>
        <v>ID00311-TEST_00054-Testing</v>
      </c>
      <c r="B70" t="s">
        <v>10283</v>
      </c>
      <c r="C70" t="s">
        <v>11442</v>
      </c>
      <c r="D70" t="s">
        <v>4815</v>
      </c>
      <c r="E70">
        <v>1</v>
      </c>
    </row>
    <row r="71" spans="1:6">
      <c r="A71" t="str">
        <f>B71&amp;"-"&amp;C71&amp;"-"&amp;SUBSTITUTE(D71," ", "-")</f>
        <v>ID00303-TEST_00054-Testing</v>
      </c>
      <c r="B71" t="s">
        <v>10275</v>
      </c>
      <c r="C71" t="s">
        <v>11442</v>
      </c>
      <c r="D71" t="s">
        <v>4815</v>
      </c>
      <c r="E71">
        <v>1</v>
      </c>
      <c r="F71" t="s">
        <v>11562</v>
      </c>
    </row>
  </sheetData>
  <autoFilter ref="A1:F69" xr:uid="{CBFDCB57-B195-42D1-A0EE-46EACBC16A99}"/>
  <phoneticPr fontId="6" type="noConversion"/>
  <conditionalFormatting sqref="B2">
    <cfRule type="duplicateValues" dxfId="745" priority="69"/>
  </conditionalFormatting>
  <conditionalFormatting sqref="B3">
    <cfRule type="duplicateValues" dxfId="744" priority="68"/>
  </conditionalFormatting>
  <conditionalFormatting sqref="B4">
    <cfRule type="duplicateValues" dxfId="743" priority="67"/>
  </conditionalFormatting>
  <conditionalFormatting sqref="B5">
    <cfRule type="duplicateValues" dxfId="742" priority="66"/>
  </conditionalFormatting>
  <conditionalFormatting sqref="B6">
    <cfRule type="duplicateValues" dxfId="741" priority="65"/>
  </conditionalFormatting>
  <conditionalFormatting sqref="B7">
    <cfRule type="duplicateValues" dxfId="740" priority="64"/>
  </conditionalFormatting>
  <conditionalFormatting sqref="B8">
    <cfRule type="duplicateValues" dxfId="739" priority="63"/>
  </conditionalFormatting>
  <conditionalFormatting sqref="B9">
    <cfRule type="duplicateValues" dxfId="738" priority="62"/>
  </conditionalFormatting>
  <conditionalFormatting sqref="B10">
    <cfRule type="duplicateValues" dxfId="737" priority="61"/>
  </conditionalFormatting>
  <conditionalFormatting sqref="B11">
    <cfRule type="duplicateValues" dxfId="736" priority="60"/>
  </conditionalFormatting>
  <conditionalFormatting sqref="B12">
    <cfRule type="duplicateValues" dxfId="735" priority="59"/>
  </conditionalFormatting>
  <conditionalFormatting sqref="B13">
    <cfRule type="duplicateValues" dxfId="734" priority="58"/>
  </conditionalFormatting>
  <conditionalFormatting sqref="B14">
    <cfRule type="duplicateValues" dxfId="733" priority="57"/>
  </conditionalFormatting>
  <conditionalFormatting sqref="B15">
    <cfRule type="duplicateValues" dxfId="732" priority="56"/>
  </conditionalFormatting>
  <conditionalFormatting sqref="B16">
    <cfRule type="duplicateValues" dxfId="731" priority="55"/>
  </conditionalFormatting>
  <conditionalFormatting sqref="B17">
    <cfRule type="duplicateValues" dxfId="730" priority="54"/>
  </conditionalFormatting>
  <conditionalFormatting sqref="B18">
    <cfRule type="duplicateValues" dxfId="729" priority="53"/>
  </conditionalFormatting>
  <conditionalFormatting sqref="B19">
    <cfRule type="duplicateValues" dxfId="728" priority="52"/>
  </conditionalFormatting>
  <conditionalFormatting sqref="B20">
    <cfRule type="duplicateValues" dxfId="727" priority="51"/>
  </conditionalFormatting>
  <conditionalFormatting sqref="B21">
    <cfRule type="duplicateValues" dxfId="726" priority="50"/>
  </conditionalFormatting>
  <conditionalFormatting sqref="B22">
    <cfRule type="duplicateValues" dxfId="725" priority="49"/>
  </conditionalFormatting>
  <conditionalFormatting sqref="B23">
    <cfRule type="duplicateValues" dxfId="724" priority="48"/>
  </conditionalFormatting>
  <conditionalFormatting sqref="B24">
    <cfRule type="duplicateValues" dxfId="723" priority="47"/>
  </conditionalFormatting>
  <conditionalFormatting sqref="B25">
    <cfRule type="duplicateValues" dxfId="722" priority="46"/>
  </conditionalFormatting>
  <conditionalFormatting sqref="B26">
    <cfRule type="duplicateValues" dxfId="721" priority="45"/>
  </conditionalFormatting>
  <conditionalFormatting sqref="B27">
    <cfRule type="duplicateValues" dxfId="720" priority="44"/>
  </conditionalFormatting>
  <conditionalFormatting sqref="B28">
    <cfRule type="duplicateValues" dxfId="719" priority="43"/>
  </conditionalFormatting>
  <conditionalFormatting sqref="B29">
    <cfRule type="duplicateValues" dxfId="718" priority="42"/>
  </conditionalFormatting>
  <conditionalFormatting sqref="B30">
    <cfRule type="duplicateValues" dxfId="717" priority="41"/>
  </conditionalFormatting>
  <conditionalFormatting sqref="B31">
    <cfRule type="duplicateValues" dxfId="716" priority="40"/>
  </conditionalFormatting>
  <conditionalFormatting sqref="B32">
    <cfRule type="duplicateValues" dxfId="715" priority="39"/>
  </conditionalFormatting>
  <conditionalFormatting sqref="B33">
    <cfRule type="duplicateValues" dxfId="714" priority="38"/>
  </conditionalFormatting>
  <conditionalFormatting sqref="B34">
    <cfRule type="duplicateValues" dxfId="713" priority="37"/>
  </conditionalFormatting>
  <conditionalFormatting sqref="B35">
    <cfRule type="duplicateValues" dxfId="712" priority="36"/>
  </conditionalFormatting>
  <conditionalFormatting sqref="B36">
    <cfRule type="duplicateValues" dxfId="711" priority="35"/>
  </conditionalFormatting>
  <conditionalFormatting sqref="B37:B38">
    <cfRule type="duplicateValues" dxfId="710" priority="34"/>
  </conditionalFormatting>
  <conditionalFormatting sqref="B39">
    <cfRule type="duplicateValues" dxfId="709" priority="33"/>
  </conditionalFormatting>
  <conditionalFormatting sqref="B40">
    <cfRule type="duplicateValues" dxfId="708" priority="32"/>
  </conditionalFormatting>
  <conditionalFormatting sqref="B41">
    <cfRule type="duplicateValues" dxfId="707" priority="31"/>
  </conditionalFormatting>
  <conditionalFormatting sqref="B42">
    <cfRule type="duplicateValues" dxfId="706" priority="30"/>
  </conditionalFormatting>
  <conditionalFormatting sqref="B43">
    <cfRule type="duplicateValues" dxfId="705" priority="29"/>
  </conditionalFormatting>
  <conditionalFormatting sqref="B44">
    <cfRule type="duplicateValues" dxfId="704" priority="28"/>
  </conditionalFormatting>
  <conditionalFormatting sqref="B45">
    <cfRule type="duplicateValues" dxfId="703" priority="27"/>
  </conditionalFormatting>
  <conditionalFormatting sqref="B46">
    <cfRule type="duplicateValues" dxfId="702" priority="26"/>
  </conditionalFormatting>
  <conditionalFormatting sqref="B47">
    <cfRule type="duplicateValues" dxfId="701" priority="25"/>
  </conditionalFormatting>
  <conditionalFormatting sqref="B48">
    <cfRule type="duplicateValues" dxfId="700" priority="24"/>
  </conditionalFormatting>
  <conditionalFormatting sqref="B49">
    <cfRule type="duplicateValues" dxfId="699" priority="23"/>
  </conditionalFormatting>
  <conditionalFormatting sqref="B50">
    <cfRule type="duplicateValues" dxfId="698" priority="22"/>
  </conditionalFormatting>
  <conditionalFormatting sqref="B51">
    <cfRule type="duplicateValues" dxfId="697" priority="21"/>
  </conditionalFormatting>
  <conditionalFormatting sqref="B52">
    <cfRule type="duplicateValues" dxfId="696" priority="20"/>
  </conditionalFormatting>
  <conditionalFormatting sqref="B53">
    <cfRule type="duplicateValues" dxfId="695" priority="19"/>
  </conditionalFormatting>
  <conditionalFormatting sqref="B54">
    <cfRule type="duplicateValues" dxfId="694" priority="18"/>
  </conditionalFormatting>
  <conditionalFormatting sqref="B55">
    <cfRule type="duplicateValues" dxfId="693" priority="17"/>
  </conditionalFormatting>
  <conditionalFormatting sqref="B56">
    <cfRule type="duplicateValues" dxfId="692" priority="16"/>
  </conditionalFormatting>
  <conditionalFormatting sqref="B57">
    <cfRule type="duplicateValues" dxfId="691" priority="15"/>
  </conditionalFormatting>
  <conditionalFormatting sqref="B58">
    <cfRule type="duplicateValues" dxfId="690" priority="14"/>
  </conditionalFormatting>
  <conditionalFormatting sqref="B59">
    <cfRule type="duplicateValues" dxfId="689" priority="13"/>
  </conditionalFormatting>
  <conditionalFormatting sqref="B60">
    <cfRule type="duplicateValues" dxfId="688" priority="12"/>
  </conditionalFormatting>
  <conditionalFormatting sqref="B61">
    <cfRule type="duplicateValues" dxfId="687" priority="11"/>
  </conditionalFormatting>
  <conditionalFormatting sqref="B62">
    <cfRule type="duplicateValues" dxfId="686" priority="10"/>
  </conditionalFormatting>
  <conditionalFormatting sqref="B63">
    <cfRule type="duplicateValues" dxfId="685" priority="8"/>
  </conditionalFormatting>
  <conditionalFormatting sqref="B64">
    <cfRule type="duplicateValues" dxfId="684" priority="7"/>
  </conditionalFormatting>
  <conditionalFormatting sqref="B65">
    <cfRule type="duplicateValues" dxfId="683" priority="6"/>
  </conditionalFormatting>
  <conditionalFormatting sqref="B66">
    <cfRule type="duplicateValues" dxfId="682" priority="5"/>
  </conditionalFormatting>
  <conditionalFormatting sqref="B67">
    <cfRule type="duplicateValues" dxfId="681" priority="4"/>
  </conditionalFormatting>
  <conditionalFormatting sqref="B69">
    <cfRule type="duplicateValues" dxfId="680" priority="3"/>
  </conditionalFormatting>
  <conditionalFormatting sqref="B70">
    <cfRule type="duplicateValues" dxfId="679" priority="2"/>
  </conditionalFormatting>
  <conditionalFormatting sqref="B71">
    <cfRule type="duplicateValues" dxfId="678"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1182-746B-47F3-A412-7C5D145491CE}">
  <sheetPr>
    <tabColor rgb="FF6FFFE8"/>
  </sheetPr>
  <dimension ref="A1:A6"/>
  <sheetViews>
    <sheetView workbookViewId="0"/>
  </sheetViews>
  <sheetFormatPr defaultRowHeight="14.4"/>
  <cols>
    <col min="1" max="1" width="46.109375" customWidth="1"/>
  </cols>
  <sheetData>
    <row r="1" spans="1:1">
      <c r="A1" t="s">
        <v>5153</v>
      </c>
    </row>
    <row r="2" spans="1:1">
      <c r="A2" t="s">
        <v>5156</v>
      </c>
    </row>
    <row r="3" spans="1:1">
      <c r="A3" t="s">
        <v>7883</v>
      </c>
    </row>
    <row r="4" spans="1:1">
      <c r="A4" t="s">
        <v>8027</v>
      </c>
    </row>
    <row r="5" spans="1:1">
      <c r="A5" t="s">
        <v>8044</v>
      </c>
    </row>
    <row r="6" spans="1:1">
      <c r="A6" t="s">
        <v>4896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BC173-8092-4487-BD3A-FBB496D7EC5D}">
  <dimension ref="A1:B4"/>
  <sheetViews>
    <sheetView workbookViewId="0">
      <selection activeCell="A4" sqref="A4"/>
    </sheetView>
  </sheetViews>
  <sheetFormatPr defaultRowHeight="14.4"/>
  <cols>
    <col min="1" max="1" width="62.109375" customWidth="1"/>
  </cols>
  <sheetData>
    <row r="1" spans="1:2">
      <c r="A1" t="s">
        <v>4588</v>
      </c>
      <c r="B1" t="s">
        <v>4404</v>
      </c>
    </row>
    <row r="2" spans="1:2">
      <c r="A2" t="s">
        <v>487</v>
      </c>
      <c r="B2" t="s">
        <v>4404</v>
      </c>
    </row>
    <row r="3" spans="1:2">
      <c r="A3" t="s">
        <v>4601</v>
      </c>
      <c r="B3" t="s">
        <v>4404</v>
      </c>
    </row>
    <row r="4" spans="1:2">
      <c r="A4" t="s">
        <v>8365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41A5-0457-4DAE-9C08-9F70739989E8}">
  <sheetPr>
    <tabColor rgb="FF13D377"/>
  </sheetPr>
  <dimension ref="A1:F631"/>
  <sheetViews>
    <sheetView workbookViewId="0">
      <selection activeCell="E19" sqref="E19"/>
    </sheetView>
  </sheetViews>
  <sheetFormatPr defaultRowHeight="14.4"/>
  <cols>
    <col min="5" max="5" width="30.109375" bestFit="1" customWidth="1"/>
    <col min="6" max="6" width="12.88671875" bestFit="1" customWidth="1"/>
  </cols>
  <sheetData>
    <row r="1" spans="1:6">
      <c r="A1" s="62" t="s">
        <v>8</v>
      </c>
      <c r="E1" s="91" t="s">
        <v>8200</v>
      </c>
      <c r="F1" t="s">
        <v>8202</v>
      </c>
    </row>
    <row r="2" spans="1:6">
      <c r="A2" t="s">
        <v>1765</v>
      </c>
      <c r="E2" s="93" t="s">
        <v>700</v>
      </c>
      <c r="F2">
        <v>18</v>
      </c>
    </row>
    <row r="3" spans="1:6">
      <c r="A3" t="s">
        <v>1765</v>
      </c>
      <c r="E3" s="93" t="s">
        <v>2964</v>
      </c>
      <c r="F3">
        <v>11</v>
      </c>
    </row>
    <row r="4" spans="1:6">
      <c r="A4" t="s">
        <v>1767</v>
      </c>
      <c r="E4" s="93" t="s">
        <v>2056</v>
      </c>
      <c r="F4">
        <v>9</v>
      </c>
    </row>
    <row r="5" spans="1:6">
      <c r="A5" t="s">
        <v>1767</v>
      </c>
      <c r="E5" s="92" t="s">
        <v>903</v>
      </c>
      <c r="F5">
        <v>8</v>
      </c>
    </row>
    <row r="6" spans="1:6">
      <c r="A6" t="s">
        <v>1767</v>
      </c>
      <c r="E6" s="93" t="s">
        <v>833</v>
      </c>
      <c r="F6">
        <v>8</v>
      </c>
    </row>
    <row r="7" spans="1:6">
      <c r="A7" t="s">
        <v>1970</v>
      </c>
      <c r="E7" s="92" t="s">
        <v>871</v>
      </c>
      <c r="F7">
        <v>7</v>
      </c>
    </row>
    <row r="8" spans="1:6">
      <c r="A8" t="s">
        <v>1970</v>
      </c>
      <c r="E8" s="92" t="s">
        <v>858</v>
      </c>
      <c r="F8">
        <v>6</v>
      </c>
    </row>
    <row r="9" spans="1:6">
      <c r="A9" t="s">
        <v>1970</v>
      </c>
      <c r="E9" s="92" t="s">
        <v>942</v>
      </c>
      <c r="F9">
        <v>6</v>
      </c>
    </row>
    <row r="10" spans="1:6">
      <c r="A10" t="s">
        <v>1980</v>
      </c>
      <c r="E10" s="93" t="s">
        <v>1702</v>
      </c>
      <c r="F10">
        <v>5</v>
      </c>
    </row>
    <row r="11" spans="1:6">
      <c r="A11" t="s">
        <v>2700</v>
      </c>
      <c r="E11" s="93" t="s">
        <v>836</v>
      </c>
      <c r="F11">
        <v>5</v>
      </c>
    </row>
    <row r="12" spans="1:6">
      <c r="A12" t="s">
        <v>2700</v>
      </c>
      <c r="E12" s="93" t="s">
        <v>2958</v>
      </c>
      <c r="F12" s="86">
        <v>5</v>
      </c>
    </row>
    <row r="13" spans="1:6">
      <c r="A13" t="s">
        <v>2676</v>
      </c>
      <c r="E13" s="93" t="s">
        <v>1883</v>
      </c>
      <c r="F13">
        <v>5</v>
      </c>
    </row>
    <row r="14" spans="1:6">
      <c r="A14" t="s">
        <v>1771</v>
      </c>
      <c r="E14" s="99" t="s">
        <v>880</v>
      </c>
      <c r="F14">
        <v>4</v>
      </c>
    </row>
    <row r="15" spans="1:6">
      <c r="A15" t="s">
        <v>1771</v>
      </c>
      <c r="E15" s="93" t="s">
        <v>951</v>
      </c>
      <c r="F15">
        <v>4</v>
      </c>
    </row>
    <row r="16" spans="1:6">
      <c r="A16" t="s">
        <v>1975</v>
      </c>
      <c r="E16" s="93" t="s">
        <v>885</v>
      </c>
      <c r="F16">
        <v>4</v>
      </c>
    </row>
    <row r="17" spans="1:6">
      <c r="A17" t="s">
        <v>2716</v>
      </c>
      <c r="E17" s="99" t="s">
        <v>862</v>
      </c>
      <c r="F17">
        <v>4</v>
      </c>
    </row>
    <row r="18" spans="1:6">
      <c r="A18" t="s">
        <v>1773</v>
      </c>
      <c r="E18" s="99" t="s">
        <v>1907</v>
      </c>
      <c r="F18">
        <v>4</v>
      </c>
    </row>
    <row r="19" spans="1:6">
      <c r="A19" t="s">
        <v>1773</v>
      </c>
      <c r="E19" s="92" t="s">
        <v>958</v>
      </c>
      <c r="F19">
        <v>4</v>
      </c>
    </row>
    <row r="20" spans="1:6">
      <c r="A20" t="s">
        <v>2842</v>
      </c>
      <c r="E20" s="92" t="s">
        <v>1815</v>
      </c>
      <c r="F20">
        <v>4</v>
      </c>
    </row>
    <row r="21" spans="1:6">
      <c r="A21" t="s">
        <v>4845</v>
      </c>
      <c r="E21" s="92" t="s">
        <v>896</v>
      </c>
      <c r="F21">
        <v>4</v>
      </c>
    </row>
    <row r="22" spans="1:6">
      <c r="A22" t="s">
        <v>840</v>
      </c>
      <c r="E22" s="92" t="s">
        <v>4845</v>
      </c>
      <c r="F22">
        <v>4</v>
      </c>
    </row>
    <row r="23" spans="1:6">
      <c r="A23" t="s">
        <v>840</v>
      </c>
      <c r="E23" s="92" t="s">
        <v>844</v>
      </c>
      <c r="F23">
        <v>4</v>
      </c>
    </row>
    <row r="24" spans="1:6">
      <c r="A24" t="s">
        <v>840</v>
      </c>
      <c r="E24" s="92" t="s">
        <v>1934</v>
      </c>
      <c r="F24">
        <v>4</v>
      </c>
    </row>
    <row r="25" spans="1:6">
      <c r="A25" t="s">
        <v>1769</v>
      </c>
      <c r="E25" s="92" t="s">
        <v>1930</v>
      </c>
      <c r="F25">
        <v>3</v>
      </c>
    </row>
    <row r="26" spans="1:6">
      <c r="A26" t="s">
        <v>958</v>
      </c>
      <c r="E26" s="92" t="s">
        <v>1866</v>
      </c>
      <c r="F26">
        <v>3</v>
      </c>
    </row>
    <row r="27" spans="1:6">
      <c r="A27" t="s">
        <v>958</v>
      </c>
      <c r="E27" s="92" t="s">
        <v>2372</v>
      </c>
      <c r="F27">
        <v>3</v>
      </c>
    </row>
    <row r="28" spans="1:6">
      <c r="A28" t="s">
        <v>958</v>
      </c>
      <c r="E28" s="92" t="s">
        <v>2003</v>
      </c>
      <c r="F28">
        <v>3</v>
      </c>
    </row>
    <row r="29" spans="1:6">
      <c r="A29" t="s">
        <v>3580</v>
      </c>
      <c r="E29" s="92" t="s">
        <v>877</v>
      </c>
      <c r="F29">
        <v>3</v>
      </c>
    </row>
    <row r="30" spans="1:6">
      <c r="A30" t="s">
        <v>1713</v>
      </c>
      <c r="E30" s="92" t="s">
        <v>915</v>
      </c>
      <c r="F30">
        <v>3</v>
      </c>
    </row>
    <row r="31" spans="1:6">
      <c r="A31" t="s">
        <v>2074</v>
      </c>
      <c r="E31" s="92" t="s">
        <v>2963</v>
      </c>
      <c r="F31">
        <v>3</v>
      </c>
    </row>
    <row r="32" spans="1:6">
      <c r="A32" t="s">
        <v>8010</v>
      </c>
      <c r="E32" s="92" t="s">
        <v>924</v>
      </c>
      <c r="F32">
        <v>3</v>
      </c>
    </row>
    <row r="33" spans="1:6">
      <c r="A33" t="s">
        <v>2670</v>
      </c>
      <c r="E33" s="92" t="s">
        <v>1945</v>
      </c>
      <c r="F33">
        <v>3</v>
      </c>
    </row>
    <row r="34" spans="1:6">
      <c r="A34" t="s">
        <v>1813</v>
      </c>
      <c r="E34" s="92" t="s">
        <v>855</v>
      </c>
      <c r="F34">
        <v>3</v>
      </c>
    </row>
    <row r="35" spans="1:6">
      <c r="A35" t="s">
        <v>967</v>
      </c>
      <c r="E35" s="92" t="s">
        <v>2005</v>
      </c>
      <c r="F35">
        <v>3</v>
      </c>
    </row>
    <row r="36" spans="1:6">
      <c r="A36" t="s">
        <v>2867</v>
      </c>
      <c r="E36" s="92" t="s">
        <v>1767</v>
      </c>
      <c r="F36">
        <v>3</v>
      </c>
    </row>
    <row r="37" spans="1:6">
      <c r="A37" t="s">
        <v>2649</v>
      </c>
      <c r="E37" s="92" t="s">
        <v>1899</v>
      </c>
      <c r="F37">
        <v>3</v>
      </c>
    </row>
    <row r="38" spans="1:6">
      <c r="A38" t="s">
        <v>1938</v>
      </c>
      <c r="E38" s="92" t="s">
        <v>1006</v>
      </c>
      <c r="F38">
        <v>3</v>
      </c>
    </row>
    <row r="39" spans="1:6">
      <c r="A39" t="s">
        <v>2744</v>
      </c>
      <c r="E39" s="92" t="s">
        <v>874</v>
      </c>
      <c r="F39">
        <v>3</v>
      </c>
    </row>
    <row r="40" spans="1:6">
      <c r="A40" t="s">
        <v>1877</v>
      </c>
      <c r="E40" s="92" t="s">
        <v>2115</v>
      </c>
      <c r="F40">
        <v>3</v>
      </c>
    </row>
    <row r="41" spans="1:6">
      <c r="A41" t="s">
        <v>2672</v>
      </c>
      <c r="E41" s="92" t="s">
        <v>1873</v>
      </c>
      <c r="F41">
        <v>3</v>
      </c>
    </row>
    <row r="42" spans="1:6">
      <c r="A42" t="s">
        <v>2345</v>
      </c>
      <c r="E42" s="92" t="s">
        <v>1970</v>
      </c>
      <c r="F42">
        <v>3</v>
      </c>
    </row>
    <row r="43" spans="1:6">
      <c r="A43" t="s">
        <v>929</v>
      </c>
      <c r="E43" s="92" t="s">
        <v>1827</v>
      </c>
      <c r="F43">
        <v>3</v>
      </c>
    </row>
    <row r="44" spans="1:6">
      <c r="A44" t="s">
        <v>929</v>
      </c>
      <c r="E44" s="92" t="s">
        <v>1962</v>
      </c>
      <c r="F44">
        <v>3</v>
      </c>
    </row>
    <row r="45" spans="1:6">
      <c r="A45" t="s">
        <v>7985</v>
      </c>
      <c r="E45" s="92" t="s">
        <v>1879</v>
      </c>
      <c r="F45">
        <v>2</v>
      </c>
    </row>
    <row r="46" spans="1:6">
      <c r="A46" t="s">
        <v>2231</v>
      </c>
      <c r="E46" s="92" t="s">
        <v>1808</v>
      </c>
      <c r="F46">
        <v>2</v>
      </c>
    </row>
    <row r="47" spans="1:6">
      <c r="A47" t="s">
        <v>1779</v>
      </c>
      <c r="E47" s="92" t="s">
        <v>1755</v>
      </c>
      <c r="F47">
        <v>2</v>
      </c>
    </row>
    <row r="48" spans="1:6">
      <c r="A48" t="s">
        <v>1779</v>
      </c>
      <c r="E48" s="92" t="s">
        <v>868</v>
      </c>
      <c r="F48">
        <v>2</v>
      </c>
    </row>
    <row r="49" spans="1:6">
      <c r="A49" t="s">
        <v>2167</v>
      </c>
      <c r="E49" s="92" t="s">
        <v>1745</v>
      </c>
      <c r="F49">
        <v>2</v>
      </c>
    </row>
    <row r="50" spans="1:6">
      <c r="A50" t="s">
        <v>1784</v>
      </c>
      <c r="E50" s="92" t="s">
        <v>2659</v>
      </c>
      <c r="F50">
        <v>2</v>
      </c>
    </row>
    <row r="51" spans="1:6">
      <c r="A51" t="s">
        <v>1968</v>
      </c>
      <c r="E51" s="92" t="s">
        <v>2715</v>
      </c>
      <c r="F51">
        <v>2</v>
      </c>
    </row>
    <row r="52" spans="1:6">
      <c r="A52" t="s">
        <v>1968</v>
      </c>
      <c r="E52" s="92" t="s">
        <v>1721</v>
      </c>
      <c r="F52">
        <v>2</v>
      </c>
    </row>
    <row r="53" spans="1:6">
      <c r="A53" t="s">
        <v>1752</v>
      </c>
      <c r="E53" s="92" t="s">
        <v>1752</v>
      </c>
      <c r="F53">
        <v>2</v>
      </c>
    </row>
    <row r="54" spans="1:6">
      <c r="A54" t="s">
        <v>1752</v>
      </c>
      <c r="E54" s="92" t="s">
        <v>1949</v>
      </c>
      <c r="F54">
        <v>2</v>
      </c>
    </row>
    <row r="55" spans="1:6">
      <c r="A55" t="s">
        <v>1786</v>
      </c>
      <c r="E55" s="92" t="s">
        <v>1921</v>
      </c>
      <c r="F55">
        <v>2</v>
      </c>
    </row>
    <row r="56" spans="1:6">
      <c r="A56" t="s">
        <v>1786</v>
      </c>
      <c r="E56" s="92" t="s">
        <v>2209</v>
      </c>
      <c r="F56">
        <v>2</v>
      </c>
    </row>
    <row r="57" spans="1:6">
      <c r="A57" t="s">
        <v>1815</v>
      </c>
      <c r="E57" s="92" t="s">
        <v>1731</v>
      </c>
      <c r="F57">
        <v>2</v>
      </c>
    </row>
    <row r="58" spans="1:6">
      <c r="A58" t="s">
        <v>1815</v>
      </c>
      <c r="E58" s="92" t="s">
        <v>1765</v>
      </c>
      <c r="F58">
        <v>2</v>
      </c>
    </row>
    <row r="59" spans="1:6">
      <c r="A59" t="s">
        <v>2968</v>
      </c>
      <c r="E59" s="92" t="s">
        <v>1860</v>
      </c>
      <c r="F59">
        <v>2</v>
      </c>
    </row>
    <row r="60" spans="1:6">
      <c r="A60" t="s">
        <v>1815</v>
      </c>
      <c r="E60" s="92" t="s">
        <v>1723</v>
      </c>
      <c r="F60">
        <v>2</v>
      </c>
    </row>
    <row r="61" spans="1:6">
      <c r="A61" t="s">
        <v>2209</v>
      </c>
      <c r="E61" s="92" t="s">
        <v>918</v>
      </c>
      <c r="F61">
        <v>2</v>
      </c>
    </row>
    <row r="62" spans="1:6">
      <c r="A62" t="s">
        <v>2209</v>
      </c>
      <c r="E62" s="92" t="s">
        <v>804</v>
      </c>
      <c r="F62">
        <v>2</v>
      </c>
    </row>
    <row r="63" spans="1:6">
      <c r="A63" t="s">
        <v>1750</v>
      </c>
      <c r="E63" s="92" t="s">
        <v>961</v>
      </c>
      <c r="F63">
        <v>2</v>
      </c>
    </row>
    <row r="64" spans="1:6">
      <c r="A64" t="s">
        <v>1892</v>
      </c>
      <c r="E64" s="92" t="s">
        <v>1788</v>
      </c>
      <c r="F64">
        <v>2</v>
      </c>
    </row>
    <row r="65" spans="1:6">
      <c r="A65" t="s">
        <v>1792</v>
      </c>
      <c r="E65" s="92" t="s">
        <v>1786</v>
      </c>
      <c r="F65">
        <v>2</v>
      </c>
    </row>
    <row r="66" spans="1:6">
      <c r="A66" t="s">
        <v>1723</v>
      </c>
      <c r="E66" s="92" t="s">
        <v>2128</v>
      </c>
      <c r="F66">
        <v>2</v>
      </c>
    </row>
    <row r="67" spans="1:6">
      <c r="A67" t="s">
        <v>1723</v>
      </c>
      <c r="E67" s="92" t="s">
        <v>1707</v>
      </c>
      <c r="F67">
        <v>2</v>
      </c>
    </row>
    <row r="68" spans="1:6">
      <c r="A68" t="s">
        <v>2356</v>
      </c>
      <c r="E68" s="92" t="s">
        <v>2700</v>
      </c>
      <c r="F68">
        <v>2</v>
      </c>
    </row>
    <row r="69" spans="1:6">
      <c r="A69" t="s">
        <v>1711</v>
      </c>
      <c r="E69" s="92" t="s">
        <v>1015</v>
      </c>
      <c r="F69">
        <v>2</v>
      </c>
    </row>
    <row r="70" spans="1:6">
      <c r="A70" t="s">
        <v>804</v>
      </c>
      <c r="E70" s="92" t="s">
        <v>2039</v>
      </c>
      <c r="F70">
        <v>2</v>
      </c>
    </row>
    <row r="71" spans="1:6">
      <c r="A71" t="s">
        <v>804</v>
      </c>
      <c r="E71" s="92" t="s">
        <v>865</v>
      </c>
      <c r="F71">
        <v>2</v>
      </c>
    </row>
    <row r="72" spans="1:6">
      <c r="A72" t="s">
        <v>2233</v>
      </c>
      <c r="E72" s="92" t="s">
        <v>2160</v>
      </c>
      <c r="F72">
        <v>2</v>
      </c>
    </row>
    <row r="73" spans="1:6">
      <c r="A73" t="s">
        <v>2279</v>
      </c>
      <c r="E73" s="92" t="s">
        <v>1733</v>
      </c>
      <c r="F73">
        <v>2</v>
      </c>
    </row>
    <row r="74" spans="1:6">
      <c r="A74" t="s">
        <v>1788</v>
      </c>
      <c r="E74" s="92" t="s">
        <v>1790</v>
      </c>
      <c r="F74">
        <v>2</v>
      </c>
    </row>
    <row r="75" spans="1:6">
      <c r="A75" t="s">
        <v>1788</v>
      </c>
      <c r="E75" s="92" t="s">
        <v>1956</v>
      </c>
      <c r="F75">
        <v>2</v>
      </c>
    </row>
    <row r="76" spans="1:6">
      <c r="A76" t="s">
        <v>2851</v>
      </c>
      <c r="E76" s="92" t="s">
        <v>2067</v>
      </c>
      <c r="F76">
        <v>2</v>
      </c>
    </row>
    <row r="77" spans="1:6">
      <c r="A77" t="s">
        <v>2674</v>
      </c>
      <c r="E77" s="92" t="s">
        <v>2174</v>
      </c>
      <c r="F77">
        <v>2</v>
      </c>
    </row>
    <row r="78" spans="1:6">
      <c r="A78" t="s">
        <v>874</v>
      </c>
      <c r="E78" s="92" t="s">
        <v>1771</v>
      </c>
      <c r="F78">
        <v>2</v>
      </c>
    </row>
    <row r="79" spans="1:6">
      <c r="A79" t="s">
        <v>874</v>
      </c>
      <c r="E79" s="92" t="s">
        <v>888</v>
      </c>
      <c r="F79">
        <v>2</v>
      </c>
    </row>
    <row r="80" spans="1:6">
      <c r="A80" t="s">
        <v>874</v>
      </c>
      <c r="E80" s="92" t="s">
        <v>1911</v>
      </c>
      <c r="F80">
        <v>2</v>
      </c>
    </row>
    <row r="81" spans="1:6">
      <c r="A81" t="s">
        <v>2041</v>
      </c>
      <c r="E81" s="92" t="s">
        <v>1803</v>
      </c>
      <c r="F81">
        <v>2</v>
      </c>
    </row>
    <row r="82" spans="1:6">
      <c r="A82" t="s">
        <v>2039</v>
      </c>
      <c r="E82" s="92" t="s">
        <v>929</v>
      </c>
      <c r="F82">
        <v>2</v>
      </c>
    </row>
    <row r="83" spans="1:6">
      <c r="A83" t="s">
        <v>2039</v>
      </c>
      <c r="E83" s="92" t="s">
        <v>1837</v>
      </c>
      <c r="F83">
        <v>2</v>
      </c>
    </row>
    <row r="84" spans="1:6">
      <c r="A84" t="s">
        <v>2920</v>
      </c>
      <c r="E84" s="92" t="s">
        <v>1700</v>
      </c>
      <c r="F84">
        <v>2</v>
      </c>
    </row>
    <row r="85" spans="1:6">
      <c r="A85" t="s">
        <v>1790</v>
      </c>
      <c r="E85" s="92" t="s">
        <v>2036</v>
      </c>
      <c r="F85">
        <v>2</v>
      </c>
    </row>
    <row r="86" spans="1:6">
      <c r="A86" t="s">
        <v>1790</v>
      </c>
      <c r="E86" s="92" t="s">
        <v>1831</v>
      </c>
      <c r="F86">
        <v>2</v>
      </c>
    </row>
    <row r="87" spans="1:6">
      <c r="A87" t="s">
        <v>1704</v>
      </c>
      <c r="E87" s="92" t="s">
        <v>2211</v>
      </c>
      <c r="F87">
        <v>2</v>
      </c>
    </row>
    <row r="88" spans="1:6">
      <c r="A88" t="s">
        <v>1794</v>
      </c>
      <c r="E88" s="92" t="s">
        <v>2163</v>
      </c>
      <c r="F88">
        <v>2</v>
      </c>
    </row>
    <row r="89" spans="1:6">
      <c r="A89" t="s">
        <v>970</v>
      </c>
      <c r="E89" s="92" t="s">
        <v>1003</v>
      </c>
      <c r="F89">
        <v>2</v>
      </c>
    </row>
    <row r="90" spans="1:6">
      <c r="A90" t="s">
        <v>2844</v>
      </c>
      <c r="E90" s="92" t="s">
        <v>1992</v>
      </c>
      <c r="F90">
        <v>2</v>
      </c>
    </row>
    <row r="91" spans="1:6">
      <c r="A91" t="s">
        <v>2067</v>
      </c>
      <c r="E91" s="92" t="s">
        <v>1917</v>
      </c>
      <c r="F91">
        <v>2</v>
      </c>
    </row>
    <row r="92" spans="1:6">
      <c r="A92" t="s">
        <v>2067</v>
      </c>
      <c r="E92" s="92" t="s">
        <v>1779</v>
      </c>
      <c r="F92">
        <v>2</v>
      </c>
    </row>
    <row r="93" spans="1:6">
      <c r="A93" t="s">
        <v>942</v>
      </c>
      <c r="E93" s="92" t="s">
        <v>2258</v>
      </c>
      <c r="F93">
        <v>2</v>
      </c>
    </row>
    <row r="94" spans="1:6">
      <c r="A94" t="s">
        <v>942</v>
      </c>
      <c r="E94" s="92" t="s">
        <v>1763</v>
      </c>
      <c r="F94">
        <v>2</v>
      </c>
    </row>
    <row r="95" spans="1:6">
      <c r="A95" t="s">
        <v>942</v>
      </c>
      <c r="E95" s="92" t="s">
        <v>2266</v>
      </c>
      <c r="F95">
        <v>2</v>
      </c>
    </row>
    <row r="96" spans="1:6">
      <c r="A96" t="s">
        <v>942</v>
      </c>
      <c r="E96" s="92" t="s">
        <v>1735</v>
      </c>
      <c r="F96">
        <v>2</v>
      </c>
    </row>
    <row r="97" spans="1:6">
      <c r="A97" t="s">
        <v>942</v>
      </c>
      <c r="E97" s="92" t="s">
        <v>2089</v>
      </c>
      <c r="F97">
        <v>2</v>
      </c>
    </row>
    <row r="98" spans="1:6">
      <c r="A98" t="s">
        <v>942</v>
      </c>
      <c r="E98" s="92" t="s">
        <v>1968</v>
      </c>
      <c r="F98">
        <v>2</v>
      </c>
    </row>
    <row r="99" spans="1:6">
      <c r="A99" t="s">
        <v>2333</v>
      </c>
      <c r="E99" s="92" t="s">
        <v>2149</v>
      </c>
      <c r="F99">
        <v>2</v>
      </c>
    </row>
    <row r="100" spans="1:6">
      <c r="A100" t="s">
        <v>2115</v>
      </c>
      <c r="E100" s="92" t="s">
        <v>1817</v>
      </c>
      <c r="F100">
        <v>2</v>
      </c>
    </row>
    <row r="101" spans="1:6">
      <c r="A101" t="s">
        <v>2115</v>
      </c>
      <c r="E101" s="92" t="s">
        <v>1773</v>
      </c>
      <c r="F101">
        <v>2</v>
      </c>
    </row>
    <row r="102" spans="1:6">
      <c r="A102" t="s">
        <v>2115</v>
      </c>
      <c r="E102" s="92" t="s">
        <v>946</v>
      </c>
      <c r="F102">
        <v>2</v>
      </c>
    </row>
    <row r="103" spans="1:6">
      <c r="A103" t="s">
        <v>932</v>
      </c>
      <c r="E103" s="92" t="s">
        <v>2098</v>
      </c>
      <c r="F103">
        <v>2</v>
      </c>
    </row>
    <row r="104" spans="1:6">
      <c r="A104" t="s">
        <v>2786</v>
      </c>
      <c r="E104" s="92" t="s">
        <v>2913</v>
      </c>
      <c r="F104">
        <v>2</v>
      </c>
    </row>
    <row r="105" spans="1:6">
      <c r="A105" t="s">
        <v>893</v>
      </c>
      <c r="E105" s="92" t="s">
        <v>1842</v>
      </c>
      <c r="F105">
        <v>2</v>
      </c>
    </row>
    <row r="106" spans="1:6">
      <c r="A106" t="s">
        <v>1759</v>
      </c>
      <c r="E106" s="92" t="s">
        <v>2692</v>
      </c>
      <c r="F106">
        <v>2</v>
      </c>
    </row>
    <row r="107" spans="1:6">
      <c r="A107" t="s">
        <v>1909</v>
      </c>
      <c r="E107" s="92" t="s">
        <v>850</v>
      </c>
      <c r="F107">
        <v>2</v>
      </c>
    </row>
    <row r="108" spans="1:6">
      <c r="A108" t="s">
        <v>862</v>
      </c>
      <c r="E108" s="92" t="s">
        <v>1972</v>
      </c>
      <c r="F108">
        <v>2</v>
      </c>
    </row>
    <row r="109" spans="1:6">
      <c r="A109" t="s">
        <v>862</v>
      </c>
      <c r="E109" s="92" t="s">
        <v>2178</v>
      </c>
      <c r="F109">
        <v>2</v>
      </c>
    </row>
    <row r="110" spans="1:6">
      <c r="A110" t="s">
        <v>862</v>
      </c>
      <c r="E110" s="92" t="s">
        <v>907</v>
      </c>
      <c r="F110">
        <v>2</v>
      </c>
    </row>
    <row r="111" spans="1:6">
      <c r="A111" t="s">
        <v>862</v>
      </c>
      <c r="E111" s="92" t="s">
        <v>2001</v>
      </c>
      <c r="F111">
        <v>2</v>
      </c>
    </row>
    <row r="112" spans="1:6">
      <c r="A112" t="s">
        <v>2678</v>
      </c>
      <c r="E112" s="92" t="s">
        <v>1999</v>
      </c>
      <c r="F112">
        <v>2</v>
      </c>
    </row>
    <row r="113" spans="1:6">
      <c r="A113" t="s">
        <v>2690</v>
      </c>
      <c r="E113" s="92" t="s">
        <v>1886</v>
      </c>
      <c r="F113">
        <v>2</v>
      </c>
    </row>
    <row r="114" spans="1:6">
      <c r="A114" t="s">
        <v>1717</v>
      </c>
      <c r="E114" s="92" t="s">
        <v>1862</v>
      </c>
      <c r="F114">
        <v>2</v>
      </c>
    </row>
    <row r="115" spans="1:6">
      <c r="A115" t="s">
        <v>1735</v>
      </c>
      <c r="E115" s="92" t="s">
        <v>2078</v>
      </c>
      <c r="F115">
        <v>2</v>
      </c>
    </row>
    <row r="116" spans="1:6">
      <c r="A116" t="s">
        <v>1735</v>
      </c>
      <c r="E116" s="92" t="s">
        <v>2665</v>
      </c>
      <c r="F116">
        <v>1</v>
      </c>
    </row>
    <row r="117" spans="1:6">
      <c r="A117" t="s">
        <v>2169</v>
      </c>
      <c r="E117" s="92" t="s">
        <v>2716</v>
      </c>
      <c r="F117">
        <v>1</v>
      </c>
    </row>
    <row r="118" spans="1:6">
      <c r="A118" t="s">
        <v>2215</v>
      </c>
      <c r="E118" s="92" t="s">
        <v>2910</v>
      </c>
      <c r="F118">
        <v>1</v>
      </c>
    </row>
    <row r="119" spans="1:6">
      <c r="A119" t="s">
        <v>2910</v>
      </c>
      <c r="E119" s="92" t="s">
        <v>829</v>
      </c>
      <c r="F119">
        <v>1</v>
      </c>
    </row>
    <row r="120" spans="1:6">
      <c r="A120" t="s">
        <v>2260</v>
      </c>
      <c r="E120" s="92" t="s">
        <v>2014</v>
      </c>
      <c r="F120">
        <v>1</v>
      </c>
    </row>
    <row r="121" spans="1:6">
      <c r="A121" t="s">
        <v>2880</v>
      </c>
      <c r="E121" s="92" t="s">
        <v>2275</v>
      </c>
      <c r="F121">
        <v>1</v>
      </c>
    </row>
    <row r="122" spans="1:6">
      <c r="A122" t="s">
        <v>2958</v>
      </c>
      <c r="E122" s="92" t="s">
        <v>2645</v>
      </c>
      <c r="F122">
        <v>1</v>
      </c>
    </row>
    <row r="123" spans="1:6">
      <c r="A123" t="s">
        <v>808</v>
      </c>
      <c r="E123" s="92" t="s">
        <v>1769</v>
      </c>
      <c r="F123">
        <v>1</v>
      </c>
    </row>
    <row r="124" spans="1:6">
      <c r="A124" t="s">
        <v>808</v>
      </c>
      <c r="E124" s="92" t="s">
        <v>2201</v>
      </c>
      <c r="F124">
        <v>1</v>
      </c>
    </row>
    <row r="125" spans="1:6">
      <c r="A125" t="s">
        <v>808</v>
      </c>
      <c r="E125" s="92" t="s">
        <v>2294</v>
      </c>
      <c r="F125">
        <v>1</v>
      </c>
    </row>
    <row r="126" spans="1:6">
      <c r="A126" t="s">
        <v>2958</v>
      </c>
      <c r="E126" s="92" t="s">
        <v>1810</v>
      </c>
      <c r="F126">
        <v>1</v>
      </c>
    </row>
    <row r="127" spans="1:6">
      <c r="A127" t="s">
        <v>2363</v>
      </c>
      <c r="E127" s="92" t="s">
        <v>1975</v>
      </c>
      <c r="F127">
        <v>1</v>
      </c>
    </row>
    <row r="128" spans="1:6">
      <c r="A128" t="s">
        <v>1875</v>
      </c>
      <c r="E128" s="92" t="s">
        <v>2706</v>
      </c>
      <c r="F128">
        <v>1</v>
      </c>
    </row>
    <row r="129" spans="1:6">
      <c r="A129" t="s">
        <v>1797</v>
      </c>
      <c r="E129" s="92" t="s">
        <v>1775</v>
      </c>
      <c r="F129">
        <v>1</v>
      </c>
    </row>
    <row r="130" spans="1:6">
      <c r="A130" t="s">
        <v>2310</v>
      </c>
      <c r="E130" s="92" t="s">
        <v>2903</v>
      </c>
      <c r="F130">
        <v>1</v>
      </c>
    </row>
    <row r="131" spans="1:6">
      <c r="A131" t="s">
        <v>2119</v>
      </c>
      <c r="E131" s="92" t="s">
        <v>2063</v>
      </c>
      <c r="F131">
        <v>1</v>
      </c>
    </row>
    <row r="132" spans="1:6">
      <c r="A132" t="s">
        <v>1817</v>
      </c>
      <c r="E132" s="92" t="s">
        <v>2784</v>
      </c>
      <c r="F132">
        <v>1</v>
      </c>
    </row>
    <row r="133" spans="1:6">
      <c r="A133" t="s">
        <v>1817</v>
      </c>
      <c r="E133" s="92" t="s">
        <v>2024</v>
      </c>
      <c r="F133">
        <v>1</v>
      </c>
    </row>
    <row r="134" spans="1:6">
      <c r="A134" t="s">
        <v>2331</v>
      </c>
      <c r="E134" s="92" t="s">
        <v>2654</v>
      </c>
      <c r="F134">
        <v>1</v>
      </c>
    </row>
    <row r="135" spans="1:6">
      <c r="A135" t="s">
        <v>2935</v>
      </c>
      <c r="E135" s="92" t="s">
        <v>2051</v>
      </c>
      <c r="F135">
        <v>1</v>
      </c>
    </row>
    <row r="136" spans="1:6">
      <c r="A136" t="s">
        <v>2026</v>
      </c>
      <c r="E136" s="92" t="s">
        <v>7969</v>
      </c>
      <c r="F136">
        <v>1</v>
      </c>
    </row>
    <row r="137" spans="1:6">
      <c r="A137" t="s">
        <v>1972</v>
      </c>
      <c r="E137" s="92" t="s">
        <v>1820</v>
      </c>
      <c r="F137">
        <v>1</v>
      </c>
    </row>
    <row r="138" spans="1:6">
      <c r="A138" t="s">
        <v>1972</v>
      </c>
      <c r="E138" s="92" t="s">
        <v>1743</v>
      </c>
      <c r="F138">
        <v>1</v>
      </c>
    </row>
    <row r="139" spans="1:6">
      <c r="A139" t="s">
        <v>2933</v>
      </c>
      <c r="E139" s="92" t="s">
        <v>1868</v>
      </c>
      <c r="F139">
        <v>1</v>
      </c>
    </row>
    <row r="140" spans="1:6">
      <c r="A140" t="s">
        <v>2250</v>
      </c>
      <c r="E140" s="92" t="s">
        <v>2667</v>
      </c>
      <c r="F140">
        <v>1</v>
      </c>
    </row>
    <row r="141" spans="1:6">
      <c r="A141" t="s">
        <v>2863</v>
      </c>
      <c r="E141" s="92" t="s">
        <v>1713</v>
      </c>
      <c r="F141">
        <v>1</v>
      </c>
    </row>
    <row r="142" spans="1:6">
      <c r="A142" t="s">
        <v>2696</v>
      </c>
      <c r="E142" s="92" t="s">
        <v>1840</v>
      </c>
      <c r="F142">
        <v>1</v>
      </c>
    </row>
    <row r="143" spans="1:6">
      <c r="A143" t="s">
        <v>2238</v>
      </c>
      <c r="E143" s="92" t="s">
        <v>2887</v>
      </c>
      <c r="F143">
        <v>1</v>
      </c>
    </row>
    <row r="144" spans="1:6">
      <c r="A144" t="s">
        <v>907</v>
      </c>
      <c r="E144" s="92" t="s">
        <v>1982</v>
      </c>
      <c r="F144">
        <v>1</v>
      </c>
    </row>
    <row r="145" spans="1:6">
      <c r="A145" t="s">
        <v>907</v>
      </c>
      <c r="E145" s="92" t="s">
        <v>2759</v>
      </c>
      <c r="F145">
        <v>1</v>
      </c>
    </row>
    <row r="146" spans="1:6">
      <c r="A146" t="s">
        <v>1739</v>
      </c>
      <c r="E146" s="92" t="s">
        <v>2814</v>
      </c>
      <c r="F146">
        <v>1</v>
      </c>
    </row>
    <row r="147" spans="1:6">
      <c r="A147" t="s">
        <v>1982</v>
      </c>
      <c r="E147" s="92" t="s">
        <v>1715</v>
      </c>
      <c r="F147">
        <v>1</v>
      </c>
    </row>
    <row r="148" spans="1:6">
      <c r="A148" t="s">
        <v>1999</v>
      </c>
      <c r="E148" s="92" t="s">
        <v>1940</v>
      </c>
      <c r="F148">
        <v>1</v>
      </c>
    </row>
    <row r="149" spans="1:6">
      <c r="A149" t="s">
        <v>1999</v>
      </c>
      <c r="E149" s="92" t="s">
        <v>1750</v>
      </c>
      <c r="F149">
        <v>1</v>
      </c>
    </row>
    <row r="150" spans="1:6">
      <c r="A150" t="s">
        <v>8009</v>
      </c>
      <c r="E150" s="92" t="s">
        <v>2690</v>
      </c>
      <c r="F150">
        <v>1</v>
      </c>
    </row>
    <row r="151" spans="1:6">
      <c r="A151" t="s">
        <v>2244</v>
      </c>
      <c r="E151" s="92" t="s">
        <v>1846</v>
      </c>
      <c r="F151">
        <v>1</v>
      </c>
    </row>
    <row r="152" spans="1:6">
      <c r="A152" t="s">
        <v>2747</v>
      </c>
      <c r="E152" s="92" t="s">
        <v>2194</v>
      </c>
      <c r="F152">
        <v>1</v>
      </c>
    </row>
    <row r="153" spans="1:6">
      <c r="A153" t="s">
        <v>1799</v>
      </c>
      <c r="E153" s="92" t="s">
        <v>2247</v>
      </c>
      <c r="F153">
        <v>1</v>
      </c>
    </row>
    <row r="154" spans="1:6">
      <c r="A154" t="s">
        <v>2688</v>
      </c>
      <c r="E154" s="92" t="s">
        <v>2880</v>
      </c>
      <c r="F154">
        <v>1</v>
      </c>
    </row>
    <row r="155" spans="1:6">
      <c r="A155" t="s">
        <v>2814</v>
      </c>
      <c r="E155" s="92" t="s">
        <v>1848</v>
      </c>
      <c r="F155">
        <v>1</v>
      </c>
    </row>
    <row r="156" spans="1:6">
      <c r="A156" t="s">
        <v>1803</v>
      </c>
      <c r="E156" s="92" t="s">
        <v>1905</v>
      </c>
      <c r="F156">
        <v>1</v>
      </c>
    </row>
    <row r="157" spans="1:6">
      <c r="A157" t="s">
        <v>1803</v>
      </c>
      <c r="E157" s="92" t="s">
        <v>1719</v>
      </c>
      <c r="F157">
        <v>1</v>
      </c>
    </row>
    <row r="158" spans="1:6">
      <c r="A158" t="s">
        <v>2008</v>
      </c>
      <c r="E158" s="92" t="s">
        <v>1797</v>
      </c>
      <c r="F158">
        <v>1</v>
      </c>
    </row>
    <row r="159" spans="1:6">
      <c r="A159" t="s">
        <v>1755</v>
      </c>
      <c r="E159" s="92" t="s">
        <v>1892</v>
      </c>
      <c r="F159">
        <v>1</v>
      </c>
    </row>
    <row r="160" spans="1:6">
      <c r="A160" t="s">
        <v>1755</v>
      </c>
      <c r="E160" s="92" t="s">
        <v>954</v>
      </c>
      <c r="F160">
        <v>1</v>
      </c>
    </row>
    <row r="161" spans="1:6">
      <c r="A161" t="s">
        <v>1805</v>
      </c>
      <c r="E161" s="92" t="s">
        <v>2905</v>
      </c>
      <c r="F161">
        <v>1</v>
      </c>
    </row>
    <row r="162" spans="1:6">
      <c r="A162" t="s">
        <v>2903</v>
      </c>
      <c r="E162" s="92" t="s">
        <v>2883</v>
      </c>
      <c r="F162">
        <v>1</v>
      </c>
    </row>
    <row r="163" spans="1:6">
      <c r="A163" t="s">
        <v>1987</v>
      </c>
      <c r="E163" s="92" t="s">
        <v>2894</v>
      </c>
      <c r="F163">
        <v>1</v>
      </c>
    </row>
    <row r="164" spans="1:6">
      <c r="A164" t="s">
        <v>2033</v>
      </c>
      <c r="E164" s="92" t="s">
        <v>1960</v>
      </c>
      <c r="F164">
        <v>1</v>
      </c>
    </row>
    <row r="165" spans="1:6">
      <c r="A165" t="s">
        <v>961</v>
      </c>
      <c r="E165" s="92" t="s">
        <v>2694</v>
      </c>
      <c r="F165">
        <v>1</v>
      </c>
    </row>
    <row r="166" spans="1:6">
      <c r="A166" t="s">
        <v>961</v>
      </c>
      <c r="E166" s="92" t="s">
        <v>7985</v>
      </c>
      <c r="F166">
        <v>1</v>
      </c>
    </row>
    <row r="167" spans="1:6">
      <c r="A167" t="s">
        <v>2297</v>
      </c>
      <c r="E167" s="92" t="s">
        <v>1792</v>
      </c>
      <c r="F167">
        <v>1</v>
      </c>
    </row>
    <row r="168" spans="1:6">
      <c r="A168" t="s">
        <v>896</v>
      </c>
      <c r="E168" s="92" t="s">
        <v>1748</v>
      </c>
      <c r="F168">
        <v>1</v>
      </c>
    </row>
    <row r="169" spans="1:6">
      <c r="A169" t="s">
        <v>896</v>
      </c>
      <c r="E169" s="92" t="s">
        <v>1851</v>
      </c>
      <c r="F169">
        <v>1</v>
      </c>
    </row>
    <row r="170" spans="1:6">
      <c r="A170" t="s">
        <v>896</v>
      </c>
      <c r="E170" s="92" t="s">
        <v>2863</v>
      </c>
      <c r="F170">
        <v>1</v>
      </c>
    </row>
    <row r="171" spans="1:6">
      <c r="A171" t="s">
        <v>896</v>
      </c>
      <c r="E171" s="92" t="s">
        <v>1857</v>
      </c>
      <c r="F171">
        <v>1</v>
      </c>
    </row>
    <row r="172" spans="1:6">
      <c r="A172" t="s">
        <v>2960</v>
      </c>
      <c r="E172" s="92" t="s">
        <v>1915</v>
      </c>
      <c r="F172">
        <v>1</v>
      </c>
    </row>
    <row r="173" spans="1:6">
      <c r="A173" t="s">
        <v>829</v>
      </c>
      <c r="E173" s="92" t="s">
        <v>2132</v>
      </c>
      <c r="F173">
        <v>1</v>
      </c>
    </row>
    <row r="174" spans="1:6">
      <c r="A174" t="s">
        <v>2275</v>
      </c>
      <c r="E174" s="92" t="s">
        <v>1923</v>
      </c>
      <c r="F174">
        <v>1</v>
      </c>
    </row>
    <row r="175" spans="1:6">
      <c r="A175" t="s">
        <v>924</v>
      </c>
      <c r="E175" s="92" t="s">
        <v>2761</v>
      </c>
      <c r="F175">
        <v>1</v>
      </c>
    </row>
    <row r="176" spans="1:6">
      <c r="A176" t="s">
        <v>924</v>
      </c>
      <c r="E176" s="92" t="s">
        <v>8009</v>
      </c>
      <c r="F176">
        <v>1</v>
      </c>
    </row>
    <row r="177" spans="1:6">
      <c r="A177" t="s">
        <v>924</v>
      </c>
      <c r="E177" s="92" t="s">
        <v>2071</v>
      </c>
      <c r="F177">
        <v>1</v>
      </c>
    </row>
    <row r="178" spans="1:6">
      <c r="A178" t="s">
        <v>2294</v>
      </c>
      <c r="E178" s="92" t="s">
        <v>2688</v>
      </c>
      <c r="F178">
        <v>1</v>
      </c>
    </row>
    <row r="179" spans="1:6">
      <c r="A179" t="s">
        <v>1808</v>
      </c>
      <c r="E179" s="92" t="s">
        <v>1888</v>
      </c>
      <c r="F179">
        <v>1</v>
      </c>
    </row>
    <row r="180" spans="1:6">
      <c r="A180" t="s">
        <v>1808</v>
      </c>
      <c r="E180" s="92" t="s">
        <v>2647</v>
      </c>
      <c r="F180">
        <v>1</v>
      </c>
    </row>
    <row r="181" spans="1:6">
      <c r="A181" t="s">
        <v>1775</v>
      </c>
      <c r="E181" s="92" t="s">
        <v>1777</v>
      </c>
      <c r="F181">
        <v>1</v>
      </c>
    </row>
    <row r="182" spans="1:6">
      <c r="A182" t="s">
        <v>2063</v>
      </c>
      <c r="E182" s="92" t="s">
        <v>1987</v>
      </c>
      <c r="F182">
        <v>1</v>
      </c>
    </row>
    <row r="183" spans="1:6">
      <c r="A183" t="s">
        <v>2024</v>
      </c>
      <c r="E183" s="92" t="s">
        <v>2074</v>
      </c>
      <c r="F183">
        <v>1</v>
      </c>
    </row>
    <row r="184" spans="1:6">
      <c r="A184" t="s">
        <v>2051</v>
      </c>
      <c r="E184" s="92" t="s">
        <v>2297</v>
      </c>
      <c r="F184">
        <v>1</v>
      </c>
    </row>
    <row r="185" spans="1:6">
      <c r="A185" t="s">
        <v>1820</v>
      </c>
      <c r="E185" s="92" t="s">
        <v>2046</v>
      </c>
      <c r="F185">
        <v>1</v>
      </c>
    </row>
    <row r="186" spans="1:6">
      <c r="A186" t="s">
        <v>1868</v>
      </c>
      <c r="E186" s="92" t="s">
        <v>1877</v>
      </c>
      <c r="F186">
        <v>1</v>
      </c>
    </row>
    <row r="187" spans="1:6">
      <c r="A187" t="s">
        <v>1015</v>
      </c>
      <c r="E187" s="92" t="s">
        <v>2080</v>
      </c>
      <c r="F187">
        <v>1</v>
      </c>
    </row>
    <row r="188" spans="1:6">
      <c r="A188" t="s">
        <v>1015</v>
      </c>
      <c r="E188" s="92" t="s">
        <v>2197</v>
      </c>
      <c r="F188">
        <v>1</v>
      </c>
    </row>
    <row r="189" spans="1:6">
      <c r="A189" t="s">
        <v>2887</v>
      </c>
      <c r="E189" s="92" t="s">
        <v>2684</v>
      </c>
      <c r="F189">
        <v>1</v>
      </c>
    </row>
    <row r="190" spans="1:6">
      <c r="A190" t="s">
        <v>2759</v>
      </c>
      <c r="E190" s="92" t="s">
        <v>2169</v>
      </c>
      <c r="F190">
        <v>1</v>
      </c>
    </row>
    <row r="191" spans="1:6">
      <c r="A191" t="s">
        <v>1715</v>
      </c>
      <c r="E191" s="92" t="s">
        <v>2356</v>
      </c>
      <c r="F191">
        <v>1</v>
      </c>
    </row>
    <row r="192" spans="1:6">
      <c r="A192" t="s">
        <v>1745</v>
      </c>
      <c r="E192" s="92" t="s">
        <v>1855</v>
      </c>
      <c r="F192">
        <v>1</v>
      </c>
    </row>
    <row r="193" spans="1:6">
      <c r="A193" t="s">
        <v>1745</v>
      </c>
      <c r="E193" s="92" t="s">
        <v>2110</v>
      </c>
      <c r="F193">
        <v>1</v>
      </c>
    </row>
    <row r="194" spans="1:6">
      <c r="A194" t="s">
        <v>1846</v>
      </c>
      <c r="E194" s="92" t="s">
        <v>1727</v>
      </c>
      <c r="F194">
        <v>1</v>
      </c>
    </row>
    <row r="195" spans="1:6">
      <c r="A195" t="s">
        <v>2247</v>
      </c>
      <c r="E195" s="92" t="s">
        <v>2833</v>
      </c>
      <c r="F195">
        <v>1</v>
      </c>
    </row>
    <row r="196" spans="1:6">
      <c r="A196" t="s">
        <v>1848</v>
      </c>
      <c r="E196" s="92" t="s">
        <v>1000</v>
      </c>
      <c r="F196">
        <v>1</v>
      </c>
    </row>
    <row r="197" spans="1:6">
      <c r="A197" t="s">
        <v>1719</v>
      </c>
      <c r="E197" s="92" t="s">
        <v>2145</v>
      </c>
      <c r="F197">
        <v>1</v>
      </c>
    </row>
    <row r="198" spans="1:6">
      <c r="A198" t="s">
        <v>844</v>
      </c>
      <c r="E198" s="92" t="s">
        <v>2363</v>
      </c>
      <c r="F198">
        <v>1</v>
      </c>
    </row>
    <row r="199" spans="1:6">
      <c r="A199" t="s">
        <v>844</v>
      </c>
      <c r="E199" s="92" t="s">
        <v>2680</v>
      </c>
      <c r="F199">
        <v>1</v>
      </c>
    </row>
    <row r="200" spans="1:6">
      <c r="A200" t="s">
        <v>844</v>
      </c>
      <c r="E200" s="92" t="s">
        <v>2751</v>
      </c>
      <c r="F200">
        <v>1</v>
      </c>
    </row>
    <row r="201" spans="1:6">
      <c r="A201" t="s">
        <v>844</v>
      </c>
      <c r="E201" s="92" t="s">
        <v>1761</v>
      </c>
      <c r="F201">
        <v>1</v>
      </c>
    </row>
    <row r="202" spans="1:6">
      <c r="A202" t="s">
        <v>2905</v>
      </c>
      <c r="E202" s="92" t="s">
        <v>1835</v>
      </c>
      <c r="F202">
        <v>1</v>
      </c>
    </row>
    <row r="203" spans="1:6">
      <c r="A203" t="s">
        <v>2894</v>
      </c>
      <c r="E203" s="92" t="s">
        <v>1926</v>
      </c>
      <c r="F203">
        <v>1</v>
      </c>
    </row>
    <row r="204" spans="1:6">
      <c r="A204" t="s">
        <v>2694</v>
      </c>
      <c r="E204" s="92" t="s">
        <v>2310</v>
      </c>
      <c r="F204">
        <v>1</v>
      </c>
    </row>
    <row r="205" spans="1:6">
      <c r="A205" t="s">
        <v>1879</v>
      </c>
      <c r="E205" s="92" t="s">
        <v>2817</v>
      </c>
      <c r="F205">
        <v>1</v>
      </c>
    </row>
    <row r="206" spans="1:6">
      <c r="A206" t="s">
        <v>1879</v>
      </c>
      <c r="E206" s="92" t="s">
        <v>2119</v>
      </c>
      <c r="F206">
        <v>1</v>
      </c>
    </row>
    <row r="207" spans="1:6">
      <c r="A207" t="s">
        <v>1851</v>
      </c>
      <c r="E207" s="92" t="s">
        <v>1895</v>
      </c>
      <c r="F207">
        <v>1</v>
      </c>
    </row>
    <row r="208" spans="1:6">
      <c r="A208" t="s">
        <v>1857</v>
      </c>
      <c r="E208" s="92" t="s">
        <v>2704</v>
      </c>
      <c r="F208">
        <v>1</v>
      </c>
    </row>
    <row r="209" spans="1:6">
      <c r="A209" t="s">
        <v>2132</v>
      </c>
      <c r="E209" s="92" t="s">
        <v>1711</v>
      </c>
      <c r="F209">
        <v>1</v>
      </c>
    </row>
    <row r="210" spans="1:6">
      <c r="A210" t="s">
        <v>2761</v>
      </c>
      <c r="E210" s="92" t="s">
        <v>2823</v>
      </c>
      <c r="F210">
        <v>1</v>
      </c>
    </row>
    <row r="211" spans="1:6">
      <c r="A211" t="s">
        <v>2071</v>
      </c>
      <c r="E211" s="92" t="s">
        <v>2643</v>
      </c>
      <c r="F211">
        <v>1</v>
      </c>
    </row>
    <row r="212" spans="1:6">
      <c r="A212" t="s">
        <v>1888</v>
      </c>
      <c r="E212" s="92" t="s">
        <v>2158</v>
      </c>
      <c r="F212">
        <v>1</v>
      </c>
    </row>
    <row r="213" spans="1:6">
      <c r="A213" t="s">
        <v>1777</v>
      </c>
      <c r="E213" s="92" t="s">
        <v>1952</v>
      </c>
      <c r="F213">
        <v>1</v>
      </c>
    </row>
    <row r="214" spans="1:6">
      <c r="A214" t="s">
        <v>1956</v>
      </c>
      <c r="E214" s="92" t="s">
        <v>2331</v>
      </c>
      <c r="F214">
        <v>1</v>
      </c>
    </row>
    <row r="215" spans="1:6">
      <c r="A215" t="s">
        <v>1956</v>
      </c>
      <c r="E215" s="92" t="s">
        <v>2728</v>
      </c>
      <c r="F215">
        <v>1</v>
      </c>
    </row>
    <row r="216" spans="1:6">
      <c r="A216" t="s">
        <v>2046</v>
      </c>
      <c r="E216" s="92" t="s">
        <v>2026</v>
      </c>
      <c r="F216">
        <v>1</v>
      </c>
    </row>
    <row r="217" spans="1:6">
      <c r="A217" t="s">
        <v>2080</v>
      </c>
      <c r="E217" s="92" t="s">
        <v>1954</v>
      </c>
      <c r="F217">
        <v>1</v>
      </c>
    </row>
    <row r="218" spans="1:6">
      <c r="A218" t="s">
        <v>2684</v>
      </c>
      <c r="E218" s="92" t="s">
        <v>1966</v>
      </c>
      <c r="F218">
        <v>1</v>
      </c>
    </row>
    <row r="219" spans="1:6">
      <c r="A219" t="s">
        <v>1860</v>
      </c>
      <c r="E219" s="92" t="s">
        <v>2931</v>
      </c>
      <c r="F219">
        <v>1</v>
      </c>
    </row>
    <row r="220" spans="1:6">
      <c r="A220" t="s">
        <v>1860</v>
      </c>
      <c r="E220" s="92" t="s">
        <v>2726</v>
      </c>
      <c r="F220">
        <v>1</v>
      </c>
    </row>
    <row r="221" spans="1:6">
      <c r="A221" t="s">
        <v>2110</v>
      </c>
      <c r="E221" s="92" t="s">
        <v>1903</v>
      </c>
      <c r="F221">
        <v>1</v>
      </c>
    </row>
    <row r="222" spans="1:6">
      <c r="A222" t="s">
        <v>2833</v>
      </c>
      <c r="E222" s="92" t="s">
        <v>1897</v>
      </c>
      <c r="F222">
        <v>1</v>
      </c>
    </row>
    <row r="223" spans="1:6">
      <c r="A223" t="s">
        <v>2145</v>
      </c>
      <c r="E223" s="92" t="s">
        <v>1864</v>
      </c>
      <c r="F223">
        <v>1</v>
      </c>
    </row>
    <row r="224" spans="1:6">
      <c r="A224" t="s">
        <v>2680</v>
      </c>
      <c r="E224" s="92" t="s">
        <v>2891</v>
      </c>
      <c r="F224">
        <v>1</v>
      </c>
    </row>
    <row r="225" spans="1:6">
      <c r="A225" t="s">
        <v>1761</v>
      </c>
      <c r="E225" s="92" t="s">
        <v>1757</v>
      </c>
      <c r="F225">
        <v>1</v>
      </c>
    </row>
    <row r="226" spans="1:6">
      <c r="A226" t="s">
        <v>1926</v>
      </c>
      <c r="E226" s="92" t="s">
        <v>2847</v>
      </c>
      <c r="F226">
        <v>1</v>
      </c>
    </row>
    <row r="227" spans="1:6">
      <c r="A227" t="s">
        <v>2817</v>
      </c>
      <c r="E227" s="92" t="s">
        <v>1943</v>
      </c>
      <c r="F227">
        <v>1</v>
      </c>
    </row>
    <row r="228" spans="1:6">
      <c r="A228" t="s">
        <v>1895</v>
      </c>
      <c r="E228" s="92" t="s">
        <v>2107</v>
      </c>
      <c r="F228">
        <v>1</v>
      </c>
    </row>
    <row r="229" spans="1:6">
      <c r="A229" t="s">
        <v>2001</v>
      </c>
      <c r="E229" s="92" t="s">
        <v>2768</v>
      </c>
      <c r="F229">
        <v>1</v>
      </c>
    </row>
    <row r="230" spans="1:6">
      <c r="A230" t="s">
        <v>2001</v>
      </c>
      <c r="E230" s="92" t="s">
        <v>2326</v>
      </c>
      <c r="F230">
        <v>1</v>
      </c>
    </row>
    <row r="231" spans="1:6">
      <c r="A231" t="s">
        <v>2643</v>
      </c>
      <c r="E231" s="92" t="s">
        <v>8010</v>
      </c>
      <c r="F231">
        <v>1</v>
      </c>
    </row>
    <row r="232" spans="1:6">
      <c r="A232" t="s">
        <v>1952</v>
      </c>
      <c r="E232" s="92" t="s">
        <v>2735</v>
      </c>
      <c r="F232">
        <v>1</v>
      </c>
    </row>
    <row r="233" spans="1:6">
      <c r="A233" t="s">
        <v>2728</v>
      </c>
      <c r="E233" s="92" t="s">
        <v>2233</v>
      </c>
      <c r="F233">
        <v>1</v>
      </c>
    </row>
    <row r="234" spans="1:6">
      <c r="A234" t="s">
        <v>1954</v>
      </c>
      <c r="E234" s="92" t="s">
        <v>2231</v>
      </c>
      <c r="F234">
        <v>1</v>
      </c>
    </row>
    <row r="235" spans="1:6">
      <c r="A235" t="s">
        <v>2931</v>
      </c>
      <c r="E235" s="92" t="s">
        <v>2801</v>
      </c>
      <c r="F235">
        <v>1</v>
      </c>
    </row>
    <row r="236" spans="1:6">
      <c r="A236" t="s">
        <v>1903</v>
      </c>
      <c r="E236" s="92" t="s">
        <v>2849</v>
      </c>
      <c r="F236">
        <v>1</v>
      </c>
    </row>
    <row r="237" spans="1:6">
      <c r="A237" t="s">
        <v>1864</v>
      </c>
      <c r="E237" s="92" t="s">
        <v>2661</v>
      </c>
      <c r="F237">
        <v>1</v>
      </c>
    </row>
    <row r="238" spans="1:6">
      <c r="A238" t="s">
        <v>1757</v>
      </c>
      <c r="E238" s="92" t="s">
        <v>2676</v>
      </c>
      <c r="F238">
        <v>1</v>
      </c>
    </row>
    <row r="239" spans="1:6">
      <c r="A239" t="s">
        <v>1943</v>
      </c>
      <c r="E239" s="92" t="s">
        <v>2279</v>
      </c>
      <c r="F239">
        <v>1</v>
      </c>
    </row>
    <row r="240" spans="1:6">
      <c r="A240" t="s">
        <v>2768</v>
      </c>
      <c r="E240" s="92" t="s">
        <v>2244</v>
      </c>
      <c r="F240">
        <v>1</v>
      </c>
    </row>
    <row r="241" spans="1:6">
      <c r="A241" t="s">
        <v>868</v>
      </c>
      <c r="E241" s="92" t="s">
        <v>1870</v>
      </c>
      <c r="F241">
        <v>1</v>
      </c>
    </row>
    <row r="242" spans="1:6">
      <c r="A242" t="s">
        <v>868</v>
      </c>
      <c r="E242" s="92" t="s">
        <v>1799</v>
      </c>
      <c r="F242">
        <v>1</v>
      </c>
    </row>
    <row r="243" spans="1:6">
      <c r="A243" t="s">
        <v>2659</v>
      </c>
      <c r="E243" s="92" t="s">
        <v>2915</v>
      </c>
      <c r="F243">
        <v>1</v>
      </c>
    </row>
    <row r="244" spans="1:6">
      <c r="A244" t="s">
        <v>2659</v>
      </c>
      <c r="E244" s="92" t="s">
        <v>818</v>
      </c>
      <c r="F244">
        <v>1</v>
      </c>
    </row>
    <row r="245" spans="1:6">
      <c r="A245" t="s">
        <v>2801</v>
      </c>
      <c r="E245" s="92" t="s">
        <v>2702</v>
      </c>
      <c r="F245">
        <v>1</v>
      </c>
    </row>
    <row r="246" spans="1:6">
      <c r="A246" t="s">
        <v>2661</v>
      </c>
      <c r="E246" s="92" t="s">
        <v>2142</v>
      </c>
      <c r="F246">
        <v>1</v>
      </c>
    </row>
    <row r="247" spans="1:6">
      <c r="A247" t="s">
        <v>1721</v>
      </c>
      <c r="E247" s="92" t="s">
        <v>2663</v>
      </c>
      <c r="F247">
        <v>1</v>
      </c>
    </row>
    <row r="248" spans="1:6">
      <c r="A248" t="s">
        <v>1721</v>
      </c>
      <c r="E248" s="92" t="s">
        <v>1784</v>
      </c>
      <c r="F248">
        <v>1</v>
      </c>
    </row>
    <row r="249" spans="1:6">
      <c r="A249" t="s">
        <v>1870</v>
      </c>
      <c r="E249" s="92" t="s">
        <v>2130</v>
      </c>
      <c r="F249">
        <v>1</v>
      </c>
    </row>
    <row r="250" spans="1:6">
      <c r="A250" t="s">
        <v>2915</v>
      </c>
      <c r="E250" s="92" t="s">
        <v>2182</v>
      </c>
      <c r="F250">
        <v>1</v>
      </c>
    </row>
    <row r="251" spans="1:6">
      <c r="A251" t="s">
        <v>2702</v>
      </c>
      <c r="E251" s="92" t="s">
        <v>2741</v>
      </c>
      <c r="F251">
        <v>1</v>
      </c>
    </row>
    <row r="252" spans="1:6">
      <c r="A252" t="s">
        <v>2663</v>
      </c>
      <c r="E252" s="92" t="s">
        <v>2033</v>
      </c>
      <c r="F252">
        <v>1</v>
      </c>
    </row>
    <row r="253" spans="1:6">
      <c r="A253" t="s">
        <v>2130</v>
      </c>
      <c r="E253" s="92" t="s">
        <v>2022</v>
      </c>
      <c r="F253">
        <v>1</v>
      </c>
    </row>
    <row r="254" spans="1:6">
      <c r="A254" t="s">
        <v>2741</v>
      </c>
      <c r="E254" s="92" t="s">
        <v>2140</v>
      </c>
      <c r="F254">
        <v>1</v>
      </c>
    </row>
    <row r="255" spans="1:6">
      <c r="A255" t="s">
        <v>2022</v>
      </c>
      <c r="E255" s="92" t="s">
        <v>2337</v>
      </c>
      <c r="F255">
        <v>1</v>
      </c>
    </row>
    <row r="256" spans="1:6">
      <c r="A256" t="s">
        <v>2337</v>
      </c>
      <c r="E256" s="92" t="s">
        <v>2799</v>
      </c>
      <c r="F256">
        <v>1</v>
      </c>
    </row>
    <row r="257" spans="1:6">
      <c r="A257" t="s">
        <v>2236</v>
      </c>
      <c r="E257" s="92" t="s">
        <v>2236</v>
      </c>
      <c r="F257">
        <v>1</v>
      </c>
    </row>
    <row r="258" spans="1:6">
      <c r="A258" t="s">
        <v>1949</v>
      </c>
      <c r="E258" s="92" t="s">
        <v>2897</v>
      </c>
      <c r="F258">
        <v>1</v>
      </c>
    </row>
    <row r="259" spans="1:6">
      <c r="A259" t="s">
        <v>1949</v>
      </c>
      <c r="E259" s="92" t="s">
        <v>2670</v>
      </c>
      <c r="F259">
        <v>1</v>
      </c>
    </row>
    <row r="260" spans="1:6">
      <c r="A260" t="s">
        <v>2264</v>
      </c>
      <c r="E260" s="92" t="s">
        <v>2678</v>
      </c>
      <c r="F260">
        <v>1</v>
      </c>
    </row>
    <row r="261" spans="1:6">
      <c r="A261" t="s">
        <v>2065</v>
      </c>
      <c r="E261" s="92" t="s">
        <v>2264</v>
      </c>
      <c r="F261">
        <v>1</v>
      </c>
    </row>
    <row r="262" spans="1:6">
      <c r="A262" t="s">
        <v>2049</v>
      </c>
      <c r="E262" s="92" t="s">
        <v>1717</v>
      </c>
      <c r="F262">
        <v>1</v>
      </c>
    </row>
    <row r="263" spans="1:6">
      <c r="A263" t="s">
        <v>2191</v>
      </c>
      <c r="E263" s="92" t="s">
        <v>2065</v>
      </c>
      <c r="F263">
        <v>1</v>
      </c>
    </row>
    <row r="264" spans="1:6">
      <c r="A264" t="s">
        <v>2804</v>
      </c>
      <c r="E264" s="92" t="s">
        <v>1947</v>
      </c>
      <c r="F264">
        <v>1</v>
      </c>
    </row>
    <row r="265" spans="1:6">
      <c r="A265" t="s">
        <v>1737</v>
      </c>
      <c r="E265" s="92" t="s">
        <v>2049</v>
      </c>
      <c r="F265">
        <v>1</v>
      </c>
    </row>
    <row r="266" spans="1:6">
      <c r="A266" t="s">
        <v>1881</v>
      </c>
      <c r="E266" s="92" t="s">
        <v>2672</v>
      </c>
      <c r="F266">
        <v>1</v>
      </c>
    </row>
    <row r="267" spans="1:6">
      <c r="A267" t="s">
        <v>2372</v>
      </c>
      <c r="E267" s="92" t="s">
        <v>2191</v>
      </c>
      <c r="F267">
        <v>1</v>
      </c>
    </row>
    <row r="268" spans="1:6">
      <c r="A268" t="s">
        <v>2372</v>
      </c>
      <c r="E268" s="92" t="s">
        <v>1995</v>
      </c>
      <c r="F268">
        <v>1</v>
      </c>
    </row>
    <row r="269" spans="1:6">
      <c r="A269" t="s">
        <v>2372</v>
      </c>
      <c r="E269" s="92" t="s">
        <v>2804</v>
      </c>
      <c r="F269">
        <v>1</v>
      </c>
    </row>
    <row r="270" spans="1:6">
      <c r="A270" t="s">
        <v>2877</v>
      </c>
      <c r="E270" s="92" t="s">
        <v>939</v>
      </c>
      <c r="F270">
        <v>1</v>
      </c>
    </row>
    <row r="271" spans="1:6">
      <c r="A271" t="s">
        <v>2213</v>
      </c>
      <c r="E271" s="92" t="s">
        <v>1737</v>
      </c>
      <c r="F271">
        <v>1</v>
      </c>
    </row>
    <row r="272" spans="1:6">
      <c r="A272" t="s">
        <v>2765</v>
      </c>
      <c r="E272" s="92" t="s">
        <v>2215</v>
      </c>
      <c r="F272">
        <v>1</v>
      </c>
    </row>
    <row r="273" spans="1:6">
      <c r="A273" t="s">
        <v>1844</v>
      </c>
      <c r="E273" s="92" t="s">
        <v>1881</v>
      </c>
      <c r="F273">
        <v>1</v>
      </c>
    </row>
    <row r="274" spans="1:6">
      <c r="A274" t="s">
        <v>2853</v>
      </c>
      <c r="E274" s="92" t="s">
        <v>2352</v>
      </c>
      <c r="F274">
        <v>1</v>
      </c>
    </row>
    <row r="275" spans="1:6">
      <c r="A275" t="s">
        <v>1801</v>
      </c>
      <c r="E275" s="92" t="s">
        <v>2851</v>
      </c>
      <c r="F275">
        <v>1</v>
      </c>
    </row>
    <row r="276" spans="1:6">
      <c r="A276" t="s">
        <v>2871</v>
      </c>
      <c r="E276" s="92" t="s">
        <v>2260</v>
      </c>
      <c r="F276">
        <v>1</v>
      </c>
    </row>
    <row r="277" spans="1:6">
      <c r="A277" t="s">
        <v>2078</v>
      </c>
      <c r="E277" s="92" t="s">
        <v>2877</v>
      </c>
      <c r="F277">
        <v>1</v>
      </c>
    </row>
    <row r="278" spans="1:6">
      <c r="A278" t="s">
        <v>2078</v>
      </c>
      <c r="E278" s="92" t="s">
        <v>2188</v>
      </c>
      <c r="F278">
        <v>1</v>
      </c>
    </row>
    <row r="279" spans="1:6">
      <c r="A279" t="s">
        <v>2299</v>
      </c>
      <c r="E279" s="92" t="s">
        <v>2213</v>
      </c>
      <c r="F279">
        <v>1</v>
      </c>
    </row>
    <row r="280" spans="1:6">
      <c r="A280" t="s">
        <v>1883</v>
      </c>
      <c r="E280" s="92" t="s">
        <v>2825</v>
      </c>
      <c r="F280">
        <v>1</v>
      </c>
    </row>
    <row r="281" spans="1:6">
      <c r="A281" t="s">
        <v>1883</v>
      </c>
      <c r="E281" s="92" t="s">
        <v>2765</v>
      </c>
      <c r="F281">
        <v>1</v>
      </c>
    </row>
    <row r="282" spans="1:6">
      <c r="A282" t="s">
        <v>1883</v>
      </c>
      <c r="E282" s="92" t="s">
        <v>2345</v>
      </c>
      <c r="F282">
        <v>1</v>
      </c>
    </row>
    <row r="283" spans="1:6">
      <c r="A283" t="s">
        <v>1883</v>
      </c>
      <c r="E283" s="92" t="s">
        <v>1844</v>
      </c>
      <c r="F283">
        <v>1</v>
      </c>
    </row>
    <row r="284" spans="1:6">
      <c r="A284" t="s">
        <v>1883</v>
      </c>
      <c r="E284" s="92" t="s">
        <v>1958</v>
      </c>
      <c r="F284">
        <v>1</v>
      </c>
    </row>
    <row r="285" spans="1:6">
      <c r="A285" t="s">
        <v>2789</v>
      </c>
      <c r="E285" s="92" t="s">
        <v>2853</v>
      </c>
      <c r="F285">
        <v>1</v>
      </c>
    </row>
    <row r="286" spans="1:6">
      <c r="A286" t="s">
        <v>1913</v>
      </c>
      <c r="E286" s="92" t="s">
        <v>1833</v>
      </c>
      <c r="F286">
        <v>1</v>
      </c>
    </row>
    <row r="287" spans="1:6">
      <c r="A287" t="s">
        <v>900</v>
      </c>
      <c r="E287" s="92" t="s">
        <v>1801</v>
      </c>
      <c r="F287">
        <v>1</v>
      </c>
    </row>
    <row r="288" spans="1:6">
      <c r="A288" t="s">
        <v>935</v>
      </c>
      <c r="E288" s="92" t="s">
        <v>1875</v>
      </c>
      <c r="F288">
        <v>1</v>
      </c>
    </row>
    <row r="289" spans="1:6">
      <c r="A289" t="s">
        <v>2739</v>
      </c>
      <c r="E289" s="92" t="s">
        <v>2871</v>
      </c>
      <c r="F289">
        <v>1</v>
      </c>
    </row>
    <row r="290" spans="1:6">
      <c r="A290" t="s">
        <v>1021</v>
      </c>
      <c r="E290" s="92" t="s">
        <v>2016</v>
      </c>
      <c r="F290">
        <v>1</v>
      </c>
    </row>
    <row r="291" spans="1:6">
      <c r="A291" t="s">
        <v>2117</v>
      </c>
      <c r="E291" s="92" t="s">
        <v>2223</v>
      </c>
      <c r="F291">
        <v>1</v>
      </c>
    </row>
    <row r="292" spans="1:6">
      <c r="A292" t="s">
        <v>871</v>
      </c>
      <c r="E292" s="92" t="s">
        <v>1782</v>
      </c>
      <c r="F292">
        <v>1</v>
      </c>
    </row>
    <row r="293" spans="1:6">
      <c r="A293" t="s">
        <v>871</v>
      </c>
      <c r="E293" s="92" t="s">
        <v>2674</v>
      </c>
      <c r="F293">
        <v>1</v>
      </c>
    </row>
    <row r="294" spans="1:6">
      <c r="A294" s="90" t="s">
        <v>871</v>
      </c>
      <c r="E294" s="92" t="s">
        <v>2656</v>
      </c>
      <c r="F294">
        <v>1</v>
      </c>
    </row>
    <row r="295" spans="1:6">
      <c r="A295" t="s">
        <v>871</v>
      </c>
      <c r="E295" s="92" t="s">
        <v>1813</v>
      </c>
      <c r="F295">
        <v>1</v>
      </c>
    </row>
    <row r="296" spans="1:6">
      <c r="A296" t="s">
        <v>871</v>
      </c>
      <c r="E296" s="92" t="s">
        <v>2358</v>
      </c>
      <c r="F296">
        <v>1</v>
      </c>
    </row>
    <row r="297" spans="1:6">
      <c r="A297" t="s">
        <v>871</v>
      </c>
      <c r="E297" s="92" t="s">
        <v>2789</v>
      </c>
      <c r="F297">
        <v>1</v>
      </c>
    </row>
    <row r="298" spans="1:6">
      <c r="A298" t="s">
        <v>871</v>
      </c>
      <c r="E298" s="92" t="s">
        <v>2091</v>
      </c>
      <c r="F298">
        <v>1</v>
      </c>
    </row>
    <row r="299" spans="1:6">
      <c r="A299" t="s">
        <v>855</v>
      </c>
      <c r="E299" s="92" t="s">
        <v>1913</v>
      </c>
      <c r="F299">
        <v>1</v>
      </c>
    </row>
    <row r="300" spans="1:6">
      <c r="A300" t="s">
        <v>855</v>
      </c>
      <c r="E300" s="92" t="s">
        <v>1741</v>
      </c>
      <c r="F300">
        <v>1</v>
      </c>
    </row>
    <row r="301" spans="1:6">
      <c r="A301" t="s">
        <v>855</v>
      </c>
      <c r="E301" s="92" t="s">
        <v>900</v>
      </c>
      <c r="F301">
        <v>1</v>
      </c>
    </row>
    <row r="302" spans="1:6">
      <c r="A302" t="s">
        <v>2899</v>
      </c>
      <c r="E302" s="92" t="s">
        <v>2273</v>
      </c>
      <c r="F302">
        <v>1</v>
      </c>
    </row>
    <row r="303" spans="1:6">
      <c r="A303" t="s">
        <v>976</v>
      </c>
      <c r="E303" s="92" t="s">
        <v>935</v>
      </c>
      <c r="F303">
        <v>1</v>
      </c>
    </row>
    <row r="304" spans="1:6">
      <c r="A304" t="s">
        <v>1890</v>
      </c>
      <c r="E304" s="92" t="s">
        <v>2269</v>
      </c>
      <c r="F304">
        <v>1</v>
      </c>
    </row>
    <row r="305" spans="1:6">
      <c r="A305" t="s">
        <v>2128</v>
      </c>
      <c r="E305" s="92" t="s">
        <v>2739</v>
      </c>
      <c r="F305">
        <v>1</v>
      </c>
    </row>
    <row r="306" spans="1:6">
      <c r="A306" t="s">
        <v>2128</v>
      </c>
      <c r="E306" s="92" t="s">
        <v>2959</v>
      </c>
      <c r="F306">
        <v>1</v>
      </c>
    </row>
    <row r="307" spans="1:6">
      <c r="A307" t="s">
        <v>2339</v>
      </c>
      <c r="E307" s="92" t="s">
        <v>1021</v>
      </c>
      <c r="F307">
        <v>1</v>
      </c>
    </row>
    <row r="308" spans="1:6">
      <c r="A308" t="s">
        <v>1932</v>
      </c>
      <c r="E308" s="92" t="s">
        <v>2763</v>
      </c>
      <c r="F308">
        <v>1</v>
      </c>
    </row>
    <row r="309" spans="1:6">
      <c r="A309" t="s">
        <v>903</v>
      </c>
      <c r="E309" s="92" t="s">
        <v>2117</v>
      </c>
      <c r="F309">
        <v>1</v>
      </c>
    </row>
    <row r="310" spans="1:6">
      <c r="A310" t="s">
        <v>903</v>
      </c>
      <c r="E310" s="92" t="s">
        <v>2087</v>
      </c>
      <c r="F310">
        <v>1</v>
      </c>
    </row>
    <row r="311" spans="1:6">
      <c r="A311" t="s">
        <v>2961</v>
      </c>
      <c r="E311" s="92" t="s">
        <v>2041</v>
      </c>
      <c r="F311">
        <v>1</v>
      </c>
    </row>
    <row r="312" spans="1:6">
      <c r="A312" t="s">
        <v>903</v>
      </c>
      <c r="E312" s="92" t="s">
        <v>2781</v>
      </c>
      <c r="F312">
        <v>1</v>
      </c>
    </row>
    <row r="313" spans="1:6">
      <c r="A313" t="s">
        <v>903</v>
      </c>
      <c r="E313" s="92" t="s">
        <v>967</v>
      </c>
      <c r="F313">
        <v>1</v>
      </c>
    </row>
    <row r="314" spans="1:6">
      <c r="A314" t="s">
        <v>903</v>
      </c>
      <c r="E314" s="92" t="s">
        <v>1853</v>
      </c>
      <c r="F314">
        <v>1</v>
      </c>
    </row>
    <row r="315" spans="1:6">
      <c r="A315" t="s">
        <v>903</v>
      </c>
      <c r="E315" s="92" t="s">
        <v>2899</v>
      </c>
      <c r="F315">
        <v>1</v>
      </c>
    </row>
    <row r="316" spans="1:6">
      <c r="A316" t="s">
        <v>903</v>
      </c>
      <c r="E316" s="92" t="s">
        <v>2935</v>
      </c>
      <c r="F316">
        <v>1</v>
      </c>
    </row>
    <row r="317" spans="1:6">
      <c r="A317" t="s">
        <v>1886</v>
      </c>
      <c r="E317" s="92" t="s">
        <v>976</v>
      </c>
      <c r="F317">
        <v>1</v>
      </c>
    </row>
    <row r="318" spans="1:6">
      <c r="A318" t="s">
        <v>1886</v>
      </c>
      <c r="E318" s="92" t="s">
        <v>2228</v>
      </c>
      <c r="F318">
        <v>1</v>
      </c>
    </row>
    <row r="319" spans="1:6">
      <c r="A319" t="s">
        <v>2204</v>
      </c>
      <c r="E319" s="92" t="s">
        <v>1890</v>
      </c>
      <c r="F319">
        <v>1</v>
      </c>
    </row>
    <row r="320" spans="1:6">
      <c r="A320" t="s">
        <v>2710</v>
      </c>
      <c r="E320" s="92" t="s">
        <v>2682</v>
      </c>
      <c r="F320">
        <v>1</v>
      </c>
    </row>
    <row r="321" spans="1:6">
      <c r="A321" t="s">
        <v>1862</v>
      </c>
      <c r="E321" s="92" t="s">
        <v>2920</v>
      </c>
      <c r="F321">
        <v>1</v>
      </c>
    </row>
    <row r="322" spans="1:6">
      <c r="A322" t="s">
        <v>1862</v>
      </c>
      <c r="E322" s="92" t="s">
        <v>2923</v>
      </c>
      <c r="F322">
        <v>1</v>
      </c>
    </row>
    <row r="323" spans="1:6">
      <c r="A323" t="s">
        <v>2083</v>
      </c>
      <c r="E323" s="92" t="s">
        <v>2339</v>
      </c>
      <c r="F323">
        <v>1</v>
      </c>
    </row>
    <row r="324" spans="1:6">
      <c r="A324" t="s">
        <v>2779</v>
      </c>
      <c r="E324" s="92" t="s">
        <v>1984</v>
      </c>
      <c r="F324">
        <v>1</v>
      </c>
    </row>
    <row r="325" spans="1:6">
      <c r="A325" t="s">
        <v>2652</v>
      </c>
      <c r="E325" s="92" t="s">
        <v>1932</v>
      </c>
      <c r="F325">
        <v>1</v>
      </c>
    </row>
    <row r="326" spans="1:6">
      <c r="A326" t="s">
        <v>2964</v>
      </c>
      <c r="E326" s="92" t="s">
        <v>2342</v>
      </c>
      <c r="F326">
        <v>1</v>
      </c>
    </row>
    <row r="327" spans="1:6">
      <c r="A327" t="s">
        <v>822</v>
      </c>
      <c r="E327" s="92" t="s">
        <v>2867</v>
      </c>
      <c r="F327">
        <v>1</v>
      </c>
    </row>
    <row r="328" spans="1:6">
      <c r="A328" t="s">
        <v>822</v>
      </c>
      <c r="E328" s="92" t="s">
        <v>1978</v>
      </c>
      <c r="F328">
        <v>1</v>
      </c>
    </row>
    <row r="329" spans="1:6">
      <c r="A329" t="s">
        <v>822</v>
      </c>
      <c r="E329" s="92" t="s">
        <v>1704</v>
      </c>
      <c r="F329">
        <v>1</v>
      </c>
    </row>
    <row r="330" spans="1:6">
      <c r="A330" t="s">
        <v>822</v>
      </c>
      <c r="E330" s="92" t="s">
        <v>2873</v>
      </c>
      <c r="F330">
        <v>1</v>
      </c>
    </row>
    <row r="331" spans="1:6">
      <c r="A331" t="s">
        <v>822</v>
      </c>
      <c r="E331" s="92" t="s">
        <v>2204</v>
      </c>
      <c r="F331">
        <v>1</v>
      </c>
    </row>
    <row r="332" spans="1:6">
      <c r="A332" t="s">
        <v>822</v>
      </c>
      <c r="E332" s="92" t="s">
        <v>2933</v>
      </c>
      <c r="F332">
        <v>1</v>
      </c>
    </row>
    <row r="333" spans="1:6">
      <c r="A333" t="s">
        <v>822</v>
      </c>
      <c r="E333" s="92" t="s">
        <v>2710</v>
      </c>
      <c r="F333">
        <v>1</v>
      </c>
    </row>
    <row r="334" spans="1:6">
      <c r="A334" t="s">
        <v>822</v>
      </c>
      <c r="E334" s="92" t="s">
        <v>2732</v>
      </c>
      <c r="F334">
        <v>1</v>
      </c>
    </row>
    <row r="335" spans="1:6">
      <c r="A335" t="s">
        <v>822</v>
      </c>
      <c r="E335" s="92" t="s">
        <v>1794</v>
      </c>
      <c r="F335">
        <v>1</v>
      </c>
    </row>
    <row r="336" spans="1:6">
      <c r="A336" t="s">
        <v>822</v>
      </c>
      <c r="E336" s="92" t="s">
        <v>2737</v>
      </c>
      <c r="F336">
        <v>1</v>
      </c>
    </row>
    <row r="337" spans="1:6">
      <c r="A337" t="s">
        <v>1824</v>
      </c>
      <c r="E337" s="92" t="s">
        <v>2083</v>
      </c>
      <c r="F337">
        <v>1</v>
      </c>
    </row>
    <row r="338" spans="1:6">
      <c r="A338" t="s">
        <v>2859</v>
      </c>
      <c r="E338" s="92" t="s">
        <v>2827</v>
      </c>
      <c r="F338">
        <v>1</v>
      </c>
    </row>
    <row r="339" spans="1:6">
      <c r="A339" t="s">
        <v>2369</v>
      </c>
      <c r="E339" s="92" t="s">
        <v>2779</v>
      </c>
      <c r="F339">
        <v>1</v>
      </c>
    </row>
    <row r="340" spans="1:6">
      <c r="A340" t="s">
        <v>978</v>
      </c>
      <c r="E340" s="92" t="s">
        <v>2250</v>
      </c>
      <c r="F340">
        <v>1</v>
      </c>
    </row>
    <row r="341" spans="1:6">
      <c r="A341" t="s">
        <v>1827</v>
      </c>
      <c r="E341" s="92" t="s">
        <v>2652</v>
      </c>
      <c r="F341">
        <v>1</v>
      </c>
    </row>
    <row r="342" spans="1:6">
      <c r="A342" t="s">
        <v>1827</v>
      </c>
      <c r="E342" s="92" t="s">
        <v>2103</v>
      </c>
      <c r="F342">
        <v>1</v>
      </c>
    </row>
    <row r="343" spans="1:6">
      <c r="A343" t="s">
        <v>1827</v>
      </c>
      <c r="E343" s="92" t="s">
        <v>970</v>
      </c>
      <c r="F343">
        <v>1</v>
      </c>
    </row>
    <row r="344" spans="1:6">
      <c r="A344" t="s">
        <v>2186</v>
      </c>
      <c r="E344" s="92" t="s">
        <v>2085</v>
      </c>
      <c r="F344">
        <v>1</v>
      </c>
    </row>
    <row r="345" spans="1:6">
      <c r="A345" t="s">
        <v>2271</v>
      </c>
      <c r="E345" s="92" t="s">
        <v>1824</v>
      </c>
      <c r="F345">
        <v>1</v>
      </c>
    </row>
    <row r="346" spans="1:6">
      <c r="A346" t="s">
        <v>2061</v>
      </c>
      <c r="E346" s="92" t="s">
        <v>2696</v>
      </c>
      <c r="F346">
        <v>1</v>
      </c>
    </row>
    <row r="347" spans="1:6">
      <c r="A347" t="s">
        <v>2712</v>
      </c>
      <c r="E347" s="92" t="s">
        <v>2859</v>
      </c>
      <c r="F347">
        <v>1</v>
      </c>
    </row>
    <row r="348" spans="1:6">
      <c r="A348" t="s">
        <v>2698</v>
      </c>
      <c r="E348" s="92" t="s">
        <v>2241</v>
      </c>
      <c r="F348">
        <v>1</v>
      </c>
    </row>
    <row r="349" spans="1:6">
      <c r="A349" t="s">
        <v>1964</v>
      </c>
      <c r="E349" s="92" t="s">
        <v>2369</v>
      </c>
      <c r="F349">
        <v>1</v>
      </c>
    </row>
    <row r="350" spans="1:6">
      <c r="A350" t="s">
        <v>1899</v>
      </c>
      <c r="E350" s="92" t="s">
        <v>2238</v>
      </c>
      <c r="F350">
        <v>1</v>
      </c>
    </row>
    <row r="351" spans="1:6">
      <c r="A351" t="s">
        <v>1899</v>
      </c>
      <c r="E351" s="92" t="s">
        <v>978</v>
      </c>
      <c r="F351">
        <v>1</v>
      </c>
    </row>
    <row r="352" spans="1:6">
      <c r="A352" t="s">
        <v>1899</v>
      </c>
      <c r="E352" s="92" t="s">
        <v>1919</v>
      </c>
      <c r="F352">
        <v>1</v>
      </c>
    </row>
    <row r="353" spans="1:6">
      <c r="A353" t="s">
        <v>2320</v>
      </c>
      <c r="E353" s="92" t="s">
        <v>2844</v>
      </c>
      <c r="F353">
        <v>1</v>
      </c>
    </row>
    <row r="354" spans="1:6">
      <c r="A354" t="s">
        <v>2686</v>
      </c>
      <c r="E354" s="92" t="s">
        <v>1729</v>
      </c>
      <c r="F354">
        <v>1</v>
      </c>
    </row>
    <row r="355" spans="1:6">
      <c r="A355" t="s">
        <v>1911</v>
      </c>
      <c r="E355" s="92" t="s">
        <v>2186</v>
      </c>
      <c r="F355">
        <v>1</v>
      </c>
    </row>
    <row r="356" spans="1:6">
      <c r="A356" t="s">
        <v>1911</v>
      </c>
      <c r="E356" s="92" t="s">
        <v>1739</v>
      </c>
      <c r="F356">
        <v>1</v>
      </c>
    </row>
    <row r="357" spans="1:6">
      <c r="A357" t="s">
        <v>1928</v>
      </c>
      <c r="E357" s="92" t="s">
        <v>2271</v>
      </c>
      <c r="F357">
        <v>1</v>
      </c>
    </row>
    <row r="358" spans="1:6">
      <c r="A358" t="s">
        <v>2134</v>
      </c>
      <c r="E358" s="92" t="s">
        <v>1709</v>
      </c>
      <c r="F358">
        <v>1</v>
      </c>
    </row>
    <row r="359" spans="1:6">
      <c r="A359" t="s">
        <v>2176</v>
      </c>
      <c r="E359" s="92" t="s">
        <v>2061</v>
      </c>
      <c r="F359">
        <v>1</v>
      </c>
    </row>
    <row r="360" spans="1:6">
      <c r="A360" t="s">
        <v>1829</v>
      </c>
      <c r="E360" s="92" t="s">
        <v>2053</v>
      </c>
      <c r="F360">
        <v>1</v>
      </c>
    </row>
    <row r="361" spans="1:6">
      <c r="A361" t="s">
        <v>858</v>
      </c>
      <c r="E361" s="92" t="s">
        <v>2712</v>
      </c>
      <c r="F361">
        <v>1</v>
      </c>
    </row>
    <row r="362" spans="1:6">
      <c r="A362" t="s">
        <v>858</v>
      </c>
      <c r="E362" s="92" t="s">
        <v>2171</v>
      </c>
      <c r="F362">
        <v>1</v>
      </c>
    </row>
    <row r="363" spans="1:6">
      <c r="A363" t="s">
        <v>858</v>
      </c>
      <c r="E363" s="92" t="s">
        <v>2698</v>
      </c>
      <c r="F363">
        <v>1</v>
      </c>
    </row>
    <row r="364" spans="1:6">
      <c r="A364" t="s">
        <v>858</v>
      </c>
      <c r="E364" s="92" t="s">
        <v>948</v>
      </c>
      <c r="F364">
        <v>1</v>
      </c>
    </row>
    <row r="365" spans="1:6">
      <c r="A365" t="s">
        <v>858</v>
      </c>
      <c r="E365" s="92" t="s">
        <v>1964</v>
      </c>
      <c r="F365">
        <v>1</v>
      </c>
    </row>
    <row r="366" spans="1:6">
      <c r="A366" t="s">
        <v>858</v>
      </c>
      <c r="E366" s="92" t="s">
        <v>2069</v>
      </c>
      <c r="F366">
        <v>1</v>
      </c>
    </row>
    <row r="367" spans="1:6">
      <c r="A367" t="s">
        <v>2967</v>
      </c>
      <c r="E367" s="92" t="s">
        <v>2649</v>
      </c>
      <c r="F367">
        <v>1</v>
      </c>
    </row>
    <row r="368" spans="1:6">
      <c r="A368" t="s">
        <v>2221</v>
      </c>
      <c r="E368" s="92" t="s">
        <v>2277</v>
      </c>
      <c r="F368">
        <v>1</v>
      </c>
    </row>
    <row r="369" spans="1:6">
      <c r="A369" t="s">
        <v>1700</v>
      </c>
      <c r="E369" s="92" t="s">
        <v>2320</v>
      </c>
      <c r="F369">
        <v>1</v>
      </c>
    </row>
    <row r="370" spans="1:6">
      <c r="A370" t="s">
        <v>1700</v>
      </c>
      <c r="E370" s="92" t="s">
        <v>2747</v>
      </c>
      <c r="F370">
        <v>1</v>
      </c>
    </row>
    <row r="371" spans="1:6">
      <c r="A371" t="s">
        <v>2281</v>
      </c>
      <c r="E371" s="92" t="s">
        <v>2686</v>
      </c>
      <c r="F371">
        <v>1</v>
      </c>
    </row>
    <row r="372" spans="1:6">
      <c r="A372" t="s">
        <v>1831</v>
      </c>
      <c r="E372" s="92" t="s">
        <v>346</v>
      </c>
      <c r="F372">
        <v>1</v>
      </c>
    </row>
    <row r="373" spans="1:6">
      <c r="A373" t="s">
        <v>1831</v>
      </c>
      <c r="E373" s="92" t="s">
        <v>1938</v>
      </c>
      <c r="F373">
        <v>1</v>
      </c>
    </row>
    <row r="374" spans="1:6">
      <c r="A374" t="s">
        <v>2163</v>
      </c>
      <c r="E374" s="92" t="s">
        <v>2757</v>
      </c>
      <c r="F374">
        <v>1</v>
      </c>
    </row>
    <row r="375" spans="1:6">
      <c r="A375" t="s">
        <v>2163</v>
      </c>
      <c r="E375" s="92" t="s">
        <v>1928</v>
      </c>
      <c r="F375">
        <v>1</v>
      </c>
    </row>
    <row r="376" spans="1:6">
      <c r="A376" t="s">
        <v>2020</v>
      </c>
      <c r="E376" s="92" t="s">
        <v>2206</v>
      </c>
      <c r="F376">
        <v>1</v>
      </c>
    </row>
    <row r="377" spans="1:6">
      <c r="A377" t="s">
        <v>1992</v>
      </c>
      <c r="E377" s="92" t="s">
        <v>2134</v>
      </c>
      <c r="F377">
        <v>1</v>
      </c>
    </row>
    <row r="378" spans="1:6">
      <c r="A378" t="s">
        <v>1992</v>
      </c>
      <c r="E378" s="92" t="s">
        <v>2225</v>
      </c>
      <c r="F378">
        <v>1</v>
      </c>
    </row>
    <row r="379" spans="1:6">
      <c r="A379" t="s">
        <v>2003</v>
      </c>
      <c r="E379" s="92" t="s">
        <v>2176</v>
      </c>
      <c r="F379">
        <v>1</v>
      </c>
    </row>
    <row r="380" spans="1:6">
      <c r="A380" t="s">
        <v>2003</v>
      </c>
      <c r="E380" s="92" t="s">
        <v>2167</v>
      </c>
      <c r="F380">
        <v>1</v>
      </c>
    </row>
    <row r="381" spans="1:6">
      <c r="A381" t="s">
        <v>2003</v>
      </c>
      <c r="E381" s="92" t="s">
        <v>1829</v>
      </c>
      <c r="F381">
        <v>1</v>
      </c>
    </row>
    <row r="382" spans="1:6">
      <c r="A382" t="s">
        <v>1901</v>
      </c>
      <c r="E382" s="92" t="s">
        <v>2008</v>
      </c>
      <c r="F382">
        <v>1</v>
      </c>
    </row>
    <row r="383" spans="1:6">
      <c r="A383" t="s">
        <v>1763</v>
      </c>
      <c r="E383" s="92" t="s">
        <v>2333</v>
      </c>
      <c r="F383">
        <v>1</v>
      </c>
    </row>
    <row r="384" spans="1:6">
      <c r="A384" t="s">
        <v>1763</v>
      </c>
      <c r="E384" s="92" t="s">
        <v>1805</v>
      </c>
      <c r="F384">
        <v>1</v>
      </c>
    </row>
    <row r="385" spans="1:6">
      <c r="A385" t="s">
        <v>915</v>
      </c>
      <c r="E385" s="92" t="s">
        <v>2967</v>
      </c>
      <c r="F385">
        <v>1</v>
      </c>
    </row>
    <row r="386" spans="1:6">
      <c r="A386" t="s">
        <v>915</v>
      </c>
      <c r="E386" s="92" t="s">
        <v>2774</v>
      </c>
      <c r="F386">
        <v>1</v>
      </c>
    </row>
    <row r="387" spans="1:6">
      <c r="A387" t="s">
        <v>915</v>
      </c>
      <c r="E387" s="92" t="s">
        <v>2221</v>
      </c>
      <c r="F387">
        <v>1</v>
      </c>
    </row>
    <row r="388" spans="1:6">
      <c r="A388" t="s">
        <v>836</v>
      </c>
      <c r="E388" s="92" t="s">
        <v>1936</v>
      </c>
      <c r="F388">
        <v>1</v>
      </c>
    </row>
    <row r="389" spans="1:6">
      <c r="A389" t="s">
        <v>2956</v>
      </c>
      <c r="E389" s="92" t="s">
        <v>2744</v>
      </c>
      <c r="F389">
        <v>1</v>
      </c>
    </row>
    <row r="390" spans="1:6">
      <c r="A390" t="s">
        <v>2956</v>
      </c>
      <c r="E390" s="92" t="s">
        <v>2124</v>
      </c>
      <c r="F390">
        <v>1</v>
      </c>
    </row>
    <row r="391" spans="1:6">
      <c r="A391" t="s">
        <v>836</v>
      </c>
      <c r="E391" s="92" t="s">
        <v>2281</v>
      </c>
      <c r="F391">
        <v>1</v>
      </c>
    </row>
    <row r="392" spans="1:6">
      <c r="A392" t="s">
        <v>836</v>
      </c>
      <c r="E392" s="92" t="s">
        <v>766</v>
      </c>
      <c r="F392">
        <v>1</v>
      </c>
    </row>
    <row r="393" spans="1:6">
      <c r="A393" t="s">
        <v>951</v>
      </c>
      <c r="E393" s="92" t="s">
        <v>932</v>
      </c>
      <c r="F393">
        <v>1</v>
      </c>
    </row>
    <row r="394" spans="1:6">
      <c r="A394" t="s">
        <v>951</v>
      </c>
      <c r="E394" s="92" t="s">
        <v>2842</v>
      </c>
      <c r="F394">
        <v>1</v>
      </c>
    </row>
    <row r="395" spans="1:6">
      <c r="A395" t="s">
        <v>951</v>
      </c>
      <c r="E395" s="92" t="s">
        <v>2786</v>
      </c>
      <c r="F395">
        <v>1</v>
      </c>
    </row>
    <row r="396" spans="1:6">
      <c r="A396" t="s">
        <v>951</v>
      </c>
      <c r="E396" s="92" t="s">
        <v>2217</v>
      </c>
      <c r="F396">
        <v>1</v>
      </c>
    </row>
    <row r="397" spans="1:6">
      <c r="A397" t="s">
        <v>946</v>
      </c>
      <c r="E397" s="92" t="s">
        <v>2020</v>
      </c>
      <c r="F397">
        <v>1</v>
      </c>
    </row>
    <row r="398" spans="1:6">
      <c r="A398" t="s">
        <v>946</v>
      </c>
      <c r="E398" s="92" t="s">
        <v>995</v>
      </c>
      <c r="F398">
        <v>1</v>
      </c>
    </row>
    <row r="399" spans="1:6">
      <c r="A399" t="s">
        <v>2197</v>
      </c>
      <c r="E399" s="92" t="s">
        <v>893</v>
      </c>
      <c r="F399">
        <v>1</v>
      </c>
    </row>
    <row r="400" spans="1:6">
      <c r="A400" t="s">
        <v>1947</v>
      </c>
      <c r="E400" s="92" t="s">
        <v>1822</v>
      </c>
      <c r="F400">
        <v>1</v>
      </c>
    </row>
    <row r="401" spans="1:6">
      <c r="A401" t="s">
        <v>2784</v>
      </c>
      <c r="E401" s="92" t="s">
        <v>1759</v>
      </c>
      <c r="F401">
        <v>1</v>
      </c>
    </row>
    <row r="402" spans="1:6">
      <c r="A402" t="s">
        <v>2913</v>
      </c>
      <c r="E402" s="92" t="s">
        <v>1980</v>
      </c>
      <c r="F402">
        <v>1</v>
      </c>
    </row>
    <row r="403" spans="1:6">
      <c r="A403" t="s">
        <v>2913</v>
      </c>
      <c r="E403" s="92" t="s">
        <v>1901</v>
      </c>
      <c r="F403">
        <v>1</v>
      </c>
    </row>
    <row r="404" spans="1:6">
      <c r="A404" t="s">
        <v>2692</v>
      </c>
      <c r="E404" s="92" t="s">
        <v>2960</v>
      </c>
      <c r="F404">
        <v>1</v>
      </c>
    </row>
    <row r="405" spans="1:6">
      <c r="A405" t="s">
        <v>2692</v>
      </c>
      <c r="E405" s="92" t="s">
        <v>1909</v>
      </c>
      <c r="F405">
        <v>1</v>
      </c>
    </row>
    <row r="406" spans="1:6">
      <c r="A406" t="s">
        <v>1995</v>
      </c>
      <c r="E406" s="92" t="s">
        <v>2299</v>
      </c>
      <c r="F406">
        <v>1</v>
      </c>
    </row>
    <row r="407" spans="1:6">
      <c r="A407" t="s">
        <v>2194</v>
      </c>
      <c r="E407" s="92" t="s">
        <v>8201</v>
      </c>
      <c r="F407">
        <v>630</v>
      </c>
    </row>
    <row r="408" spans="1:6">
      <c r="A408" t="s">
        <v>939</v>
      </c>
    </row>
    <row r="409" spans="1:6">
      <c r="A409" t="s">
        <v>1855</v>
      </c>
    </row>
    <row r="410" spans="1:6">
      <c r="A410" t="s">
        <v>700</v>
      </c>
    </row>
    <row r="411" spans="1:6">
      <c r="A411" t="s">
        <v>700</v>
      </c>
    </row>
    <row r="412" spans="1:6">
      <c r="A412" t="s">
        <v>700</v>
      </c>
    </row>
    <row r="413" spans="1:6">
      <c r="A413" t="s">
        <v>700</v>
      </c>
    </row>
    <row r="414" spans="1:6">
      <c r="A414" t="s">
        <v>700</v>
      </c>
    </row>
    <row r="415" spans="1:6">
      <c r="A415" t="s">
        <v>262</v>
      </c>
    </row>
    <row r="416" spans="1:6">
      <c r="A416" t="s">
        <v>700</v>
      </c>
    </row>
    <row r="417" spans="1:1">
      <c r="A417" t="s">
        <v>700</v>
      </c>
    </row>
    <row r="418" spans="1:1">
      <c r="A418" t="s">
        <v>700</v>
      </c>
    </row>
    <row r="419" spans="1:1">
      <c r="A419" t="s">
        <v>700</v>
      </c>
    </row>
    <row r="420" spans="1:1">
      <c r="A420" t="s">
        <v>700</v>
      </c>
    </row>
    <row r="421" spans="1:1">
      <c r="A421" t="s">
        <v>700</v>
      </c>
    </row>
    <row r="422" spans="1:1">
      <c r="A422" t="s">
        <v>700</v>
      </c>
    </row>
    <row r="423" spans="1:1">
      <c r="A423" t="s">
        <v>700</v>
      </c>
    </row>
    <row r="424" spans="1:1">
      <c r="A424" t="s">
        <v>700</v>
      </c>
    </row>
    <row r="425" spans="1:1">
      <c r="A425" t="s">
        <v>700</v>
      </c>
    </row>
    <row r="426" spans="1:1">
      <c r="A426" t="s">
        <v>700</v>
      </c>
    </row>
    <row r="427" spans="1:1">
      <c r="A427" t="s">
        <v>700</v>
      </c>
    </row>
    <row r="428" spans="1:1">
      <c r="A428" t="s">
        <v>1006</v>
      </c>
    </row>
    <row r="429" spans="1:1">
      <c r="A429" t="s">
        <v>1006</v>
      </c>
    </row>
    <row r="430" spans="1:1">
      <c r="A430" t="s">
        <v>1006</v>
      </c>
    </row>
    <row r="431" spans="1:1">
      <c r="A431" t="s">
        <v>2352</v>
      </c>
    </row>
    <row r="432" spans="1:1">
      <c r="A432" t="s">
        <v>1727</v>
      </c>
    </row>
    <row r="433" spans="1:1">
      <c r="A433" t="s">
        <v>1907</v>
      </c>
    </row>
    <row r="434" spans="1:1">
      <c r="A434" t="s">
        <v>1907</v>
      </c>
    </row>
    <row r="435" spans="1:1">
      <c r="A435" t="s">
        <v>1907</v>
      </c>
    </row>
    <row r="436" spans="1:1">
      <c r="A436" t="s">
        <v>1907</v>
      </c>
    </row>
    <row r="437" spans="1:1">
      <c r="A437" t="s">
        <v>2174</v>
      </c>
    </row>
    <row r="438" spans="1:1">
      <c r="A438" t="s">
        <v>2174</v>
      </c>
    </row>
    <row r="439" spans="1:1">
      <c r="A439" t="s">
        <v>2188</v>
      </c>
    </row>
    <row r="440" spans="1:1">
      <c r="A440" t="s">
        <v>1000</v>
      </c>
    </row>
    <row r="441" spans="1:1">
      <c r="A441" t="s">
        <v>2825</v>
      </c>
    </row>
    <row r="442" spans="1:1">
      <c r="A442" t="s">
        <v>2654</v>
      </c>
    </row>
    <row r="443" spans="1:1">
      <c r="A443" t="s">
        <v>2715</v>
      </c>
    </row>
    <row r="444" spans="1:1">
      <c r="A444" t="s">
        <v>2715</v>
      </c>
    </row>
    <row r="445" spans="1:1">
      <c r="A445" t="s">
        <v>888</v>
      </c>
    </row>
    <row r="446" spans="1:1">
      <c r="A446" t="s">
        <v>888</v>
      </c>
    </row>
    <row r="447" spans="1:1">
      <c r="A447" t="s">
        <v>1958</v>
      </c>
    </row>
    <row r="448" spans="1:1">
      <c r="A448" t="s">
        <v>1905</v>
      </c>
    </row>
    <row r="449" spans="1:1">
      <c r="A449" t="s">
        <v>1833</v>
      </c>
    </row>
    <row r="450" spans="1:1">
      <c r="A450" t="s">
        <v>2751</v>
      </c>
    </row>
    <row r="451" spans="1:1">
      <c r="A451" t="s">
        <v>918</v>
      </c>
    </row>
    <row r="452" spans="1:1">
      <c r="A452" t="s">
        <v>918</v>
      </c>
    </row>
    <row r="453" spans="1:1">
      <c r="A453" t="s">
        <v>2201</v>
      </c>
    </row>
    <row r="454" spans="1:1">
      <c r="A454" t="s">
        <v>2016</v>
      </c>
    </row>
    <row r="455" spans="1:1">
      <c r="A455" t="s">
        <v>1835</v>
      </c>
    </row>
    <row r="456" spans="1:1">
      <c r="A456" t="s">
        <v>1782</v>
      </c>
    </row>
    <row r="457" spans="1:1">
      <c r="A457" t="s">
        <v>880</v>
      </c>
    </row>
    <row r="458" spans="1:1">
      <c r="A458" t="s">
        <v>880</v>
      </c>
    </row>
    <row r="459" spans="1:1">
      <c r="A459" t="s">
        <v>2955</v>
      </c>
    </row>
    <row r="460" spans="1:1">
      <c r="A460" t="s">
        <v>880</v>
      </c>
    </row>
    <row r="461" spans="1:1">
      <c r="A461" t="s">
        <v>2656</v>
      </c>
    </row>
    <row r="462" spans="1:1">
      <c r="A462" t="s">
        <v>1702</v>
      </c>
    </row>
    <row r="463" spans="1:1">
      <c r="A463" t="s">
        <v>2965</v>
      </c>
    </row>
    <row r="464" spans="1:1">
      <c r="A464" t="s">
        <v>1702</v>
      </c>
    </row>
    <row r="465" spans="1:1">
      <c r="A465" t="s">
        <v>1702</v>
      </c>
    </row>
    <row r="466" spans="1:1">
      <c r="A466" t="s">
        <v>1702</v>
      </c>
    </row>
    <row r="467" spans="1:1">
      <c r="A467" t="s">
        <v>2358</v>
      </c>
    </row>
    <row r="468" spans="1:1">
      <c r="A468" t="s">
        <v>7969</v>
      </c>
    </row>
    <row r="469" spans="1:1">
      <c r="A469" t="s">
        <v>2091</v>
      </c>
    </row>
    <row r="470" spans="1:1">
      <c r="A470" t="s">
        <v>1837</v>
      </c>
    </row>
    <row r="471" spans="1:1">
      <c r="A471" t="s">
        <v>1837</v>
      </c>
    </row>
    <row r="472" spans="1:1">
      <c r="A472" t="s">
        <v>1741</v>
      </c>
    </row>
    <row r="473" spans="1:1">
      <c r="A473" t="s">
        <v>954</v>
      </c>
    </row>
    <row r="474" spans="1:1">
      <c r="A474" t="s">
        <v>2273</v>
      </c>
    </row>
    <row r="475" spans="1:1">
      <c r="A475" t="s">
        <v>2704</v>
      </c>
    </row>
    <row r="476" spans="1:1">
      <c r="A476" t="s">
        <v>2269</v>
      </c>
    </row>
    <row r="477" spans="1:1">
      <c r="A477" t="s">
        <v>885</v>
      </c>
    </row>
    <row r="478" spans="1:1">
      <c r="A478" t="s">
        <v>885</v>
      </c>
    </row>
    <row r="479" spans="1:1">
      <c r="A479" t="s">
        <v>885</v>
      </c>
    </row>
    <row r="480" spans="1:1">
      <c r="A480" t="s">
        <v>885</v>
      </c>
    </row>
    <row r="481" spans="1:1">
      <c r="A481" t="s">
        <v>2959</v>
      </c>
    </row>
    <row r="482" spans="1:1">
      <c r="A482" t="s">
        <v>2823</v>
      </c>
    </row>
    <row r="483" spans="1:1">
      <c r="A483" t="s">
        <v>2763</v>
      </c>
    </row>
    <row r="484" spans="1:1">
      <c r="A484" t="s">
        <v>2883</v>
      </c>
    </row>
    <row r="485" spans="1:1">
      <c r="A485" t="s">
        <v>2087</v>
      </c>
    </row>
    <row r="486" spans="1:1">
      <c r="A486" t="s">
        <v>2158</v>
      </c>
    </row>
    <row r="487" spans="1:1">
      <c r="A487" t="s">
        <v>2781</v>
      </c>
    </row>
    <row r="488" spans="1:1">
      <c r="A488" t="s">
        <v>1743</v>
      </c>
    </row>
    <row r="489" spans="1:1">
      <c r="A489" t="s">
        <v>1853</v>
      </c>
    </row>
    <row r="490" spans="1:1">
      <c r="A490" t="s">
        <v>2036</v>
      </c>
    </row>
    <row r="491" spans="1:1">
      <c r="A491" t="s">
        <v>2036</v>
      </c>
    </row>
    <row r="492" spans="1:1">
      <c r="A492" t="s">
        <v>1866</v>
      </c>
    </row>
    <row r="493" spans="1:1">
      <c r="A493" t="s">
        <v>1866</v>
      </c>
    </row>
    <row r="494" spans="1:1">
      <c r="A494" t="s">
        <v>1866</v>
      </c>
    </row>
    <row r="495" spans="1:1">
      <c r="A495" t="s">
        <v>1960</v>
      </c>
    </row>
    <row r="496" spans="1:1">
      <c r="A496" t="s">
        <v>2228</v>
      </c>
    </row>
    <row r="497" spans="1:1">
      <c r="A497" t="s">
        <v>2211</v>
      </c>
    </row>
    <row r="498" spans="1:1">
      <c r="A498" t="s">
        <v>2211</v>
      </c>
    </row>
    <row r="499" spans="1:1">
      <c r="A499" t="s">
        <v>2682</v>
      </c>
    </row>
    <row r="500" spans="1:1">
      <c r="A500" t="s">
        <v>1810</v>
      </c>
    </row>
    <row r="501" spans="1:1">
      <c r="A501" t="s">
        <v>2923</v>
      </c>
    </row>
    <row r="502" spans="1:1">
      <c r="A502" t="s">
        <v>1966</v>
      </c>
    </row>
    <row r="503" spans="1:1">
      <c r="A503" t="s">
        <v>1984</v>
      </c>
    </row>
    <row r="504" spans="1:1">
      <c r="A504" t="s">
        <v>2005</v>
      </c>
    </row>
    <row r="505" spans="1:1">
      <c r="A505" t="s">
        <v>2005</v>
      </c>
    </row>
    <row r="506" spans="1:1">
      <c r="A506" t="s">
        <v>2005</v>
      </c>
    </row>
    <row r="507" spans="1:1">
      <c r="A507" t="s">
        <v>2342</v>
      </c>
    </row>
    <row r="508" spans="1:1">
      <c r="A508" t="s">
        <v>2726</v>
      </c>
    </row>
    <row r="509" spans="1:1">
      <c r="A509" t="s">
        <v>1978</v>
      </c>
    </row>
    <row r="510" spans="1:1">
      <c r="A510" t="s">
        <v>2667</v>
      </c>
    </row>
    <row r="511" spans="1:1">
      <c r="A511" t="s">
        <v>2873</v>
      </c>
    </row>
    <row r="512" spans="1:1">
      <c r="A512" t="s">
        <v>1897</v>
      </c>
    </row>
    <row r="513" spans="1:1">
      <c r="A513" t="s">
        <v>1003</v>
      </c>
    </row>
    <row r="514" spans="1:1">
      <c r="A514" t="s">
        <v>1003</v>
      </c>
    </row>
    <row r="515" spans="1:1">
      <c r="A515" t="s">
        <v>1748</v>
      </c>
    </row>
    <row r="516" spans="1:1">
      <c r="A516" t="s">
        <v>2732</v>
      </c>
    </row>
    <row r="517" spans="1:1">
      <c r="A517" t="s">
        <v>2891</v>
      </c>
    </row>
    <row r="518" spans="1:1">
      <c r="A518" t="s">
        <v>2737</v>
      </c>
    </row>
    <row r="519" spans="1:1">
      <c r="A519" t="s">
        <v>2014</v>
      </c>
    </row>
    <row r="520" spans="1:1">
      <c r="A520" t="s">
        <v>2827</v>
      </c>
    </row>
    <row r="521" spans="1:1">
      <c r="A521" t="s">
        <v>2847</v>
      </c>
    </row>
    <row r="522" spans="1:1">
      <c r="A522" t="s">
        <v>877</v>
      </c>
    </row>
    <row r="523" spans="1:1">
      <c r="A523" t="s">
        <v>877</v>
      </c>
    </row>
    <row r="524" spans="1:1">
      <c r="A524" t="s">
        <v>877</v>
      </c>
    </row>
    <row r="525" spans="1:1">
      <c r="A525" t="s">
        <v>1917</v>
      </c>
    </row>
    <row r="526" spans="1:1">
      <c r="A526" t="s">
        <v>1917</v>
      </c>
    </row>
    <row r="527" spans="1:1">
      <c r="A527" t="s">
        <v>2103</v>
      </c>
    </row>
    <row r="528" spans="1:1">
      <c r="A528" t="s">
        <v>2107</v>
      </c>
    </row>
    <row r="529" spans="1:1">
      <c r="A529" t="s">
        <v>2085</v>
      </c>
    </row>
    <row r="530" spans="1:1">
      <c r="A530" t="s">
        <v>1840</v>
      </c>
    </row>
    <row r="531" spans="1:1">
      <c r="A531" t="s">
        <v>1707</v>
      </c>
    </row>
    <row r="532" spans="1:1">
      <c r="A532" t="s">
        <v>1707</v>
      </c>
    </row>
    <row r="533" spans="1:1">
      <c r="A533" t="s">
        <v>2326</v>
      </c>
    </row>
    <row r="534" spans="1:1">
      <c r="A534" t="s">
        <v>2241</v>
      </c>
    </row>
    <row r="535" spans="1:1">
      <c r="A535" t="s">
        <v>1915</v>
      </c>
    </row>
    <row r="536" spans="1:1">
      <c r="A536" t="s">
        <v>2258</v>
      </c>
    </row>
    <row r="537" spans="1:1">
      <c r="A537" t="s">
        <v>2258</v>
      </c>
    </row>
    <row r="538" spans="1:1">
      <c r="A538" t="s">
        <v>2735</v>
      </c>
    </row>
    <row r="539" spans="1:1">
      <c r="A539" t="s">
        <v>1919</v>
      </c>
    </row>
    <row r="540" spans="1:1">
      <c r="A540" t="s">
        <v>2706</v>
      </c>
    </row>
    <row r="541" spans="1:1">
      <c r="A541" t="s">
        <v>1729</v>
      </c>
    </row>
    <row r="542" spans="1:1">
      <c r="A542" t="s">
        <v>1921</v>
      </c>
    </row>
    <row r="543" spans="1:1">
      <c r="A543" t="s">
        <v>1921</v>
      </c>
    </row>
    <row r="544" spans="1:1">
      <c r="A544" t="s">
        <v>2266</v>
      </c>
    </row>
    <row r="545" spans="1:1">
      <c r="A545" t="s">
        <v>2266</v>
      </c>
    </row>
    <row r="546" spans="1:1">
      <c r="A546" t="s">
        <v>1923</v>
      </c>
    </row>
    <row r="547" spans="1:1">
      <c r="A547" t="s">
        <v>1709</v>
      </c>
    </row>
    <row r="548" spans="1:1">
      <c r="A548" t="s">
        <v>2849</v>
      </c>
    </row>
    <row r="549" spans="1:1">
      <c r="A549" t="s">
        <v>2053</v>
      </c>
    </row>
    <row r="550" spans="1:1">
      <c r="A550" t="s">
        <v>2056</v>
      </c>
    </row>
    <row r="551" spans="1:1">
      <c r="A551" t="s">
        <v>2056</v>
      </c>
    </row>
    <row r="552" spans="1:1">
      <c r="A552" t="s">
        <v>2056</v>
      </c>
    </row>
    <row r="553" spans="1:1">
      <c r="A553" t="s">
        <v>2056</v>
      </c>
    </row>
    <row r="554" spans="1:1">
      <c r="A554" t="s">
        <v>2966</v>
      </c>
    </row>
    <row r="555" spans="1:1">
      <c r="A555" t="s">
        <v>2056</v>
      </c>
    </row>
    <row r="556" spans="1:1">
      <c r="A556" t="s">
        <v>2056</v>
      </c>
    </row>
    <row r="557" spans="1:1">
      <c r="A557" t="s">
        <v>2056</v>
      </c>
    </row>
    <row r="558" spans="1:1">
      <c r="A558" t="s">
        <v>2056</v>
      </c>
    </row>
    <row r="559" spans="1:1">
      <c r="A559" t="s">
        <v>2171</v>
      </c>
    </row>
    <row r="560" spans="1:1">
      <c r="A560" t="s">
        <v>2089</v>
      </c>
    </row>
    <row r="561" spans="1:1">
      <c r="A561" t="s">
        <v>2089</v>
      </c>
    </row>
    <row r="562" spans="1:1">
      <c r="A562" t="s">
        <v>948</v>
      </c>
    </row>
    <row r="563" spans="1:1">
      <c r="A563" t="s">
        <v>1930</v>
      </c>
    </row>
    <row r="564" spans="1:1">
      <c r="A564" t="s">
        <v>1930</v>
      </c>
    </row>
    <row r="565" spans="1:1">
      <c r="A565" t="s">
        <v>1930</v>
      </c>
    </row>
    <row r="566" spans="1:1">
      <c r="A566" t="s">
        <v>2069</v>
      </c>
    </row>
    <row r="567" spans="1:1">
      <c r="A567" t="s">
        <v>2149</v>
      </c>
    </row>
    <row r="568" spans="1:1">
      <c r="A568" t="s">
        <v>2149</v>
      </c>
    </row>
    <row r="569" spans="1:1">
      <c r="A569" t="s">
        <v>2277</v>
      </c>
    </row>
    <row r="570" spans="1:1">
      <c r="A570" t="s">
        <v>2665</v>
      </c>
    </row>
    <row r="571" spans="1:1">
      <c r="A571" t="s">
        <v>865</v>
      </c>
    </row>
    <row r="572" spans="1:1">
      <c r="A572" t="s">
        <v>865</v>
      </c>
    </row>
    <row r="573" spans="1:1">
      <c r="A573" t="s">
        <v>833</v>
      </c>
    </row>
    <row r="574" spans="1:1">
      <c r="A574" t="s">
        <v>833</v>
      </c>
    </row>
    <row r="575" spans="1:1">
      <c r="A575" t="s">
        <v>833</v>
      </c>
    </row>
    <row r="576" spans="1:1">
      <c r="A576" t="s">
        <v>833</v>
      </c>
    </row>
    <row r="577" spans="1:1">
      <c r="A577" t="s">
        <v>833</v>
      </c>
    </row>
    <row r="578" spans="1:1">
      <c r="A578" t="s">
        <v>833</v>
      </c>
    </row>
    <row r="579" spans="1:1">
      <c r="A579" t="s">
        <v>833</v>
      </c>
    </row>
    <row r="580" spans="1:1">
      <c r="A580" t="s">
        <v>833</v>
      </c>
    </row>
    <row r="581" spans="1:1">
      <c r="A581" t="s">
        <v>346</v>
      </c>
    </row>
    <row r="582" spans="1:1">
      <c r="A582" t="s">
        <v>1731</v>
      </c>
    </row>
    <row r="583" spans="1:1">
      <c r="A583" t="s">
        <v>1731</v>
      </c>
    </row>
    <row r="584" spans="1:1">
      <c r="A584" t="s">
        <v>2757</v>
      </c>
    </row>
    <row r="585" spans="1:1">
      <c r="A585" t="s">
        <v>818</v>
      </c>
    </row>
    <row r="586" spans="1:1">
      <c r="A586" t="s">
        <v>2206</v>
      </c>
    </row>
    <row r="587" spans="1:1">
      <c r="A587" t="s">
        <v>2098</v>
      </c>
    </row>
    <row r="588" spans="1:1">
      <c r="A588" t="s">
        <v>2098</v>
      </c>
    </row>
    <row r="589" spans="1:1">
      <c r="A589" t="s">
        <v>2225</v>
      </c>
    </row>
    <row r="590" spans="1:1">
      <c r="A590" t="s">
        <v>2142</v>
      </c>
    </row>
    <row r="591" spans="1:1">
      <c r="A591" t="s">
        <v>1733</v>
      </c>
    </row>
    <row r="592" spans="1:1">
      <c r="A592" t="s">
        <v>1733</v>
      </c>
    </row>
    <row r="593" spans="1:1">
      <c r="A593" t="s">
        <v>2647</v>
      </c>
    </row>
    <row r="594" spans="1:1">
      <c r="A594" t="s">
        <v>1842</v>
      </c>
    </row>
    <row r="595" spans="1:1">
      <c r="A595" t="s">
        <v>1842</v>
      </c>
    </row>
    <row r="596" spans="1:1">
      <c r="A596" t="s">
        <v>1934</v>
      </c>
    </row>
    <row r="597" spans="1:1">
      <c r="A597" t="s">
        <v>1934</v>
      </c>
    </row>
    <row r="598" spans="1:1">
      <c r="A598" t="s">
        <v>1934</v>
      </c>
    </row>
    <row r="599" spans="1:1">
      <c r="A599" t="s">
        <v>1934</v>
      </c>
    </row>
    <row r="600" spans="1:1">
      <c r="A600" t="s">
        <v>850</v>
      </c>
    </row>
    <row r="601" spans="1:1">
      <c r="A601" t="s">
        <v>850</v>
      </c>
    </row>
    <row r="602" spans="1:1">
      <c r="A602" t="s">
        <v>1945</v>
      </c>
    </row>
    <row r="603" spans="1:1">
      <c r="A603" t="s">
        <v>1945</v>
      </c>
    </row>
    <row r="604" spans="1:1">
      <c r="A604" t="s">
        <v>1945</v>
      </c>
    </row>
    <row r="605" spans="1:1">
      <c r="A605" t="s">
        <v>2774</v>
      </c>
    </row>
    <row r="606" spans="1:1">
      <c r="A606" t="s">
        <v>2182</v>
      </c>
    </row>
    <row r="607" spans="1:1">
      <c r="A607" t="s">
        <v>1936</v>
      </c>
    </row>
    <row r="608" spans="1:1">
      <c r="A608" t="s">
        <v>2178</v>
      </c>
    </row>
    <row r="609" spans="1:1">
      <c r="A609" t="s">
        <v>2178</v>
      </c>
    </row>
    <row r="610" spans="1:1">
      <c r="A610" t="s">
        <v>2124</v>
      </c>
    </row>
    <row r="611" spans="1:1">
      <c r="A611" t="s">
        <v>1873</v>
      </c>
    </row>
    <row r="612" spans="1:1">
      <c r="A612" t="s">
        <v>1873</v>
      </c>
    </row>
    <row r="613" spans="1:1">
      <c r="A613" t="s">
        <v>1873</v>
      </c>
    </row>
    <row r="614" spans="1:1">
      <c r="A614" t="s">
        <v>766</v>
      </c>
    </row>
    <row r="615" spans="1:1">
      <c r="A615" t="s">
        <v>1940</v>
      </c>
    </row>
    <row r="616" spans="1:1">
      <c r="A616" t="s">
        <v>2963</v>
      </c>
    </row>
    <row r="617" spans="1:1">
      <c r="A617" t="s">
        <v>813</v>
      </c>
    </row>
    <row r="618" spans="1:1">
      <c r="A618" t="s">
        <v>813</v>
      </c>
    </row>
    <row r="619" spans="1:1">
      <c r="A619" t="s">
        <v>2140</v>
      </c>
    </row>
    <row r="620" spans="1:1">
      <c r="A620" t="s">
        <v>2217</v>
      </c>
    </row>
    <row r="621" spans="1:1">
      <c r="A621" t="s">
        <v>1962</v>
      </c>
    </row>
    <row r="622" spans="1:1">
      <c r="A622" t="s">
        <v>1962</v>
      </c>
    </row>
    <row r="623" spans="1:1">
      <c r="A623" t="s">
        <v>1962</v>
      </c>
    </row>
    <row r="624" spans="1:1">
      <c r="A624" t="s">
        <v>995</v>
      </c>
    </row>
    <row r="625" spans="1:1">
      <c r="A625" t="s">
        <v>2799</v>
      </c>
    </row>
    <row r="626" spans="1:1">
      <c r="A626" t="s">
        <v>1822</v>
      </c>
    </row>
    <row r="627" spans="1:1">
      <c r="A627" t="s">
        <v>2645</v>
      </c>
    </row>
    <row r="628" spans="1:1">
      <c r="A628" t="s">
        <v>2160</v>
      </c>
    </row>
    <row r="629" spans="1:1">
      <c r="A629" t="s">
        <v>2160</v>
      </c>
    </row>
    <row r="630" spans="1:1">
      <c r="A630" t="s">
        <v>2897</v>
      </c>
    </row>
    <row r="631" spans="1:1">
      <c r="A631" t="s">
        <v>2223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0BE5A-D888-409D-9624-B878E26A3C78}">
  <sheetPr>
    <tabColor rgb="FF13D377"/>
  </sheetPr>
  <dimension ref="A1:K620"/>
  <sheetViews>
    <sheetView topLeftCell="A2" workbookViewId="0">
      <selection activeCell="F2" sqref="F2:F292"/>
    </sheetView>
  </sheetViews>
  <sheetFormatPr defaultRowHeight="14.4"/>
  <cols>
    <col min="2" max="2" width="22.33203125" customWidth="1"/>
    <col min="3" max="3" width="21.44140625" customWidth="1"/>
    <col min="4" max="4" width="26.33203125" style="108" customWidth="1"/>
    <col min="5" max="5" width="27.33203125" customWidth="1"/>
  </cols>
  <sheetData>
    <row r="1" spans="1:11">
      <c r="A1" t="s">
        <v>10146</v>
      </c>
      <c r="B1" t="s">
        <v>5028</v>
      </c>
      <c r="C1" t="s">
        <v>10144</v>
      </c>
      <c r="D1" s="108" t="s">
        <v>10147</v>
      </c>
      <c r="E1" t="s">
        <v>10148</v>
      </c>
    </row>
    <row r="2" spans="1:11">
      <c r="A2" s="74">
        <v>1</v>
      </c>
      <c r="B2" s="97" t="s">
        <v>1309</v>
      </c>
      <c r="C2" s="74">
        <v>539</v>
      </c>
      <c r="D2" s="110">
        <f t="shared" ref="D2:D65" si="0">C2/$K$2</f>
        <v>1.418458380483697E-2</v>
      </c>
      <c r="E2" s="111">
        <f>SUM($D$2:D2)</f>
        <v>1.418458380483697E-2</v>
      </c>
      <c r="F2" s="112">
        <v>0.8</v>
      </c>
      <c r="K2">
        <v>37999</v>
      </c>
    </row>
    <row r="3" spans="1:11">
      <c r="A3" s="74">
        <v>2</v>
      </c>
      <c r="B3" s="74" t="s">
        <v>4285</v>
      </c>
      <c r="C3" s="74">
        <v>537</v>
      </c>
      <c r="D3" s="110">
        <f t="shared" si="0"/>
        <v>1.41319508408116E-2</v>
      </c>
      <c r="E3" s="111">
        <f>SUM($D$2:D3)</f>
        <v>2.831653464564857E-2</v>
      </c>
      <c r="F3" s="112">
        <v>0.8</v>
      </c>
    </row>
    <row r="4" spans="1:11">
      <c r="A4" s="74">
        <v>3</v>
      </c>
      <c r="B4" s="74" t="s">
        <v>296</v>
      </c>
      <c r="C4" s="74">
        <v>493</v>
      </c>
      <c r="D4" s="110">
        <f t="shared" si="0"/>
        <v>1.2974025632253481E-2</v>
      </c>
      <c r="E4" s="111">
        <f>SUM($D$2:D4)</f>
        <v>4.1290560277902053E-2</v>
      </c>
      <c r="F4" s="112">
        <v>0.8</v>
      </c>
    </row>
    <row r="5" spans="1:11">
      <c r="A5" s="74">
        <v>4</v>
      </c>
      <c r="B5" s="74" t="s">
        <v>4294</v>
      </c>
      <c r="C5" s="74">
        <v>384</v>
      </c>
      <c r="D5" s="110">
        <f t="shared" si="0"/>
        <v>1.0105529092870866E-2</v>
      </c>
      <c r="E5" s="111">
        <f>SUM($D$2:D5)</f>
        <v>5.1396089370772918E-2</v>
      </c>
      <c r="F5" s="112">
        <v>0.8</v>
      </c>
    </row>
    <row r="6" spans="1:11">
      <c r="A6" s="74">
        <v>5</v>
      </c>
      <c r="B6" s="97" t="s">
        <v>33</v>
      </c>
      <c r="C6" s="74">
        <v>364</v>
      </c>
      <c r="D6" s="110">
        <f t="shared" si="0"/>
        <v>9.5791994526171747E-3</v>
      </c>
      <c r="E6" s="111">
        <f>SUM($D$2:D6)</f>
        <v>6.0975288823390095E-2</v>
      </c>
      <c r="F6" s="112">
        <v>0.8</v>
      </c>
    </row>
    <row r="7" spans="1:11">
      <c r="A7" s="74">
        <v>6</v>
      </c>
      <c r="B7" s="74" t="s">
        <v>504</v>
      </c>
      <c r="C7" s="74">
        <v>309</v>
      </c>
      <c r="D7" s="110">
        <f t="shared" si="0"/>
        <v>8.1317929419195238E-3</v>
      </c>
      <c r="E7" s="111">
        <f>SUM($D$2:D7)</f>
        <v>6.9107081765309622E-2</v>
      </c>
      <c r="F7" s="112">
        <v>0.8</v>
      </c>
    </row>
    <row r="8" spans="1:11">
      <c r="A8" s="74">
        <v>7</v>
      </c>
      <c r="B8" s="74" t="s">
        <v>4292</v>
      </c>
      <c r="C8" s="74">
        <v>299</v>
      </c>
      <c r="D8" s="110">
        <f t="shared" si="0"/>
        <v>7.8686281217926791E-3</v>
      </c>
      <c r="E8" s="111">
        <f>SUM($D$2:D8)</f>
        <v>7.6975709887102298E-2</v>
      </c>
      <c r="F8" s="112">
        <v>0.8</v>
      </c>
    </row>
    <row r="9" spans="1:11">
      <c r="A9" s="74">
        <v>8</v>
      </c>
      <c r="B9" s="74" t="s">
        <v>4280</v>
      </c>
      <c r="C9" s="74">
        <v>286</v>
      </c>
      <c r="D9" s="110">
        <f t="shared" si="0"/>
        <v>7.5265138556277799E-3</v>
      </c>
      <c r="E9" s="111">
        <f>SUM($D$2:D9)</f>
        <v>8.4502223742730073E-2</v>
      </c>
      <c r="F9" s="112">
        <v>0.8</v>
      </c>
    </row>
    <row r="10" spans="1:11">
      <c r="A10" s="74">
        <v>9</v>
      </c>
      <c r="B10" s="74" t="s">
        <v>3356</v>
      </c>
      <c r="C10" s="74">
        <v>278</v>
      </c>
      <c r="D10" s="110">
        <f t="shared" si="0"/>
        <v>7.3159819995263029E-3</v>
      </c>
      <c r="E10" s="111">
        <f>SUM($D$2:D10)</f>
        <v>9.1818205742256381E-2</v>
      </c>
      <c r="F10" s="112">
        <v>0.8</v>
      </c>
    </row>
    <row r="11" spans="1:11">
      <c r="A11" s="74">
        <v>10</v>
      </c>
      <c r="B11" s="74" t="s">
        <v>4297</v>
      </c>
      <c r="C11" s="74">
        <v>253</v>
      </c>
      <c r="D11" s="110">
        <f t="shared" si="0"/>
        <v>6.6580699492091895E-3</v>
      </c>
      <c r="E11" s="111">
        <f>SUM($D$2:D11)</f>
        <v>9.8476275691465567E-2</v>
      </c>
      <c r="F11" s="112">
        <v>0.8</v>
      </c>
    </row>
    <row r="12" spans="1:11">
      <c r="A12" s="74">
        <v>11</v>
      </c>
      <c r="B12" s="74" t="s">
        <v>3444</v>
      </c>
      <c r="C12" s="74">
        <v>251</v>
      </c>
      <c r="D12" s="110">
        <f t="shared" si="0"/>
        <v>6.6054369851838209E-3</v>
      </c>
      <c r="E12" s="111">
        <f>SUM($D$2:D12)</f>
        <v>0.10508171267664938</v>
      </c>
      <c r="F12" s="112">
        <v>0.8</v>
      </c>
    </row>
    <row r="13" spans="1:11">
      <c r="A13" s="74">
        <v>12</v>
      </c>
      <c r="B13" s="74" t="s">
        <v>4295</v>
      </c>
      <c r="C13" s="74">
        <v>247</v>
      </c>
      <c r="D13" s="110">
        <f t="shared" si="0"/>
        <v>6.500171057133082E-3</v>
      </c>
      <c r="E13" s="111">
        <f>SUM($D$2:D13)</f>
        <v>0.11158188373378247</v>
      </c>
      <c r="F13" s="112">
        <v>0.8</v>
      </c>
    </row>
    <row r="14" spans="1:11">
      <c r="A14" s="74">
        <v>13</v>
      </c>
      <c r="B14" s="74" t="s">
        <v>4299</v>
      </c>
      <c r="C14" s="74">
        <v>240</v>
      </c>
      <c r="D14" s="110">
        <f t="shared" si="0"/>
        <v>6.3159556830442902E-3</v>
      </c>
      <c r="E14" s="111">
        <f>SUM($D$2:D14)</f>
        <v>0.11789783941682676</v>
      </c>
      <c r="F14" s="112">
        <v>0.8</v>
      </c>
    </row>
    <row r="15" spans="1:11">
      <c r="A15" s="74">
        <v>14</v>
      </c>
      <c r="B15" s="74" t="s">
        <v>1607</v>
      </c>
      <c r="C15" s="74">
        <v>235</v>
      </c>
      <c r="D15" s="110">
        <f t="shared" si="0"/>
        <v>6.1843732729808679E-3</v>
      </c>
      <c r="E15" s="111">
        <f>SUM($D$2:D15)</f>
        <v>0.12408221268980762</v>
      </c>
      <c r="F15" s="112">
        <v>0.8</v>
      </c>
    </row>
    <row r="16" spans="1:11">
      <c r="A16" s="74">
        <v>15</v>
      </c>
      <c r="B16" s="74" t="s">
        <v>4524</v>
      </c>
      <c r="C16" s="74">
        <v>232</v>
      </c>
      <c r="D16" s="110">
        <f t="shared" si="0"/>
        <v>6.1054238269428142E-3</v>
      </c>
      <c r="E16" s="111">
        <f>SUM($D$2:D16)</f>
        <v>0.13018763651675044</v>
      </c>
      <c r="F16" s="112">
        <v>0.8</v>
      </c>
    </row>
    <row r="17" spans="1:6">
      <c r="A17" s="74">
        <v>16</v>
      </c>
      <c r="B17" s="74" t="s">
        <v>1243</v>
      </c>
      <c r="C17" s="74">
        <v>230</v>
      </c>
      <c r="D17" s="110">
        <f t="shared" si="0"/>
        <v>6.0527908629174456E-3</v>
      </c>
      <c r="E17" s="111">
        <f>SUM($D$2:D17)</f>
        <v>0.13624042737966788</v>
      </c>
      <c r="F17" s="112">
        <v>0.8</v>
      </c>
    </row>
    <row r="18" spans="1:6">
      <c r="A18" s="74">
        <v>17</v>
      </c>
      <c r="B18" s="74" t="s">
        <v>4293</v>
      </c>
      <c r="C18" s="74">
        <v>230</v>
      </c>
      <c r="D18" s="110">
        <f t="shared" si="0"/>
        <v>6.0527908629174456E-3</v>
      </c>
      <c r="E18" s="111">
        <f>SUM($D$2:D18)</f>
        <v>0.14229321824258531</v>
      </c>
      <c r="F18" s="112">
        <v>0.8</v>
      </c>
    </row>
    <row r="19" spans="1:6">
      <c r="A19" s="74">
        <v>18</v>
      </c>
      <c r="B19" s="74" t="s">
        <v>4290</v>
      </c>
      <c r="C19" s="74">
        <v>229</v>
      </c>
      <c r="D19" s="110">
        <f t="shared" si="0"/>
        <v>6.0264743809047604E-3</v>
      </c>
      <c r="E19" s="111">
        <f>SUM($D$2:D19)</f>
        <v>0.14831969262349007</v>
      </c>
      <c r="F19" s="112">
        <v>0.8</v>
      </c>
    </row>
    <row r="20" spans="1:6">
      <c r="A20" s="74">
        <v>19</v>
      </c>
      <c r="B20" s="74" t="s">
        <v>4300</v>
      </c>
      <c r="C20" s="74">
        <v>227</v>
      </c>
      <c r="D20" s="110">
        <f t="shared" si="0"/>
        <v>5.9738414168793918E-3</v>
      </c>
      <c r="E20" s="111">
        <f>SUM($D$2:D20)</f>
        <v>0.15429353404036947</v>
      </c>
      <c r="F20" s="112">
        <v>0.8</v>
      </c>
    </row>
    <row r="21" spans="1:6">
      <c r="A21" s="74">
        <v>20</v>
      </c>
      <c r="B21" s="74" t="s">
        <v>4421</v>
      </c>
      <c r="C21" s="74">
        <v>225</v>
      </c>
      <c r="D21" s="110">
        <f t="shared" si="0"/>
        <v>5.9212084528540224E-3</v>
      </c>
      <c r="E21" s="111">
        <f>SUM($D$2:D21)</f>
        <v>0.16021474249322348</v>
      </c>
      <c r="F21" s="112">
        <v>0.8</v>
      </c>
    </row>
    <row r="22" spans="1:6">
      <c r="A22" s="74">
        <v>21</v>
      </c>
      <c r="B22" s="74" t="s">
        <v>4281</v>
      </c>
      <c r="C22" s="74">
        <v>224</v>
      </c>
      <c r="D22" s="110">
        <f t="shared" si="0"/>
        <v>5.8948919708413381E-3</v>
      </c>
      <c r="E22" s="111">
        <f>SUM($D$2:D22)</f>
        <v>0.16610963446406482</v>
      </c>
      <c r="F22" s="112">
        <v>0.8</v>
      </c>
    </row>
    <row r="23" spans="1:6">
      <c r="A23" s="74">
        <v>22</v>
      </c>
      <c r="B23" s="74" t="s">
        <v>4287</v>
      </c>
      <c r="C23" s="74">
        <v>221</v>
      </c>
      <c r="D23" s="110">
        <f t="shared" si="0"/>
        <v>5.8159425248032843E-3</v>
      </c>
      <c r="E23" s="111">
        <f>SUM($D$2:D23)</f>
        <v>0.1719255769888681</v>
      </c>
      <c r="F23" s="112">
        <v>0.8</v>
      </c>
    </row>
    <row r="24" spans="1:6">
      <c r="A24" s="74">
        <v>23</v>
      </c>
      <c r="B24" s="74" t="s">
        <v>4282</v>
      </c>
      <c r="C24" s="74">
        <v>219</v>
      </c>
      <c r="D24" s="110">
        <f t="shared" si="0"/>
        <v>5.7633095607779149E-3</v>
      </c>
      <c r="E24" s="111">
        <f>SUM($D$2:D24)</f>
        <v>0.17768888654964601</v>
      </c>
      <c r="F24" s="112">
        <v>0.8</v>
      </c>
    </row>
    <row r="25" spans="1:6">
      <c r="A25" s="74">
        <v>24</v>
      </c>
      <c r="B25" s="97" t="s">
        <v>3207</v>
      </c>
      <c r="C25" s="74">
        <v>214</v>
      </c>
      <c r="D25" s="110">
        <f t="shared" si="0"/>
        <v>5.6317271507144925E-3</v>
      </c>
      <c r="E25" s="111">
        <f>SUM($D$2:D25)</f>
        <v>0.18332061370036051</v>
      </c>
      <c r="F25" s="112">
        <v>0.8</v>
      </c>
    </row>
    <row r="26" spans="1:6">
      <c r="A26" s="74">
        <v>25</v>
      </c>
      <c r="B26" s="74" t="s">
        <v>8313</v>
      </c>
      <c r="C26" s="74">
        <v>209</v>
      </c>
      <c r="D26" s="110">
        <f t="shared" si="0"/>
        <v>5.5001447406510693E-3</v>
      </c>
      <c r="E26" s="111">
        <f>SUM($D$2:D26)</f>
        <v>0.18882075844101159</v>
      </c>
      <c r="F26" s="112">
        <v>0.8</v>
      </c>
    </row>
    <row r="27" spans="1:6">
      <c r="A27" s="74">
        <v>26</v>
      </c>
      <c r="B27" s="74" t="s">
        <v>4445</v>
      </c>
      <c r="C27" s="74">
        <v>208</v>
      </c>
      <c r="D27" s="110">
        <f t="shared" si="0"/>
        <v>5.473828258638385E-3</v>
      </c>
      <c r="E27" s="111">
        <f>SUM($D$2:D27)</f>
        <v>0.19429458669964997</v>
      </c>
      <c r="F27" s="112">
        <v>0.8</v>
      </c>
    </row>
    <row r="28" spans="1:6">
      <c r="A28" s="74">
        <v>27</v>
      </c>
      <c r="B28" s="74" t="s">
        <v>4571</v>
      </c>
      <c r="C28" s="74">
        <v>205</v>
      </c>
      <c r="D28" s="110">
        <f t="shared" si="0"/>
        <v>5.3948788126003313E-3</v>
      </c>
      <c r="E28" s="111">
        <f>SUM($D$2:D28)</f>
        <v>0.19968946551225031</v>
      </c>
      <c r="F28" s="112">
        <v>0.8</v>
      </c>
    </row>
    <row r="29" spans="1:6">
      <c r="A29" s="74">
        <v>28</v>
      </c>
      <c r="B29" s="74" t="s">
        <v>4932</v>
      </c>
      <c r="C29" s="74">
        <v>205</v>
      </c>
      <c r="D29" s="110">
        <f t="shared" si="0"/>
        <v>5.3948788126003313E-3</v>
      </c>
      <c r="E29" s="111">
        <f>SUM($D$2:D29)</f>
        <v>0.20508434432485065</v>
      </c>
      <c r="F29" s="112">
        <v>0.8</v>
      </c>
    </row>
    <row r="30" spans="1:6">
      <c r="A30" s="74">
        <v>29</v>
      </c>
      <c r="B30" s="74" t="s">
        <v>4828</v>
      </c>
      <c r="C30" s="74">
        <v>198</v>
      </c>
      <c r="D30" s="110">
        <f t="shared" si="0"/>
        <v>5.2106634385115395E-3</v>
      </c>
      <c r="E30" s="111">
        <f>SUM($D$2:D30)</f>
        <v>0.21029500776336219</v>
      </c>
      <c r="F30" s="112">
        <v>0.8</v>
      </c>
    </row>
    <row r="31" spans="1:6">
      <c r="A31" s="74">
        <v>30</v>
      </c>
      <c r="B31" s="74" t="s">
        <v>4580</v>
      </c>
      <c r="C31" s="74">
        <v>197</v>
      </c>
      <c r="D31" s="110">
        <f t="shared" si="0"/>
        <v>5.1843469564988552E-3</v>
      </c>
      <c r="E31" s="111">
        <f>SUM($D$2:D31)</f>
        <v>0.21547935471986104</v>
      </c>
      <c r="F31" s="112">
        <v>0.8</v>
      </c>
    </row>
    <row r="32" spans="1:6">
      <c r="A32" s="74">
        <v>31</v>
      </c>
      <c r="B32" s="74" t="s">
        <v>1289</v>
      </c>
      <c r="C32" s="74">
        <v>195</v>
      </c>
      <c r="D32" s="110">
        <f t="shared" si="0"/>
        <v>5.1317139924734858E-3</v>
      </c>
      <c r="E32" s="111">
        <f>SUM($D$2:D32)</f>
        <v>0.22061106871233452</v>
      </c>
      <c r="F32" s="112">
        <v>0.8</v>
      </c>
    </row>
    <row r="33" spans="1:6">
      <c r="A33" s="74">
        <v>32</v>
      </c>
      <c r="B33" s="74" t="s">
        <v>3175</v>
      </c>
      <c r="C33" s="74">
        <v>192</v>
      </c>
      <c r="D33" s="110">
        <f t="shared" si="0"/>
        <v>5.0527645464354329E-3</v>
      </c>
      <c r="E33" s="111">
        <f>SUM($D$2:D33)</f>
        <v>0.22566383325876996</v>
      </c>
      <c r="F33" s="112">
        <v>0.8</v>
      </c>
    </row>
    <row r="34" spans="1:6">
      <c r="A34" s="74">
        <v>33</v>
      </c>
      <c r="B34" s="74" t="s">
        <v>7947</v>
      </c>
      <c r="C34" s="74">
        <v>191</v>
      </c>
      <c r="D34" s="110">
        <f t="shared" si="0"/>
        <v>5.0264480644227477E-3</v>
      </c>
      <c r="E34" s="111">
        <f>SUM($D$2:D34)</f>
        <v>0.23069028132319269</v>
      </c>
      <c r="F34" s="112">
        <v>0.8</v>
      </c>
    </row>
    <row r="35" spans="1:6">
      <c r="A35" s="74">
        <v>34</v>
      </c>
      <c r="B35" s="74" t="s">
        <v>168</v>
      </c>
      <c r="C35" s="74">
        <v>190</v>
      </c>
      <c r="D35" s="110">
        <f t="shared" si="0"/>
        <v>5.0001315824100634E-3</v>
      </c>
      <c r="E35" s="111">
        <f>SUM($D$2:D35)</f>
        <v>0.23569041290560275</v>
      </c>
      <c r="F35" s="112">
        <v>0.8</v>
      </c>
    </row>
    <row r="36" spans="1:6">
      <c r="A36" s="74">
        <v>35</v>
      </c>
      <c r="B36" s="74" t="s">
        <v>7848</v>
      </c>
      <c r="C36" s="74">
        <v>182</v>
      </c>
      <c r="D36" s="110">
        <f t="shared" si="0"/>
        <v>4.7895997263085873E-3</v>
      </c>
      <c r="E36" s="111">
        <f>SUM($D$2:D36)</f>
        <v>0.24048001263191132</v>
      </c>
      <c r="F36" s="112">
        <v>0.8</v>
      </c>
    </row>
    <row r="37" spans="1:6">
      <c r="A37" s="74">
        <v>36</v>
      </c>
      <c r="B37" s="74" t="s">
        <v>1608</v>
      </c>
      <c r="C37" s="74">
        <v>180</v>
      </c>
      <c r="D37" s="110">
        <f t="shared" si="0"/>
        <v>4.7369667622832179E-3</v>
      </c>
      <c r="E37" s="111">
        <f>SUM($D$2:D37)</f>
        <v>0.24521697939419454</v>
      </c>
      <c r="F37" s="112">
        <v>0.8</v>
      </c>
    </row>
    <row r="38" spans="1:6">
      <c r="A38" s="74">
        <v>37</v>
      </c>
      <c r="B38" s="74" t="s">
        <v>8234</v>
      </c>
      <c r="C38" s="74">
        <v>176</v>
      </c>
      <c r="D38" s="110">
        <f t="shared" si="0"/>
        <v>4.6317008342324799E-3</v>
      </c>
      <c r="E38" s="111">
        <f>SUM($D$2:D38)</f>
        <v>0.24984868022842702</v>
      </c>
      <c r="F38" s="112">
        <v>0.8</v>
      </c>
    </row>
    <row r="39" spans="1:6">
      <c r="A39" s="74">
        <v>38</v>
      </c>
      <c r="B39" s="74" t="s">
        <v>4548</v>
      </c>
      <c r="C39" s="74">
        <v>174</v>
      </c>
      <c r="D39" s="110">
        <f t="shared" si="0"/>
        <v>4.5790678702071104E-3</v>
      </c>
      <c r="E39" s="111">
        <f>SUM($D$2:D39)</f>
        <v>0.25442774809863411</v>
      </c>
      <c r="F39" s="112">
        <v>0.8</v>
      </c>
    </row>
    <row r="40" spans="1:6">
      <c r="A40" s="74">
        <v>39</v>
      </c>
      <c r="B40" s="74" t="s">
        <v>1371</v>
      </c>
      <c r="C40" s="74">
        <v>170</v>
      </c>
      <c r="D40" s="110">
        <f t="shared" si="0"/>
        <v>4.4738019421563724E-3</v>
      </c>
      <c r="E40" s="111">
        <f>SUM($D$2:D40)</f>
        <v>0.25890155004079046</v>
      </c>
      <c r="F40" s="112">
        <v>0.8</v>
      </c>
    </row>
    <row r="41" spans="1:6">
      <c r="A41" s="74">
        <v>40</v>
      </c>
      <c r="B41" s="97" t="s">
        <v>280</v>
      </c>
      <c r="C41" s="74">
        <v>162</v>
      </c>
      <c r="D41" s="110">
        <f t="shared" si="0"/>
        <v>4.2632700860548963E-3</v>
      </c>
      <c r="E41" s="111">
        <f>SUM($D$2:D41)</f>
        <v>0.26316482012684533</v>
      </c>
      <c r="F41" s="112">
        <v>0.8</v>
      </c>
    </row>
    <row r="42" spans="1:6">
      <c r="A42" s="74">
        <v>41</v>
      </c>
      <c r="B42" s="74" t="s">
        <v>1634</v>
      </c>
      <c r="C42" s="74">
        <v>157</v>
      </c>
      <c r="D42" s="110">
        <f t="shared" si="0"/>
        <v>4.1316876759914731E-3</v>
      </c>
      <c r="E42" s="111">
        <f>SUM($D$2:D42)</f>
        <v>0.26729650780283681</v>
      </c>
      <c r="F42" s="112">
        <v>0.8</v>
      </c>
    </row>
    <row r="43" spans="1:6">
      <c r="A43" s="74">
        <v>42</v>
      </c>
      <c r="B43" s="74" t="s">
        <v>4291</v>
      </c>
      <c r="C43" s="74">
        <v>157</v>
      </c>
      <c r="D43" s="110">
        <f t="shared" si="0"/>
        <v>4.1316876759914731E-3</v>
      </c>
      <c r="E43" s="111">
        <f>SUM($D$2:D43)</f>
        <v>0.27142819547882829</v>
      </c>
      <c r="F43" s="112">
        <v>0.8</v>
      </c>
    </row>
    <row r="44" spans="1:6">
      <c r="A44" s="74">
        <v>43</v>
      </c>
      <c r="B44" s="74" t="s">
        <v>660</v>
      </c>
      <c r="C44" s="74">
        <v>156</v>
      </c>
      <c r="D44" s="110">
        <f t="shared" si="0"/>
        <v>4.1053711939787888E-3</v>
      </c>
      <c r="E44" s="111">
        <f>SUM($D$2:D44)</f>
        <v>0.2755335666728071</v>
      </c>
      <c r="F44" s="112">
        <v>0.8</v>
      </c>
    </row>
    <row r="45" spans="1:6">
      <c r="A45" s="74">
        <v>44</v>
      </c>
      <c r="B45" s="74" t="s">
        <v>4507</v>
      </c>
      <c r="C45" s="74">
        <v>155</v>
      </c>
      <c r="D45" s="110">
        <f t="shared" si="0"/>
        <v>4.0790547119661045E-3</v>
      </c>
      <c r="E45" s="111">
        <f>SUM($D$2:D45)</f>
        <v>0.27961262138477322</v>
      </c>
      <c r="F45" s="112">
        <v>0.8</v>
      </c>
    </row>
    <row r="46" spans="1:6">
      <c r="A46" s="74">
        <v>45</v>
      </c>
      <c r="B46" s="74" t="s">
        <v>8491</v>
      </c>
      <c r="C46" s="74">
        <v>153</v>
      </c>
      <c r="D46" s="110">
        <f t="shared" si="0"/>
        <v>4.026421747940735E-3</v>
      </c>
      <c r="E46" s="111">
        <f>SUM($D$2:D46)</f>
        <v>0.28363904313271393</v>
      </c>
      <c r="F46" s="112">
        <v>0.8</v>
      </c>
    </row>
    <row r="47" spans="1:6">
      <c r="A47" s="74">
        <v>46</v>
      </c>
      <c r="B47" s="74" t="s">
        <v>8568</v>
      </c>
      <c r="C47" s="74">
        <v>153</v>
      </c>
      <c r="D47" s="110">
        <f t="shared" si="0"/>
        <v>4.026421747940735E-3</v>
      </c>
      <c r="E47" s="111">
        <f>SUM($D$2:D47)</f>
        <v>0.28766546488065464</v>
      </c>
      <c r="F47" s="112">
        <v>0.8</v>
      </c>
    </row>
    <row r="48" spans="1:6">
      <c r="A48" s="74">
        <v>47</v>
      </c>
      <c r="B48" s="74" t="s">
        <v>4590</v>
      </c>
      <c r="C48" s="74">
        <v>152</v>
      </c>
      <c r="D48" s="110">
        <f t="shared" si="0"/>
        <v>4.0001052659280507E-3</v>
      </c>
      <c r="E48" s="111">
        <f>SUM($D$2:D48)</f>
        <v>0.29166557014658268</v>
      </c>
      <c r="F48" s="112">
        <v>0.8</v>
      </c>
    </row>
    <row r="49" spans="1:6">
      <c r="A49" s="74">
        <v>48</v>
      </c>
      <c r="B49" s="74" t="s">
        <v>1388</v>
      </c>
      <c r="C49" s="74">
        <v>152</v>
      </c>
      <c r="D49" s="110">
        <f t="shared" si="0"/>
        <v>4.0001052659280507E-3</v>
      </c>
      <c r="E49" s="111">
        <f>SUM($D$2:D49)</f>
        <v>0.29566567541251071</v>
      </c>
      <c r="F49" s="112">
        <v>0.8</v>
      </c>
    </row>
    <row r="50" spans="1:6">
      <c r="A50" s="74">
        <v>49</v>
      </c>
      <c r="B50" s="74" t="s">
        <v>7990</v>
      </c>
      <c r="C50" s="74">
        <v>150</v>
      </c>
      <c r="D50" s="110">
        <f t="shared" si="0"/>
        <v>3.9474723019026813E-3</v>
      </c>
      <c r="E50" s="111">
        <f>SUM($D$2:D50)</f>
        <v>0.29961314771441339</v>
      </c>
      <c r="F50" s="112">
        <v>0.8</v>
      </c>
    </row>
    <row r="51" spans="1:6">
      <c r="A51" s="74">
        <v>50</v>
      </c>
      <c r="B51" s="74" t="s">
        <v>1570</v>
      </c>
      <c r="C51" s="74">
        <v>149</v>
      </c>
      <c r="D51" s="110">
        <f t="shared" si="0"/>
        <v>3.921155819889997E-3</v>
      </c>
      <c r="E51" s="111">
        <f>SUM($D$2:D51)</f>
        <v>0.30353430353430338</v>
      </c>
      <c r="F51" s="112">
        <v>0.8</v>
      </c>
    </row>
    <row r="52" spans="1:6">
      <c r="A52" s="74">
        <v>51</v>
      </c>
      <c r="B52" s="74" t="s">
        <v>4736</v>
      </c>
      <c r="C52" s="74">
        <v>148</v>
      </c>
      <c r="D52" s="110">
        <f t="shared" si="0"/>
        <v>3.8948393378773127E-3</v>
      </c>
      <c r="E52" s="111">
        <f>SUM($D$2:D52)</f>
        <v>0.30742914287218071</v>
      </c>
      <c r="F52" s="112">
        <v>0.8</v>
      </c>
    </row>
    <row r="53" spans="1:6">
      <c r="A53" s="74">
        <v>52</v>
      </c>
      <c r="B53" s="74" t="s">
        <v>8698</v>
      </c>
      <c r="C53" s="74">
        <v>148</v>
      </c>
      <c r="D53" s="110">
        <f t="shared" si="0"/>
        <v>3.8948393378773127E-3</v>
      </c>
      <c r="E53" s="111">
        <f>SUM($D$2:D53)</f>
        <v>0.31132398221005803</v>
      </c>
      <c r="F53" s="112">
        <v>0.8</v>
      </c>
    </row>
    <row r="54" spans="1:6">
      <c r="A54" s="74">
        <v>53</v>
      </c>
      <c r="B54" s="74" t="s">
        <v>4533</v>
      </c>
      <c r="C54" s="74">
        <v>146</v>
      </c>
      <c r="D54" s="110">
        <f t="shared" si="0"/>
        <v>3.8422063738519437E-3</v>
      </c>
      <c r="E54" s="111">
        <f>SUM($D$2:D54)</f>
        <v>0.31516618858390999</v>
      </c>
      <c r="F54" s="112">
        <v>0.8</v>
      </c>
    </row>
    <row r="55" spans="1:6">
      <c r="A55" s="74">
        <v>54</v>
      </c>
      <c r="B55" s="74" t="s">
        <v>4831</v>
      </c>
      <c r="C55" s="74">
        <v>146</v>
      </c>
      <c r="D55" s="110">
        <f t="shared" si="0"/>
        <v>3.8422063738519437E-3</v>
      </c>
      <c r="E55" s="111">
        <f>SUM($D$2:D55)</f>
        <v>0.31900839495776195</v>
      </c>
      <c r="F55" s="112">
        <v>0.8</v>
      </c>
    </row>
    <row r="56" spans="1:6">
      <c r="A56" s="74">
        <v>55</v>
      </c>
      <c r="B56" s="74" t="s">
        <v>4885</v>
      </c>
      <c r="C56" s="74">
        <v>146</v>
      </c>
      <c r="D56" s="110">
        <f t="shared" si="0"/>
        <v>3.8422063738519437E-3</v>
      </c>
      <c r="E56" s="111">
        <f>SUM($D$2:D56)</f>
        <v>0.32285060133161392</v>
      </c>
      <c r="F56" s="112">
        <v>0.8</v>
      </c>
    </row>
    <row r="57" spans="1:6">
      <c r="A57" s="74">
        <v>56</v>
      </c>
      <c r="B57" s="74" t="s">
        <v>7983</v>
      </c>
      <c r="C57" s="74">
        <v>146</v>
      </c>
      <c r="D57" s="110">
        <f t="shared" si="0"/>
        <v>3.8422063738519437E-3</v>
      </c>
      <c r="E57" s="111">
        <f>SUM($D$2:D57)</f>
        <v>0.32669280770546588</v>
      </c>
      <c r="F57" s="112">
        <v>0.8</v>
      </c>
    </row>
    <row r="58" spans="1:6">
      <c r="A58" s="74">
        <v>57</v>
      </c>
      <c r="B58" s="74" t="s">
        <v>2828</v>
      </c>
      <c r="C58" s="74">
        <v>145</v>
      </c>
      <c r="D58" s="110">
        <f t="shared" si="0"/>
        <v>3.815889891839259E-3</v>
      </c>
      <c r="E58" s="111">
        <f>SUM($D$2:D58)</f>
        <v>0.33050869759730517</v>
      </c>
      <c r="F58" s="112">
        <v>0.8</v>
      </c>
    </row>
    <row r="59" spans="1:6">
      <c r="A59" s="74">
        <v>58</v>
      </c>
      <c r="B59" s="74" t="s">
        <v>4976</v>
      </c>
      <c r="C59" s="74">
        <v>145</v>
      </c>
      <c r="D59" s="110">
        <f t="shared" si="0"/>
        <v>3.815889891839259E-3</v>
      </c>
      <c r="E59" s="111">
        <f>SUM($D$2:D59)</f>
        <v>0.33432458748914445</v>
      </c>
      <c r="F59" s="112">
        <v>0.8</v>
      </c>
    </row>
    <row r="60" spans="1:6">
      <c r="A60" s="74">
        <v>59</v>
      </c>
      <c r="B60" s="74" t="s">
        <v>4288</v>
      </c>
      <c r="C60" s="74">
        <v>144</v>
      </c>
      <c r="D60" s="110">
        <f t="shared" si="0"/>
        <v>3.7895734098265742E-3</v>
      </c>
      <c r="E60" s="111">
        <f>SUM($D$2:D60)</f>
        <v>0.33811416089897101</v>
      </c>
      <c r="F60" s="112">
        <v>0.8</v>
      </c>
    </row>
    <row r="61" spans="1:6">
      <c r="A61" s="74">
        <v>60</v>
      </c>
      <c r="B61" s="74" t="s">
        <v>8189</v>
      </c>
      <c r="C61" s="74">
        <v>139</v>
      </c>
      <c r="D61" s="110">
        <f t="shared" si="0"/>
        <v>3.6579909997631515E-3</v>
      </c>
      <c r="E61" s="111">
        <f>SUM($D$2:D61)</f>
        <v>0.34177215189873417</v>
      </c>
      <c r="F61" s="112">
        <v>0.8</v>
      </c>
    </row>
    <row r="62" spans="1:6">
      <c r="A62" s="74">
        <v>61</v>
      </c>
      <c r="B62" s="74" t="s">
        <v>1632</v>
      </c>
      <c r="C62" s="74">
        <v>138</v>
      </c>
      <c r="D62" s="110">
        <f t="shared" si="0"/>
        <v>3.6316745177504672E-3</v>
      </c>
      <c r="E62" s="111">
        <f>SUM($D$2:D62)</f>
        <v>0.34540382641648465</v>
      </c>
      <c r="F62" s="112">
        <v>0.8</v>
      </c>
    </row>
    <row r="63" spans="1:6">
      <c r="A63" s="74">
        <v>62</v>
      </c>
      <c r="B63" s="74" t="s">
        <v>4905</v>
      </c>
      <c r="C63" s="74">
        <v>137</v>
      </c>
      <c r="D63" s="110">
        <f t="shared" si="0"/>
        <v>3.6053580357377824E-3</v>
      </c>
      <c r="E63" s="111">
        <f>SUM($D$2:D63)</f>
        <v>0.34900918445222245</v>
      </c>
      <c r="F63" s="112">
        <v>0.8</v>
      </c>
    </row>
    <row r="64" spans="1:6">
      <c r="A64" s="74">
        <v>63</v>
      </c>
      <c r="B64" s="74" t="s">
        <v>1490</v>
      </c>
      <c r="C64" s="74">
        <v>135</v>
      </c>
      <c r="D64" s="110">
        <f t="shared" si="0"/>
        <v>3.5527250717124134E-3</v>
      </c>
      <c r="E64" s="111">
        <f>SUM($D$2:D64)</f>
        <v>0.35256190952393485</v>
      </c>
      <c r="F64" s="112">
        <v>0.8</v>
      </c>
    </row>
    <row r="65" spans="1:6">
      <c r="A65" s="74">
        <v>64</v>
      </c>
      <c r="B65" s="74" t="s">
        <v>1248</v>
      </c>
      <c r="C65" s="74">
        <v>135</v>
      </c>
      <c r="D65" s="110">
        <f t="shared" si="0"/>
        <v>3.5527250717124134E-3</v>
      </c>
      <c r="E65" s="111">
        <f>SUM($D$2:D65)</f>
        <v>0.35611463459564724</v>
      </c>
      <c r="F65" s="112">
        <v>0.8</v>
      </c>
    </row>
    <row r="66" spans="1:6">
      <c r="A66" s="74">
        <v>65</v>
      </c>
      <c r="B66" s="74" t="s">
        <v>301</v>
      </c>
      <c r="C66" s="74">
        <v>134</v>
      </c>
      <c r="D66" s="110">
        <f t="shared" ref="D66:D129" si="1">C66/$K$2</f>
        <v>3.5264085896997291E-3</v>
      </c>
      <c r="E66" s="111">
        <f>SUM($D$2:D66)</f>
        <v>0.35964104318534695</v>
      </c>
      <c r="F66" s="112">
        <v>0.8</v>
      </c>
    </row>
    <row r="67" spans="1:6">
      <c r="A67" s="74">
        <v>66</v>
      </c>
      <c r="B67" s="74" t="s">
        <v>8566</v>
      </c>
      <c r="C67" s="74">
        <v>134</v>
      </c>
      <c r="D67" s="110">
        <f t="shared" si="1"/>
        <v>3.5264085896997291E-3</v>
      </c>
      <c r="E67" s="111">
        <f>SUM($D$2:D67)</f>
        <v>0.36316745177504667</v>
      </c>
      <c r="F67" s="112">
        <v>0.8</v>
      </c>
    </row>
    <row r="68" spans="1:6">
      <c r="A68" s="74">
        <v>67</v>
      </c>
      <c r="B68" s="97" t="s">
        <v>3207</v>
      </c>
      <c r="C68" s="74">
        <v>133</v>
      </c>
      <c r="D68" s="110">
        <f t="shared" si="1"/>
        <v>3.5000921076870444E-3</v>
      </c>
      <c r="E68" s="111">
        <f>SUM($D$2:D68)</f>
        <v>0.3666675438827337</v>
      </c>
      <c r="F68" s="112">
        <v>0.8</v>
      </c>
    </row>
    <row r="69" spans="1:6">
      <c r="A69" s="74">
        <v>68</v>
      </c>
      <c r="B69" s="97" t="s">
        <v>1288</v>
      </c>
      <c r="C69" s="74">
        <v>133</v>
      </c>
      <c r="D69" s="110">
        <f t="shared" si="1"/>
        <v>3.5000921076870444E-3</v>
      </c>
      <c r="E69" s="111">
        <f>SUM($D$2:D69)</f>
        <v>0.37016763599042074</v>
      </c>
      <c r="F69" s="112">
        <v>0.8</v>
      </c>
    </row>
    <row r="70" spans="1:6">
      <c r="A70" s="74">
        <v>69</v>
      </c>
      <c r="B70" s="74" t="s">
        <v>4520</v>
      </c>
      <c r="C70" s="74">
        <v>133</v>
      </c>
      <c r="D70" s="110">
        <f t="shared" si="1"/>
        <v>3.5000921076870444E-3</v>
      </c>
      <c r="E70" s="111">
        <f>SUM($D$2:D70)</f>
        <v>0.37366772809810778</v>
      </c>
      <c r="F70" s="112">
        <v>0.8</v>
      </c>
    </row>
    <row r="71" spans="1:6">
      <c r="A71" s="74">
        <v>70</v>
      </c>
      <c r="B71" s="74" t="s">
        <v>1346</v>
      </c>
      <c r="C71" s="74">
        <v>133</v>
      </c>
      <c r="D71" s="110">
        <f t="shared" si="1"/>
        <v>3.5000921076870444E-3</v>
      </c>
      <c r="E71" s="111">
        <f>SUM($D$2:D71)</f>
        <v>0.37716782020579481</v>
      </c>
      <c r="F71" s="112">
        <v>0.8</v>
      </c>
    </row>
    <row r="72" spans="1:6">
      <c r="A72" s="74">
        <v>71</v>
      </c>
      <c r="B72" s="74" t="s">
        <v>2360</v>
      </c>
      <c r="C72" s="74">
        <v>132</v>
      </c>
      <c r="D72" s="110">
        <f t="shared" si="1"/>
        <v>3.4737756256743597E-3</v>
      </c>
      <c r="E72" s="111">
        <f>SUM($D$2:D72)</f>
        <v>0.38064159583146917</v>
      </c>
      <c r="F72" s="112">
        <v>0.8</v>
      </c>
    </row>
    <row r="73" spans="1:6">
      <c r="A73" s="74">
        <v>72</v>
      </c>
      <c r="B73" s="74" t="s">
        <v>8653</v>
      </c>
      <c r="C73" s="74">
        <v>130</v>
      </c>
      <c r="D73" s="110">
        <f t="shared" si="1"/>
        <v>3.4211426616489907E-3</v>
      </c>
      <c r="E73" s="111">
        <f>SUM($D$2:D73)</f>
        <v>0.38406273849311817</v>
      </c>
      <c r="F73" s="112">
        <v>0.8</v>
      </c>
    </row>
    <row r="74" spans="1:6">
      <c r="A74" s="74">
        <v>73</v>
      </c>
      <c r="B74" s="74" t="s">
        <v>4497</v>
      </c>
      <c r="C74" s="74">
        <v>130</v>
      </c>
      <c r="D74" s="110">
        <f t="shared" si="1"/>
        <v>3.4211426616489907E-3</v>
      </c>
      <c r="E74" s="111">
        <f>SUM($D$2:D74)</f>
        <v>0.38748388115476717</v>
      </c>
      <c r="F74" s="112">
        <v>0.8</v>
      </c>
    </row>
    <row r="75" spans="1:6">
      <c r="A75" s="74">
        <v>74</v>
      </c>
      <c r="B75" s="74" t="s">
        <v>2594</v>
      </c>
      <c r="C75" s="74">
        <v>129</v>
      </c>
      <c r="D75" s="110">
        <f t="shared" si="1"/>
        <v>3.3948261796363064E-3</v>
      </c>
      <c r="E75" s="111">
        <f>SUM($D$2:D75)</f>
        <v>0.3908787073344035</v>
      </c>
      <c r="F75" s="112">
        <v>0.8</v>
      </c>
    </row>
    <row r="76" spans="1:6">
      <c r="A76" s="74">
        <v>75</v>
      </c>
      <c r="B76" s="74" t="s">
        <v>1584</v>
      </c>
      <c r="C76" s="74">
        <v>129</v>
      </c>
      <c r="D76" s="110">
        <f t="shared" si="1"/>
        <v>3.3948261796363064E-3</v>
      </c>
      <c r="E76" s="111">
        <f>SUM($D$2:D76)</f>
        <v>0.39427353351403982</v>
      </c>
      <c r="F76" s="112">
        <v>0.8</v>
      </c>
    </row>
    <row r="77" spans="1:6">
      <c r="A77" s="74">
        <v>76</v>
      </c>
      <c r="B77" s="74" t="s">
        <v>1352</v>
      </c>
      <c r="C77" s="74">
        <v>124</v>
      </c>
      <c r="D77" s="110">
        <f t="shared" si="1"/>
        <v>3.2632437695728836E-3</v>
      </c>
      <c r="E77" s="111">
        <f>SUM($D$2:D77)</f>
        <v>0.3975367772836127</v>
      </c>
      <c r="F77" s="112">
        <v>0.8</v>
      </c>
    </row>
    <row r="78" spans="1:6">
      <c r="A78" s="74">
        <v>77</v>
      </c>
      <c r="B78" s="74" t="s">
        <v>7941</v>
      </c>
      <c r="C78" s="74">
        <v>123</v>
      </c>
      <c r="D78" s="110">
        <f t="shared" si="1"/>
        <v>3.2369272875601989E-3</v>
      </c>
      <c r="E78" s="111">
        <f>SUM($D$2:D78)</f>
        <v>0.4007737045711729</v>
      </c>
      <c r="F78" s="112">
        <v>0.8</v>
      </c>
    </row>
    <row r="79" spans="1:6">
      <c r="A79" s="74">
        <v>78</v>
      </c>
      <c r="B79" s="74" t="s">
        <v>1401</v>
      </c>
      <c r="C79" s="74">
        <v>122</v>
      </c>
      <c r="D79" s="110">
        <f t="shared" si="1"/>
        <v>3.2106108055475146E-3</v>
      </c>
      <c r="E79" s="111">
        <f>SUM($D$2:D79)</f>
        <v>0.40398431537672042</v>
      </c>
      <c r="F79" s="112">
        <v>0.8</v>
      </c>
    </row>
    <row r="80" spans="1:6">
      <c r="A80" s="74">
        <v>79</v>
      </c>
      <c r="B80" s="74" t="s">
        <v>1379</v>
      </c>
      <c r="C80" s="74">
        <v>122</v>
      </c>
      <c r="D80" s="110">
        <f t="shared" si="1"/>
        <v>3.2106108055475146E-3</v>
      </c>
      <c r="E80" s="111">
        <f>SUM($D$2:D80)</f>
        <v>0.40719492618226794</v>
      </c>
      <c r="F80" s="112">
        <v>0.8</v>
      </c>
    </row>
    <row r="81" spans="1:6">
      <c r="A81" s="74">
        <v>80</v>
      </c>
      <c r="B81" s="74" t="s">
        <v>42</v>
      </c>
      <c r="C81" s="74">
        <v>120</v>
      </c>
      <c r="D81" s="110">
        <f t="shared" si="1"/>
        <v>3.1579778415221451E-3</v>
      </c>
      <c r="E81" s="111">
        <f>SUM($D$2:D81)</f>
        <v>0.4103529040237901</v>
      </c>
      <c r="F81" s="112">
        <v>0.8</v>
      </c>
    </row>
    <row r="82" spans="1:6">
      <c r="A82" s="74">
        <v>81</v>
      </c>
      <c r="B82" s="74" t="s">
        <v>646</v>
      </c>
      <c r="C82" s="74">
        <v>119</v>
      </c>
      <c r="D82" s="110">
        <f t="shared" si="1"/>
        <v>3.1316613595094608E-3</v>
      </c>
      <c r="E82" s="111">
        <f>SUM($D$2:D82)</f>
        <v>0.41348456538329958</v>
      </c>
      <c r="F82" s="112">
        <v>0.8</v>
      </c>
    </row>
    <row r="83" spans="1:6">
      <c r="A83" s="74">
        <v>82</v>
      </c>
      <c r="B83" s="74" t="s">
        <v>4302</v>
      </c>
      <c r="C83" s="74">
        <v>119</v>
      </c>
      <c r="D83" s="110">
        <f t="shared" si="1"/>
        <v>3.1316613595094608E-3</v>
      </c>
      <c r="E83" s="111">
        <f>SUM($D$2:D83)</f>
        <v>0.41661622674280907</v>
      </c>
      <c r="F83" s="112">
        <v>0.8</v>
      </c>
    </row>
    <row r="84" spans="1:6">
      <c r="A84" s="74">
        <v>83</v>
      </c>
      <c r="B84" s="74" t="s">
        <v>1594</v>
      </c>
      <c r="C84" s="74">
        <v>119</v>
      </c>
      <c r="D84" s="110">
        <f t="shared" si="1"/>
        <v>3.1316613595094608E-3</v>
      </c>
      <c r="E84" s="111">
        <f>SUM($D$2:D84)</f>
        <v>0.41974788810231856</v>
      </c>
      <c r="F84" s="112">
        <v>0.8</v>
      </c>
    </row>
    <row r="85" spans="1:6">
      <c r="A85" s="74">
        <v>84</v>
      </c>
      <c r="B85" s="74" t="s">
        <v>2126</v>
      </c>
      <c r="C85" s="74">
        <v>116</v>
      </c>
      <c r="D85" s="110">
        <f t="shared" si="1"/>
        <v>3.0527119134714071E-3</v>
      </c>
      <c r="E85" s="111">
        <f>SUM($D$2:D85)</f>
        <v>0.42280060001578995</v>
      </c>
      <c r="F85" s="112">
        <v>0.8</v>
      </c>
    </row>
    <row r="86" spans="1:6">
      <c r="A86" s="74">
        <v>85</v>
      </c>
      <c r="B86" s="74" t="s">
        <v>8031</v>
      </c>
      <c r="C86" s="74">
        <v>114</v>
      </c>
      <c r="D86" s="110">
        <f t="shared" si="1"/>
        <v>3.0000789494460381E-3</v>
      </c>
      <c r="E86" s="111">
        <f>SUM($D$2:D86)</f>
        <v>0.42580067896523599</v>
      </c>
      <c r="F86" s="112">
        <v>0.8</v>
      </c>
    </row>
    <row r="87" spans="1:6">
      <c r="A87" s="74">
        <v>86</v>
      </c>
      <c r="B87" s="74" t="s">
        <v>1530</v>
      </c>
      <c r="C87" s="74">
        <v>114</v>
      </c>
      <c r="D87" s="110">
        <f t="shared" si="1"/>
        <v>3.0000789494460381E-3</v>
      </c>
      <c r="E87" s="111">
        <f>SUM($D$2:D87)</f>
        <v>0.42880075791468203</v>
      </c>
      <c r="F87" s="112">
        <v>0.8</v>
      </c>
    </row>
    <row r="88" spans="1:6">
      <c r="A88" s="74">
        <v>87</v>
      </c>
      <c r="B88" s="74" t="s">
        <v>1433</v>
      </c>
      <c r="C88" s="74">
        <v>114</v>
      </c>
      <c r="D88" s="110">
        <f t="shared" si="1"/>
        <v>3.0000789494460381E-3</v>
      </c>
      <c r="E88" s="111">
        <f>SUM($D$2:D88)</f>
        <v>0.43180083686412807</v>
      </c>
      <c r="F88" s="112">
        <v>0.8</v>
      </c>
    </row>
    <row r="89" spans="1:6">
      <c r="A89" s="74">
        <v>88</v>
      </c>
      <c r="B89" s="74" t="s">
        <v>679</v>
      </c>
      <c r="C89" s="74">
        <v>112</v>
      </c>
      <c r="D89" s="110">
        <f t="shared" si="1"/>
        <v>2.947445985420669E-3</v>
      </c>
      <c r="E89" s="111">
        <f>SUM($D$2:D89)</f>
        <v>0.43474828284954875</v>
      </c>
      <c r="F89" s="112">
        <v>0.8</v>
      </c>
    </row>
    <row r="90" spans="1:6">
      <c r="A90" s="74">
        <v>89</v>
      </c>
      <c r="B90" s="74" t="s">
        <v>8294</v>
      </c>
      <c r="C90" s="74">
        <v>112</v>
      </c>
      <c r="D90" s="110">
        <f t="shared" si="1"/>
        <v>2.947445985420669E-3</v>
      </c>
      <c r="E90" s="111">
        <f>SUM($D$2:D90)</f>
        <v>0.43769572883496943</v>
      </c>
      <c r="F90" s="112">
        <v>0.8</v>
      </c>
    </row>
    <row r="91" spans="1:6">
      <c r="A91" s="74">
        <v>90</v>
      </c>
      <c r="B91" s="74" t="s">
        <v>4430</v>
      </c>
      <c r="C91" s="74">
        <v>112</v>
      </c>
      <c r="D91" s="110">
        <f t="shared" si="1"/>
        <v>2.947445985420669E-3</v>
      </c>
      <c r="E91" s="111">
        <f>SUM($D$2:D91)</f>
        <v>0.44064317482039012</v>
      </c>
      <c r="F91" s="112">
        <v>0.8</v>
      </c>
    </row>
    <row r="92" spans="1:6">
      <c r="A92" s="74">
        <v>91</v>
      </c>
      <c r="B92" s="74" t="s">
        <v>2640</v>
      </c>
      <c r="C92" s="74">
        <v>111</v>
      </c>
      <c r="D92" s="110">
        <f t="shared" si="1"/>
        <v>2.9211295034079843E-3</v>
      </c>
      <c r="E92" s="111">
        <f>SUM($D$2:D92)</f>
        <v>0.44356430432379812</v>
      </c>
      <c r="F92" s="112">
        <v>0.8</v>
      </c>
    </row>
    <row r="93" spans="1:6">
      <c r="A93" s="74">
        <v>92</v>
      </c>
      <c r="B93" s="74" t="s">
        <v>8419</v>
      </c>
      <c r="C93" s="74">
        <v>111</v>
      </c>
      <c r="D93" s="110">
        <f t="shared" si="1"/>
        <v>2.9211295034079843E-3</v>
      </c>
      <c r="E93" s="111">
        <f>SUM($D$2:D93)</f>
        <v>0.44648543382720612</v>
      </c>
      <c r="F93" s="112">
        <v>0.8</v>
      </c>
    </row>
    <row r="94" spans="1:6">
      <c r="A94" s="74">
        <v>93</v>
      </c>
      <c r="B94" s="74" t="s">
        <v>4301</v>
      </c>
      <c r="C94" s="74">
        <v>110</v>
      </c>
      <c r="D94" s="110">
        <f t="shared" si="1"/>
        <v>2.8948130213953E-3</v>
      </c>
      <c r="E94" s="111">
        <f>SUM($D$2:D94)</f>
        <v>0.44938024684860145</v>
      </c>
      <c r="F94" s="112">
        <v>0.8</v>
      </c>
    </row>
    <row r="95" spans="1:6">
      <c r="A95" s="74">
        <v>94</v>
      </c>
      <c r="B95" s="74" t="s">
        <v>8600</v>
      </c>
      <c r="C95" s="74">
        <v>109</v>
      </c>
      <c r="D95" s="110">
        <f t="shared" si="1"/>
        <v>2.8684965393826153E-3</v>
      </c>
      <c r="E95" s="111">
        <f>SUM($D$2:D95)</f>
        <v>0.45224874338798404</v>
      </c>
      <c r="F95" s="112">
        <v>0.8</v>
      </c>
    </row>
    <row r="96" spans="1:6">
      <c r="A96" s="74">
        <v>95</v>
      </c>
      <c r="B96" s="74" t="s">
        <v>3302</v>
      </c>
      <c r="C96" s="74">
        <v>109</v>
      </c>
      <c r="D96" s="110">
        <f t="shared" si="1"/>
        <v>2.8684965393826153E-3</v>
      </c>
      <c r="E96" s="111">
        <f>SUM($D$2:D96)</f>
        <v>0.45511723992736663</v>
      </c>
      <c r="F96" s="112">
        <v>0.8</v>
      </c>
    </row>
    <row r="97" spans="1:6">
      <c r="A97" s="74">
        <v>96</v>
      </c>
      <c r="B97" s="74" t="s">
        <v>7820</v>
      </c>
      <c r="C97" s="74">
        <v>108</v>
      </c>
      <c r="D97" s="110">
        <f t="shared" si="1"/>
        <v>2.842180057369931E-3</v>
      </c>
      <c r="E97" s="111">
        <f>SUM($D$2:D97)</f>
        <v>0.45795941998473655</v>
      </c>
      <c r="F97" s="112">
        <v>0.8</v>
      </c>
    </row>
    <row r="98" spans="1:6">
      <c r="A98" s="74">
        <v>97</v>
      </c>
      <c r="B98" s="74" t="s">
        <v>1249</v>
      </c>
      <c r="C98" s="74">
        <v>108</v>
      </c>
      <c r="D98" s="110">
        <f t="shared" si="1"/>
        <v>2.842180057369931E-3</v>
      </c>
      <c r="E98" s="111">
        <f>SUM($D$2:D98)</f>
        <v>0.46080160004210646</v>
      </c>
      <c r="F98" s="112">
        <v>0.8</v>
      </c>
    </row>
    <row r="99" spans="1:6">
      <c r="A99" s="74">
        <v>98</v>
      </c>
      <c r="B99" s="74" t="s">
        <v>1348</v>
      </c>
      <c r="C99" s="74">
        <v>107</v>
      </c>
      <c r="D99" s="110">
        <f t="shared" si="1"/>
        <v>2.8158635753572463E-3</v>
      </c>
      <c r="E99" s="111">
        <f>SUM($D$2:D99)</f>
        <v>0.4636174636174637</v>
      </c>
      <c r="F99" s="112">
        <v>0.8</v>
      </c>
    </row>
    <row r="100" spans="1:6">
      <c r="A100" s="74">
        <v>99</v>
      </c>
      <c r="B100" s="74" t="s">
        <v>1471</v>
      </c>
      <c r="C100" s="74">
        <v>107</v>
      </c>
      <c r="D100" s="110">
        <f t="shared" si="1"/>
        <v>2.8158635753572463E-3</v>
      </c>
      <c r="E100" s="111">
        <f>SUM($D$2:D100)</f>
        <v>0.46643332719282093</v>
      </c>
      <c r="F100" s="112">
        <v>0.8</v>
      </c>
    </row>
    <row r="101" spans="1:6">
      <c r="A101" s="74">
        <v>100</v>
      </c>
      <c r="B101" s="74" t="s">
        <v>8656</v>
      </c>
      <c r="C101" s="74">
        <v>107</v>
      </c>
      <c r="D101" s="110">
        <f t="shared" si="1"/>
        <v>2.8158635753572463E-3</v>
      </c>
      <c r="E101" s="111">
        <f>SUM($D$2:D101)</f>
        <v>0.46924919076817817</v>
      </c>
      <c r="F101" s="112">
        <v>0.8</v>
      </c>
    </row>
    <row r="102" spans="1:6">
      <c r="A102" s="74">
        <v>101</v>
      </c>
      <c r="B102" s="74" t="s">
        <v>4289</v>
      </c>
      <c r="C102" s="74">
        <v>107</v>
      </c>
      <c r="D102" s="110">
        <f t="shared" si="1"/>
        <v>2.8158635753572463E-3</v>
      </c>
      <c r="E102" s="111">
        <f>SUM($D$2:D102)</f>
        <v>0.47206505434353541</v>
      </c>
      <c r="F102" s="112">
        <v>0.8</v>
      </c>
    </row>
    <row r="103" spans="1:6">
      <c r="A103" s="74">
        <v>102</v>
      </c>
      <c r="B103" s="97" t="s">
        <v>395</v>
      </c>
      <c r="C103" s="74">
        <v>106</v>
      </c>
      <c r="D103" s="110">
        <f t="shared" si="1"/>
        <v>2.7895470933445615E-3</v>
      </c>
      <c r="E103" s="111">
        <f>SUM($D$2:D103)</f>
        <v>0.47485460143687996</v>
      </c>
      <c r="F103" s="112">
        <v>0.8</v>
      </c>
    </row>
    <row r="104" spans="1:6">
      <c r="A104" s="74">
        <v>103</v>
      </c>
      <c r="B104" s="74" t="s">
        <v>1325</v>
      </c>
      <c r="C104" s="74">
        <v>105</v>
      </c>
      <c r="D104" s="110">
        <f t="shared" si="1"/>
        <v>2.7632306113318772E-3</v>
      </c>
      <c r="E104" s="111">
        <f>SUM($D$2:D104)</f>
        <v>0.47761783204821184</v>
      </c>
      <c r="F104" s="112">
        <v>0.8</v>
      </c>
    </row>
    <row r="105" spans="1:6">
      <c r="A105" s="74">
        <v>104</v>
      </c>
      <c r="B105" s="74" t="s">
        <v>1356</v>
      </c>
      <c r="C105" s="74">
        <v>104</v>
      </c>
      <c r="D105" s="110">
        <f t="shared" si="1"/>
        <v>2.7369141293191925E-3</v>
      </c>
      <c r="E105" s="111">
        <f>SUM($D$2:D105)</f>
        <v>0.48035474617753104</v>
      </c>
      <c r="F105" s="112">
        <v>0.8</v>
      </c>
    </row>
    <row r="106" spans="1:6">
      <c r="A106" s="74">
        <v>105</v>
      </c>
      <c r="B106" s="74" t="s">
        <v>8787</v>
      </c>
      <c r="C106" s="74">
        <v>104</v>
      </c>
      <c r="D106" s="110">
        <f t="shared" si="1"/>
        <v>2.7369141293191925E-3</v>
      </c>
      <c r="E106" s="111">
        <f>SUM($D$2:D106)</f>
        <v>0.48309166030685025</v>
      </c>
      <c r="F106" s="112">
        <v>0.8</v>
      </c>
    </row>
    <row r="107" spans="1:6">
      <c r="A107" s="74">
        <v>106</v>
      </c>
      <c r="B107" s="74" t="s">
        <v>1565</v>
      </c>
      <c r="C107" s="74">
        <v>103</v>
      </c>
      <c r="D107" s="110">
        <f t="shared" si="1"/>
        <v>2.7105976473065082E-3</v>
      </c>
      <c r="E107" s="111">
        <f>SUM($D$2:D107)</f>
        <v>0.48580225795415677</v>
      </c>
      <c r="F107" s="112">
        <v>0.8</v>
      </c>
    </row>
    <row r="108" spans="1:6">
      <c r="A108" s="74">
        <v>107</v>
      </c>
      <c r="B108" s="74" t="s">
        <v>7958</v>
      </c>
      <c r="C108" s="74">
        <v>102</v>
      </c>
      <c r="D108" s="110">
        <f t="shared" si="1"/>
        <v>2.6842811652938235E-3</v>
      </c>
      <c r="E108" s="111">
        <f>SUM($D$2:D108)</f>
        <v>0.48848653911945061</v>
      </c>
      <c r="F108" s="112">
        <v>0.8</v>
      </c>
    </row>
    <row r="109" spans="1:6">
      <c r="A109" s="74">
        <v>108</v>
      </c>
      <c r="B109" s="74" t="s">
        <v>2409</v>
      </c>
      <c r="C109" s="74">
        <v>102</v>
      </c>
      <c r="D109" s="110">
        <f t="shared" si="1"/>
        <v>2.6842811652938235E-3</v>
      </c>
      <c r="E109" s="111">
        <f>SUM($D$2:D109)</f>
        <v>0.49117082028474446</v>
      </c>
      <c r="F109" s="112">
        <v>0.8</v>
      </c>
    </row>
    <row r="110" spans="1:6">
      <c r="A110" s="74">
        <v>109</v>
      </c>
      <c r="B110" s="74" t="s">
        <v>8149</v>
      </c>
      <c r="C110" s="74">
        <v>101</v>
      </c>
      <c r="D110" s="110">
        <f t="shared" si="1"/>
        <v>2.6579646832811388E-3</v>
      </c>
      <c r="E110" s="111">
        <f>SUM($D$2:D110)</f>
        <v>0.49382878496802562</v>
      </c>
      <c r="F110" s="112">
        <v>0.8</v>
      </c>
    </row>
    <row r="111" spans="1:6">
      <c r="A111" s="74">
        <v>110</v>
      </c>
      <c r="B111" s="74" t="s">
        <v>4279</v>
      </c>
      <c r="C111" s="74">
        <v>101</v>
      </c>
      <c r="D111" s="110">
        <f t="shared" si="1"/>
        <v>2.6579646832811388E-3</v>
      </c>
      <c r="E111" s="111">
        <f>SUM($D$2:D111)</f>
        <v>0.49648674965130679</v>
      </c>
      <c r="F111" s="112">
        <v>0.8</v>
      </c>
    </row>
    <row r="112" spans="1:6">
      <c r="A112" s="74">
        <v>111</v>
      </c>
      <c r="B112" s="74" t="s">
        <v>1466</v>
      </c>
      <c r="C112" s="74">
        <v>100</v>
      </c>
      <c r="D112" s="110">
        <f t="shared" si="1"/>
        <v>2.6316482012684545E-3</v>
      </c>
      <c r="E112" s="111">
        <f>SUM($D$2:D112)</f>
        <v>0.49911839785257522</v>
      </c>
      <c r="F112" s="112">
        <v>0.8</v>
      </c>
    </row>
    <row r="113" spans="1:6">
      <c r="A113" s="74">
        <v>112</v>
      </c>
      <c r="B113" s="74" t="s">
        <v>1376</v>
      </c>
      <c r="C113" s="74">
        <v>99</v>
      </c>
      <c r="D113" s="110">
        <f t="shared" si="1"/>
        <v>2.6053317192557698E-3</v>
      </c>
      <c r="E113" s="111">
        <f>SUM($D$2:D113)</f>
        <v>0.50172372957183098</v>
      </c>
      <c r="F113" s="112">
        <v>0.8</v>
      </c>
    </row>
    <row r="114" spans="1:6">
      <c r="A114" s="74">
        <v>113</v>
      </c>
      <c r="B114" s="74" t="s">
        <v>1489</v>
      </c>
      <c r="C114" s="74">
        <v>99</v>
      </c>
      <c r="D114" s="110">
        <f t="shared" si="1"/>
        <v>2.6053317192557698E-3</v>
      </c>
      <c r="E114" s="111">
        <f>SUM($D$2:D114)</f>
        <v>0.50432906129108679</v>
      </c>
      <c r="F114" s="112">
        <v>0.8</v>
      </c>
    </row>
    <row r="115" spans="1:6">
      <c r="A115" s="74">
        <v>114</v>
      </c>
      <c r="B115" s="74" t="s">
        <v>629</v>
      </c>
      <c r="C115" s="74">
        <v>97</v>
      </c>
      <c r="D115" s="110">
        <f t="shared" si="1"/>
        <v>2.5526987552304007E-3</v>
      </c>
      <c r="E115" s="111">
        <f>SUM($D$2:D115)</f>
        <v>0.50688176004631724</v>
      </c>
      <c r="F115" s="112">
        <v>0.8</v>
      </c>
    </row>
    <row r="116" spans="1:6">
      <c r="A116" s="74">
        <v>115</v>
      </c>
      <c r="B116" s="74" t="s">
        <v>1491</v>
      </c>
      <c r="C116" s="74">
        <v>97</v>
      </c>
      <c r="D116" s="110">
        <f t="shared" si="1"/>
        <v>2.5526987552304007E-3</v>
      </c>
      <c r="E116" s="111">
        <f>SUM($D$2:D116)</f>
        <v>0.5094344588015477</v>
      </c>
      <c r="F116" s="112">
        <v>0.8</v>
      </c>
    </row>
    <row r="117" spans="1:6">
      <c r="A117" s="74">
        <v>116</v>
      </c>
      <c r="B117" s="74" t="s">
        <v>8670</v>
      </c>
      <c r="C117" s="74">
        <v>96</v>
      </c>
      <c r="D117" s="110">
        <f t="shared" si="1"/>
        <v>2.5263822732177164E-3</v>
      </c>
      <c r="E117" s="111">
        <f>SUM($D$2:D117)</f>
        <v>0.51196084107476536</v>
      </c>
      <c r="F117" s="112">
        <v>0.8</v>
      </c>
    </row>
    <row r="118" spans="1:6">
      <c r="A118" s="74">
        <v>117</v>
      </c>
      <c r="B118" s="74" t="s">
        <v>7842</v>
      </c>
      <c r="C118" s="74">
        <v>96</v>
      </c>
      <c r="D118" s="110">
        <f t="shared" si="1"/>
        <v>2.5263822732177164E-3</v>
      </c>
      <c r="E118" s="111">
        <f>SUM($D$2:D118)</f>
        <v>0.51448722334798302</v>
      </c>
      <c r="F118" s="112">
        <v>0.8</v>
      </c>
    </row>
    <row r="119" spans="1:6">
      <c r="A119" s="74">
        <v>118</v>
      </c>
      <c r="B119" s="74" t="s">
        <v>7944</v>
      </c>
      <c r="C119" s="74">
        <v>95</v>
      </c>
      <c r="D119" s="110">
        <f t="shared" si="1"/>
        <v>2.5000657912050317E-3</v>
      </c>
      <c r="E119" s="111">
        <f>SUM($D$2:D119)</f>
        <v>0.51698728913918801</v>
      </c>
      <c r="F119" s="112">
        <v>0.8</v>
      </c>
    </row>
    <row r="120" spans="1:6">
      <c r="A120" s="74">
        <v>119</v>
      </c>
      <c r="B120" s="74" t="s">
        <v>1549</v>
      </c>
      <c r="C120" s="74">
        <v>94</v>
      </c>
      <c r="D120" s="110">
        <f t="shared" si="1"/>
        <v>2.473749309192347E-3</v>
      </c>
      <c r="E120" s="111">
        <f>SUM($D$2:D120)</f>
        <v>0.51946103844838032</v>
      </c>
      <c r="F120" s="112">
        <v>0.8</v>
      </c>
    </row>
    <row r="121" spans="1:6">
      <c r="A121" s="74">
        <v>120</v>
      </c>
      <c r="B121" s="74" t="s">
        <v>4298</v>
      </c>
      <c r="C121" s="74">
        <v>94</v>
      </c>
      <c r="D121" s="110">
        <f t="shared" si="1"/>
        <v>2.473749309192347E-3</v>
      </c>
      <c r="E121" s="111">
        <f>SUM($D$2:D121)</f>
        <v>0.52193478775757263</v>
      </c>
      <c r="F121" s="112">
        <v>0.8</v>
      </c>
    </row>
    <row r="122" spans="1:6">
      <c r="A122" s="74">
        <v>121</v>
      </c>
      <c r="B122" s="74" t="s">
        <v>4286</v>
      </c>
      <c r="C122" s="74">
        <v>93</v>
      </c>
      <c r="D122" s="110">
        <f t="shared" si="1"/>
        <v>2.4474328271796627E-3</v>
      </c>
      <c r="E122" s="111">
        <f>SUM($D$2:D122)</f>
        <v>0.52438222058475226</v>
      </c>
      <c r="F122" s="112">
        <v>0.8</v>
      </c>
    </row>
    <row r="123" spans="1:6">
      <c r="A123" s="74">
        <v>122</v>
      </c>
      <c r="B123" s="74" t="s">
        <v>3481</v>
      </c>
      <c r="C123" s="74">
        <v>92</v>
      </c>
      <c r="D123" s="110">
        <f t="shared" si="1"/>
        <v>2.421116345166978E-3</v>
      </c>
      <c r="E123" s="111">
        <f>SUM($D$2:D123)</f>
        <v>0.52680333692991921</v>
      </c>
      <c r="F123" s="112">
        <v>0.8</v>
      </c>
    </row>
    <row r="124" spans="1:6">
      <c r="A124" s="74">
        <v>123</v>
      </c>
      <c r="B124" s="74" t="s">
        <v>1500</v>
      </c>
      <c r="C124" s="74">
        <v>92</v>
      </c>
      <c r="D124" s="110">
        <f t="shared" si="1"/>
        <v>2.421116345166978E-3</v>
      </c>
      <c r="E124" s="111">
        <f>SUM($D$2:D124)</f>
        <v>0.52922445327508616</v>
      </c>
      <c r="F124" s="112">
        <v>0.8</v>
      </c>
    </row>
    <row r="125" spans="1:6">
      <c r="A125" s="74">
        <v>124</v>
      </c>
      <c r="B125" s="74" t="s">
        <v>1579</v>
      </c>
      <c r="C125" s="74">
        <v>91</v>
      </c>
      <c r="D125" s="110">
        <f t="shared" si="1"/>
        <v>2.3947998631542937E-3</v>
      </c>
      <c r="E125" s="111">
        <f>SUM($D$2:D125)</f>
        <v>0.53161925313824043</v>
      </c>
      <c r="F125" s="112">
        <v>0.8</v>
      </c>
    </row>
    <row r="126" spans="1:6">
      <c r="A126" s="74">
        <v>125</v>
      </c>
      <c r="B126" s="74" t="s">
        <v>1554</v>
      </c>
      <c r="C126" s="74">
        <v>91</v>
      </c>
      <c r="D126" s="110">
        <f t="shared" si="1"/>
        <v>2.3947998631542937E-3</v>
      </c>
      <c r="E126" s="111">
        <f>SUM($D$2:D126)</f>
        <v>0.53401405300139471</v>
      </c>
      <c r="F126" s="112">
        <v>0.8</v>
      </c>
    </row>
    <row r="127" spans="1:6">
      <c r="A127" s="74">
        <v>126</v>
      </c>
      <c r="B127" s="74" t="s">
        <v>1542</v>
      </c>
      <c r="C127" s="74">
        <v>90</v>
      </c>
      <c r="D127" s="110">
        <f t="shared" si="1"/>
        <v>2.3684833811416089E-3</v>
      </c>
      <c r="E127" s="111">
        <f>SUM($D$2:D127)</f>
        <v>0.5363825363825363</v>
      </c>
      <c r="F127" s="112">
        <v>0.8</v>
      </c>
    </row>
    <row r="128" spans="1:6">
      <c r="A128" s="74">
        <v>127</v>
      </c>
      <c r="B128" s="74" t="s">
        <v>8662</v>
      </c>
      <c r="C128" s="74">
        <v>89</v>
      </c>
      <c r="D128" s="110">
        <f t="shared" si="1"/>
        <v>2.3421668991289247E-3</v>
      </c>
      <c r="E128" s="111">
        <f>SUM($D$2:D128)</f>
        <v>0.53872470328166522</v>
      </c>
      <c r="F128" s="112">
        <v>0.8</v>
      </c>
    </row>
    <row r="129" spans="1:6">
      <c r="A129" s="74">
        <v>128</v>
      </c>
      <c r="B129" s="74" t="s">
        <v>1360</v>
      </c>
      <c r="C129" s="74">
        <v>89</v>
      </c>
      <c r="D129" s="110">
        <f t="shared" si="1"/>
        <v>2.3421668991289247E-3</v>
      </c>
      <c r="E129" s="111">
        <f>SUM($D$2:D129)</f>
        <v>0.54106687018079413</v>
      </c>
      <c r="F129" s="112">
        <v>0.8</v>
      </c>
    </row>
    <row r="130" spans="1:6">
      <c r="A130" s="74">
        <v>129</v>
      </c>
      <c r="B130" s="74" t="s">
        <v>1619</v>
      </c>
      <c r="C130" s="74">
        <v>88</v>
      </c>
      <c r="D130" s="110">
        <f t="shared" ref="D130:D193" si="2">C130/$K$2</f>
        <v>2.3158504171162399E-3</v>
      </c>
      <c r="E130" s="111">
        <f>SUM($D$2:D130)</f>
        <v>0.54338272059791037</v>
      </c>
      <c r="F130" s="112">
        <v>0.8</v>
      </c>
    </row>
    <row r="131" spans="1:6">
      <c r="A131" s="74">
        <v>130</v>
      </c>
      <c r="B131" s="74" t="s">
        <v>4284</v>
      </c>
      <c r="C131" s="74">
        <v>88</v>
      </c>
      <c r="D131" s="110">
        <f t="shared" si="2"/>
        <v>2.3158504171162399E-3</v>
      </c>
      <c r="E131" s="111">
        <f>SUM($D$2:D131)</f>
        <v>0.54569857101502661</v>
      </c>
      <c r="F131" s="112">
        <v>0.8</v>
      </c>
    </row>
    <row r="132" spans="1:6">
      <c r="A132" s="74">
        <v>131</v>
      </c>
      <c r="B132" s="74" t="s">
        <v>1517</v>
      </c>
      <c r="C132" s="74">
        <v>87</v>
      </c>
      <c r="D132" s="110">
        <f t="shared" si="2"/>
        <v>2.2895339351035552E-3</v>
      </c>
      <c r="E132" s="111">
        <f>SUM($D$2:D132)</f>
        <v>0.54798810495013017</v>
      </c>
      <c r="F132" s="112">
        <v>0.8</v>
      </c>
    </row>
    <row r="133" spans="1:6">
      <c r="A133" s="74">
        <v>132</v>
      </c>
      <c r="B133" s="74" t="s">
        <v>8286</v>
      </c>
      <c r="C133" s="74">
        <v>86</v>
      </c>
      <c r="D133" s="110">
        <f t="shared" si="2"/>
        <v>2.2632174530908709E-3</v>
      </c>
      <c r="E133" s="111">
        <f>SUM($D$2:D133)</f>
        <v>0.55025132240322105</v>
      </c>
      <c r="F133" s="112">
        <v>0.8</v>
      </c>
    </row>
    <row r="134" spans="1:6">
      <c r="A134" s="74">
        <v>133</v>
      </c>
      <c r="B134" s="74" t="s">
        <v>1670</v>
      </c>
      <c r="C134" s="74">
        <v>85</v>
      </c>
      <c r="D134" s="110">
        <f t="shared" si="2"/>
        <v>2.2369009710781862E-3</v>
      </c>
      <c r="E134" s="111">
        <f>SUM($D$2:D134)</f>
        <v>0.55248822337429926</v>
      </c>
      <c r="F134" s="112">
        <v>0.8</v>
      </c>
    </row>
    <row r="135" spans="1:6">
      <c r="A135" s="74">
        <v>134</v>
      </c>
      <c r="B135" s="74" t="s">
        <v>1493</v>
      </c>
      <c r="C135" s="74">
        <v>85</v>
      </c>
      <c r="D135" s="110">
        <f t="shared" si="2"/>
        <v>2.2369009710781862E-3</v>
      </c>
      <c r="E135" s="111">
        <f>SUM($D$2:D135)</f>
        <v>0.55472512434537746</v>
      </c>
      <c r="F135" s="112">
        <v>0.8</v>
      </c>
    </row>
    <row r="136" spans="1:6">
      <c r="A136" s="74">
        <v>135</v>
      </c>
      <c r="B136" s="74" t="s">
        <v>1341</v>
      </c>
      <c r="C136" s="74">
        <v>85</v>
      </c>
      <c r="D136" s="110">
        <f t="shared" si="2"/>
        <v>2.2369009710781862E-3</v>
      </c>
      <c r="E136" s="111">
        <f>SUM($D$2:D136)</f>
        <v>0.55696202531645567</v>
      </c>
      <c r="F136" s="112">
        <v>0.8</v>
      </c>
    </row>
    <row r="137" spans="1:6">
      <c r="A137" s="74">
        <v>136</v>
      </c>
      <c r="B137" s="74" t="s">
        <v>1679</v>
      </c>
      <c r="C137" s="74">
        <v>84</v>
      </c>
      <c r="D137" s="110">
        <f t="shared" si="2"/>
        <v>2.2105844890655019E-3</v>
      </c>
      <c r="E137" s="111">
        <f>SUM($D$2:D137)</f>
        <v>0.55917260980552119</v>
      </c>
      <c r="F137" s="112">
        <v>0.8</v>
      </c>
    </row>
    <row r="138" spans="1:6">
      <c r="A138" s="74">
        <v>137</v>
      </c>
      <c r="B138" s="74" t="s">
        <v>1440</v>
      </c>
      <c r="C138" s="74">
        <v>84</v>
      </c>
      <c r="D138" s="110">
        <f t="shared" si="2"/>
        <v>2.2105844890655019E-3</v>
      </c>
      <c r="E138" s="111">
        <f>SUM($D$2:D138)</f>
        <v>0.56138319429458672</v>
      </c>
      <c r="F138" s="112">
        <v>0.8</v>
      </c>
    </row>
    <row r="139" spans="1:6">
      <c r="A139" s="74">
        <v>138</v>
      </c>
      <c r="B139" s="74" t="s">
        <v>1432</v>
      </c>
      <c r="C139" s="74">
        <v>83</v>
      </c>
      <c r="D139" s="110">
        <f t="shared" si="2"/>
        <v>2.1842680070528172E-3</v>
      </c>
      <c r="E139" s="111">
        <f>SUM($D$2:D139)</f>
        <v>0.56356746230163957</v>
      </c>
      <c r="F139" s="112">
        <v>0.8</v>
      </c>
    </row>
    <row r="140" spans="1:6">
      <c r="A140" s="74">
        <v>139</v>
      </c>
      <c r="B140" s="74" t="s">
        <v>1291</v>
      </c>
      <c r="C140" s="74">
        <v>83</v>
      </c>
      <c r="D140" s="110">
        <f t="shared" si="2"/>
        <v>2.1842680070528172E-3</v>
      </c>
      <c r="E140" s="111">
        <f>SUM($D$2:D140)</f>
        <v>0.56575173030869241</v>
      </c>
      <c r="F140" s="112">
        <v>0.8</v>
      </c>
    </row>
    <row r="141" spans="1:6">
      <c r="A141" s="74">
        <v>140</v>
      </c>
      <c r="B141" s="74" t="s">
        <v>8503</v>
      </c>
      <c r="C141" s="74">
        <v>82</v>
      </c>
      <c r="D141" s="110">
        <f t="shared" si="2"/>
        <v>2.1579515250401324E-3</v>
      </c>
      <c r="E141" s="111">
        <f>SUM($D$2:D141)</f>
        <v>0.56790968183373258</v>
      </c>
      <c r="F141" s="112">
        <v>0.8</v>
      </c>
    </row>
    <row r="142" spans="1:6">
      <c r="A142" s="74">
        <v>141</v>
      </c>
      <c r="B142" s="74" t="s">
        <v>2482</v>
      </c>
      <c r="C142" s="74">
        <v>81</v>
      </c>
      <c r="D142" s="110">
        <f t="shared" si="2"/>
        <v>2.1316350430274481E-3</v>
      </c>
      <c r="E142" s="111">
        <f>SUM($D$2:D142)</f>
        <v>0.57004131687676007</v>
      </c>
      <c r="F142" s="112">
        <v>0.8</v>
      </c>
    </row>
    <row r="143" spans="1:6">
      <c r="A143" s="74">
        <v>142</v>
      </c>
      <c r="B143" s="74" t="s">
        <v>4303</v>
      </c>
      <c r="C143" s="74">
        <v>81</v>
      </c>
      <c r="D143" s="110">
        <f t="shared" si="2"/>
        <v>2.1316350430274481E-3</v>
      </c>
      <c r="E143" s="111">
        <f>SUM($D$2:D143)</f>
        <v>0.57217295191978756</v>
      </c>
      <c r="F143" s="112">
        <v>0.8</v>
      </c>
    </row>
    <row r="144" spans="1:6">
      <c r="A144" s="74">
        <v>143</v>
      </c>
      <c r="B144" s="74" t="s">
        <v>1382</v>
      </c>
      <c r="C144" s="74">
        <v>80</v>
      </c>
      <c r="D144" s="110">
        <f t="shared" si="2"/>
        <v>2.1053185610147634E-3</v>
      </c>
      <c r="E144" s="111">
        <f>SUM($D$2:D144)</f>
        <v>0.57427827048080238</v>
      </c>
      <c r="F144" s="112">
        <v>0.8</v>
      </c>
    </row>
    <row r="145" spans="1:6">
      <c r="A145" s="74">
        <v>144</v>
      </c>
      <c r="B145" s="74" t="s">
        <v>8659</v>
      </c>
      <c r="C145" s="74">
        <v>80</v>
      </c>
      <c r="D145" s="110">
        <f t="shared" si="2"/>
        <v>2.1053185610147634E-3</v>
      </c>
      <c r="E145" s="111">
        <f>SUM($D$2:D145)</f>
        <v>0.57638358904181719</v>
      </c>
      <c r="F145" s="112">
        <v>0.8</v>
      </c>
    </row>
    <row r="146" spans="1:6">
      <c r="A146" s="74">
        <v>145</v>
      </c>
      <c r="B146" s="74" t="s">
        <v>1598</v>
      </c>
      <c r="C146" s="74">
        <v>80</v>
      </c>
      <c r="D146" s="110">
        <f t="shared" si="2"/>
        <v>2.1053185610147634E-3</v>
      </c>
      <c r="E146" s="111">
        <f>SUM($D$2:D146)</f>
        <v>0.578488907602832</v>
      </c>
      <c r="F146" s="112">
        <v>0.8</v>
      </c>
    </row>
    <row r="147" spans="1:6">
      <c r="A147" s="74">
        <v>146</v>
      </c>
      <c r="B147" s="74" t="s">
        <v>1494</v>
      </c>
      <c r="C147" s="74">
        <v>79</v>
      </c>
      <c r="D147" s="110">
        <f t="shared" si="2"/>
        <v>2.0790020790020791E-3</v>
      </c>
      <c r="E147" s="111">
        <f>SUM($D$2:D147)</f>
        <v>0.58056790968183414</v>
      </c>
      <c r="F147" s="112">
        <v>0.8</v>
      </c>
    </row>
    <row r="148" spans="1:6">
      <c r="A148" s="74">
        <v>147</v>
      </c>
      <c r="B148" s="74" t="s">
        <v>2499</v>
      </c>
      <c r="C148" s="74">
        <v>79</v>
      </c>
      <c r="D148" s="110">
        <f t="shared" si="2"/>
        <v>2.0790020790020791E-3</v>
      </c>
      <c r="E148" s="111">
        <f>SUM($D$2:D148)</f>
        <v>0.58264691176083616</v>
      </c>
      <c r="F148" s="112">
        <v>0.8</v>
      </c>
    </row>
    <row r="149" spans="1:6">
      <c r="A149" s="74">
        <v>148</v>
      </c>
      <c r="B149" s="74" t="s">
        <v>1402</v>
      </c>
      <c r="C149" s="74">
        <v>79</v>
      </c>
      <c r="D149" s="110">
        <f t="shared" si="2"/>
        <v>2.0790020790020791E-3</v>
      </c>
      <c r="E149" s="111">
        <f>SUM($D$2:D149)</f>
        <v>0.58472591383983819</v>
      </c>
      <c r="F149" s="112">
        <v>0.8</v>
      </c>
    </row>
    <row r="150" spans="1:6">
      <c r="A150" s="74">
        <v>149</v>
      </c>
      <c r="B150" s="74" t="s">
        <v>1622</v>
      </c>
      <c r="C150" s="74">
        <v>78</v>
      </c>
      <c r="D150" s="110">
        <f t="shared" si="2"/>
        <v>2.0526855969893944E-3</v>
      </c>
      <c r="E150" s="111">
        <f>SUM($D$2:D150)</f>
        <v>0.58677859943682753</v>
      </c>
      <c r="F150" s="112">
        <v>0.8</v>
      </c>
    </row>
    <row r="151" spans="1:6">
      <c r="A151" s="74">
        <v>150</v>
      </c>
      <c r="B151" s="74" t="s">
        <v>1550</v>
      </c>
      <c r="C151" s="74">
        <v>78</v>
      </c>
      <c r="D151" s="110">
        <f t="shared" si="2"/>
        <v>2.0526855969893944E-3</v>
      </c>
      <c r="E151" s="111">
        <f>SUM($D$2:D151)</f>
        <v>0.58883128503381688</v>
      </c>
      <c r="F151" s="112">
        <v>0.8</v>
      </c>
    </row>
    <row r="152" spans="1:6">
      <c r="A152" s="74">
        <v>151</v>
      </c>
      <c r="B152" s="74" t="s">
        <v>1456</v>
      </c>
      <c r="C152" s="74">
        <v>78</v>
      </c>
      <c r="D152" s="110">
        <f t="shared" si="2"/>
        <v>2.0526855969893944E-3</v>
      </c>
      <c r="E152" s="111">
        <f>SUM($D$2:D152)</f>
        <v>0.59088397063080622</v>
      </c>
      <c r="F152" s="112">
        <v>0.8</v>
      </c>
    </row>
    <row r="153" spans="1:6">
      <c r="A153" s="74">
        <v>152</v>
      </c>
      <c r="B153" s="74" t="s">
        <v>1400</v>
      </c>
      <c r="C153" s="74">
        <v>77</v>
      </c>
      <c r="D153" s="110">
        <f t="shared" si="2"/>
        <v>2.0263691149767101E-3</v>
      </c>
      <c r="E153" s="111">
        <f>SUM($D$2:D153)</f>
        <v>0.59291033974578289</v>
      </c>
      <c r="F153" s="112">
        <v>0.8</v>
      </c>
    </row>
    <row r="154" spans="1:6">
      <c r="A154" s="74">
        <v>153</v>
      </c>
      <c r="B154" s="74" t="s">
        <v>8098</v>
      </c>
      <c r="C154" s="74">
        <v>77</v>
      </c>
      <c r="D154" s="110">
        <f t="shared" si="2"/>
        <v>2.0263691149767101E-3</v>
      </c>
      <c r="E154" s="111">
        <f>SUM($D$2:D154)</f>
        <v>0.59493670886075956</v>
      </c>
      <c r="F154" s="112">
        <v>0.8</v>
      </c>
    </row>
    <row r="155" spans="1:6">
      <c r="A155" s="74">
        <v>154</v>
      </c>
      <c r="B155" s="74" t="s">
        <v>8705</v>
      </c>
      <c r="C155" s="74">
        <v>77</v>
      </c>
      <c r="D155" s="110">
        <f t="shared" si="2"/>
        <v>2.0263691149767101E-3</v>
      </c>
      <c r="E155" s="111">
        <f>SUM($D$2:D155)</f>
        <v>0.59696307797573622</v>
      </c>
      <c r="F155" s="112">
        <v>0.8</v>
      </c>
    </row>
    <row r="156" spans="1:6">
      <c r="A156" s="74">
        <v>155</v>
      </c>
      <c r="B156" s="74" t="s">
        <v>672</v>
      </c>
      <c r="C156" s="74">
        <v>77</v>
      </c>
      <c r="D156" s="110">
        <f t="shared" si="2"/>
        <v>2.0263691149767101E-3</v>
      </c>
      <c r="E156" s="111">
        <f>SUM($D$2:D156)</f>
        <v>0.59898944709071289</v>
      </c>
      <c r="F156" s="112">
        <v>0.8</v>
      </c>
    </row>
    <row r="157" spans="1:6">
      <c r="A157" s="74">
        <v>156</v>
      </c>
      <c r="B157" s="74" t="s">
        <v>2626</v>
      </c>
      <c r="C157" s="74">
        <v>77</v>
      </c>
      <c r="D157" s="110">
        <f t="shared" si="2"/>
        <v>2.0263691149767101E-3</v>
      </c>
      <c r="E157" s="111">
        <f>SUM($D$2:D157)</f>
        <v>0.60101581620568956</v>
      </c>
      <c r="F157" s="112">
        <v>0.8</v>
      </c>
    </row>
    <row r="158" spans="1:6">
      <c r="A158" s="74">
        <v>157</v>
      </c>
      <c r="B158" s="74" t="s">
        <v>8380</v>
      </c>
      <c r="C158" s="74">
        <v>76</v>
      </c>
      <c r="D158" s="110">
        <f t="shared" si="2"/>
        <v>2.0000526329640254E-3</v>
      </c>
      <c r="E158" s="111">
        <f>SUM($D$2:D158)</f>
        <v>0.60301586883865355</v>
      </c>
      <c r="F158" s="112">
        <v>0.8</v>
      </c>
    </row>
    <row r="159" spans="1:6">
      <c r="A159" s="74">
        <v>158</v>
      </c>
      <c r="B159" s="74" t="s">
        <v>641</v>
      </c>
      <c r="C159" s="74">
        <v>76</v>
      </c>
      <c r="D159" s="110">
        <f t="shared" si="2"/>
        <v>2.0000526329640254E-3</v>
      </c>
      <c r="E159" s="111">
        <f>SUM($D$2:D159)</f>
        <v>0.60501592147161753</v>
      </c>
      <c r="F159" s="112">
        <v>0.8</v>
      </c>
    </row>
    <row r="160" spans="1:6">
      <c r="A160" s="74">
        <v>159</v>
      </c>
      <c r="B160" s="74" t="s">
        <v>1480</v>
      </c>
      <c r="C160" s="74">
        <v>76</v>
      </c>
      <c r="D160" s="110">
        <f t="shared" si="2"/>
        <v>2.0000526329640254E-3</v>
      </c>
      <c r="E160" s="111">
        <f>SUM($D$2:D160)</f>
        <v>0.60701597410458152</v>
      </c>
      <c r="F160" s="112">
        <v>0.8</v>
      </c>
    </row>
    <row r="161" spans="1:6">
      <c r="A161" s="74">
        <v>160</v>
      </c>
      <c r="B161" s="74" t="s">
        <v>1392</v>
      </c>
      <c r="C161" s="74">
        <v>75</v>
      </c>
      <c r="D161" s="110">
        <f t="shared" si="2"/>
        <v>1.9737361509513406E-3</v>
      </c>
      <c r="E161" s="111">
        <f>SUM($D$2:D161)</f>
        <v>0.60898971025553283</v>
      </c>
      <c r="F161" s="112">
        <v>0.8</v>
      </c>
    </row>
    <row r="162" spans="1:6">
      <c r="A162" s="74">
        <v>161</v>
      </c>
      <c r="B162" s="74" t="s">
        <v>1469</v>
      </c>
      <c r="C162" s="74">
        <v>75</v>
      </c>
      <c r="D162" s="110">
        <f t="shared" si="2"/>
        <v>1.9737361509513406E-3</v>
      </c>
      <c r="E162" s="111">
        <f>SUM($D$2:D162)</f>
        <v>0.61096344640648415</v>
      </c>
      <c r="F162" s="112">
        <v>0.8</v>
      </c>
    </row>
    <row r="163" spans="1:6">
      <c r="A163" s="74">
        <v>162</v>
      </c>
      <c r="B163" s="74" t="s">
        <v>4489</v>
      </c>
      <c r="C163" s="74">
        <v>75</v>
      </c>
      <c r="D163" s="110">
        <f t="shared" si="2"/>
        <v>1.9737361509513406E-3</v>
      </c>
      <c r="E163" s="111">
        <f>SUM($D$2:D163)</f>
        <v>0.61293718255743546</v>
      </c>
      <c r="F163" s="112">
        <v>0.8</v>
      </c>
    </row>
    <row r="164" spans="1:6">
      <c r="A164" s="74">
        <v>163</v>
      </c>
      <c r="B164" s="74" t="s">
        <v>1521</v>
      </c>
      <c r="C164" s="74">
        <v>75</v>
      </c>
      <c r="D164" s="110">
        <f t="shared" si="2"/>
        <v>1.9737361509513406E-3</v>
      </c>
      <c r="E164" s="111">
        <f>SUM($D$2:D164)</f>
        <v>0.61491091870838677</v>
      </c>
      <c r="F164" s="112">
        <v>0.8</v>
      </c>
    </row>
    <row r="165" spans="1:6">
      <c r="A165" s="74">
        <v>164</v>
      </c>
      <c r="B165" s="74" t="s">
        <v>1532</v>
      </c>
      <c r="C165" s="74">
        <v>75</v>
      </c>
      <c r="D165" s="110">
        <f t="shared" si="2"/>
        <v>1.9737361509513406E-3</v>
      </c>
      <c r="E165" s="111">
        <f>SUM($D$2:D165)</f>
        <v>0.61688465485933808</v>
      </c>
      <c r="F165" s="112">
        <v>0.8</v>
      </c>
    </row>
    <row r="166" spans="1:6">
      <c r="A166" s="74">
        <v>165</v>
      </c>
      <c r="B166" s="74" t="s">
        <v>1492</v>
      </c>
      <c r="C166" s="74">
        <v>74</v>
      </c>
      <c r="D166" s="110">
        <f t="shared" si="2"/>
        <v>1.9474196689386564E-3</v>
      </c>
      <c r="E166" s="111">
        <f>SUM($D$2:D166)</f>
        <v>0.61883207452827671</v>
      </c>
      <c r="F166" s="112">
        <v>0.8</v>
      </c>
    </row>
    <row r="167" spans="1:6">
      <c r="A167" s="74">
        <v>166</v>
      </c>
      <c r="B167" s="74" t="s">
        <v>1506</v>
      </c>
      <c r="C167" s="74">
        <v>74</v>
      </c>
      <c r="D167" s="110">
        <f t="shared" si="2"/>
        <v>1.9474196689386564E-3</v>
      </c>
      <c r="E167" s="111">
        <f>SUM($D$2:D167)</f>
        <v>0.62077949419721534</v>
      </c>
      <c r="F167" s="112">
        <v>0.8</v>
      </c>
    </row>
    <row r="168" spans="1:6">
      <c r="A168" s="74">
        <v>167</v>
      </c>
      <c r="B168" s="74" t="s">
        <v>1344</v>
      </c>
      <c r="C168" s="74">
        <v>73</v>
      </c>
      <c r="D168" s="110">
        <f t="shared" si="2"/>
        <v>1.9211031869259718E-3</v>
      </c>
      <c r="E168" s="111">
        <f>SUM($D$2:D168)</f>
        <v>0.6227005973841413</v>
      </c>
      <c r="F168" s="112">
        <v>0.8</v>
      </c>
    </row>
    <row r="169" spans="1:6">
      <c r="A169" s="74">
        <v>168</v>
      </c>
      <c r="B169" s="74" t="s">
        <v>8822</v>
      </c>
      <c r="C169" s="74">
        <v>73</v>
      </c>
      <c r="D169" s="110">
        <f t="shared" si="2"/>
        <v>1.9211031869259718E-3</v>
      </c>
      <c r="E169" s="111">
        <f>SUM($D$2:D169)</f>
        <v>0.62462170057106725</v>
      </c>
      <c r="F169" s="112">
        <v>0.8</v>
      </c>
    </row>
    <row r="170" spans="1:6">
      <c r="A170" s="74">
        <v>169</v>
      </c>
      <c r="B170" s="74" t="s">
        <v>1435</v>
      </c>
      <c r="C170" s="74">
        <v>72</v>
      </c>
      <c r="D170" s="110">
        <f t="shared" si="2"/>
        <v>1.8947867049132871E-3</v>
      </c>
      <c r="E170" s="111">
        <f>SUM($D$2:D170)</f>
        <v>0.62651648727598053</v>
      </c>
      <c r="F170" s="112">
        <v>0.8</v>
      </c>
    </row>
    <row r="171" spans="1:6">
      <c r="A171" s="74">
        <v>170</v>
      </c>
      <c r="B171" s="74" t="s">
        <v>1369</v>
      </c>
      <c r="C171" s="74">
        <v>72</v>
      </c>
      <c r="D171" s="110">
        <f t="shared" si="2"/>
        <v>1.8947867049132871E-3</v>
      </c>
      <c r="E171" s="111">
        <f>SUM($D$2:D171)</f>
        <v>0.6284112739808938</v>
      </c>
      <c r="F171" s="112">
        <v>0.8</v>
      </c>
    </row>
    <row r="172" spans="1:6">
      <c r="A172" s="74">
        <v>171</v>
      </c>
      <c r="B172" s="74" t="s">
        <v>648</v>
      </c>
      <c r="C172" s="74">
        <v>72</v>
      </c>
      <c r="D172" s="110">
        <f t="shared" si="2"/>
        <v>1.8947867049132871E-3</v>
      </c>
      <c r="E172" s="111">
        <f>SUM($D$2:D172)</f>
        <v>0.63030606068580708</v>
      </c>
      <c r="F172" s="112">
        <v>0.8</v>
      </c>
    </row>
    <row r="173" spans="1:6">
      <c r="A173" s="74">
        <v>172</v>
      </c>
      <c r="B173" s="74" t="s">
        <v>2481</v>
      </c>
      <c r="C173" s="74">
        <v>71</v>
      </c>
      <c r="D173" s="110">
        <f t="shared" si="2"/>
        <v>1.8684702229006026E-3</v>
      </c>
      <c r="E173" s="111">
        <f>SUM($D$2:D173)</f>
        <v>0.63217453090870768</v>
      </c>
      <c r="F173" s="112">
        <v>0.8</v>
      </c>
    </row>
    <row r="174" spans="1:6">
      <c r="A174" s="74">
        <v>173</v>
      </c>
      <c r="B174" s="74" t="s">
        <v>1431</v>
      </c>
      <c r="C174" s="74">
        <v>70</v>
      </c>
      <c r="D174" s="110">
        <f t="shared" si="2"/>
        <v>1.8421537408879181E-3</v>
      </c>
      <c r="E174" s="111">
        <f>SUM($D$2:D174)</f>
        <v>0.6340166846495956</v>
      </c>
      <c r="F174" s="112">
        <v>0.8</v>
      </c>
    </row>
    <row r="175" spans="1:6">
      <c r="A175" s="74">
        <v>174</v>
      </c>
      <c r="B175" s="74" t="s">
        <v>2627</v>
      </c>
      <c r="C175" s="74">
        <v>70</v>
      </c>
      <c r="D175" s="110">
        <f t="shared" si="2"/>
        <v>1.8421537408879181E-3</v>
      </c>
      <c r="E175" s="111">
        <f>SUM($D$2:D175)</f>
        <v>0.63585883839048352</v>
      </c>
      <c r="F175" s="112">
        <v>0.8</v>
      </c>
    </row>
    <row r="176" spans="1:6">
      <c r="A176" s="74">
        <v>175</v>
      </c>
      <c r="B176" s="74" t="s">
        <v>8664</v>
      </c>
      <c r="C176" s="74">
        <v>70</v>
      </c>
      <c r="D176" s="110">
        <f t="shared" si="2"/>
        <v>1.8421537408879181E-3</v>
      </c>
      <c r="E176" s="111">
        <f>SUM($D$2:D176)</f>
        <v>0.63770099213137144</v>
      </c>
      <c r="F176" s="112">
        <v>0.8</v>
      </c>
    </row>
    <row r="177" spans="1:6">
      <c r="A177" s="74">
        <v>176</v>
      </c>
      <c r="B177" s="74" t="s">
        <v>185</v>
      </c>
      <c r="C177" s="74">
        <v>70</v>
      </c>
      <c r="D177" s="110">
        <f t="shared" si="2"/>
        <v>1.8421537408879181E-3</v>
      </c>
      <c r="E177" s="111">
        <f>SUM($D$2:D177)</f>
        <v>0.63954314587225936</v>
      </c>
      <c r="F177" s="112">
        <v>0.8</v>
      </c>
    </row>
    <row r="178" spans="1:6">
      <c r="A178" s="74">
        <v>177</v>
      </c>
      <c r="B178" s="74" t="s">
        <v>8426</v>
      </c>
      <c r="C178" s="74">
        <v>69</v>
      </c>
      <c r="D178" s="110">
        <f t="shared" si="2"/>
        <v>1.8158372588752336E-3</v>
      </c>
      <c r="E178" s="111">
        <f>SUM($D$2:D178)</f>
        <v>0.6413589831311346</v>
      </c>
      <c r="F178" s="112">
        <v>0.8</v>
      </c>
    </row>
    <row r="179" spans="1:6">
      <c r="A179" s="74">
        <v>178</v>
      </c>
      <c r="B179" s="74" t="s">
        <v>1620</v>
      </c>
      <c r="C179" s="74">
        <v>68</v>
      </c>
      <c r="D179" s="110">
        <f t="shared" si="2"/>
        <v>1.7895207768625491E-3</v>
      </c>
      <c r="E179" s="111">
        <f>SUM($D$2:D179)</f>
        <v>0.64314850390799716</v>
      </c>
      <c r="F179" s="112">
        <v>0.8</v>
      </c>
    </row>
    <row r="180" spans="1:6">
      <c r="A180" s="74">
        <v>179</v>
      </c>
      <c r="B180" s="74" t="s">
        <v>1408</v>
      </c>
      <c r="C180" s="74">
        <v>68</v>
      </c>
      <c r="D180" s="110">
        <f t="shared" si="2"/>
        <v>1.7895207768625491E-3</v>
      </c>
      <c r="E180" s="111">
        <f>SUM($D$2:D180)</f>
        <v>0.64493802468485972</v>
      </c>
      <c r="F180" s="112">
        <v>0.8</v>
      </c>
    </row>
    <row r="181" spans="1:6">
      <c r="A181" s="74">
        <v>180</v>
      </c>
      <c r="B181" s="74" t="s">
        <v>4594</v>
      </c>
      <c r="C181" s="74">
        <v>68</v>
      </c>
      <c r="D181" s="110">
        <f t="shared" si="2"/>
        <v>1.7895207768625491E-3</v>
      </c>
      <c r="E181" s="111">
        <f>SUM($D$2:D181)</f>
        <v>0.64672754546172229</v>
      </c>
      <c r="F181" s="112">
        <v>0.8</v>
      </c>
    </row>
    <row r="182" spans="1:6">
      <c r="A182" s="74">
        <v>181</v>
      </c>
      <c r="B182" s="74" t="s">
        <v>8584</v>
      </c>
      <c r="C182" s="74">
        <v>67</v>
      </c>
      <c r="D182" s="110">
        <f t="shared" si="2"/>
        <v>1.7632042948498646E-3</v>
      </c>
      <c r="E182" s="111">
        <f>SUM($D$2:D182)</f>
        <v>0.64849074975657217</v>
      </c>
      <c r="F182" s="112">
        <v>0.8</v>
      </c>
    </row>
    <row r="183" spans="1:6">
      <c r="A183" s="74">
        <v>182</v>
      </c>
      <c r="B183" s="74" t="s">
        <v>1601</v>
      </c>
      <c r="C183" s="74">
        <v>67</v>
      </c>
      <c r="D183" s="110">
        <f t="shared" si="2"/>
        <v>1.7632042948498646E-3</v>
      </c>
      <c r="E183" s="111">
        <f>SUM($D$2:D183)</f>
        <v>0.65025395405142206</v>
      </c>
      <c r="F183" s="112">
        <v>0.8</v>
      </c>
    </row>
    <row r="184" spans="1:6">
      <c r="A184" s="74">
        <v>183</v>
      </c>
      <c r="B184" s="74" t="s">
        <v>678</v>
      </c>
      <c r="C184" s="74">
        <v>67</v>
      </c>
      <c r="D184" s="110">
        <f t="shared" si="2"/>
        <v>1.7632042948498646E-3</v>
      </c>
      <c r="E184" s="111">
        <f>SUM($D$2:D184)</f>
        <v>0.65201715834627194</v>
      </c>
      <c r="F184" s="112">
        <v>0.8</v>
      </c>
    </row>
    <row r="185" spans="1:6">
      <c r="A185" s="74">
        <v>184</v>
      </c>
      <c r="B185" s="74" t="s">
        <v>650</v>
      </c>
      <c r="C185" s="74">
        <v>66</v>
      </c>
      <c r="D185" s="110">
        <f t="shared" si="2"/>
        <v>1.7368878128371798E-3</v>
      </c>
      <c r="E185" s="111">
        <f>SUM($D$2:D185)</f>
        <v>0.65375404615910915</v>
      </c>
      <c r="F185" s="112">
        <v>0.8</v>
      </c>
    </row>
    <row r="186" spans="1:6">
      <c r="A186" s="74">
        <v>185</v>
      </c>
      <c r="B186" s="74" t="s">
        <v>1351</v>
      </c>
      <c r="C186" s="74">
        <v>65</v>
      </c>
      <c r="D186" s="110">
        <f t="shared" si="2"/>
        <v>1.7105713308244953E-3</v>
      </c>
      <c r="E186" s="111">
        <f>SUM($D$2:D186)</f>
        <v>0.65546461748993368</v>
      </c>
      <c r="F186" s="112">
        <v>0.8</v>
      </c>
    </row>
    <row r="187" spans="1:6">
      <c r="A187" s="74">
        <v>186</v>
      </c>
      <c r="B187" s="74" t="s">
        <v>1338</v>
      </c>
      <c r="C187" s="74">
        <v>65</v>
      </c>
      <c r="D187" s="110">
        <f t="shared" si="2"/>
        <v>1.7105713308244953E-3</v>
      </c>
      <c r="E187" s="111">
        <f>SUM($D$2:D187)</f>
        <v>0.6571751888207582</v>
      </c>
      <c r="F187" s="112">
        <v>0.8</v>
      </c>
    </row>
    <row r="188" spans="1:6">
      <c r="A188" s="74">
        <v>187</v>
      </c>
      <c r="B188" s="74" t="s">
        <v>1556</v>
      </c>
      <c r="C188" s="74">
        <v>65</v>
      </c>
      <c r="D188" s="110">
        <f t="shared" si="2"/>
        <v>1.7105713308244953E-3</v>
      </c>
      <c r="E188" s="111">
        <f>SUM($D$2:D188)</f>
        <v>0.65888576015158273</v>
      </c>
      <c r="F188" s="112">
        <v>0.8</v>
      </c>
    </row>
    <row r="189" spans="1:6">
      <c r="A189" s="74">
        <v>188</v>
      </c>
      <c r="B189" s="74" t="s">
        <v>8531</v>
      </c>
      <c r="C189" s="74">
        <v>65</v>
      </c>
      <c r="D189" s="110">
        <f t="shared" si="2"/>
        <v>1.7105713308244953E-3</v>
      </c>
      <c r="E189" s="111">
        <f>SUM($D$2:D189)</f>
        <v>0.66059633148240726</v>
      </c>
      <c r="F189" s="112">
        <v>0.8</v>
      </c>
    </row>
    <row r="190" spans="1:6">
      <c r="A190" s="74">
        <v>189</v>
      </c>
      <c r="B190" s="74" t="s">
        <v>1451</v>
      </c>
      <c r="C190" s="74">
        <v>64</v>
      </c>
      <c r="D190" s="110">
        <f t="shared" si="2"/>
        <v>1.6842548488118108E-3</v>
      </c>
      <c r="E190" s="111">
        <f>SUM($D$2:D190)</f>
        <v>0.66228058633121911</v>
      </c>
      <c r="F190" s="112">
        <v>0.8</v>
      </c>
    </row>
    <row r="191" spans="1:6">
      <c r="A191" s="74">
        <v>190</v>
      </c>
      <c r="B191" s="74" t="s">
        <v>8402</v>
      </c>
      <c r="C191" s="74">
        <v>64</v>
      </c>
      <c r="D191" s="110">
        <f t="shared" si="2"/>
        <v>1.6842548488118108E-3</v>
      </c>
      <c r="E191" s="111">
        <f>SUM($D$2:D191)</f>
        <v>0.66396484118003096</v>
      </c>
      <c r="F191" s="112">
        <v>0.8</v>
      </c>
    </row>
    <row r="192" spans="1:6">
      <c r="A192" s="74">
        <v>191</v>
      </c>
      <c r="B192" s="74" t="s">
        <v>8511</v>
      </c>
      <c r="C192" s="74">
        <v>64</v>
      </c>
      <c r="D192" s="110">
        <f t="shared" si="2"/>
        <v>1.6842548488118108E-3</v>
      </c>
      <c r="E192" s="111">
        <f>SUM($D$2:D192)</f>
        <v>0.66564909602884281</v>
      </c>
      <c r="F192" s="112">
        <v>0.8</v>
      </c>
    </row>
    <row r="193" spans="1:6">
      <c r="A193" s="74">
        <v>192</v>
      </c>
      <c r="B193" s="74" t="s">
        <v>651</v>
      </c>
      <c r="C193" s="74">
        <v>64</v>
      </c>
      <c r="D193" s="110">
        <f t="shared" si="2"/>
        <v>1.6842548488118108E-3</v>
      </c>
      <c r="E193" s="111">
        <f>SUM($D$2:D193)</f>
        <v>0.66733335087765466</v>
      </c>
      <c r="F193" s="112">
        <v>0.8</v>
      </c>
    </row>
    <row r="194" spans="1:6">
      <c r="A194" s="74">
        <v>193</v>
      </c>
      <c r="B194" s="74" t="s">
        <v>1390</v>
      </c>
      <c r="C194" s="74">
        <v>64</v>
      </c>
      <c r="D194" s="110">
        <f t="shared" ref="D194:D257" si="3">C194/$K$2</f>
        <v>1.6842548488118108E-3</v>
      </c>
      <c r="E194" s="111">
        <f>SUM($D$2:D194)</f>
        <v>0.66901760572646651</v>
      </c>
      <c r="F194" s="112">
        <v>0.8</v>
      </c>
    </row>
    <row r="195" spans="1:6">
      <c r="A195" s="74">
        <v>194</v>
      </c>
      <c r="B195" s="74" t="s">
        <v>1357</v>
      </c>
      <c r="C195" s="74">
        <v>64</v>
      </c>
      <c r="D195" s="110">
        <f t="shared" si="3"/>
        <v>1.6842548488118108E-3</v>
      </c>
      <c r="E195" s="111">
        <f>SUM($D$2:D195)</f>
        <v>0.67070186057527836</v>
      </c>
      <c r="F195" s="112">
        <v>0.8</v>
      </c>
    </row>
    <row r="196" spans="1:6">
      <c r="A196" s="74">
        <v>195</v>
      </c>
      <c r="B196" s="74" t="s">
        <v>8678</v>
      </c>
      <c r="C196" s="74">
        <v>64</v>
      </c>
      <c r="D196" s="110">
        <f t="shared" si="3"/>
        <v>1.6842548488118108E-3</v>
      </c>
      <c r="E196" s="111">
        <f>SUM($D$2:D196)</f>
        <v>0.67238611542409021</v>
      </c>
      <c r="F196" s="112">
        <v>0.8</v>
      </c>
    </row>
    <row r="197" spans="1:6">
      <c r="A197" s="74">
        <v>196</v>
      </c>
      <c r="B197" s="74" t="s">
        <v>1415</v>
      </c>
      <c r="C197" s="74">
        <v>63</v>
      </c>
      <c r="D197" s="110">
        <f t="shared" si="3"/>
        <v>1.6579383667991263E-3</v>
      </c>
      <c r="E197" s="111">
        <f>SUM($D$2:D197)</f>
        <v>0.67404405379088939</v>
      </c>
      <c r="F197" s="112">
        <v>0.8</v>
      </c>
    </row>
    <row r="198" spans="1:6">
      <c r="A198" s="74">
        <v>197</v>
      </c>
      <c r="B198" s="74" t="s">
        <v>2624</v>
      </c>
      <c r="C198" s="74">
        <v>63</v>
      </c>
      <c r="D198" s="110">
        <f t="shared" si="3"/>
        <v>1.6579383667991263E-3</v>
      </c>
      <c r="E198" s="111">
        <f>SUM($D$2:D198)</f>
        <v>0.67570199215768856</v>
      </c>
      <c r="F198" s="112">
        <v>0.8</v>
      </c>
    </row>
    <row r="199" spans="1:6">
      <c r="A199" s="74">
        <v>198</v>
      </c>
      <c r="B199" s="74" t="s">
        <v>690</v>
      </c>
      <c r="C199" s="74">
        <v>63</v>
      </c>
      <c r="D199" s="110">
        <f t="shared" si="3"/>
        <v>1.6579383667991263E-3</v>
      </c>
      <c r="E199" s="111">
        <f>SUM($D$2:D199)</f>
        <v>0.67735993052448773</v>
      </c>
      <c r="F199" s="112">
        <v>0.8</v>
      </c>
    </row>
    <row r="200" spans="1:6">
      <c r="A200" s="74">
        <v>199</v>
      </c>
      <c r="B200" s="74" t="s">
        <v>1626</v>
      </c>
      <c r="C200" s="74">
        <v>62</v>
      </c>
      <c r="D200" s="110">
        <f t="shared" si="3"/>
        <v>1.6316218847864418E-3</v>
      </c>
      <c r="E200" s="111">
        <f>SUM($D$2:D200)</f>
        <v>0.67899155240927422</v>
      </c>
      <c r="F200" s="112">
        <v>0.8</v>
      </c>
    </row>
    <row r="201" spans="1:6">
      <c r="A201" s="74">
        <v>200</v>
      </c>
      <c r="B201" s="74" t="s">
        <v>1423</v>
      </c>
      <c r="C201" s="74">
        <v>62</v>
      </c>
      <c r="D201" s="110">
        <f t="shared" si="3"/>
        <v>1.6316218847864418E-3</v>
      </c>
      <c r="E201" s="111">
        <f>SUM($D$2:D201)</f>
        <v>0.68062317429406072</v>
      </c>
      <c r="F201" s="112">
        <v>0.8</v>
      </c>
    </row>
    <row r="202" spans="1:6">
      <c r="A202" s="74">
        <v>201</v>
      </c>
      <c r="B202" s="74" t="s">
        <v>4575</v>
      </c>
      <c r="C202" s="74">
        <v>62</v>
      </c>
      <c r="D202" s="110">
        <f t="shared" si="3"/>
        <v>1.6316218847864418E-3</v>
      </c>
      <c r="E202" s="111">
        <f>SUM($D$2:D202)</f>
        <v>0.68225479617884721</v>
      </c>
      <c r="F202" s="112">
        <v>0.8</v>
      </c>
    </row>
    <row r="203" spans="1:6">
      <c r="A203" s="74">
        <v>202</v>
      </c>
      <c r="B203" s="74" t="s">
        <v>1429</v>
      </c>
      <c r="C203" s="74">
        <v>61</v>
      </c>
      <c r="D203" s="110">
        <f t="shared" si="3"/>
        <v>1.6053054027737573E-3</v>
      </c>
      <c r="E203" s="111">
        <f>SUM($D$2:D203)</f>
        <v>0.68386010158162092</v>
      </c>
      <c r="F203" s="112">
        <v>0.8</v>
      </c>
    </row>
    <row r="204" spans="1:6">
      <c r="A204" s="74">
        <v>203</v>
      </c>
      <c r="B204" s="74" t="s">
        <v>1687</v>
      </c>
      <c r="C204" s="74">
        <v>61</v>
      </c>
      <c r="D204" s="110">
        <f t="shared" si="3"/>
        <v>1.6053054027737573E-3</v>
      </c>
      <c r="E204" s="111">
        <f>SUM($D$2:D204)</f>
        <v>0.68546540698439462</v>
      </c>
      <c r="F204" s="112">
        <v>0.8</v>
      </c>
    </row>
    <row r="205" spans="1:6">
      <c r="A205" s="74">
        <v>204</v>
      </c>
      <c r="B205" s="74" t="s">
        <v>684</v>
      </c>
      <c r="C205" s="74">
        <v>61</v>
      </c>
      <c r="D205" s="110">
        <f t="shared" si="3"/>
        <v>1.6053054027737573E-3</v>
      </c>
      <c r="E205" s="111">
        <f>SUM($D$2:D205)</f>
        <v>0.68707071238716833</v>
      </c>
      <c r="F205" s="112">
        <v>0.8</v>
      </c>
    </row>
    <row r="206" spans="1:6">
      <c r="A206" s="74">
        <v>205</v>
      </c>
      <c r="B206" s="74" t="s">
        <v>8161</v>
      </c>
      <c r="C206" s="74">
        <v>60</v>
      </c>
      <c r="D206" s="110">
        <f t="shared" si="3"/>
        <v>1.5789889207610726E-3</v>
      </c>
      <c r="E206" s="111">
        <f>SUM($D$2:D206)</f>
        <v>0.68864970130792935</v>
      </c>
      <c r="F206" s="112">
        <v>0.8</v>
      </c>
    </row>
    <row r="207" spans="1:6">
      <c r="A207" s="74">
        <v>206</v>
      </c>
      <c r="B207" s="74" t="s">
        <v>1460</v>
      </c>
      <c r="C207" s="74">
        <v>59</v>
      </c>
      <c r="D207" s="110">
        <f t="shared" si="3"/>
        <v>1.552672438748388E-3</v>
      </c>
      <c r="E207" s="111">
        <f>SUM($D$2:D207)</f>
        <v>0.6902023737466777</v>
      </c>
      <c r="F207" s="112">
        <v>0.8</v>
      </c>
    </row>
    <row r="208" spans="1:6">
      <c r="A208" s="74">
        <v>207</v>
      </c>
      <c r="B208" s="74" t="s">
        <v>2408</v>
      </c>
      <c r="C208" s="74">
        <v>59</v>
      </c>
      <c r="D208" s="110">
        <f t="shared" si="3"/>
        <v>1.552672438748388E-3</v>
      </c>
      <c r="E208" s="111">
        <f>SUM($D$2:D208)</f>
        <v>0.69175504618542605</v>
      </c>
      <c r="F208" s="112">
        <v>0.8</v>
      </c>
    </row>
    <row r="209" spans="1:6">
      <c r="A209" s="74">
        <v>208</v>
      </c>
      <c r="B209" s="74" t="s">
        <v>8672</v>
      </c>
      <c r="C209" s="74">
        <v>59</v>
      </c>
      <c r="D209" s="110">
        <f t="shared" si="3"/>
        <v>1.552672438748388E-3</v>
      </c>
      <c r="E209" s="111">
        <f>SUM($D$2:D209)</f>
        <v>0.6933077186241744</v>
      </c>
      <c r="F209" s="112">
        <v>0.8</v>
      </c>
    </row>
    <row r="210" spans="1:6">
      <c r="A210" s="74">
        <v>209</v>
      </c>
      <c r="B210" s="74" t="s">
        <v>1437</v>
      </c>
      <c r="C210" s="74">
        <v>57</v>
      </c>
      <c r="D210" s="110">
        <f t="shared" si="3"/>
        <v>1.500039474723019E-3</v>
      </c>
      <c r="E210" s="111">
        <f>SUM($D$2:D210)</f>
        <v>0.69480775809889739</v>
      </c>
      <c r="F210" s="112">
        <v>0.8</v>
      </c>
    </row>
    <row r="211" spans="1:6">
      <c r="A211" s="74">
        <v>210</v>
      </c>
      <c r="B211" s="74" t="s">
        <v>1609</v>
      </c>
      <c r="C211" s="74">
        <v>57</v>
      </c>
      <c r="D211" s="110">
        <f t="shared" si="3"/>
        <v>1.500039474723019E-3</v>
      </c>
      <c r="E211" s="111">
        <f>SUM($D$2:D211)</f>
        <v>0.69630779757362038</v>
      </c>
      <c r="F211" s="112">
        <v>0.8</v>
      </c>
    </row>
    <row r="212" spans="1:6">
      <c r="A212" s="74">
        <v>211</v>
      </c>
      <c r="B212" s="74" t="s">
        <v>1383</v>
      </c>
      <c r="C212" s="74">
        <v>57</v>
      </c>
      <c r="D212" s="110">
        <f t="shared" si="3"/>
        <v>1.500039474723019E-3</v>
      </c>
      <c r="E212" s="111">
        <f>SUM($D$2:D212)</f>
        <v>0.69780783704834337</v>
      </c>
      <c r="F212" s="112">
        <v>0.8</v>
      </c>
    </row>
    <row r="213" spans="1:6">
      <c r="A213" s="74">
        <v>212</v>
      </c>
      <c r="B213" s="74" t="s">
        <v>2304</v>
      </c>
      <c r="C213" s="74">
        <v>57</v>
      </c>
      <c r="D213" s="110">
        <f t="shared" si="3"/>
        <v>1.500039474723019E-3</v>
      </c>
      <c r="E213" s="111">
        <f>SUM($D$2:D213)</f>
        <v>0.69930787652306636</v>
      </c>
      <c r="F213" s="112">
        <v>0.8</v>
      </c>
    </row>
    <row r="214" spans="1:6">
      <c r="A214" s="74">
        <v>213</v>
      </c>
      <c r="B214" s="74" t="s">
        <v>8667</v>
      </c>
      <c r="C214" s="74">
        <v>57</v>
      </c>
      <c r="D214" s="110">
        <f t="shared" si="3"/>
        <v>1.500039474723019E-3</v>
      </c>
      <c r="E214" s="111">
        <f>SUM($D$2:D214)</f>
        <v>0.70080791599778935</v>
      </c>
      <c r="F214" s="112">
        <v>0.8</v>
      </c>
    </row>
    <row r="215" spans="1:6">
      <c r="A215" s="74">
        <v>214</v>
      </c>
      <c r="B215" s="74" t="s">
        <v>2444</v>
      </c>
      <c r="C215" s="74">
        <v>57</v>
      </c>
      <c r="D215" s="110">
        <f t="shared" si="3"/>
        <v>1.500039474723019E-3</v>
      </c>
      <c r="E215" s="111">
        <f>SUM($D$2:D215)</f>
        <v>0.70230795547251235</v>
      </c>
      <c r="F215" s="112">
        <v>0.8</v>
      </c>
    </row>
    <row r="216" spans="1:6">
      <c r="A216" s="74">
        <v>215</v>
      </c>
      <c r="B216" s="74" t="s">
        <v>8077</v>
      </c>
      <c r="C216" s="74">
        <v>56</v>
      </c>
      <c r="D216" s="110">
        <f t="shared" si="3"/>
        <v>1.4737229927103345E-3</v>
      </c>
      <c r="E216" s="111">
        <f>SUM($D$2:D216)</f>
        <v>0.70378167846522266</v>
      </c>
      <c r="F216" s="112">
        <v>0.8</v>
      </c>
    </row>
    <row r="217" spans="1:6">
      <c r="A217" s="74">
        <v>216</v>
      </c>
      <c r="B217" s="74" t="s">
        <v>1370</v>
      </c>
      <c r="C217" s="74">
        <v>56</v>
      </c>
      <c r="D217" s="110">
        <f t="shared" si="3"/>
        <v>1.4737229927103345E-3</v>
      </c>
      <c r="E217" s="111">
        <f>SUM($D$2:D217)</f>
        <v>0.70525540145793297</v>
      </c>
      <c r="F217" s="112">
        <v>0.8</v>
      </c>
    </row>
    <row r="218" spans="1:6">
      <c r="A218" s="74">
        <v>217</v>
      </c>
      <c r="B218" s="74" t="s">
        <v>1637</v>
      </c>
      <c r="C218" s="74">
        <v>55</v>
      </c>
      <c r="D218" s="110">
        <f t="shared" si="3"/>
        <v>1.44740651069765E-3</v>
      </c>
      <c r="E218" s="111">
        <f>SUM($D$2:D218)</f>
        <v>0.70670280796863061</v>
      </c>
      <c r="F218" s="112">
        <v>0.8</v>
      </c>
    </row>
    <row r="219" spans="1:6">
      <c r="A219" s="74">
        <v>218</v>
      </c>
      <c r="B219" s="74" t="s">
        <v>1806</v>
      </c>
      <c r="C219" s="74">
        <v>55</v>
      </c>
      <c r="D219" s="110">
        <f t="shared" si="3"/>
        <v>1.44740651069765E-3</v>
      </c>
      <c r="E219" s="111">
        <f>SUM($D$2:D219)</f>
        <v>0.70815021447932824</v>
      </c>
      <c r="F219" s="112">
        <v>0.8</v>
      </c>
    </row>
    <row r="220" spans="1:6">
      <c r="A220" s="74">
        <v>219</v>
      </c>
      <c r="B220" s="74" t="s">
        <v>8839</v>
      </c>
      <c r="C220" s="74">
        <v>55</v>
      </c>
      <c r="D220" s="110">
        <f t="shared" si="3"/>
        <v>1.44740651069765E-3</v>
      </c>
      <c r="E220" s="111">
        <f>SUM($D$2:D220)</f>
        <v>0.70959762099002588</v>
      </c>
      <c r="F220" s="112">
        <v>0.8</v>
      </c>
    </row>
    <row r="221" spans="1:6">
      <c r="A221" s="74">
        <v>220</v>
      </c>
      <c r="B221" s="74" t="s">
        <v>1404</v>
      </c>
      <c r="C221" s="74">
        <v>55</v>
      </c>
      <c r="D221" s="110">
        <f t="shared" si="3"/>
        <v>1.44740651069765E-3</v>
      </c>
      <c r="E221" s="111">
        <f>SUM($D$2:D221)</f>
        <v>0.71104502750072351</v>
      </c>
      <c r="F221" s="112">
        <v>0.8</v>
      </c>
    </row>
    <row r="222" spans="1:6">
      <c r="A222" s="74">
        <v>221</v>
      </c>
      <c r="B222" s="74" t="s">
        <v>682</v>
      </c>
      <c r="C222" s="74">
        <v>55</v>
      </c>
      <c r="D222" s="110">
        <f t="shared" si="3"/>
        <v>1.44740651069765E-3</v>
      </c>
      <c r="E222" s="111">
        <f>SUM($D$2:D222)</f>
        <v>0.71249243401142115</v>
      </c>
      <c r="F222" s="112">
        <v>0.8</v>
      </c>
    </row>
    <row r="223" spans="1:6">
      <c r="A223" s="74">
        <v>222</v>
      </c>
      <c r="B223" s="74" t="s">
        <v>1340</v>
      </c>
      <c r="C223" s="74">
        <v>54</v>
      </c>
      <c r="D223" s="110">
        <f t="shared" si="3"/>
        <v>1.4210900286849655E-3</v>
      </c>
      <c r="E223" s="111">
        <f>SUM($D$2:D223)</f>
        <v>0.71391352404010611</v>
      </c>
      <c r="F223" s="112">
        <v>0.8</v>
      </c>
    </row>
    <row r="224" spans="1:6">
      <c r="A224" s="74">
        <v>223</v>
      </c>
      <c r="B224" s="74" t="s">
        <v>1613</v>
      </c>
      <c r="C224" s="74">
        <v>54</v>
      </c>
      <c r="D224" s="110">
        <f t="shared" si="3"/>
        <v>1.4210900286849655E-3</v>
      </c>
      <c r="E224" s="111">
        <f>SUM($D$2:D224)</f>
        <v>0.71533461406879106</v>
      </c>
      <c r="F224" s="112">
        <v>0.8</v>
      </c>
    </row>
    <row r="225" spans="1:6">
      <c r="A225" s="74">
        <v>224</v>
      </c>
      <c r="B225" s="74" t="s">
        <v>1409</v>
      </c>
      <c r="C225" s="74">
        <v>54</v>
      </c>
      <c r="D225" s="110">
        <f t="shared" si="3"/>
        <v>1.4210900286849655E-3</v>
      </c>
      <c r="E225" s="111">
        <f>SUM($D$2:D225)</f>
        <v>0.71675570409747602</v>
      </c>
      <c r="F225" s="112">
        <v>0.8</v>
      </c>
    </row>
    <row r="226" spans="1:6">
      <c r="A226" s="74">
        <v>225</v>
      </c>
      <c r="B226" s="74" t="s">
        <v>2377</v>
      </c>
      <c r="C226" s="74">
        <v>54</v>
      </c>
      <c r="D226" s="110">
        <f t="shared" si="3"/>
        <v>1.4210900286849655E-3</v>
      </c>
      <c r="E226" s="111">
        <f>SUM($D$2:D226)</f>
        <v>0.71817679412616098</v>
      </c>
      <c r="F226" s="112">
        <v>0.8</v>
      </c>
    </row>
    <row r="227" spans="1:6">
      <c r="A227" s="74">
        <v>226</v>
      </c>
      <c r="B227" s="74" t="s">
        <v>674</v>
      </c>
      <c r="C227" s="74">
        <v>54</v>
      </c>
      <c r="D227" s="110">
        <f t="shared" si="3"/>
        <v>1.4210900286849655E-3</v>
      </c>
      <c r="E227" s="111">
        <f>SUM($D$2:D227)</f>
        <v>0.71959788415484593</v>
      </c>
      <c r="F227" s="112">
        <v>0.8</v>
      </c>
    </row>
    <row r="228" spans="1:6">
      <c r="A228" s="74">
        <v>227</v>
      </c>
      <c r="B228" s="74" t="s">
        <v>4852</v>
      </c>
      <c r="C228" s="74">
        <v>54</v>
      </c>
      <c r="D228" s="110">
        <f t="shared" si="3"/>
        <v>1.4210900286849655E-3</v>
      </c>
      <c r="E228" s="111">
        <f>SUM($D$2:D228)</f>
        <v>0.72101897418353089</v>
      </c>
      <c r="F228" s="112">
        <v>0.8</v>
      </c>
    </row>
    <row r="229" spans="1:6">
      <c r="A229" s="74">
        <v>228</v>
      </c>
      <c r="B229" s="74" t="s">
        <v>4992</v>
      </c>
      <c r="C229" s="74">
        <v>54</v>
      </c>
      <c r="D229" s="110">
        <f t="shared" si="3"/>
        <v>1.4210900286849655E-3</v>
      </c>
      <c r="E229" s="111">
        <f>SUM($D$2:D229)</f>
        <v>0.72244006421221585</v>
      </c>
      <c r="F229" s="112">
        <v>0.8</v>
      </c>
    </row>
    <row r="230" spans="1:6">
      <c r="A230" s="74">
        <v>229</v>
      </c>
      <c r="B230" s="74" t="s">
        <v>645</v>
      </c>
      <c r="C230" s="74">
        <v>53</v>
      </c>
      <c r="D230" s="110">
        <f t="shared" si="3"/>
        <v>1.3947735466722808E-3</v>
      </c>
      <c r="E230" s="111">
        <f>SUM($D$2:D230)</f>
        <v>0.72383483775888813</v>
      </c>
      <c r="F230" s="112">
        <v>0.8</v>
      </c>
    </row>
    <row r="231" spans="1:6">
      <c r="A231" s="74">
        <v>230</v>
      </c>
      <c r="B231" s="74" t="s">
        <v>1368</v>
      </c>
      <c r="C231" s="74">
        <v>53</v>
      </c>
      <c r="D231" s="110">
        <f t="shared" si="3"/>
        <v>1.3947735466722808E-3</v>
      </c>
      <c r="E231" s="111">
        <f>SUM($D$2:D231)</f>
        <v>0.72522961130556041</v>
      </c>
      <c r="F231" s="112">
        <v>0.8</v>
      </c>
    </row>
    <row r="232" spans="1:6">
      <c r="A232" s="74">
        <v>231</v>
      </c>
      <c r="B232" s="74" t="s">
        <v>1592</v>
      </c>
      <c r="C232" s="74">
        <v>53</v>
      </c>
      <c r="D232" s="110">
        <f t="shared" si="3"/>
        <v>1.3947735466722808E-3</v>
      </c>
      <c r="E232" s="111">
        <f>SUM($D$2:D232)</f>
        <v>0.72662438485223269</v>
      </c>
      <c r="F232" s="112">
        <v>0.8</v>
      </c>
    </row>
    <row r="233" spans="1:6">
      <c r="A233" s="74">
        <v>232</v>
      </c>
      <c r="B233" s="74" t="s">
        <v>1422</v>
      </c>
      <c r="C233" s="74">
        <v>53</v>
      </c>
      <c r="D233" s="110">
        <f t="shared" si="3"/>
        <v>1.3947735466722808E-3</v>
      </c>
      <c r="E233" s="111">
        <f>SUM($D$2:D233)</f>
        <v>0.72801915839890496</v>
      </c>
      <c r="F233" s="112">
        <v>0.8</v>
      </c>
    </row>
    <row r="234" spans="1:6">
      <c r="A234" s="74">
        <v>233</v>
      </c>
      <c r="B234" s="74" t="s">
        <v>1595</v>
      </c>
      <c r="C234" s="74">
        <v>53</v>
      </c>
      <c r="D234" s="110">
        <f t="shared" si="3"/>
        <v>1.3947735466722808E-3</v>
      </c>
      <c r="E234" s="111">
        <f>SUM($D$2:D234)</f>
        <v>0.72941393194557724</v>
      </c>
      <c r="F234" s="112">
        <v>0.8</v>
      </c>
    </row>
    <row r="235" spans="1:6">
      <c r="A235" s="74">
        <v>234</v>
      </c>
      <c r="B235" s="74" t="s">
        <v>1671</v>
      </c>
      <c r="C235" s="74">
        <v>53</v>
      </c>
      <c r="D235" s="110">
        <f t="shared" si="3"/>
        <v>1.3947735466722808E-3</v>
      </c>
      <c r="E235" s="111">
        <f>SUM($D$2:D235)</f>
        <v>0.73080870549224952</v>
      </c>
      <c r="F235" s="112">
        <v>0.8</v>
      </c>
    </row>
    <row r="236" spans="1:6">
      <c r="A236" s="74">
        <v>235</v>
      </c>
      <c r="B236" s="74" t="s">
        <v>8804</v>
      </c>
      <c r="C236" s="74">
        <v>53</v>
      </c>
      <c r="D236" s="110">
        <f t="shared" si="3"/>
        <v>1.3947735466722808E-3</v>
      </c>
      <c r="E236" s="111">
        <f>SUM($D$2:D236)</f>
        <v>0.7322034790389218</v>
      </c>
      <c r="F236" s="112">
        <v>0.8</v>
      </c>
    </row>
    <row r="237" spans="1:6">
      <c r="A237" s="74">
        <v>236</v>
      </c>
      <c r="B237" s="74" t="s">
        <v>1548</v>
      </c>
      <c r="C237" s="74">
        <v>53</v>
      </c>
      <c r="D237" s="110">
        <f t="shared" si="3"/>
        <v>1.3947735466722808E-3</v>
      </c>
      <c r="E237" s="111">
        <f>SUM($D$2:D237)</f>
        <v>0.73359825258559408</v>
      </c>
      <c r="F237" s="112">
        <v>0.8</v>
      </c>
    </row>
    <row r="238" spans="1:6">
      <c r="A238" s="74">
        <v>237</v>
      </c>
      <c r="B238" s="74" t="s">
        <v>1615</v>
      </c>
      <c r="C238" s="74">
        <v>52</v>
      </c>
      <c r="D238" s="110">
        <f t="shared" si="3"/>
        <v>1.3684570646595963E-3</v>
      </c>
      <c r="E238" s="111">
        <f>SUM($D$2:D238)</f>
        <v>0.73496670965025368</v>
      </c>
      <c r="F238" s="112">
        <v>0.8</v>
      </c>
    </row>
    <row r="239" spans="1:6">
      <c r="A239" s="74">
        <v>238</v>
      </c>
      <c r="B239" s="74" t="s">
        <v>1406</v>
      </c>
      <c r="C239" s="74">
        <v>52</v>
      </c>
      <c r="D239" s="110">
        <f t="shared" si="3"/>
        <v>1.3684570646595963E-3</v>
      </c>
      <c r="E239" s="111">
        <f>SUM($D$2:D239)</f>
        <v>0.73633516671491328</v>
      </c>
      <c r="F239" s="112">
        <v>0.8</v>
      </c>
    </row>
    <row r="240" spans="1:6">
      <c r="A240" s="74">
        <v>239</v>
      </c>
      <c r="B240" s="74" t="s">
        <v>5132</v>
      </c>
      <c r="C240" s="74">
        <v>52</v>
      </c>
      <c r="D240" s="110">
        <f t="shared" si="3"/>
        <v>1.3684570646595963E-3</v>
      </c>
      <c r="E240" s="111">
        <f>SUM($D$2:D240)</f>
        <v>0.73770362377957288</v>
      </c>
      <c r="F240" s="112">
        <v>0.8</v>
      </c>
    </row>
    <row r="241" spans="1:6">
      <c r="A241" s="74">
        <v>240</v>
      </c>
      <c r="B241" s="74" t="s">
        <v>1498</v>
      </c>
      <c r="C241" s="74">
        <v>52</v>
      </c>
      <c r="D241" s="110">
        <f t="shared" si="3"/>
        <v>1.3684570646595963E-3</v>
      </c>
      <c r="E241" s="111">
        <f>SUM($D$2:D241)</f>
        <v>0.73907208084423248</v>
      </c>
      <c r="F241" s="112">
        <v>0.8</v>
      </c>
    </row>
    <row r="242" spans="1:6">
      <c r="A242" s="74">
        <v>241</v>
      </c>
      <c r="B242" s="74" t="s">
        <v>1624</v>
      </c>
      <c r="C242" s="74">
        <v>51</v>
      </c>
      <c r="D242" s="110">
        <f t="shared" si="3"/>
        <v>1.3421405826469118E-3</v>
      </c>
      <c r="E242" s="111">
        <f>SUM($D$2:D242)</f>
        <v>0.7404142214268794</v>
      </c>
      <c r="F242" s="112">
        <v>0.8</v>
      </c>
    </row>
    <row r="243" spans="1:6">
      <c r="A243" s="74">
        <v>242</v>
      </c>
      <c r="B243" s="74" t="s">
        <v>8674</v>
      </c>
      <c r="C243" s="74">
        <v>51</v>
      </c>
      <c r="D243" s="110">
        <f t="shared" si="3"/>
        <v>1.3421405826469118E-3</v>
      </c>
      <c r="E243" s="111">
        <f>SUM($D$2:D243)</f>
        <v>0.74175636200952633</v>
      </c>
      <c r="F243" s="112">
        <v>0.8</v>
      </c>
    </row>
    <row r="244" spans="1:6">
      <c r="A244" s="74">
        <v>243</v>
      </c>
      <c r="B244" s="74" t="s">
        <v>2253</v>
      </c>
      <c r="C244" s="74">
        <v>51</v>
      </c>
      <c r="D244" s="110">
        <f t="shared" si="3"/>
        <v>1.3421405826469118E-3</v>
      </c>
      <c r="E244" s="111">
        <f>SUM($D$2:D244)</f>
        <v>0.74309850259217325</v>
      </c>
      <c r="F244" s="112">
        <v>0.8</v>
      </c>
    </row>
    <row r="245" spans="1:6">
      <c r="A245" s="74">
        <v>244</v>
      </c>
      <c r="B245" s="74" t="s">
        <v>8459</v>
      </c>
      <c r="C245" s="74">
        <v>51</v>
      </c>
      <c r="D245" s="110">
        <f t="shared" si="3"/>
        <v>1.3421405826469118E-3</v>
      </c>
      <c r="E245" s="111">
        <f>SUM($D$2:D245)</f>
        <v>0.74444064317482017</v>
      </c>
      <c r="F245" s="112">
        <v>0.8</v>
      </c>
    </row>
    <row r="246" spans="1:6">
      <c r="A246" s="74">
        <v>245</v>
      </c>
      <c r="B246" s="74" t="s">
        <v>1395</v>
      </c>
      <c r="C246" s="74">
        <v>51</v>
      </c>
      <c r="D246" s="110">
        <f t="shared" si="3"/>
        <v>1.3421405826469118E-3</v>
      </c>
      <c r="E246" s="111">
        <f>SUM($D$2:D246)</f>
        <v>0.74578278375746709</v>
      </c>
      <c r="F246" s="112">
        <v>0.8</v>
      </c>
    </row>
    <row r="247" spans="1:6">
      <c r="A247" s="74">
        <v>246</v>
      </c>
      <c r="B247" s="74" t="s">
        <v>1468</v>
      </c>
      <c r="C247" s="74">
        <v>51</v>
      </c>
      <c r="D247" s="110">
        <f t="shared" si="3"/>
        <v>1.3421405826469118E-3</v>
      </c>
      <c r="E247" s="111">
        <f>SUM($D$2:D247)</f>
        <v>0.74712492434011402</v>
      </c>
      <c r="F247" s="112">
        <v>0.8</v>
      </c>
    </row>
    <row r="248" spans="1:6">
      <c r="A248" s="74">
        <v>247</v>
      </c>
      <c r="B248" s="74" t="s">
        <v>1355</v>
      </c>
      <c r="C248" s="74">
        <v>50</v>
      </c>
      <c r="D248" s="110">
        <f t="shared" si="3"/>
        <v>1.3158241006342272E-3</v>
      </c>
      <c r="E248" s="111">
        <f>SUM($D$2:D248)</f>
        <v>0.74844074844074826</v>
      </c>
      <c r="F248" s="112">
        <v>0.8</v>
      </c>
    </row>
    <row r="249" spans="1:6">
      <c r="A249" s="74">
        <v>248</v>
      </c>
      <c r="B249" s="74" t="s">
        <v>1525</v>
      </c>
      <c r="C249" s="74">
        <v>50</v>
      </c>
      <c r="D249" s="110">
        <f t="shared" si="3"/>
        <v>1.3158241006342272E-3</v>
      </c>
      <c r="E249" s="111">
        <f>SUM($D$2:D249)</f>
        <v>0.7497565725413825</v>
      </c>
      <c r="F249" s="112">
        <v>0.8</v>
      </c>
    </row>
    <row r="250" spans="1:6">
      <c r="A250" s="74">
        <v>249</v>
      </c>
      <c r="B250" s="74" t="s">
        <v>8082</v>
      </c>
      <c r="C250" s="74">
        <v>50</v>
      </c>
      <c r="D250" s="110">
        <f t="shared" si="3"/>
        <v>1.3158241006342272E-3</v>
      </c>
      <c r="E250" s="111">
        <f>SUM($D$2:D250)</f>
        <v>0.75107239664201675</v>
      </c>
      <c r="F250" s="112">
        <v>0.8</v>
      </c>
    </row>
    <row r="251" spans="1:6">
      <c r="A251" s="74">
        <v>250</v>
      </c>
      <c r="B251" s="74" t="s">
        <v>640</v>
      </c>
      <c r="C251" s="74">
        <v>50</v>
      </c>
      <c r="D251" s="110">
        <f t="shared" si="3"/>
        <v>1.3158241006342272E-3</v>
      </c>
      <c r="E251" s="111">
        <f>SUM($D$2:D251)</f>
        <v>0.75238822074265099</v>
      </c>
      <c r="F251" s="112">
        <v>0.8</v>
      </c>
    </row>
    <row r="252" spans="1:6">
      <c r="A252" s="74">
        <v>251</v>
      </c>
      <c r="B252" s="74" t="s">
        <v>1405</v>
      </c>
      <c r="C252" s="74">
        <v>50</v>
      </c>
      <c r="D252" s="110">
        <f t="shared" si="3"/>
        <v>1.3158241006342272E-3</v>
      </c>
      <c r="E252" s="111">
        <f>SUM($D$2:D252)</f>
        <v>0.75370404484328524</v>
      </c>
      <c r="F252" s="112">
        <v>0.8</v>
      </c>
    </row>
    <row r="253" spans="1:6">
      <c r="A253" s="74">
        <v>252</v>
      </c>
      <c r="B253" s="74" t="s">
        <v>1373</v>
      </c>
      <c r="C253" s="74">
        <v>50</v>
      </c>
      <c r="D253" s="110">
        <f t="shared" si="3"/>
        <v>1.3158241006342272E-3</v>
      </c>
      <c r="E253" s="111">
        <f>SUM($D$2:D253)</f>
        <v>0.75501986894391948</v>
      </c>
      <c r="F253" s="112">
        <v>0.8</v>
      </c>
    </row>
    <row r="254" spans="1:6">
      <c r="A254" s="74">
        <v>253</v>
      </c>
      <c r="B254" s="74" t="s">
        <v>8449</v>
      </c>
      <c r="C254" s="74">
        <v>50</v>
      </c>
      <c r="D254" s="110">
        <f t="shared" si="3"/>
        <v>1.3158241006342272E-3</v>
      </c>
      <c r="E254" s="111">
        <f>SUM($D$2:D254)</f>
        <v>0.75633569304455373</v>
      </c>
      <c r="F254" s="112">
        <v>0.8</v>
      </c>
    </row>
    <row r="255" spans="1:6">
      <c r="A255" s="74">
        <v>254</v>
      </c>
      <c r="B255" s="74" t="s">
        <v>1430</v>
      </c>
      <c r="C255" s="74">
        <v>49</v>
      </c>
      <c r="D255" s="110">
        <f t="shared" si="3"/>
        <v>1.2895076186215427E-3</v>
      </c>
      <c r="E255" s="111">
        <f>SUM($D$2:D255)</f>
        <v>0.75762520066317529</v>
      </c>
      <c r="F255" s="112">
        <v>0.8</v>
      </c>
    </row>
    <row r="256" spans="1:6">
      <c r="A256" s="74">
        <v>255</v>
      </c>
      <c r="B256" s="74" t="s">
        <v>1672</v>
      </c>
      <c r="C256" s="74">
        <v>48</v>
      </c>
      <c r="D256" s="110">
        <f t="shared" si="3"/>
        <v>1.2631911366088582E-3</v>
      </c>
      <c r="E256" s="111">
        <f>SUM($D$2:D256)</f>
        <v>0.75888839179978418</v>
      </c>
      <c r="F256" s="112">
        <v>0.8</v>
      </c>
    </row>
    <row r="257" spans="1:6">
      <c r="A257" s="74">
        <v>256</v>
      </c>
      <c r="B257" s="97" t="s">
        <v>4482</v>
      </c>
      <c r="C257" s="74">
        <v>47</v>
      </c>
      <c r="D257" s="110">
        <f t="shared" si="3"/>
        <v>1.2368746545961735E-3</v>
      </c>
      <c r="E257" s="111">
        <f>SUM($D$2:D257)</f>
        <v>0.76012526645438039</v>
      </c>
      <c r="F257" s="112">
        <v>0.8</v>
      </c>
    </row>
    <row r="258" spans="1:6">
      <c r="A258" s="74">
        <v>257</v>
      </c>
      <c r="B258" s="74" t="s">
        <v>644</v>
      </c>
      <c r="C258" s="74">
        <v>47</v>
      </c>
      <c r="D258" s="110">
        <f t="shared" ref="D258:D321" si="4">C258/$K$2</f>
        <v>1.2368746545961735E-3</v>
      </c>
      <c r="E258" s="111">
        <f>SUM($D$2:D258)</f>
        <v>0.7613621411089766</v>
      </c>
      <c r="F258" s="112">
        <v>0.8</v>
      </c>
    </row>
    <row r="259" spans="1:6">
      <c r="A259" s="74">
        <v>258</v>
      </c>
      <c r="B259" s="74" t="s">
        <v>1535</v>
      </c>
      <c r="C259" s="74">
        <v>47</v>
      </c>
      <c r="D259" s="110">
        <f t="shared" si="4"/>
        <v>1.2368746545961735E-3</v>
      </c>
      <c r="E259" s="111">
        <f>SUM($D$2:D259)</f>
        <v>0.76259901576357281</v>
      </c>
      <c r="F259" s="112">
        <v>0.8</v>
      </c>
    </row>
    <row r="260" spans="1:6">
      <c r="A260" s="74">
        <v>259</v>
      </c>
      <c r="B260" s="74" t="s">
        <v>1396</v>
      </c>
      <c r="C260" s="74">
        <v>46</v>
      </c>
      <c r="D260" s="110">
        <f t="shared" si="4"/>
        <v>1.210558172583489E-3</v>
      </c>
      <c r="E260" s="111">
        <f>SUM($D$2:D260)</f>
        <v>0.76380957393615634</v>
      </c>
      <c r="F260" s="112">
        <v>0.8</v>
      </c>
    </row>
    <row r="261" spans="1:6">
      <c r="A261" s="74">
        <v>260</v>
      </c>
      <c r="B261" s="74" t="s">
        <v>1343</v>
      </c>
      <c r="C261" s="74">
        <v>46</v>
      </c>
      <c r="D261" s="110">
        <f t="shared" si="4"/>
        <v>1.210558172583489E-3</v>
      </c>
      <c r="E261" s="111">
        <f>SUM($D$2:D261)</f>
        <v>0.76502013210873987</v>
      </c>
      <c r="F261" s="112">
        <v>0.8</v>
      </c>
    </row>
    <row r="262" spans="1:6">
      <c r="A262" s="74">
        <v>261</v>
      </c>
      <c r="B262" s="74" t="s">
        <v>1464</v>
      </c>
      <c r="C262" s="74">
        <v>46</v>
      </c>
      <c r="D262" s="110">
        <f t="shared" si="4"/>
        <v>1.210558172583489E-3</v>
      </c>
      <c r="E262" s="111">
        <f>SUM($D$2:D262)</f>
        <v>0.7662306902813234</v>
      </c>
      <c r="F262" s="112">
        <v>0.8</v>
      </c>
    </row>
    <row r="263" spans="1:6">
      <c r="A263" s="74">
        <v>262</v>
      </c>
      <c r="B263" s="74" t="s">
        <v>8689</v>
      </c>
      <c r="C263" s="74">
        <v>46</v>
      </c>
      <c r="D263" s="110">
        <f t="shared" si="4"/>
        <v>1.210558172583489E-3</v>
      </c>
      <c r="E263" s="111">
        <f>SUM($D$2:D263)</f>
        <v>0.76744124845390693</v>
      </c>
      <c r="F263" s="112">
        <v>0.8</v>
      </c>
    </row>
    <row r="264" spans="1:6">
      <c r="A264" s="74">
        <v>263</v>
      </c>
      <c r="B264" s="74" t="s">
        <v>1580</v>
      </c>
      <c r="C264" s="74">
        <v>46</v>
      </c>
      <c r="D264" s="110">
        <f t="shared" si="4"/>
        <v>1.210558172583489E-3</v>
      </c>
      <c r="E264" s="111">
        <f>SUM($D$2:D264)</f>
        <v>0.76865180662649046</v>
      </c>
      <c r="F264" s="112">
        <v>0.8</v>
      </c>
    </row>
    <row r="265" spans="1:6">
      <c r="A265" s="74">
        <v>264</v>
      </c>
      <c r="B265" s="74" t="s">
        <v>2370</v>
      </c>
      <c r="C265" s="74">
        <v>45</v>
      </c>
      <c r="D265" s="110">
        <f t="shared" si="4"/>
        <v>1.1842416905708045E-3</v>
      </c>
      <c r="E265" s="111">
        <f>SUM($D$2:D265)</f>
        <v>0.76983604831706132</v>
      </c>
      <c r="F265" s="112">
        <v>0.8</v>
      </c>
    </row>
    <row r="266" spans="1:6">
      <c r="A266" s="74">
        <v>265</v>
      </c>
      <c r="B266" s="74" t="s">
        <v>8680</v>
      </c>
      <c r="C266" s="74">
        <v>45</v>
      </c>
      <c r="D266" s="110">
        <f t="shared" si="4"/>
        <v>1.1842416905708045E-3</v>
      </c>
      <c r="E266" s="111">
        <f>SUM($D$2:D266)</f>
        <v>0.77102029000763217</v>
      </c>
      <c r="F266" s="112">
        <v>0.8</v>
      </c>
    </row>
    <row r="267" spans="1:6">
      <c r="A267" s="74">
        <v>266</v>
      </c>
      <c r="B267" s="74" t="s">
        <v>8283</v>
      </c>
      <c r="C267" s="74">
        <v>45</v>
      </c>
      <c r="D267" s="110">
        <f t="shared" si="4"/>
        <v>1.1842416905708045E-3</v>
      </c>
      <c r="E267" s="111">
        <f>SUM($D$2:D267)</f>
        <v>0.77220453169820302</v>
      </c>
      <c r="F267" s="112">
        <v>0.8</v>
      </c>
    </row>
    <row r="268" spans="1:6">
      <c r="A268" s="74">
        <v>267</v>
      </c>
      <c r="B268" s="74" t="s">
        <v>1523</v>
      </c>
      <c r="C268" s="74">
        <v>45</v>
      </c>
      <c r="D268" s="110">
        <f t="shared" si="4"/>
        <v>1.1842416905708045E-3</v>
      </c>
      <c r="E268" s="111">
        <f>SUM($D$2:D268)</f>
        <v>0.77338877338877388</v>
      </c>
      <c r="F268" s="112">
        <v>0.8</v>
      </c>
    </row>
    <row r="269" spans="1:6">
      <c r="A269" s="74">
        <v>268</v>
      </c>
      <c r="B269" s="74" t="s">
        <v>1611</v>
      </c>
      <c r="C269" s="74">
        <v>45</v>
      </c>
      <c r="D269" s="110">
        <f t="shared" si="4"/>
        <v>1.1842416905708045E-3</v>
      </c>
      <c r="E269" s="111">
        <f>SUM($D$2:D269)</f>
        <v>0.77457301507934473</v>
      </c>
      <c r="F269" s="112">
        <v>0.8</v>
      </c>
    </row>
    <row r="270" spans="1:6">
      <c r="A270" s="74">
        <v>269</v>
      </c>
      <c r="B270" s="74" t="s">
        <v>1443</v>
      </c>
      <c r="C270" s="74">
        <v>45</v>
      </c>
      <c r="D270" s="110">
        <f t="shared" si="4"/>
        <v>1.1842416905708045E-3</v>
      </c>
      <c r="E270" s="111">
        <f>SUM($D$2:D270)</f>
        <v>0.77575725676991558</v>
      </c>
      <c r="F270" s="112">
        <v>0.8</v>
      </c>
    </row>
    <row r="271" spans="1:6">
      <c r="A271" s="74">
        <v>270</v>
      </c>
      <c r="B271" s="74" t="s">
        <v>1683</v>
      </c>
      <c r="C271" s="74">
        <v>44</v>
      </c>
      <c r="D271" s="110">
        <f t="shared" si="4"/>
        <v>1.15792520855812E-3</v>
      </c>
      <c r="E271" s="111">
        <f>SUM($D$2:D271)</f>
        <v>0.77691518197847376</v>
      </c>
      <c r="F271" s="112">
        <v>0.8</v>
      </c>
    </row>
    <row r="272" spans="1:6">
      <c r="A272" s="74">
        <v>271</v>
      </c>
      <c r="B272" s="74" t="s">
        <v>2378</v>
      </c>
      <c r="C272" s="74">
        <v>44</v>
      </c>
      <c r="D272" s="110">
        <f t="shared" si="4"/>
        <v>1.15792520855812E-3</v>
      </c>
      <c r="E272" s="111">
        <f>SUM($D$2:D272)</f>
        <v>0.77807310718703193</v>
      </c>
      <c r="F272" s="112">
        <v>0.8</v>
      </c>
    </row>
    <row r="273" spans="1:6">
      <c r="A273" s="74">
        <v>272</v>
      </c>
      <c r="B273" s="74" t="s">
        <v>2636</v>
      </c>
      <c r="C273" s="74">
        <v>44</v>
      </c>
      <c r="D273" s="110">
        <f t="shared" si="4"/>
        <v>1.15792520855812E-3</v>
      </c>
      <c r="E273" s="111">
        <f>SUM($D$2:D273)</f>
        <v>0.77923103239559011</v>
      </c>
      <c r="F273" s="112">
        <v>0.8</v>
      </c>
    </row>
    <row r="274" spans="1:6">
      <c r="A274" s="74">
        <v>273</v>
      </c>
      <c r="B274" s="74" t="s">
        <v>2488</v>
      </c>
      <c r="C274" s="74">
        <v>44</v>
      </c>
      <c r="D274" s="110">
        <f t="shared" si="4"/>
        <v>1.15792520855812E-3</v>
      </c>
      <c r="E274" s="111">
        <f>SUM($D$2:D274)</f>
        <v>0.78038895760414828</v>
      </c>
      <c r="F274" s="112">
        <v>0.8</v>
      </c>
    </row>
    <row r="275" spans="1:6">
      <c r="A275" s="74">
        <v>274</v>
      </c>
      <c r="B275" s="74" t="s">
        <v>681</v>
      </c>
      <c r="C275" s="74">
        <v>44</v>
      </c>
      <c r="D275" s="110">
        <f t="shared" si="4"/>
        <v>1.15792520855812E-3</v>
      </c>
      <c r="E275" s="111">
        <f>SUM($D$2:D275)</f>
        <v>0.78154688281270646</v>
      </c>
      <c r="F275" s="112">
        <v>0.8</v>
      </c>
    </row>
    <row r="276" spans="1:6">
      <c r="A276" s="74">
        <v>275</v>
      </c>
      <c r="B276" s="74" t="s">
        <v>1389</v>
      </c>
      <c r="C276" s="74">
        <v>43</v>
      </c>
      <c r="D276" s="110">
        <f t="shared" si="4"/>
        <v>1.1316087265454355E-3</v>
      </c>
      <c r="E276" s="111">
        <f>SUM($D$2:D276)</f>
        <v>0.78267849153925184</v>
      </c>
      <c r="F276" s="112">
        <v>0.8</v>
      </c>
    </row>
    <row r="277" spans="1:6">
      <c r="A277" s="74">
        <v>276</v>
      </c>
      <c r="B277" s="74" t="s">
        <v>1361</v>
      </c>
      <c r="C277" s="74">
        <v>43</v>
      </c>
      <c r="D277" s="110">
        <f t="shared" si="4"/>
        <v>1.1316087265454355E-3</v>
      </c>
      <c r="E277" s="111">
        <f>SUM($D$2:D277)</f>
        <v>0.78381010026579723</v>
      </c>
      <c r="F277" s="112">
        <v>0.8</v>
      </c>
    </row>
    <row r="278" spans="1:6">
      <c r="A278" s="74">
        <v>277</v>
      </c>
      <c r="B278" s="74" t="s">
        <v>1365</v>
      </c>
      <c r="C278" s="74">
        <v>43</v>
      </c>
      <c r="D278" s="110">
        <f t="shared" si="4"/>
        <v>1.1316087265454355E-3</v>
      </c>
      <c r="E278" s="111">
        <f>SUM($D$2:D278)</f>
        <v>0.78494170899234261</v>
      </c>
      <c r="F278" s="112">
        <v>0.8</v>
      </c>
    </row>
    <row r="279" spans="1:6">
      <c r="A279" s="74">
        <v>278</v>
      </c>
      <c r="B279" s="74" t="s">
        <v>1496</v>
      </c>
      <c r="C279" s="74">
        <v>43</v>
      </c>
      <c r="D279" s="110">
        <f t="shared" si="4"/>
        <v>1.1316087265454355E-3</v>
      </c>
      <c r="E279" s="111">
        <f>SUM($D$2:D279)</f>
        <v>0.786073317718888</v>
      </c>
      <c r="F279" s="112">
        <v>0.8</v>
      </c>
    </row>
    <row r="280" spans="1:6">
      <c r="A280" s="74">
        <v>279</v>
      </c>
      <c r="B280" s="74" t="s">
        <v>1568</v>
      </c>
      <c r="C280" s="74">
        <v>43</v>
      </c>
      <c r="D280" s="110">
        <f t="shared" si="4"/>
        <v>1.1316087265454355E-3</v>
      </c>
      <c r="E280" s="111">
        <f>SUM($D$2:D280)</f>
        <v>0.78720492644543338</v>
      </c>
      <c r="F280" s="112">
        <v>0.8</v>
      </c>
    </row>
    <row r="281" spans="1:6">
      <c r="A281" s="74">
        <v>280</v>
      </c>
      <c r="B281" s="74" t="s">
        <v>1424</v>
      </c>
      <c r="C281" s="74">
        <v>43</v>
      </c>
      <c r="D281" s="110">
        <f t="shared" si="4"/>
        <v>1.1316087265454355E-3</v>
      </c>
      <c r="E281" s="111">
        <f>SUM($D$2:D281)</f>
        <v>0.78833653517197877</v>
      </c>
      <c r="F281" s="112">
        <v>0.8</v>
      </c>
    </row>
    <row r="282" spans="1:6">
      <c r="A282" s="74">
        <v>281</v>
      </c>
      <c r="B282" s="74" t="s">
        <v>3304</v>
      </c>
      <c r="C282" s="74">
        <v>43</v>
      </c>
      <c r="D282" s="110">
        <f t="shared" si="4"/>
        <v>1.1316087265454355E-3</v>
      </c>
      <c r="E282" s="111">
        <f>SUM($D$2:D282)</f>
        <v>0.78946814389852416</v>
      </c>
      <c r="F282" s="112">
        <v>0.8</v>
      </c>
    </row>
    <row r="283" spans="1:6">
      <c r="A283" s="74">
        <v>282</v>
      </c>
      <c r="B283" s="74" t="s">
        <v>1544</v>
      </c>
      <c r="C283" s="74">
        <v>43</v>
      </c>
      <c r="D283" s="110">
        <f t="shared" si="4"/>
        <v>1.1316087265454355E-3</v>
      </c>
      <c r="E283" s="111">
        <f>SUM($D$2:D283)</f>
        <v>0.79059975262506954</v>
      </c>
      <c r="F283" s="112">
        <v>0.8</v>
      </c>
    </row>
    <row r="284" spans="1:6">
      <c r="A284" s="74">
        <v>283</v>
      </c>
      <c r="B284" s="74" t="s">
        <v>31</v>
      </c>
      <c r="C284" s="74">
        <v>43</v>
      </c>
      <c r="D284" s="110">
        <f t="shared" si="4"/>
        <v>1.1316087265454355E-3</v>
      </c>
      <c r="E284" s="111">
        <f>SUM($D$2:D284)</f>
        <v>0.79173136135161493</v>
      </c>
      <c r="F284" s="112">
        <v>0.8</v>
      </c>
    </row>
    <row r="285" spans="1:6">
      <c r="A285" s="74">
        <v>284</v>
      </c>
      <c r="B285" s="74" t="s">
        <v>7996</v>
      </c>
      <c r="C285" s="74">
        <v>42</v>
      </c>
      <c r="D285" s="110">
        <f t="shared" si="4"/>
        <v>1.1052922445327509E-3</v>
      </c>
      <c r="E285" s="111">
        <f>SUM($D$2:D285)</f>
        <v>0.79283665359614763</v>
      </c>
      <c r="F285" s="112">
        <v>0.8</v>
      </c>
    </row>
    <row r="286" spans="1:6">
      <c r="A286" s="74">
        <v>285</v>
      </c>
      <c r="B286" s="74" t="s">
        <v>654</v>
      </c>
      <c r="C286" s="74">
        <v>42</v>
      </c>
      <c r="D286" s="110">
        <f t="shared" si="4"/>
        <v>1.1052922445327509E-3</v>
      </c>
      <c r="E286" s="111">
        <f>SUM($D$2:D286)</f>
        <v>0.79394194584068034</v>
      </c>
      <c r="F286" s="112">
        <v>0.8</v>
      </c>
    </row>
    <row r="287" spans="1:6">
      <c r="A287" s="74">
        <v>286</v>
      </c>
      <c r="B287" s="74" t="s">
        <v>4991</v>
      </c>
      <c r="C287" s="74">
        <v>42</v>
      </c>
      <c r="D287" s="110">
        <f t="shared" si="4"/>
        <v>1.1052922445327509E-3</v>
      </c>
      <c r="E287" s="111">
        <f>SUM($D$2:D287)</f>
        <v>0.79504723808521305</v>
      </c>
      <c r="F287" s="112">
        <v>0.8</v>
      </c>
    </row>
    <row r="288" spans="1:6">
      <c r="A288" s="74">
        <v>287</v>
      </c>
      <c r="B288" s="74" t="s">
        <v>2577</v>
      </c>
      <c r="C288" s="74">
        <v>42</v>
      </c>
      <c r="D288" s="110">
        <f t="shared" si="4"/>
        <v>1.1052922445327509E-3</v>
      </c>
      <c r="E288" s="111">
        <f>SUM($D$2:D288)</f>
        <v>0.79615253032974576</v>
      </c>
      <c r="F288" s="112">
        <v>0.8</v>
      </c>
    </row>
    <row r="289" spans="1:6">
      <c r="A289" s="74">
        <v>288</v>
      </c>
      <c r="B289" s="74" t="s">
        <v>693</v>
      </c>
      <c r="C289" s="74">
        <v>42</v>
      </c>
      <c r="D289" s="110">
        <f t="shared" si="4"/>
        <v>1.1052922445327509E-3</v>
      </c>
      <c r="E289" s="111">
        <f>SUM($D$2:D289)</f>
        <v>0.79725782257427846</v>
      </c>
      <c r="F289" s="112">
        <v>0.8</v>
      </c>
    </row>
    <row r="290" spans="1:6">
      <c r="A290" s="74">
        <v>289</v>
      </c>
      <c r="B290" s="74" t="s">
        <v>1459</v>
      </c>
      <c r="C290" s="74">
        <v>41</v>
      </c>
      <c r="D290" s="110">
        <f t="shared" si="4"/>
        <v>1.0789757625200662E-3</v>
      </c>
      <c r="E290" s="111">
        <f>SUM($D$2:D290)</f>
        <v>0.79833679833679849</v>
      </c>
      <c r="F290" s="112">
        <v>0.8</v>
      </c>
    </row>
    <row r="291" spans="1:6">
      <c r="A291" s="74">
        <v>290</v>
      </c>
      <c r="B291" s="74" t="s">
        <v>1639</v>
      </c>
      <c r="C291" s="74">
        <v>41</v>
      </c>
      <c r="D291" s="110">
        <f t="shared" si="4"/>
        <v>1.0789757625200662E-3</v>
      </c>
      <c r="E291" s="111">
        <f>SUM($D$2:D291)</f>
        <v>0.79941577409931852</v>
      </c>
      <c r="F291" s="112">
        <v>0.8</v>
      </c>
    </row>
    <row r="292" spans="1:6">
      <c r="A292" s="74">
        <v>291</v>
      </c>
      <c r="B292" s="74" t="s">
        <v>1505</v>
      </c>
      <c r="C292" s="74">
        <v>41</v>
      </c>
      <c r="D292" s="110">
        <f t="shared" si="4"/>
        <v>1.0789757625200662E-3</v>
      </c>
      <c r="E292" s="111">
        <f>SUM($D$2:D292)</f>
        <v>0.80049474986183855</v>
      </c>
      <c r="F292" s="112">
        <v>0.8</v>
      </c>
    </row>
    <row r="293" spans="1:6">
      <c r="A293">
        <v>292</v>
      </c>
      <c r="B293" t="s">
        <v>1380</v>
      </c>
      <c r="C293">
        <v>41</v>
      </c>
      <c r="D293" s="108">
        <f t="shared" si="4"/>
        <v>1.0789757625200662E-3</v>
      </c>
      <c r="E293" s="109">
        <f>SUM($D$2:D293)</f>
        <v>0.80157372562435858</v>
      </c>
    </row>
    <row r="294" spans="1:6">
      <c r="A294">
        <v>293</v>
      </c>
      <c r="B294" t="s">
        <v>5138</v>
      </c>
      <c r="C294">
        <v>41</v>
      </c>
      <c r="D294" s="108">
        <f t="shared" si="4"/>
        <v>1.0789757625200662E-3</v>
      </c>
      <c r="E294" s="109">
        <f>SUM($D$2:D294)</f>
        <v>0.80265270138687861</v>
      </c>
    </row>
    <row r="295" spans="1:6">
      <c r="A295">
        <v>294</v>
      </c>
      <c r="B295" t="s">
        <v>1410</v>
      </c>
      <c r="C295">
        <v>41</v>
      </c>
      <c r="D295" s="108">
        <f t="shared" si="4"/>
        <v>1.0789757625200662E-3</v>
      </c>
      <c r="E295" s="109">
        <f>SUM($D$2:D295)</f>
        <v>0.80373167714939864</v>
      </c>
    </row>
    <row r="296" spans="1:6">
      <c r="A296">
        <v>295</v>
      </c>
      <c r="B296" t="s">
        <v>1547</v>
      </c>
      <c r="C296">
        <v>41</v>
      </c>
      <c r="D296" s="108">
        <f t="shared" si="4"/>
        <v>1.0789757625200662E-3</v>
      </c>
      <c r="E296" s="109">
        <f>SUM($D$2:D296)</f>
        <v>0.80481065291191867</v>
      </c>
    </row>
    <row r="297" spans="1:6">
      <c r="A297">
        <v>296</v>
      </c>
      <c r="B297" t="s">
        <v>1387</v>
      </c>
      <c r="C297">
        <v>40</v>
      </c>
      <c r="D297" s="108">
        <f t="shared" si="4"/>
        <v>1.0526592805073817E-3</v>
      </c>
      <c r="E297" s="109">
        <f>SUM($D$2:D297)</f>
        <v>0.80586331219242602</v>
      </c>
    </row>
    <row r="298" spans="1:6">
      <c r="A298">
        <v>297</v>
      </c>
      <c r="B298" t="s">
        <v>2610</v>
      </c>
      <c r="C298">
        <v>40</v>
      </c>
      <c r="D298" s="108">
        <f t="shared" si="4"/>
        <v>1.0526592805073817E-3</v>
      </c>
      <c r="E298" s="109">
        <f>SUM($D$2:D298)</f>
        <v>0.80691597147293337</v>
      </c>
    </row>
    <row r="299" spans="1:6">
      <c r="A299">
        <v>298</v>
      </c>
      <c r="B299" t="s">
        <v>8683</v>
      </c>
      <c r="C299">
        <v>40</v>
      </c>
      <c r="D299" s="108">
        <f t="shared" si="4"/>
        <v>1.0526592805073817E-3</v>
      </c>
      <c r="E299" s="109">
        <f>SUM($D$2:D299)</f>
        <v>0.80796863075344072</v>
      </c>
    </row>
    <row r="300" spans="1:6">
      <c r="A300">
        <v>299</v>
      </c>
      <c r="B300" t="s">
        <v>240</v>
      </c>
      <c r="C300">
        <v>40</v>
      </c>
      <c r="D300" s="108">
        <f t="shared" si="4"/>
        <v>1.0526592805073817E-3</v>
      </c>
      <c r="E300" s="109">
        <f>SUM($D$2:D300)</f>
        <v>0.80902129003394807</v>
      </c>
    </row>
    <row r="301" spans="1:6">
      <c r="A301">
        <v>300</v>
      </c>
      <c r="B301" t="s">
        <v>8700</v>
      </c>
      <c r="C301">
        <v>39</v>
      </c>
      <c r="D301" s="108">
        <f t="shared" si="4"/>
        <v>1.0263427984946972E-3</v>
      </c>
      <c r="E301" s="109">
        <f>SUM($D$2:D301)</f>
        <v>0.81004763283244274</v>
      </c>
    </row>
    <row r="302" spans="1:6">
      <c r="A302">
        <v>301</v>
      </c>
      <c r="B302" t="s">
        <v>1447</v>
      </c>
      <c r="C302">
        <v>39</v>
      </c>
      <c r="D302" s="108">
        <f t="shared" si="4"/>
        <v>1.0263427984946972E-3</v>
      </c>
      <c r="E302" s="109">
        <f>SUM($D$2:D302)</f>
        <v>0.81107397563093742</v>
      </c>
    </row>
    <row r="303" spans="1:6">
      <c r="A303">
        <v>302</v>
      </c>
      <c r="B303" t="s">
        <v>1567</v>
      </c>
      <c r="C303">
        <v>39</v>
      </c>
      <c r="D303" s="108">
        <f t="shared" si="4"/>
        <v>1.0263427984946972E-3</v>
      </c>
      <c r="E303" s="109">
        <f>SUM($D$2:D303)</f>
        <v>0.81210031842943209</v>
      </c>
    </row>
    <row r="304" spans="1:6">
      <c r="A304">
        <v>303</v>
      </c>
      <c r="B304" t="s">
        <v>1585</v>
      </c>
      <c r="C304">
        <v>39</v>
      </c>
      <c r="D304" s="108">
        <f t="shared" si="4"/>
        <v>1.0263427984946972E-3</v>
      </c>
      <c r="E304" s="109">
        <f>SUM($D$2:D304)</f>
        <v>0.81312666122792676</v>
      </c>
    </row>
    <row r="305" spans="1:5">
      <c r="A305">
        <v>304</v>
      </c>
      <c r="B305" t="s">
        <v>1394</v>
      </c>
      <c r="C305">
        <v>39</v>
      </c>
      <c r="D305" s="108">
        <f t="shared" si="4"/>
        <v>1.0263427984946972E-3</v>
      </c>
      <c r="E305" s="109">
        <f>SUM($D$2:D305)</f>
        <v>0.81415300402642143</v>
      </c>
    </row>
    <row r="306" spans="1:5">
      <c r="A306">
        <v>305</v>
      </c>
      <c r="B306" t="s">
        <v>1381</v>
      </c>
      <c r="C306">
        <v>38</v>
      </c>
      <c r="D306" s="108">
        <f t="shared" si="4"/>
        <v>1.0000263164820127E-3</v>
      </c>
      <c r="E306" s="109">
        <f>SUM($D$2:D306)</f>
        <v>0.81515303034290343</v>
      </c>
    </row>
    <row r="307" spans="1:5">
      <c r="A307">
        <v>306</v>
      </c>
      <c r="B307" t="s">
        <v>2433</v>
      </c>
      <c r="C307">
        <v>38</v>
      </c>
      <c r="D307" s="108">
        <f t="shared" si="4"/>
        <v>1.0000263164820127E-3</v>
      </c>
      <c r="E307" s="109">
        <f>SUM($D$2:D307)</f>
        <v>0.81615305665938542</v>
      </c>
    </row>
    <row r="308" spans="1:5">
      <c r="A308">
        <v>307</v>
      </c>
      <c r="B308" t="s">
        <v>1606</v>
      </c>
      <c r="C308">
        <v>38</v>
      </c>
      <c r="D308" s="108">
        <f t="shared" si="4"/>
        <v>1.0000263164820127E-3</v>
      </c>
      <c r="E308" s="109">
        <f>SUM($D$2:D308)</f>
        <v>0.81715308297586742</v>
      </c>
    </row>
    <row r="309" spans="1:5">
      <c r="A309">
        <v>308</v>
      </c>
      <c r="B309" t="s">
        <v>1452</v>
      </c>
      <c r="C309">
        <v>38</v>
      </c>
      <c r="D309" s="108">
        <f t="shared" si="4"/>
        <v>1.0000263164820127E-3</v>
      </c>
      <c r="E309" s="109">
        <f>SUM($D$2:D309)</f>
        <v>0.81815310929234941</v>
      </c>
    </row>
    <row r="310" spans="1:5">
      <c r="A310">
        <v>309</v>
      </c>
      <c r="B310" t="s">
        <v>1656</v>
      </c>
      <c r="C310">
        <v>38</v>
      </c>
      <c r="D310" s="108">
        <f t="shared" si="4"/>
        <v>1.0000263164820127E-3</v>
      </c>
      <c r="E310" s="109">
        <f>SUM($D$2:D310)</f>
        <v>0.81915313560883141</v>
      </c>
    </row>
    <row r="311" spans="1:5">
      <c r="A311">
        <v>310</v>
      </c>
      <c r="B311" t="s">
        <v>696</v>
      </c>
      <c r="C311">
        <v>38</v>
      </c>
      <c r="D311" s="108">
        <f t="shared" si="4"/>
        <v>1.0000263164820127E-3</v>
      </c>
      <c r="E311" s="109">
        <f>SUM($D$2:D311)</f>
        <v>0.8201531619253134</v>
      </c>
    </row>
    <row r="312" spans="1:5">
      <c r="A312">
        <v>311</v>
      </c>
      <c r="B312" t="s">
        <v>8885</v>
      </c>
      <c r="C312">
        <v>38</v>
      </c>
      <c r="D312" s="108">
        <f t="shared" si="4"/>
        <v>1.0000263164820127E-3</v>
      </c>
      <c r="E312" s="109">
        <f>SUM($D$2:D312)</f>
        <v>0.8211531882417954</v>
      </c>
    </row>
    <row r="313" spans="1:5">
      <c r="A313">
        <v>312</v>
      </c>
      <c r="B313" t="s">
        <v>1397</v>
      </c>
      <c r="C313">
        <v>37</v>
      </c>
      <c r="D313" s="108">
        <f t="shared" si="4"/>
        <v>9.7370983446932818E-4</v>
      </c>
      <c r="E313" s="109">
        <f>SUM($D$2:D313)</f>
        <v>0.82212689807626471</v>
      </c>
    </row>
    <row r="314" spans="1:5">
      <c r="A314">
        <v>313</v>
      </c>
      <c r="B314" t="s">
        <v>1335</v>
      </c>
      <c r="C314">
        <v>37</v>
      </c>
      <c r="D314" s="108">
        <f t="shared" si="4"/>
        <v>9.7370983446932818E-4</v>
      </c>
      <c r="E314" s="109">
        <f>SUM($D$2:D314)</f>
        <v>0.82310060791073403</v>
      </c>
    </row>
    <row r="315" spans="1:5">
      <c r="A315">
        <v>314</v>
      </c>
      <c r="B315" t="s">
        <v>1635</v>
      </c>
      <c r="C315">
        <v>37</v>
      </c>
      <c r="D315" s="108">
        <f t="shared" si="4"/>
        <v>9.7370983446932818E-4</v>
      </c>
      <c r="E315" s="109">
        <f>SUM($D$2:D315)</f>
        <v>0.82407431774520334</v>
      </c>
    </row>
    <row r="316" spans="1:5">
      <c r="A316">
        <v>315</v>
      </c>
      <c r="B316" t="s">
        <v>1428</v>
      </c>
      <c r="C316">
        <v>37</v>
      </c>
      <c r="D316" s="108">
        <f t="shared" si="4"/>
        <v>9.7370983446932818E-4</v>
      </c>
      <c r="E316" s="109">
        <f>SUM($D$2:D316)</f>
        <v>0.82504802757967266</v>
      </c>
    </row>
    <row r="317" spans="1:5">
      <c r="A317">
        <v>316</v>
      </c>
      <c r="B317" t="s">
        <v>657</v>
      </c>
      <c r="C317">
        <v>37</v>
      </c>
      <c r="D317" s="108">
        <f t="shared" si="4"/>
        <v>9.7370983446932818E-4</v>
      </c>
      <c r="E317" s="109">
        <f>SUM($D$2:D317)</f>
        <v>0.82602173741414198</v>
      </c>
    </row>
    <row r="318" spans="1:5">
      <c r="A318">
        <v>317</v>
      </c>
      <c r="B318" t="s">
        <v>1350</v>
      </c>
      <c r="C318">
        <v>37</v>
      </c>
      <c r="D318" s="108">
        <f t="shared" si="4"/>
        <v>9.7370983446932818E-4</v>
      </c>
      <c r="E318" s="109">
        <f>SUM($D$2:D318)</f>
        <v>0.82699544724861129</v>
      </c>
    </row>
    <row r="319" spans="1:5">
      <c r="A319">
        <v>318</v>
      </c>
      <c r="B319" t="s">
        <v>1413</v>
      </c>
      <c r="C319">
        <v>37</v>
      </c>
      <c r="D319" s="108">
        <f t="shared" si="4"/>
        <v>9.7370983446932818E-4</v>
      </c>
      <c r="E319" s="109">
        <f>SUM($D$2:D319)</f>
        <v>0.82796915708308061</v>
      </c>
    </row>
    <row r="320" spans="1:5">
      <c r="A320">
        <v>319</v>
      </c>
      <c r="B320" t="s">
        <v>627</v>
      </c>
      <c r="C320">
        <v>36</v>
      </c>
      <c r="D320" s="108">
        <f t="shared" si="4"/>
        <v>9.4739335245664356E-4</v>
      </c>
      <c r="E320" s="109">
        <f>SUM($D$2:D320)</f>
        <v>0.82891655043553725</v>
      </c>
    </row>
    <row r="321" spans="1:5">
      <c r="A321">
        <v>320</v>
      </c>
      <c r="B321" t="s">
        <v>1643</v>
      </c>
      <c r="C321">
        <v>36</v>
      </c>
      <c r="D321" s="108">
        <f t="shared" si="4"/>
        <v>9.4739335245664356E-4</v>
      </c>
      <c r="E321" s="109">
        <f>SUM($D$2:D321)</f>
        <v>0.82986394378799389</v>
      </c>
    </row>
    <row r="322" spans="1:5">
      <c r="A322">
        <v>321</v>
      </c>
      <c r="B322" t="s">
        <v>8692</v>
      </c>
      <c r="C322">
        <v>36</v>
      </c>
      <c r="D322" s="108">
        <f t="shared" ref="D322:D385" si="5">C322/$K$2</f>
        <v>9.4739335245664356E-4</v>
      </c>
      <c r="E322" s="109">
        <f>SUM($D$2:D322)</f>
        <v>0.83081133714045052</v>
      </c>
    </row>
    <row r="323" spans="1:5">
      <c r="A323">
        <v>322</v>
      </c>
      <c r="B323" t="s">
        <v>1675</v>
      </c>
      <c r="C323">
        <v>36</v>
      </c>
      <c r="D323" s="108">
        <f t="shared" si="5"/>
        <v>9.4739335245664356E-4</v>
      </c>
      <c r="E323" s="109">
        <f>SUM($D$2:D323)</f>
        <v>0.83175873049290716</v>
      </c>
    </row>
    <row r="324" spans="1:5">
      <c r="A324">
        <v>323</v>
      </c>
      <c r="B324" t="s">
        <v>2592</v>
      </c>
      <c r="C324">
        <v>36</v>
      </c>
      <c r="D324" s="108">
        <f t="shared" si="5"/>
        <v>9.4739335245664356E-4</v>
      </c>
      <c r="E324" s="109">
        <f>SUM($D$2:D324)</f>
        <v>0.8327061238453638</v>
      </c>
    </row>
    <row r="325" spans="1:5">
      <c r="A325">
        <v>324</v>
      </c>
      <c r="B325" t="s">
        <v>8890</v>
      </c>
      <c r="C325">
        <v>36</v>
      </c>
      <c r="D325" s="108">
        <f t="shared" si="5"/>
        <v>9.4739335245664356E-4</v>
      </c>
      <c r="E325" s="109">
        <f>SUM($D$2:D325)</f>
        <v>0.83365351719782044</v>
      </c>
    </row>
    <row r="326" spans="1:5">
      <c r="A326">
        <v>325</v>
      </c>
      <c r="B326" t="s">
        <v>1591</v>
      </c>
      <c r="C326">
        <v>36</v>
      </c>
      <c r="D326" s="108">
        <f t="shared" si="5"/>
        <v>9.4739335245664356E-4</v>
      </c>
      <c r="E326" s="109">
        <f>SUM($D$2:D326)</f>
        <v>0.83460091055027708</v>
      </c>
    </row>
    <row r="327" spans="1:5">
      <c r="A327">
        <v>326</v>
      </c>
      <c r="B327" t="s">
        <v>1599</v>
      </c>
      <c r="C327">
        <v>35</v>
      </c>
      <c r="D327" s="108">
        <f t="shared" si="5"/>
        <v>9.2107687044395905E-4</v>
      </c>
      <c r="E327" s="109">
        <f>SUM($D$2:D327)</f>
        <v>0.83552198742072104</v>
      </c>
    </row>
    <row r="328" spans="1:5">
      <c r="A328">
        <v>327</v>
      </c>
      <c r="B328" t="s">
        <v>1508</v>
      </c>
      <c r="C328">
        <v>35</v>
      </c>
      <c r="D328" s="108">
        <f t="shared" si="5"/>
        <v>9.2107687044395905E-4</v>
      </c>
      <c r="E328" s="109">
        <f>SUM($D$2:D328)</f>
        <v>0.83644306429116499</v>
      </c>
    </row>
    <row r="329" spans="1:5">
      <c r="A329">
        <v>328</v>
      </c>
      <c r="B329" t="s">
        <v>8881</v>
      </c>
      <c r="C329">
        <v>35</v>
      </c>
      <c r="D329" s="108">
        <f t="shared" si="5"/>
        <v>9.2107687044395905E-4</v>
      </c>
      <c r="E329" s="109">
        <f>SUM($D$2:D329)</f>
        <v>0.83736414116160895</v>
      </c>
    </row>
    <row r="330" spans="1:5">
      <c r="A330">
        <v>329</v>
      </c>
      <c r="B330" t="s">
        <v>675</v>
      </c>
      <c r="C330">
        <v>35</v>
      </c>
      <c r="D330" s="108">
        <f t="shared" si="5"/>
        <v>9.2107687044395905E-4</v>
      </c>
      <c r="E330" s="109">
        <f>SUM($D$2:D330)</f>
        <v>0.83828521803205291</v>
      </c>
    </row>
    <row r="331" spans="1:5">
      <c r="A331">
        <v>330</v>
      </c>
      <c r="B331" t="s">
        <v>8703</v>
      </c>
      <c r="C331">
        <v>35</v>
      </c>
      <c r="D331" s="108">
        <f t="shared" si="5"/>
        <v>9.2107687044395905E-4</v>
      </c>
      <c r="E331" s="109">
        <f>SUM($D$2:D331)</f>
        <v>0.83920629490249687</v>
      </c>
    </row>
    <row r="332" spans="1:5">
      <c r="A332">
        <v>331</v>
      </c>
      <c r="B332" t="s">
        <v>1411</v>
      </c>
      <c r="C332">
        <v>35</v>
      </c>
      <c r="D332" s="108">
        <f t="shared" si="5"/>
        <v>9.2107687044395905E-4</v>
      </c>
      <c r="E332" s="109">
        <f>SUM($D$2:D332)</f>
        <v>0.84012737177294083</v>
      </c>
    </row>
    <row r="333" spans="1:5">
      <c r="A333">
        <v>332</v>
      </c>
      <c r="B333" t="s">
        <v>1642</v>
      </c>
      <c r="C333">
        <v>34</v>
      </c>
      <c r="D333" s="108">
        <f t="shared" si="5"/>
        <v>8.9476038843127454E-4</v>
      </c>
      <c r="E333" s="109">
        <f>SUM($D$2:D333)</f>
        <v>0.84102213216137212</v>
      </c>
    </row>
    <row r="334" spans="1:5">
      <c r="A334">
        <v>333</v>
      </c>
      <c r="B334" t="s">
        <v>7815</v>
      </c>
      <c r="C334">
        <v>34</v>
      </c>
      <c r="D334" s="108">
        <f t="shared" si="5"/>
        <v>8.9476038843127454E-4</v>
      </c>
      <c r="E334" s="109">
        <f>SUM($D$2:D334)</f>
        <v>0.8419168925498034</v>
      </c>
    </row>
    <row r="335" spans="1:5">
      <c r="A335">
        <v>334</v>
      </c>
      <c r="B335" t="s">
        <v>2462</v>
      </c>
      <c r="C335">
        <v>34</v>
      </c>
      <c r="D335" s="108">
        <f t="shared" si="5"/>
        <v>8.9476038843127454E-4</v>
      </c>
      <c r="E335" s="109">
        <f>SUM($D$2:D335)</f>
        <v>0.84281165293823468</v>
      </c>
    </row>
    <row r="336" spans="1:5">
      <c r="A336">
        <v>335</v>
      </c>
      <c r="B336" t="s">
        <v>1630</v>
      </c>
      <c r="C336">
        <v>34</v>
      </c>
      <c r="D336" s="108">
        <f t="shared" si="5"/>
        <v>8.9476038843127454E-4</v>
      </c>
      <c r="E336" s="109">
        <f>SUM($D$2:D336)</f>
        <v>0.84370641332666596</v>
      </c>
    </row>
    <row r="337" spans="1:5">
      <c r="A337">
        <v>336</v>
      </c>
      <c r="B337" t="s">
        <v>1617</v>
      </c>
      <c r="C337">
        <v>34</v>
      </c>
      <c r="D337" s="108">
        <f t="shared" si="5"/>
        <v>8.9476038843127454E-4</v>
      </c>
      <c r="E337" s="109">
        <f>SUM($D$2:D337)</f>
        <v>0.84460117371509724</v>
      </c>
    </row>
    <row r="338" spans="1:5">
      <c r="A338">
        <v>337</v>
      </c>
      <c r="B338" t="s">
        <v>1337</v>
      </c>
      <c r="C338">
        <v>34</v>
      </c>
      <c r="D338" s="108">
        <f t="shared" si="5"/>
        <v>8.9476038843127454E-4</v>
      </c>
      <c r="E338" s="109">
        <f>SUM($D$2:D338)</f>
        <v>0.84549593410352852</v>
      </c>
    </row>
    <row r="339" spans="1:5">
      <c r="A339">
        <v>338</v>
      </c>
      <c r="B339" t="s">
        <v>1444</v>
      </c>
      <c r="C339">
        <v>33</v>
      </c>
      <c r="D339" s="108">
        <f t="shared" si="5"/>
        <v>8.6844390641858992E-4</v>
      </c>
      <c r="E339" s="109">
        <f>SUM($D$2:D339)</f>
        <v>0.84636437800994713</v>
      </c>
    </row>
    <row r="340" spans="1:5">
      <c r="A340">
        <v>339</v>
      </c>
      <c r="B340" t="s">
        <v>8897</v>
      </c>
      <c r="C340">
        <v>33</v>
      </c>
      <c r="D340" s="108">
        <f t="shared" si="5"/>
        <v>8.6844390641858992E-4</v>
      </c>
      <c r="E340" s="109">
        <f>SUM($D$2:D340)</f>
        <v>0.84723282191636573</v>
      </c>
    </row>
    <row r="341" spans="1:5">
      <c r="A341">
        <v>340</v>
      </c>
      <c r="B341" t="s">
        <v>8756</v>
      </c>
      <c r="C341">
        <v>33</v>
      </c>
      <c r="D341" s="108">
        <f t="shared" si="5"/>
        <v>8.6844390641858992E-4</v>
      </c>
      <c r="E341" s="109">
        <f>SUM($D$2:D341)</f>
        <v>0.84810126582278433</v>
      </c>
    </row>
    <row r="342" spans="1:5">
      <c r="A342">
        <v>341</v>
      </c>
      <c r="B342" t="s">
        <v>8900</v>
      </c>
      <c r="C342">
        <v>33</v>
      </c>
      <c r="D342" s="108">
        <f t="shared" si="5"/>
        <v>8.6844390641858992E-4</v>
      </c>
      <c r="E342" s="109">
        <f>SUM($D$2:D342)</f>
        <v>0.84896970972920294</v>
      </c>
    </row>
    <row r="343" spans="1:5">
      <c r="A343">
        <v>342</v>
      </c>
      <c r="B343" t="s">
        <v>1528</v>
      </c>
      <c r="C343">
        <v>33</v>
      </c>
      <c r="D343" s="108">
        <f t="shared" si="5"/>
        <v>8.6844390641858992E-4</v>
      </c>
      <c r="E343" s="109">
        <f>SUM($D$2:D343)</f>
        <v>0.84983815363562154</v>
      </c>
    </row>
    <row r="344" spans="1:5">
      <c r="A344">
        <v>343</v>
      </c>
      <c r="B344" t="s">
        <v>1507</v>
      </c>
      <c r="C344">
        <v>32</v>
      </c>
      <c r="D344" s="108">
        <f t="shared" si="5"/>
        <v>8.4212742440590541E-4</v>
      </c>
      <c r="E344" s="109">
        <f>SUM($D$2:D344)</f>
        <v>0.85068028106002747</v>
      </c>
    </row>
    <row r="345" spans="1:5">
      <c r="A345">
        <v>344</v>
      </c>
      <c r="B345" t="s">
        <v>1393</v>
      </c>
      <c r="C345">
        <v>32</v>
      </c>
      <c r="D345" s="108">
        <f t="shared" si="5"/>
        <v>8.4212742440590541E-4</v>
      </c>
      <c r="E345" s="109">
        <f>SUM($D$2:D345)</f>
        <v>0.85152240848443339</v>
      </c>
    </row>
    <row r="346" spans="1:5">
      <c r="A346">
        <v>345</v>
      </c>
      <c r="B346" t="s">
        <v>1682</v>
      </c>
      <c r="C346">
        <v>32</v>
      </c>
      <c r="D346" s="108">
        <f t="shared" si="5"/>
        <v>8.4212742440590541E-4</v>
      </c>
      <c r="E346" s="109">
        <f>SUM($D$2:D346)</f>
        <v>0.85236453590883932</v>
      </c>
    </row>
    <row r="347" spans="1:5">
      <c r="A347">
        <v>346</v>
      </c>
      <c r="B347" t="s">
        <v>8720</v>
      </c>
      <c r="C347">
        <v>32</v>
      </c>
      <c r="D347" s="108">
        <f t="shared" si="5"/>
        <v>8.4212742440590541E-4</v>
      </c>
      <c r="E347" s="109">
        <f>SUM($D$2:D347)</f>
        <v>0.85320666333324524</v>
      </c>
    </row>
    <row r="348" spans="1:5">
      <c r="A348">
        <v>347</v>
      </c>
      <c r="B348" t="s">
        <v>2541</v>
      </c>
      <c r="C348">
        <v>32</v>
      </c>
      <c r="D348" s="108">
        <f t="shared" si="5"/>
        <v>8.4212742440590541E-4</v>
      </c>
      <c r="E348" s="109">
        <f>SUM($D$2:D348)</f>
        <v>0.85404879075765117</v>
      </c>
    </row>
    <row r="349" spans="1:5">
      <c r="A349">
        <v>348</v>
      </c>
      <c r="B349" t="s">
        <v>669</v>
      </c>
      <c r="C349">
        <v>32</v>
      </c>
      <c r="D349" s="108">
        <f t="shared" si="5"/>
        <v>8.4212742440590541E-4</v>
      </c>
      <c r="E349" s="109">
        <f>SUM($D$2:D349)</f>
        <v>0.85489091818205709</v>
      </c>
    </row>
    <row r="350" spans="1:5">
      <c r="A350">
        <v>349</v>
      </c>
      <c r="B350" t="s">
        <v>670</v>
      </c>
      <c r="C350">
        <v>32</v>
      </c>
      <c r="D350" s="108">
        <f t="shared" si="5"/>
        <v>8.4212742440590541E-4</v>
      </c>
      <c r="E350" s="109">
        <f>SUM($D$2:D350)</f>
        <v>0.85573304560646302</v>
      </c>
    </row>
    <row r="351" spans="1:5">
      <c r="A351">
        <v>350</v>
      </c>
      <c r="B351" t="s">
        <v>630</v>
      </c>
      <c r="C351">
        <v>32</v>
      </c>
      <c r="D351" s="108">
        <f t="shared" si="5"/>
        <v>8.4212742440590541E-4</v>
      </c>
      <c r="E351" s="109">
        <f>SUM($D$2:D351)</f>
        <v>0.85657517303086894</v>
      </c>
    </row>
    <row r="352" spans="1:5">
      <c r="A352">
        <v>351</v>
      </c>
      <c r="B352" t="s">
        <v>634</v>
      </c>
      <c r="C352">
        <v>31</v>
      </c>
      <c r="D352" s="108">
        <f t="shared" si="5"/>
        <v>8.158109423932209E-4</v>
      </c>
      <c r="E352" s="109">
        <f>SUM($D$2:D352)</f>
        <v>0.85739098397326219</v>
      </c>
    </row>
    <row r="353" spans="1:5">
      <c r="A353">
        <v>352</v>
      </c>
      <c r="B353" t="s">
        <v>1425</v>
      </c>
      <c r="C353">
        <v>31</v>
      </c>
      <c r="D353" s="108">
        <f t="shared" si="5"/>
        <v>8.158109423932209E-4</v>
      </c>
      <c r="E353" s="109">
        <f>SUM($D$2:D353)</f>
        <v>0.85820679491565544</v>
      </c>
    </row>
    <row r="354" spans="1:5">
      <c r="A354">
        <v>353</v>
      </c>
      <c r="B354" t="s">
        <v>2530</v>
      </c>
      <c r="C354">
        <v>31</v>
      </c>
      <c r="D354" s="108">
        <f t="shared" si="5"/>
        <v>8.158109423932209E-4</v>
      </c>
      <c r="E354" s="109">
        <f>SUM($D$2:D354)</f>
        <v>0.85902260585804868</v>
      </c>
    </row>
    <row r="355" spans="1:5">
      <c r="A355">
        <v>354</v>
      </c>
      <c r="B355" t="s">
        <v>643</v>
      </c>
      <c r="C355">
        <v>31</v>
      </c>
      <c r="D355" s="108">
        <f t="shared" si="5"/>
        <v>8.158109423932209E-4</v>
      </c>
      <c r="E355" s="109">
        <f>SUM($D$2:D355)</f>
        <v>0.85983841680044193</v>
      </c>
    </row>
    <row r="356" spans="1:5">
      <c r="A356">
        <v>355</v>
      </c>
      <c r="B356" t="s">
        <v>647</v>
      </c>
      <c r="C356">
        <v>31</v>
      </c>
      <c r="D356" s="108">
        <f t="shared" si="5"/>
        <v>8.158109423932209E-4</v>
      </c>
      <c r="E356" s="109">
        <f>SUM($D$2:D356)</f>
        <v>0.86065422774283518</v>
      </c>
    </row>
    <row r="357" spans="1:5">
      <c r="A357">
        <v>356</v>
      </c>
      <c r="B357" t="s">
        <v>8882</v>
      </c>
      <c r="C357">
        <v>31</v>
      </c>
      <c r="D357" s="108">
        <f t="shared" si="5"/>
        <v>8.158109423932209E-4</v>
      </c>
      <c r="E357" s="109">
        <f>SUM($D$2:D357)</f>
        <v>0.86147003868522842</v>
      </c>
    </row>
    <row r="358" spans="1:5">
      <c r="A358">
        <v>357</v>
      </c>
      <c r="B358" t="s">
        <v>1586</v>
      </c>
      <c r="C358">
        <v>31</v>
      </c>
      <c r="D358" s="108">
        <f t="shared" si="5"/>
        <v>8.158109423932209E-4</v>
      </c>
      <c r="E358" s="109">
        <f>SUM($D$2:D358)</f>
        <v>0.86228584962762167</v>
      </c>
    </row>
    <row r="359" spans="1:5">
      <c r="A359">
        <v>358</v>
      </c>
      <c r="B359" t="s">
        <v>1559</v>
      </c>
      <c r="C359">
        <v>31</v>
      </c>
      <c r="D359" s="108">
        <f t="shared" si="5"/>
        <v>8.158109423932209E-4</v>
      </c>
      <c r="E359" s="109">
        <f>SUM($D$2:D359)</f>
        <v>0.86310166057001492</v>
      </c>
    </row>
    <row r="360" spans="1:5">
      <c r="A360">
        <v>359</v>
      </c>
      <c r="B360" t="s">
        <v>7973</v>
      </c>
      <c r="C360">
        <v>31</v>
      </c>
      <c r="D360" s="108">
        <f t="shared" si="5"/>
        <v>8.158109423932209E-4</v>
      </c>
      <c r="E360" s="109">
        <f>SUM($D$2:D360)</f>
        <v>0.86391747151240816</v>
      </c>
    </row>
    <row r="361" spans="1:5">
      <c r="A361">
        <v>360</v>
      </c>
      <c r="B361" t="s">
        <v>8747</v>
      </c>
      <c r="C361">
        <v>31</v>
      </c>
      <c r="D361" s="108">
        <f t="shared" si="5"/>
        <v>8.158109423932209E-4</v>
      </c>
      <c r="E361" s="109">
        <f>SUM($D$2:D361)</f>
        <v>0.86473328245480141</v>
      </c>
    </row>
    <row r="362" spans="1:5">
      <c r="A362">
        <v>361</v>
      </c>
      <c r="B362" t="s">
        <v>8888</v>
      </c>
      <c r="C362">
        <v>31</v>
      </c>
      <c r="D362" s="108">
        <f t="shared" si="5"/>
        <v>8.158109423932209E-4</v>
      </c>
      <c r="E362" s="109">
        <f>SUM($D$2:D362)</f>
        <v>0.86554909339719466</v>
      </c>
    </row>
    <row r="363" spans="1:5">
      <c r="A363">
        <v>362</v>
      </c>
      <c r="B363" t="s">
        <v>1484</v>
      </c>
      <c r="C363">
        <v>31</v>
      </c>
      <c r="D363" s="108">
        <f t="shared" si="5"/>
        <v>8.158109423932209E-4</v>
      </c>
      <c r="E363" s="109">
        <f>SUM($D$2:D363)</f>
        <v>0.8663649043395879</v>
      </c>
    </row>
    <row r="364" spans="1:5">
      <c r="A364">
        <v>363</v>
      </c>
      <c r="B364" t="s">
        <v>1631</v>
      </c>
      <c r="C364">
        <v>31</v>
      </c>
      <c r="D364" s="108">
        <f t="shared" si="5"/>
        <v>8.158109423932209E-4</v>
      </c>
      <c r="E364" s="109">
        <f>SUM($D$2:D364)</f>
        <v>0.86718071528198115</v>
      </c>
    </row>
    <row r="365" spans="1:5">
      <c r="A365">
        <v>364</v>
      </c>
      <c r="B365" t="s">
        <v>2389</v>
      </c>
      <c r="C365">
        <v>30</v>
      </c>
      <c r="D365" s="108">
        <f t="shared" si="5"/>
        <v>7.8949446038053628E-4</v>
      </c>
      <c r="E365" s="109">
        <f>SUM($D$2:D365)</f>
        <v>0.86797020974236172</v>
      </c>
    </row>
    <row r="366" spans="1:5">
      <c r="A366">
        <v>365</v>
      </c>
      <c r="B366" t="s">
        <v>1372</v>
      </c>
      <c r="C366">
        <v>30</v>
      </c>
      <c r="D366" s="108">
        <f t="shared" si="5"/>
        <v>7.8949446038053628E-4</v>
      </c>
      <c r="E366" s="109">
        <f>SUM($D$2:D366)</f>
        <v>0.86875970420274229</v>
      </c>
    </row>
    <row r="367" spans="1:5">
      <c r="A367">
        <v>366</v>
      </c>
      <c r="B367" t="s">
        <v>2399</v>
      </c>
      <c r="C367">
        <v>30</v>
      </c>
      <c r="D367" s="108">
        <f t="shared" si="5"/>
        <v>7.8949446038053628E-4</v>
      </c>
      <c r="E367" s="109">
        <f>SUM($D$2:D367)</f>
        <v>0.86954919866312286</v>
      </c>
    </row>
    <row r="368" spans="1:5">
      <c r="A368">
        <v>367</v>
      </c>
      <c r="B368" t="s">
        <v>2458</v>
      </c>
      <c r="C368">
        <v>30</v>
      </c>
      <c r="D368" s="108">
        <f t="shared" si="5"/>
        <v>7.8949446038053628E-4</v>
      </c>
      <c r="E368" s="109">
        <f>SUM($D$2:D368)</f>
        <v>0.87033869312350343</v>
      </c>
    </row>
    <row r="369" spans="1:5">
      <c r="A369">
        <v>368</v>
      </c>
      <c r="B369" t="s">
        <v>8871</v>
      </c>
      <c r="C369">
        <v>30</v>
      </c>
      <c r="D369" s="108">
        <f t="shared" si="5"/>
        <v>7.8949446038053628E-4</v>
      </c>
      <c r="E369" s="109">
        <f>SUM($D$2:D369)</f>
        <v>0.87112818758388399</v>
      </c>
    </row>
    <row r="370" spans="1:5">
      <c r="A370">
        <v>369</v>
      </c>
      <c r="B370" t="s">
        <v>1391</v>
      </c>
      <c r="C370">
        <v>30</v>
      </c>
      <c r="D370" s="108">
        <f t="shared" si="5"/>
        <v>7.8949446038053628E-4</v>
      </c>
      <c r="E370" s="109">
        <f>SUM($D$2:D370)</f>
        <v>0.87191768204426456</v>
      </c>
    </row>
    <row r="371" spans="1:5">
      <c r="A371">
        <v>370</v>
      </c>
      <c r="B371" t="s">
        <v>1419</v>
      </c>
      <c r="C371">
        <v>30</v>
      </c>
      <c r="D371" s="108">
        <f t="shared" si="5"/>
        <v>7.8949446038053628E-4</v>
      </c>
      <c r="E371" s="109">
        <f>SUM($D$2:D371)</f>
        <v>0.87270717650464513</v>
      </c>
    </row>
    <row r="372" spans="1:5">
      <c r="A372">
        <v>371</v>
      </c>
      <c r="B372" t="s">
        <v>685</v>
      </c>
      <c r="C372">
        <v>30</v>
      </c>
      <c r="D372" s="108">
        <f t="shared" si="5"/>
        <v>7.8949446038053628E-4</v>
      </c>
      <c r="E372" s="109">
        <f>SUM($D$2:D372)</f>
        <v>0.8734966709650257</v>
      </c>
    </row>
    <row r="373" spans="1:5">
      <c r="A373">
        <v>372</v>
      </c>
      <c r="B373" t="s">
        <v>1412</v>
      </c>
      <c r="C373">
        <v>30</v>
      </c>
      <c r="D373" s="108">
        <f t="shared" si="5"/>
        <v>7.8949446038053628E-4</v>
      </c>
      <c r="E373" s="109">
        <f>SUM($D$2:D373)</f>
        <v>0.87428616542540627</v>
      </c>
    </row>
    <row r="374" spans="1:5">
      <c r="A374">
        <v>373</v>
      </c>
      <c r="B374" t="s">
        <v>2449</v>
      </c>
      <c r="C374">
        <v>30</v>
      </c>
      <c r="D374" s="108">
        <f t="shared" si="5"/>
        <v>7.8949446038053628E-4</v>
      </c>
      <c r="E374" s="109">
        <f>SUM($D$2:D374)</f>
        <v>0.87507565988578684</v>
      </c>
    </row>
    <row r="375" spans="1:5">
      <c r="A375">
        <v>374</v>
      </c>
      <c r="B375" t="s">
        <v>1339</v>
      </c>
      <c r="C375">
        <v>29</v>
      </c>
      <c r="D375" s="108">
        <f t="shared" si="5"/>
        <v>7.6317797836785177E-4</v>
      </c>
      <c r="E375" s="109">
        <f>SUM($D$2:D375)</f>
        <v>0.87583883786415473</v>
      </c>
    </row>
    <row r="376" spans="1:5">
      <c r="A376">
        <v>375</v>
      </c>
      <c r="B376" t="s">
        <v>635</v>
      </c>
      <c r="C376">
        <v>29</v>
      </c>
      <c r="D376" s="108">
        <f t="shared" si="5"/>
        <v>7.6317797836785177E-4</v>
      </c>
      <c r="E376" s="109">
        <f>SUM($D$2:D376)</f>
        <v>0.87660201584252262</v>
      </c>
    </row>
    <row r="377" spans="1:5">
      <c r="A377">
        <v>376</v>
      </c>
      <c r="B377" t="s">
        <v>2251</v>
      </c>
      <c r="C377">
        <v>29</v>
      </c>
      <c r="D377" s="108">
        <f t="shared" si="5"/>
        <v>7.6317797836785177E-4</v>
      </c>
      <c r="E377" s="109">
        <f>SUM($D$2:D377)</f>
        <v>0.87736519382089051</v>
      </c>
    </row>
    <row r="378" spans="1:5">
      <c r="A378">
        <v>377</v>
      </c>
      <c r="B378" t="s">
        <v>8708</v>
      </c>
      <c r="C378">
        <v>29</v>
      </c>
      <c r="D378" s="108">
        <f t="shared" si="5"/>
        <v>7.6317797836785177E-4</v>
      </c>
      <c r="E378" s="109">
        <f>SUM($D$2:D378)</f>
        <v>0.8781283717992584</v>
      </c>
    </row>
    <row r="379" spans="1:5">
      <c r="A379">
        <v>378</v>
      </c>
      <c r="B379" t="s">
        <v>638</v>
      </c>
      <c r="C379">
        <v>29</v>
      </c>
      <c r="D379" s="108">
        <f t="shared" si="5"/>
        <v>7.6317797836785177E-4</v>
      </c>
      <c r="E379" s="109">
        <f>SUM($D$2:D379)</f>
        <v>0.87889154977762629</v>
      </c>
    </row>
    <row r="380" spans="1:5">
      <c r="A380">
        <v>379</v>
      </c>
      <c r="B380" t="s">
        <v>4296</v>
      </c>
      <c r="C380">
        <v>29</v>
      </c>
      <c r="D380" s="108">
        <f t="shared" si="5"/>
        <v>7.6317797836785177E-4</v>
      </c>
      <c r="E380" s="109">
        <f>SUM($D$2:D380)</f>
        <v>0.87965472775599418</v>
      </c>
    </row>
    <row r="381" spans="1:5">
      <c r="A381">
        <v>380</v>
      </c>
      <c r="B381" t="s">
        <v>8714</v>
      </c>
      <c r="C381">
        <v>29</v>
      </c>
      <c r="D381" s="108">
        <f t="shared" si="5"/>
        <v>7.6317797836785177E-4</v>
      </c>
      <c r="E381" s="109">
        <f>SUM($D$2:D381)</f>
        <v>0.88041790573436207</v>
      </c>
    </row>
    <row r="382" spans="1:5">
      <c r="A382">
        <v>381</v>
      </c>
      <c r="B382" t="s">
        <v>2483</v>
      </c>
      <c r="C382">
        <v>29</v>
      </c>
      <c r="D382" s="108">
        <f t="shared" si="5"/>
        <v>7.6317797836785177E-4</v>
      </c>
      <c r="E382" s="109">
        <f>SUM($D$2:D382)</f>
        <v>0.88118108371272996</v>
      </c>
    </row>
    <row r="383" spans="1:5">
      <c r="A383">
        <v>382</v>
      </c>
      <c r="B383" t="s">
        <v>1666</v>
      </c>
      <c r="C383">
        <v>29</v>
      </c>
      <c r="D383" s="108">
        <f t="shared" si="5"/>
        <v>7.6317797836785177E-4</v>
      </c>
      <c r="E383" s="109">
        <f>SUM($D$2:D383)</f>
        <v>0.88194426169109785</v>
      </c>
    </row>
    <row r="384" spans="1:5">
      <c r="A384">
        <v>383</v>
      </c>
      <c r="B384" t="s">
        <v>1677</v>
      </c>
      <c r="C384">
        <v>29</v>
      </c>
      <c r="D384" s="108">
        <f t="shared" si="5"/>
        <v>7.6317797836785177E-4</v>
      </c>
      <c r="E384" s="109">
        <f>SUM($D$2:D384)</f>
        <v>0.88270743966946574</v>
      </c>
    </row>
    <row r="385" spans="1:5">
      <c r="A385">
        <v>384</v>
      </c>
      <c r="B385" t="s">
        <v>2391</v>
      </c>
      <c r="C385">
        <v>29</v>
      </c>
      <c r="D385" s="108">
        <f t="shared" si="5"/>
        <v>7.6317797836785177E-4</v>
      </c>
      <c r="E385" s="109">
        <f>SUM($D$2:D385)</f>
        <v>0.88347061764783363</v>
      </c>
    </row>
    <row r="386" spans="1:5">
      <c r="A386">
        <v>385</v>
      </c>
      <c r="B386" t="s">
        <v>1398</v>
      </c>
      <c r="C386">
        <v>29</v>
      </c>
      <c r="D386" s="108">
        <f t="shared" ref="D386:D449" si="6">C386/$K$2</f>
        <v>7.6317797836785177E-4</v>
      </c>
      <c r="E386" s="109">
        <f>SUM($D$2:D386)</f>
        <v>0.88423379562620152</v>
      </c>
    </row>
    <row r="387" spans="1:5">
      <c r="A387">
        <v>386</v>
      </c>
      <c r="B387" t="s">
        <v>1537</v>
      </c>
      <c r="C387">
        <v>29</v>
      </c>
      <c r="D387" s="108">
        <f t="shared" si="6"/>
        <v>7.6317797836785177E-4</v>
      </c>
      <c r="E387" s="109">
        <f>SUM($D$2:D387)</f>
        <v>0.88499697360456941</v>
      </c>
    </row>
    <row r="388" spans="1:5">
      <c r="A388">
        <v>387</v>
      </c>
      <c r="B388" t="s">
        <v>1420</v>
      </c>
      <c r="C388">
        <v>28</v>
      </c>
      <c r="D388" s="108">
        <f t="shared" si="6"/>
        <v>7.3686149635516726E-4</v>
      </c>
      <c r="E388" s="109">
        <f>SUM($D$2:D388)</f>
        <v>0.88573383510092463</v>
      </c>
    </row>
    <row r="389" spans="1:5">
      <c r="A389">
        <v>388</v>
      </c>
      <c r="B389" t="s">
        <v>1353</v>
      </c>
      <c r="C389">
        <v>28</v>
      </c>
      <c r="D389" s="108">
        <f t="shared" si="6"/>
        <v>7.3686149635516726E-4</v>
      </c>
      <c r="E389" s="109">
        <f>SUM($D$2:D389)</f>
        <v>0.88647069659727984</v>
      </c>
    </row>
    <row r="390" spans="1:5">
      <c r="A390">
        <v>389</v>
      </c>
      <c r="B390" t="s">
        <v>1628</v>
      </c>
      <c r="C390">
        <v>28</v>
      </c>
      <c r="D390" s="108">
        <f t="shared" si="6"/>
        <v>7.3686149635516726E-4</v>
      </c>
      <c r="E390" s="109">
        <f>SUM($D$2:D390)</f>
        <v>0.88720755809363505</v>
      </c>
    </row>
    <row r="391" spans="1:5">
      <c r="A391">
        <v>390</v>
      </c>
      <c r="B391" t="s">
        <v>8735</v>
      </c>
      <c r="C391">
        <v>28</v>
      </c>
      <c r="D391" s="108">
        <f t="shared" si="6"/>
        <v>7.3686149635516726E-4</v>
      </c>
      <c r="E391" s="109">
        <f>SUM($D$2:D391)</f>
        <v>0.88794441958999026</v>
      </c>
    </row>
    <row r="392" spans="1:5">
      <c r="A392">
        <v>391</v>
      </c>
      <c r="B392" t="s">
        <v>8729</v>
      </c>
      <c r="C392">
        <v>28</v>
      </c>
      <c r="D392" s="108">
        <f t="shared" si="6"/>
        <v>7.3686149635516726E-4</v>
      </c>
      <c r="E392" s="109">
        <f>SUM($D$2:D392)</f>
        <v>0.88868128108634548</v>
      </c>
    </row>
    <row r="393" spans="1:5">
      <c r="A393">
        <v>392</v>
      </c>
      <c r="B393" t="s">
        <v>8695</v>
      </c>
      <c r="C393">
        <v>28</v>
      </c>
      <c r="D393" s="108">
        <f t="shared" si="6"/>
        <v>7.3686149635516726E-4</v>
      </c>
      <c r="E393" s="109">
        <f>SUM($D$2:D393)</f>
        <v>0.88941814258270069</v>
      </c>
    </row>
    <row r="394" spans="1:5">
      <c r="A394">
        <v>393</v>
      </c>
      <c r="B394" t="s">
        <v>1374</v>
      </c>
      <c r="C394">
        <v>28</v>
      </c>
      <c r="D394" s="108">
        <f t="shared" si="6"/>
        <v>7.3686149635516726E-4</v>
      </c>
      <c r="E394" s="109">
        <f>SUM($D$2:D394)</f>
        <v>0.8901550040790559</v>
      </c>
    </row>
    <row r="395" spans="1:5">
      <c r="A395">
        <v>394</v>
      </c>
      <c r="B395" t="s">
        <v>2340</v>
      </c>
      <c r="C395">
        <v>28</v>
      </c>
      <c r="D395" s="108">
        <f t="shared" si="6"/>
        <v>7.3686149635516726E-4</v>
      </c>
      <c r="E395" s="109">
        <f>SUM($D$2:D395)</f>
        <v>0.89089186557541111</v>
      </c>
    </row>
    <row r="396" spans="1:5">
      <c r="A396">
        <v>395</v>
      </c>
      <c r="B396" t="s">
        <v>683</v>
      </c>
      <c r="C396">
        <v>28</v>
      </c>
      <c r="D396" s="108">
        <f t="shared" si="6"/>
        <v>7.3686149635516726E-4</v>
      </c>
      <c r="E396" s="109">
        <f>SUM($D$2:D396)</f>
        <v>0.89162872707176632</v>
      </c>
    </row>
    <row r="397" spans="1:5">
      <c r="A397">
        <v>396</v>
      </c>
      <c r="B397" t="s">
        <v>1654</v>
      </c>
      <c r="C397">
        <v>28</v>
      </c>
      <c r="D397" s="108">
        <f t="shared" si="6"/>
        <v>7.3686149635516726E-4</v>
      </c>
      <c r="E397" s="109">
        <f>SUM($D$2:D397)</f>
        <v>0.89236558856812154</v>
      </c>
    </row>
    <row r="398" spans="1:5">
      <c r="A398">
        <v>397</v>
      </c>
      <c r="B398" t="s">
        <v>2401</v>
      </c>
      <c r="C398">
        <v>27</v>
      </c>
      <c r="D398" s="108">
        <f t="shared" si="6"/>
        <v>7.1054501434248275E-4</v>
      </c>
      <c r="E398" s="109">
        <f>SUM($D$2:D398)</f>
        <v>0.89307613358246407</v>
      </c>
    </row>
    <row r="399" spans="1:5">
      <c r="A399">
        <v>398</v>
      </c>
      <c r="B399" t="s">
        <v>8411</v>
      </c>
      <c r="C399">
        <v>27</v>
      </c>
      <c r="D399" s="108">
        <f t="shared" si="6"/>
        <v>7.1054501434248275E-4</v>
      </c>
      <c r="E399" s="109">
        <f>SUM($D$2:D399)</f>
        <v>0.89378667859680661</v>
      </c>
    </row>
    <row r="400" spans="1:5">
      <c r="A400">
        <v>399</v>
      </c>
      <c r="B400" t="s">
        <v>1385</v>
      </c>
      <c r="C400">
        <v>27</v>
      </c>
      <c r="D400" s="108">
        <f t="shared" si="6"/>
        <v>7.1054501434248275E-4</v>
      </c>
      <c r="E400" s="109">
        <f>SUM($D$2:D400)</f>
        <v>0.89449722361114914</v>
      </c>
    </row>
    <row r="401" spans="1:5">
      <c r="A401">
        <v>400</v>
      </c>
      <c r="B401" t="s">
        <v>1375</v>
      </c>
      <c r="C401">
        <v>27</v>
      </c>
      <c r="D401" s="108">
        <f t="shared" si="6"/>
        <v>7.1054501434248275E-4</v>
      </c>
      <c r="E401" s="109">
        <f>SUM($D$2:D401)</f>
        <v>0.89520776862549167</v>
      </c>
    </row>
    <row r="402" spans="1:5">
      <c r="A402">
        <v>401</v>
      </c>
      <c r="B402" t="s">
        <v>8686</v>
      </c>
      <c r="C402">
        <v>27</v>
      </c>
      <c r="D402" s="108">
        <f t="shared" si="6"/>
        <v>7.1054501434248275E-4</v>
      </c>
      <c r="E402" s="109">
        <f>SUM($D$2:D402)</f>
        <v>0.89591831363983421</v>
      </c>
    </row>
    <row r="403" spans="1:5">
      <c r="A403">
        <v>402</v>
      </c>
      <c r="B403" t="s">
        <v>1482</v>
      </c>
      <c r="C403">
        <v>27</v>
      </c>
      <c r="D403" s="108">
        <f t="shared" si="6"/>
        <v>7.1054501434248275E-4</v>
      </c>
      <c r="E403" s="109">
        <f>SUM($D$2:D403)</f>
        <v>0.89662885865417674</v>
      </c>
    </row>
    <row r="404" spans="1:5">
      <c r="A404">
        <v>403</v>
      </c>
      <c r="B404" t="s">
        <v>1417</v>
      </c>
      <c r="C404">
        <v>27</v>
      </c>
      <c r="D404" s="108">
        <f t="shared" si="6"/>
        <v>7.1054501434248275E-4</v>
      </c>
      <c r="E404" s="109">
        <f>SUM($D$2:D404)</f>
        <v>0.89733940366851928</v>
      </c>
    </row>
    <row r="405" spans="1:5">
      <c r="A405">
        <v>404</v>
      </c>
      <c r="B405" t="s">
        <v>8773</v>
      </c>
      <c r="C405">
        <v>27</v>
      </c>
      <c r="D405" s="108">
        <f t="shared" si="6"/>
        <v>7.1054501434248275E-4</v>
      </c>
      <c r="E405" s="109">
        <f>SUM($D$2:D405)</f>
        <v>0.89804994868286181</v>
      </c>
    </row>
    <row r="406" spans="1:5">
      <c r="A406">
        <v>405</v>
      </c>
      <c r="B406" t="s">
        <v>1518</v>
      </c>
      <c r="C406">
        <v>27</v>
      </c>
      <c r="D406" s="108">
        <f t="shared" si="6"/>
        <v>7.1054501434248275E-4</v>
      </c>
      <c r="E406" s="109">
        <f>SUM($D$2:D406)</f>
        <v>0.89876049369720434</v>
      </c>
    </row>
    <row r="407" spans="1:5">
      <c r="A407">
        <v>406</v>
      </c>
      <c r="B407" t="s">
        <v>1600</v>
      </c>
      <c r="C407">
        <v>27</v>
      </c>
      <c r="D407" s="108">
        <f t="shared" si="6"/>
        <v>7.1054501434248275E-4</v>
      </c>
      <c r="E407" s="109">
        <f>SUM($D$2:D407)</f>
        <v>0.89947103871154688</v>
      </c>
    </row>
    <row r="408" spans="1:5">
      <c r="A408">
        <v>407</v>
      </c>
      <c r="B408" t="s">
        <v>8911</v>
      </c>
      <c r="C408">
        <v>27</v>
      </c>
      <c r="D408" s="108">
        <f t="shared" si="6"/>
        <v>7.1054501434248275E-4</v>
      </c>
      <c r="E408" s="109">
        <f>SUM($D$2:D408)</f>
        <v>0.90018158372588941</v>
      </c>
    </row>
    <row r="409" spans="1:5">
      <c r="A409">
        <v>408</v>
      </c>
      <c r="B409" t="s">
        <v>1510</v>
      </c>
      <c r="C409">
        <v>27</v>
      </c>
      <c r="D409" s="108">
        <f t="shared" si="6"/>
        <v>7.1054501434248275E-4</v>
      </c>
      <c r="E409" s="109">
        <f>SUM($D$2:D409)</f>
        <v>0.90089212874023195</v>
      </c>
    </row>
    <row r="410" spans="1:5">
      <c r="A410">
        <v>409</v>
      </c>
      <c r="B410" t="s">
        <v>1488</v>
      </c>
      <c r="C410">
        <v>27</v>
      </c>
      <c r="D410" s="108">
        <f t="shared" si="6"/>
        <v>7.1054501434248275E-4</v>
      </c>
      <c r="E410" s="109">
        <f>SUM($D$2:D410)</f>
        <v>0.90160267375457448</v>
      </c>
    </row>
    <row r="411" spans="1:5">
      <c r="A411">
        <v>410</v>
      </c>
      <c r="B411" t="s">
        <v>1678</v>
      </c>
      <c r="C411">
        <v>26</v>
      </c>
      <c r="D411" s="108">
        <f t="shared" si="6"/>
        <v>6.8422853232979813E-4</v>
      </c>
      <c r="E411" s="109">
        <f>SUM($D$2:D411)</f>
        <v>0.90228690228690422</v>
      </c>
    </row>
    <row r="412" spans="1:5">
      <c r="A412">
        <v>411</v>
      </c>
      <c r="B412" t="s">
        <v>1418</v>
      </c>
      <c r="C412">
        <v>26</v>
      </c>
      <c r="D412" s="108">
        <f t="shared" si="6"/>
        <v>6.8422853232979813E-4</v>
      </c>
      <c r="E412" s="109">
        <f>SUM($D$2:D412)</f>
        <v>0.90297113081923397</v>
      </c>
    </row>
    <row r="413" spans="1:5">
      <c r="A413">
        <v>412</v>
      </c>
      <c r="B413" t="s">
        <v>8933</v>
      </c>
      <c r="C413">
        <v>26</v>
      </c>
      <c r="D413" s="108">
        <f t="shared" si="6"/>
        <v>6.8422853232979813E-4</v>
      </c>
      <c r="E413" s="109">
        <f>SUM($D$2:D413)</f>
        <v>0.90365535935156371</v>
      </c>
    </row>
    <row r="414" spans="1:5">
      <c r="A414">
        <v>413</v>
      </c>
      <c r="B414" t="s">
        <v>8741</v>
      </c>
      <c r="C414">
        <v>26</v>
      </c>
      <c r="D414" s="108">
        <f t="shared" si="6"/>
        <v>6.8422853232979813E-4</v>
      </c>
      <c r="E414" s="109">
        <f>SUM($D$2:D414)</f>
        <v>0.90433958788389346</v>
      </c>
    </row>
    <row r="415" spans="1:5">
      <c r="A415">
        <v>414</v>
      </c>
      <c r="B415" t="s">
        <v>8927</v>
      </c>
      <c r="C415">
        <v>26</v>
      </c>
      <c r="D415" s="108">
        <f t="shared" si="6"/>
        <v>6.8422853232979813E-4</v>
      </c>
      <c r="E415" s="109">
        <f>SUM($D$2:D415)</f>
        <v>0.9050238164162232</v>
      </c>
    </row>
    <row r="416" spans="1:5">
      <c r="A416">
        <v>415</v>
      </c>
      <c r="B416" t="s">
        <v>1354</v>
      </c>
      <c r="C416">
        <v>26</v>
      </c>
      <c r="D416" s="108">
        <f t="shared" si="6"/>
        <v>6.8422853232979813E-4</v>
      </c>
      <c r="E416" s="109">
        <f>SUM($D$2:D416)</f>
        <v>0.90570804494855295</v>
      </c>
    </row>
    <row r="417" spans="1:5">
      <c r="A417">
        <v>416</v>
      </c>
      <c r="B417" t="s">
        <v>1442</v>
      </c>
      <c r="C417">
        <v>26</v>
      </c>
      <c r="D417" s="108">
        <f t="shared" si="6"/>
        <v>6.8422853232979813E-4</v>
      </c>
      <c r="E417" s="109">
        <f>SUM($D$2:D417)</f>
        <v>0.90639227348088269</v>
      </c>
    </row>
    <row r="418" spans="1:5">
      <c r="A418">
        <v>417</v>
      </c>
      <c r="B418" t="s">
        <v>1641</v>
      </c>
      <c r="C418">
        <v>26</v>
      </c>
      <c r="D418" s="108">
        <f t="shared" si="6"/>
        <v>6.8422853232979813E-4</v>
      </c>
      <c r="E418" s="109">
        <f>SUM($D$2:D418)</f>
        <v>0.90707650201321244</v>
      </c>
    </row>
    <row r="419" spans="1:5">
      <c r="A419">
        <v>418</v>
      </c>
      <c r="B419" t="s">
        <v>1367</v>
      </c>
      <c r="C419">
        <v>26</v>
      </c>
      <c r="D419" s="108">
        <f t="shared" si="6"/>
        <v>6.8422853232979813E-4</v>
      </c>
      <c r="E419" s="109">
        <f>SUM($D$2:D419)</f>
        <v>0.90776073054554218</v>
      </c>
    </row>
    <row r="420" spans="1:5">
      <c r="A420">
        <v>419</v>
      </c>
      <c r="B420" t="s">
        <v>8524</v>
      </c>
      <c r="C420">
        <v>26</v>
      </c>
      <c r="D420" s="108">
        <f t="shared" si="6"/>
        <v>6.8422853232979813E-4</v>
      </c>
      <c r="E420" s="109">
        <f>SUM($D$2:D420)</f>
        <v>0.90844495907787193</v>
      </c>
    </row>
    <row r="421" spans="1:5">
      <c r="A421">
        <v>420</v>
      </c>
      <c r="B421" t="s">
        <v>8810</v>
      </c>
      <c r="C421">
        <v>26</v>
      </c>
      <c r="D421" s="108">
        <f t="shared" si="6"/>
        <v>6.8422853232979813E-4</v>
      </c>
      <c r="E421" s="109">
        <f>SUM($D$2:D421)</f>
        <v>0.90912918761020167</v>
      </c>
    </row>
    <row r="422" spans="1:5">
      <c r="A422">
        <v>421</v>
      </c>
      <c r="B422" t="s">
        <v>2410</v>
      </c>
      <c r="C422">
        <v>25</v>
      </c>
      <c r="D422" s="108">
        <f t="shared" si="6"/>
        <v>6.5791205031711362E-4</v>
      </c>
      <c r="E422" s="109">
        <f>SUM($D$2:D422)</f>
        <v>0.90978709966051874</v>
      </c>
    </row>
    <row r="423" spans="1:5">
      <c r="A423">
        <v>422</v>
      </c>
      <c r="B423" t="s">
        <v>8753</v>
      </c>
      <c r="C423">
        <v>25</v>
      </c>
      <c r="D423" s="108">
        <f t="shared" si="6"/>
        <v>6.5791205031711362E-4</v>
      </c>
      <c r="E423" s="109">
        <f>SUM($D$2:D423)</f>
        <v>0.91044501171083581</v>
      </c>
    </row>
    <row r="424" spans="1:5">
      <c r="A424">
        <v>423</v>
      </c>
      <c r="B424" t="s">
        <v>632</v>
      </c>
      <c r="C424">
        <v>25</v>
      </c>
      <c r="D424" s="108">
        <f t="shared" si="6"/>
        <v>6.5791205031711362E-4</v>
      </c>
      <c r="E424" s="109">
        <f>SUM($D$2:D424)</f>
        <v>0.91110292376115287</v>
      </c>
    </row>
    <row r="425" spans="1:5">
      <c r="A425">
        <v>424</v>
      </c>
      <c r="B425" t="s">
        <v>1377</v>
      </c>
      <c r="C425">
        <v>25</v>
      </c>
      <c r="D425" s="108">
        <f t="shared" si="6"/>
        <v>6.5791205031711362E-4</v>
      </c>
      <c r="E425" s="109">
        <f>SUM($D$2:D425)</f>
        <v>0.91176083581146994</v>
      </c>
    </row>
    <row r="426" spans="1:5">
      <c r="A426">
        <v>425</v>
      </c>
      <c r="B426" t="s">
        <v>8876</v>
      </c>
      <c r="C426">
        <v>25</v>
      </c>
      <c r="D426" s="108">
        <f t="shared" si="6"/>
        <v>6.5791205031711362E-4</v>
      </c>
      <c r="E426" s="109">
        <f>SUM($D$2:D426)</f>
        <v>0.91241874786178701</v>
      </c>
    </row>
    <row r="427" spans="1:5">
      <c r="A427">
        <v>426</v>
      </c>
      <c r="B427" t="s">
        <v>1689</v>
      </c>
      <c r="C427">
        <v>24</v>
      </c>
      <c r="D427" s="108">
        <f t="shared" si="6"/>
        <v>6.3159556830442911E-4</v>
      </c>
      <c r="E427" s="109">
        <f>SUM($D$2:D427)</f>
        <v>0.91305034343009139</v>
      </c>
    </row>
    <row r="428" spans="1:5">
      <c r="A428">
        <v>427</v>
      </c>
      <c r="B428" t="s">
        <v>8765</v>
      </c>
      <c r="C428">
        <v>24</v>
      </c>
      <c r="D428" s="108">
        <f t="shared" si="6"/>
        <v>6.3159556830442911E-4</v>
      </c>
      <c r="E428" s="109">
        <f>SUM($D$2:D428)</f>
        <v>0.91368193899839578</v>
      </c>
    </row>
    <row r="429" spans="1:5">
      <c r="A429">
        <v>428</v>
      </c>
      <c r="B429" t="s">
        <v>1445</v>
      </c>
      <c r="C429">
        <v>24</v>
      </c>
      <c r="D429" s="108">
        <f t="shared" si="6"/>
        <v>6.3159556830442911E-4</v>
      </c>
      <c r="E429" s="109">
        <f>SUM($D$2:D429)</f>
        <v>0.91431353456670017</v>
      </c>
    </row>
    <row r="430" spans="1:5">
      <c r="A430">
        <v>429</v>
      </c>
      <c r="B430" t="s">
        <v>2380</v>
      </c>
      <c r="C430">
        <v>24</v>
      </c>
      <c r="D430" s="108">
        <f t="shared" si="6"/>
        <v>6.3159556830442911E-4</v>
      </c>
      <c r="E430" s="109">
        <f>SUM($D$2:D430)</f>
        <v>0.91494513013500456</v>
      </c>
    </row>
    <row r="431" spans="1:5">
      <c r="A431">
        <v>430</v>
      </c>
      <c r="B431" t="s">
        <v>1359</v>
      </c>
      <c r="C431">
        <v>24</v>
      </c>
      <c r="D431" s="108">
        <f t="shared" si="6"/>
        <v>6.3159556830442911E-4</v>
      </c>
      <c r="E431" s="109">
        <f>SUM($D$2:D431)</f>
        <v>0.91557672570330895</v>
      </c>
    </row>
    <row r="432" spans="1:5">
      <c r="A432">
        <v>431</v>
      </c>
      <c r="B432" t="s">
        <v>8947</v>
      </c>
      <c r="C432">
        <v>24</v>
      </c>
      <c r="D432" s="108">
        <f t="shared" si="6"/>
        <v>6.3159556830442911E-4</v>
      </c>
      <c r="E432" s="109">
        <f>SUM($D$2:D432)</f>
        <v>0.91620832127161334</v>
      </c>
    </row>
    <row r="433" spans="1:5">
      <c r="A433">
        <v>432</v>
      </c>
      <c r="B433" t="s">
        <v>1612</v>
      </c>
      <c r="C433">
        <v>24</v>
      </c>
      <c r="D433" s="108">
        <f t="shared" si="6"/>
        <v>6.3159556830442911E-4</v>
      </c>
      <c r="E433" s="109">
        <f>SUM($D$2:D433)</f>
        <v>0.91683991683991772</v>
      </c>
    </row>
    <row r="434" spans="1:5">
      <c r="A434">
        <v>433</v>
      </c>
      <c r="B434" t="s">
        <v>687</v>
      </c>
      <c r="C434">
        <v>24</v>
      </c>
      <c r="D434" s="108">
        <f t="shared" si="6"/>
        <v>6.3159556830442911E-4</v>
      </c>
      <c r="E434" s="109">
        <f>SUM($D$2:D434)</f>
        <v>0.91747151240822211</v>
      </c>
    </row>
    <row r="435" spans="1:5">
      <c r="A435">
        <v>434</v>
      </c>
      <c r="B435" t="s">
        <v>1454</v>
      </c>
      <c r="C435">
        <v>24</v>
      </c>
      <c r="D435" s="108">
        <f t="shared" si="6"/>
        <v>6.3159556830442911E-4</v>
      </c>
      <c r="E435" s="109">
        <f>SUM($D$2:D435)</f>
        <v>0.9181031079765265</v>
      </c>
    </row>
    <row r="436" spans="1:5">
      <c r="A436">
        <v>435</v>
      </c>
      <c r="B436" t="s">
        <v>1573</v>
      </c>
      <c r="C436">
        <v>24</v>
      </c>
      <c r="D436" s="108">
        <f t="shared" si="6"/>
        <v>6.3159556830442911E-4</v>
      </c>
      <c r="E436" s="109">
        <f>SUM($D$2:D436)</f>
        <v>0.91873470354483089</v>
      </c>
    </row>
    <row r="437" spans="1:5">
      <c r="A437">
        <v>436</v>
      </c>
      <c r="B437" t="s">
        <v>1623</v>
      </c>
      <c r="C437">
        <v>24</v>
      </c>
      <c r="D437" s="108">
        <f t="shared" si="6"/>
        <v>6.3159556830442911E-4</v>
      </c>
      <c r="E437" s="109">
        <f>SUM($D$2:D437)</f>
        <v>0.91936629911313528</v>
      </c>
    </row>
    <row r="438" spans="1:5">
      <c r="A438">
        <v>437</v>
      </c>
      <c r="B438" t="s">
        <v>8909</v>
      </c>
      <c r="C438">
        <v>24</v>
      </c>
      <c r="D438" s="108">
        <f t="shared" si="6"/>
        <v>6.3159556830442911E-4</v>
      </c>
      <c r="E438" s="109">
        <f>SUM($D$2:D438)</f>
        <v>0.91999789468143967</v>
      </c>
    </row>
    <row r="439" spans="1:5">
      <c r="A439">
        <v>438</v>
      </c>
      <c r="B439" t="s">
        <v>8950</v>
      </c>
      <c r="C439">
        <v>23</v>
      </c>
      <c r="D439" s="108">
        <f t="shared" si="6"/>
        <v>6.0527908629174449E-4</v>
      </c>
      <c r="E439" s="109">
        <f>SUM($D$2:D439)</f>
        <v>0.92060317376773138</v>
      </c>
    </row>
    <row r="440" spans="1:5">
      <c r="A440">
        <v>439</v>
      </c>
      <c r="B440" t="s">
        <v>1501</v>
      </c>
      <c r="C440">
        <v>23</v>
      </c>
      <c r="D440" s="108">
        <f t="shared" si="6"/>
        <v>6.0527908629174449E-4</v>
      </c>
      <c r="E440" s="109">
        <f>SUM($D$2:D440)</f>
        <v>0.92120845285402309</v>
      </c>
    </row>
    <row r="441" spans="1:5">
      <c r="A441">
        <v>440</v>
      </c>
      <c r="B441" t="s">
        <v>2406</v>
      </c>
      <c r="C441">
        <v>23</v>
      </c>
      <c r="D441" s="108">
        <f t="shared" si="6"/>
        <v>6.0527908629174449E-4</v>
      </c>
      <c r="E441" s="109">
        <f>SUM($D$2:D441)</f>
        <v>0.9218137319403148</v>
      </c>
    </row>
    <row r="442" spans="1:5">
      <c r="A442">
        <v>441</v>
      </c>
      <c r="B442" t="s">
        <v>7803</v>
      </c>
      <c r="C442">
        <v>23</v>
      </c>
      <c r="D442" s="108">
        <f t="shared" si="6"/>
        <v>6.0527908629174449E-4</v>
      </c>
      <c r="E442" s="109">
        <f>SUM($D$2:D442)</f>
        <v>0.92241901102660651</v>
      </c>
    </row>
    <row r="443" spans="1:5">
      <c r="A443">
        <v>442</v>
      </c>
      <c r="B443" t="s">
        <v>1349</v>
      </c>
      <c r="C443">
        <v>23</v>
      </c>
      <c r="D443" s="108">
        <f t="shared" si="6"/>
        <v>6.0527908629174449E-4</v>
      </c>
      <c r="E443" s="109">
        <f>SUM($D$2:D443)</f>
        <v>0.92302429011289822</v>
      </c>
    </row>
    <row r="444" spans="1:5">
      <c r="A444">
        <v>443</v>
      </c>
      <c r="B444" t="s">
        <v>673</v>
      </c>
      <c r="C444">
        <v>23</v>
      </c>
      <c r="D444" s="108">
        <f t="shared" si="6"/>
        <v>6.0527908629174449E-4</v>
      </c>
      <c r="E444" s="109">
        <f>SUM($D$2:D444)</f>
        <v>0.92362956919918993</v>
      </c>
    </row>
    <row r="445" spans="1:5">
      <c r="A445">
        <v>444</v>
      </c>
      <c r="B445" t="s">
        <v>2591</v>
      </c>
      <c r="C445">
        <v>23</v>
      </c>
      <c r="D445" s="108">
        <f t="shared" si="6"/>
        <v>6.0527908629174449E-4</v>
      </c>
      <c r="E445" s="109">
        <f>SUM($D$2:D445)</f>
        <v>0.92423484828548164</v>
      </c>
    </row>
    <row r="446" spans="1:5">
      <c r="A446">
        <v>445</v>
      </c>
      <c r="B446" t="s">
        <v>686</v>
      </c>
      <c r="C446">
        <v>23</v>
      </c>
      <c r="D446" s="108">
        <f t="shared" si="6"/>
        <v>6.0527908629174449E-4</v>
      </c>
      <c r="E446" s="109">
        <f>SUM($D$2:D446)</f>
        <v>0.92484012737177335</v>
      </c>
    </row>
    <row r="447" spans="1:5">
      <c r="A447">
        <v>446</v>
      </c>
      <c r="B447" t="s">
        <v>2400</v>
      </c>
      <c r="C447">
        <v>23</v>
      </c>
      <c r="D447" s="108">
        <f t="shared" si="6"/>
        <v>6.0527908629174449E-4</v>
      </c>
      <c r="E447" s="109">
        <f>SUM($D$2:D447)</f>
        <v>0.92544540645806506</v>
      </c>
    </row>
    <row r="448" spans="1:5">
      <c r="A448">
        <v>447</v>
      </c>
      <c r="B448" t="s">
        <v>8732</v>
      </c>
      <c r="C448">
        <v>23</v>
      </c>
      <c r="D448" s="108">
        <f t="shared" si="6"/>
        <v>6.0527908629174449E-4</v>
      </c>
      <c r="E448" s="109">
        <f>SUM($D$2:D448)</f>
        <v>0.92605068554435677</v>
      </c>
    </row>
    <row r="449" spans="1:5">
      <c r="A449">
        <v>448</v>
      </c>
      <c r="B449" t="s">
        <v>8768</v>
      </c>
      <c r="C449">
        <v>23</v>
      </c>
      <c r="D449" s="108">
        <f t="shared" si="6"/>
        <v>6.0527908629174449E-4</v>
      </c>
      <c r="E449" s="109">
        <f>SUM($D$2:D449)</f>
        <v>0.92665596463064848</v>
      </c>
    </row>
    <row r="450" spans="1:5">
      <c r="A450">
        <v>449</v>
      </c>
      <c r="B450" t="s">
        <v>1625</v>
      </c>
      <c r="C450">
        <v>22</v>
      </c>
      <c r="D450" s="108">
        <f t="shared" ref="D450:D513" si="7">C450/$K$2</f>
        <v>5.7896260427905998E-4</v>
      </c>
      <c r="E450" s="109">
        <f>SUM($D$2:D450)</f>
        <v>0.92723492723492751</v>
      </c>
    </row>
    <row r="451" spans="1:5">
      <c r="A451">
        <v>450</v>
      </c>
      <c r="B451" t="s">
        <v>2614</v>
      </c>
      <c r="C451">
        <v>22</v>
      </c>
      <c r="D451" s="108">
        <f t="shared" si="7"/>
        <v>5.7896260427905998E-4</v>
      </c>
      <c r="E451" s="109">
        <f>SUM($D$2:D451)</f>
        <v>0.92781388983920654</v>
      </c>
    </row>
    <row r="452" spans="1:5">
      <c r="A452">
        <v>451</v>
      </c>
      <c r="B452" t="s">
        <v>2470</v>
      </c>
      <c r="C452">
        <v>22</v>
      </c>
      <c r="D452" s="108">
        <f t="shared" si="7"/>
        <v>5.7896260427905998E-4</v>
      </c>
      <c r="E452" s="109">
        <f>SUM($D$2:D452)</f>
        <v>0.92839285244348557</v>
      </c>
    </row>
    <row r="453" spans="1:5">
      <c r="A453">
        <v>452</v>
      </c>
      <c r="B453" t="s">
        <v>2497</v>
      </c>
      <c r="C453">
        <v>22</v>
      </c>
      <c r="D453" s="108">
        <f t="shared" si="7"/>
        <v>5.7896260427905998E-4</v>
      </c>
      <c r="E453" s="109">
        <f>SUM($D$2:D453)</f>
        <v>0.9289718150477646</v>
      </c>
    </row>
    <row r="454" spans="1:5">
      <c r="A454">
        <v>453</v>
      </c>
      <c r="B454" t="s">
        <v>8087</v>
      </c>
      <c r="C454">
        <v>22</v>
      </c>
      <c r="D454" s="108">
        <f t="shared" si="7"/>
        <v>5.7896260427905998E-4</v>
      </c>
      <c r="E454" s="109">
        <f>SUM($D$2:D454)</f>
        <v>0.92955077765204364</v>
      </c>
    </row>
    <row r="455" spans="1:5">
      <c r="A455">
        <v>454</v>
      </c>
      <c r="B455" t="s">
        <v>8959</v>
      </c>
      <c r="C455">
        <v>22</v>
      </c>
      <c r="D455" s="108">
        <f t="shared" si="7"/>
        <v>5.7896260427905998E-4</v>
      </c>
      <c r="E455" s="109">
        <f>SUM($D$2:D455)</f>
        <v>0.93012974025632267</v>
      </c>
    </row>
    <row r="456" spans="1:5">
      <c r="A456">
        <v>455</v>
      </c>
      <c r="B456" t="s">
        <v>1434</v>
      </c>
      <c r="C456">
        <v>22</v>
      </c>
      <c r="D456" s="108">
        <f t="shared" si="7"/>
        <v>5.7896260427905998E-4</v>
      </c>
      <c r="E456" s="109">
        <f>SUM($D$2:D456)</f>
        <v>0.9307087028606017</v>
      </c>
    </row>
    <row r="457" spans="1:5">
      <c r="A457">
        <v>456</v>
      </c>
      <c r="B457" t="s">
        <v>8930</v>
      </c>
      <c r="C457">
        <v>22</v>
      </c>
      <c r="D457" s="108">
        <f t="shared" si="7"/>
        <v>5.7896260427905998E-4</v>
      </c>
      <c r="E457" s="109">
        <f>SUM($D$2:D457)</f>
        <v>0.93128766546488073</v>
      </c>
    </row>
    <row r="458" spans="1:5">
      <c r="A458">
        <v>457</v>
      </c>
      <c r="B458" t="s">
        <v>1509</v>
      </c>
      <c r="C458">
        <v>22</v>
      </c>
      <c r="D458" s="108">
        <f t="shared" si="7"/>
        <v>5.7896260427905998E-4</v>
      </c>
      <c r="E458" s="109">
        <f>SUM($D$2:D458)</f>
        <v>0.93186662806915976</v>
      </c>
    </row>
    <row r="459" spans="1:5">
      <c r="A459">
        <v>458</v>
      </c>
      <c r="B459" t="s">
        <v>1502</v>
      </c>
      <c r="C459">
        <v>22</v>
      </c>
      <c r="D459" s="108">
        <f t="shared" si="7"/>
        <v>5.7896260427905998E-4</v>
      </c>
      <c r="E459" s="109">
        <f>SUM($D$2:D459)</f>
        <v>0.9324455906734388</v>
      </c>
    </row>
    <row r="460" spans="1:5">
      <c r="A460">
        <v>459</v>
      </c>
      <c r="B460" t="s">
        <v>8944</v>
      </c>
      <c r="C460">
        <v>22</v>
      </c>
      <c r="D460" s="108">
        <f t="shared" si="7"/>
        <v>5.7896260427905998E-4</v>
      </c>
      <c r="E460" s="109">
        <f>SUM($D$2:D460)</f>
        <v>0.93302455327771783</v>
      </c>
    </row>
    <row r="461" spans="1:5">
      <c r="A461">
        <v>460</v>
      </c>
      <c r="B461" t="s">
        <v>666</v>
      </c>
      <c r="C461">
        <v>22</v>
      </c>
      <c r="D461" s="108">
        <f t="shared" si="7"/>
        <v>5.7896260427905998E-4</v>
      </c>
      <c r="E461" s="109">
        <f>SUM($D$2:D461)</f>
        <v>0.93360351588199686</v>
      </c>
    </row>
    <row r="462" spans="1:5">
      <c r="A462">
        <v>461</v>
      </c>
      <c r="B462" t="s">
        <v>699</v>
      </c>
      <c r="C462">
        <v>22</v>
      </c>
      <c r="D462" s="108">
        <f t="shared" si="7"/>
        <v>5.7896260427905998E-4</v>
      </c>
      <c r="E462" s="109">
        <f>SUM($D$2:D462)</f>
        <v>0.93418247848627589</v>
      </c>
    </row>
    <row r="463" spans="1:5">
      <c r="A463">
        <v>462</v>
      </c>
      <c r="B463" t="s">
        <v>8711</v>
      </c>
      <c r="C463">
        <v>22</v>
      </c>
      <c r="D463" s="108">
        <f t="shared" si="7"/>
        <v>5.7896260427905998E-4</v>
      </c>
      <c r="E463" s="109">
        <f>SUM($D$2:D463)</f>
        <v>0.93476144109055492</v>
      </c>
    </row>
    <row r="464" spans="1:5">
      <c r="A464">
        <v>463</v>
      </c>
      <c r="B464" t="s">
        <v>8957</v>
      </c>
      <c r="C464">
        <v>22</v>
      </c>
      <c r="D464" s="108">
        <f t="shared" si="7"/>
        <v>5.7896260427905998E-4</v>
      </c>
      <c r="E464" s="109">
        <f>SUM($D$2:D464)</f>
        <v>0.93534040369483396</v>
      </c>
    </row>
    <row r="465" spans="1:5">
      <c r="A465">
        <v>464</v>
      </c>
      <c r="B465" t="s">
        <v>680</v>
      </c>
      <c r="C465">
        <v>22</v>
      </c>
      <c r="D465" s="108">
        <f t="shared" si="7"/>
        <v>5.7896260427905998E-4</v>
      </c>
      <c r="E465" s="109">
        <f>SUM($D$2:D465)</f>
        <v>0.93591936629911299</v>
      </c>
    </row>
    <row r="466" spans="1:5">
      <c r="A466">
        <v>465</v>
      </c>
      <c r="B466" t="s">
        <v>1541</v>
      </c>
      <c r="C466">
        <v>22</v>
      </c>
      <c r="D466" s="108">
        <f t="shared" si="7"/>
        <v>5.7896260427905998E-4</v>
      </c>
      <c r="E466" s="109">
        <f>SUM($D$2:D466)</f>
        <v>0.93649832890339202</v>
      </c>
    </row>
    <row r="467" spans="1:5">
      <c r="A467">
        <v>466</v>
      </c>
      <c r="B467" t="s">
        <v>1458</v>
      </c>
      <c r="C467">
        <v>22</v>
      </c>
      <c r="D467" s="108">
        <f t="shared" si="7"/>
        <v>5.7896260427905998E-4</v>
      </c>
      <c r="E467" s="109">
        <f>SUM($D$2:D467)</f>
        <v>0.93707729150767105</v>
      </c>
    </row>
    <row r="468" spans="1:5">
      <c r="A468">
        <v>467</v>
      </c>
      <c r="B468" t="s">
        <v>1362</v>
      </c>
      <c r="C468">
        <v>22</v>
      </c>
      <c r="D468" s="108">
        <f t="shared" si="7"/>
        <v>5.7896260427905998E-4</v>
      </c>
      <c r="E468" s="109">
        <f>SUM($D$2:D468)</f>
        <v>0.93765625411195008</v>
      </c>
    </row>
    <row r="469" spans="1:5">
      <c r="A469">
        <v>468</v>
      </c>
      <c r="B469" t="s">
        <v>1345</v>
      </c>
      <c r="C469">
        <v>22</v>
      </c>
      <c r="D469" s="108">
        <f t="shared" si="7"/>
        <v>5.7896260427905998E-4</v>
      </c>
      <c r="E469" s="109">
        <f>SUM($D$2:D469)</f>
        <v>0.93823521671622911</v>
      </c>
    </row>
    <row r="470" spans="1:5">
      <c r="A470">
        <v>469</v>
      </c>
      <c r="B470" t="s">
        <v>8304</v>
      </c>
      <c r="C470">
        <v>21</v>
      </c>
      <c r="D470" s="108">
        <f t="shared" si="7"/>
        <v>5.5264612226637547E-4</v>
      </c>
      <c r="E470" s="109">
        <f>SUM($D$2:D470)</f>
        <v>0.93878786283849547</v>
      </c>
    </row>
    <row r="471" spans="1:5">
      <c r="A471">
        <v>470</v>
      </c>
      <c r="B471" t="s">
        <v>2416</v>
      </c>
      <c r="C471">
        <v>21</v>
      </c>
      <c r="D471" s="108">
        <f t="shared" si="7"/>
        <v>5.5264612226637547E-4</v>
      </c>
      <c r="E471" s="109">
        <f>SUM($D$2:D471)</f>
        <v>0.93934050896076182</v>
      </c>
    </row>
    <row r="472" spans="1:5">
      <c r="A472">
        <v>471</v>
      </c>
      <c r="B472" t="s">
        <v>8816</v>
      </c>
      <c r="C472">
        <v>21</v>
      </c>
      <c r="D472" s="108">
        <f t="shared" si="7"/>
        <v>5.5264612226637547E-4</v>
      </c>
      <c r="E472" s="109">
        <f>SUM($D$2:D472)</f>
        <v>0.93989315508302818</v>
      </c>
    </row>
    <row r="473" spans="1:5">
      <c r="A473">
        <v>472</v>
      </c>
      <c r="B473" t="s">
        <v>2453</v>
      </c>
      <c r="C473">
        <v>21</v>
      </c>
      <c r="D473" s="108">
        <f t="shared" si="7"/>
        <v>5.5264612226637547E-4</v>
      </c>
      <c r="E473" s="109">
        <f>SUM($D$2:D473)</f>
        <v>0.94044580120529453</v>
      </c>
    </row>
    <row r="474" spans="1:5">
      <c r="A474">
        <v>473</v>
      </c>
      <c r="B474" t="s">
        <v>665</v>
      </c>
      <c r="C474">
        <v>21</v>
      </c>
      <c r="D474" s="108">
        <f t="shared" si="7"/>
        <v>5.5264612226637547E-4</v>
      </c>
      <c r="E474" s="109">
        <f>SUM($D$2:D474)</f>
        <v>0.94099844732756088</v>
      </c>
    </row>
    <row r="475" spans="1:5">
      <c r="A475">
        <v>474</v>
      </c>
      <c r="B475" t="s">
        <v>8779</v>
      </c>
      <c r="C475">
        <v>21</v>
      </c>
      <c r="D475" s="108">
        <f t="shared" si="7"/>
        <v>5.5264612226637547E-4</v>
      </c>
      <c r="E475" s="109">
        <f>SUM($D$2:D475)</f>
        <v>0.94155109344982724</v>
      </c>
    </row>
    <row r="476" spans="1:5">
      <c r="A476">
        <v>475</v>
      </c>
      <c r="B476" t="s">
        <v>8789</v>
      </c>
      <c r="C476">
        <v>21</v>
      </c>
      <c r="D476" s="108">
        <f t="shared" si="7"/>
        <v>5.5264612226637547E-4</v>
      </c>
      <c r="E476" s="109">
        <f>SUM($D$2:D476)</f>
        <v>0.94210373957209359</v>
      </c>
    </row>
    <row r="477" spans="1:5">
      <c r="A477">
        <v>476</v>
      </c>
      <c r="B477" t="s">
        <v>8868</v>
      </c>
      <c r="C477">
        <v>21</v>
      </c>
      <c r="D477" s="108">
        <f t="shared" si="7"/>
        <v>5.5264612226637547E-4</v>
      </c>
      <c r="E477" s="109">
        <f>SUM($D$2:D477)</f>
        <v>0.94265638569435994</v>
      </c>
    </row>
    <row r="478" spans="1:5">
      <c r="A478">
        <v>477</v>
      </c>
      <c r="B478" t="s">
        <v>8906</v>
      </c>
      <c r="C478">
        <v>20</v>
      </c>
      <c r="D478" s="108">
        <f t="shared" si="7"/>
        <v>5.2632964025369085E-4</v>
      </c>
      <c r="E478" s="109">
        <f>SUM($D$2:D478)</f>
        <v>0.94318271533461362</v>
      </c>
    </row>
    <row r="479" spans="1:5">
      <c r="A479">
        <v>478</v>
      </c>
      <c r="B479" t="s">
        <v>8894</v>
      </c>
      <c r="C479">
        <v>20</v>
      </c>
      <c r="D479" s="108">
        <f t="shared" si="7"/>
        <v>5.2632964025369085E-4</v>
      </c>
      <c r="E479" s="109">
        <f>SUM($D$2:D479)</f>
        <v>0.94370904497486729</v>
      </c>
    </row>
    <row r="480" spans="1:5">
      <c r="A480">
        <v>479</v>
      </c>
      <c r="B480" t="s">
        <v>8967</v>
      </c>
      <c r="C480">
        <v>20</v>
      </c>
      <c r="D480" s="108">
        <f t="shared" si="7"/>
        <v>5.2632964025369085E-4</v>
      </c>
      <c r="E480" s="109">
        <f>SUM($D$2:D480)</f>
        <v>0.94423537461512097</v>
      </c>
    </row>
    <row r="481" spans="1:5">
      <c r="A481">
        <v>480</v>
      </c>
      <c r="B481" t="s">
        <v>8750</v>
      </c>
      <c r="C481">
        <v>20</v>
      </c>
      <c r="D481" s="108">
        <f t="shared" si="7"/>
        <v>5.2632964025369085E-4</v>
      </c>
      <c r="E481" s="109">
        <f>SUM($D$2:D481)</f>
        <v>0.94476170425537465</v>
      </c>
    </row>
    <row r="482" spans="1:5">
      <c r="A482">
        <v>481</v>
      </c>
      <c r="B482" t="s">
        <v>1553</v>
      </c>
      <c r="C482">
        <v>20</v>
      </c>
      <c r="D482" s="108">
        <f t="shared" si="7"/>
        <v>5.2632964025369085E-4</v>
      </c>
      <c r="E482" s="109">
        <f>SUM($D$2:D482)</f>
        <v>0.94528803389562832</v>
      </c>
    </row>
    <row r="483" spans="1:5">
      <c r="A483">
        <v>482</v>
      </c>
      <c r="B483" t="s">
        <v>2374</v>
      </c>
      <c r="C483">
        <v>20</v>
      </c>
      <c r="D483" s="108">
        <f t="shared" si="7"/>
        <v>5.2632964025369085E-4</v>
      </c>
      <c r="E483" s="109">
        <f>SUM($D$2:D483)</f>
        <v>0.945814363535882</v>
      </c>
    </row>
    <row r="484" spans="1:5">
      <c r="A484">
        <v>483</v>
      </c>
      <c r="B484" t="s">
        <v>8744</v>
      </c>
      <c r="C484">
        <v>20</v>
      </c>
      <c r="D484" s="108">
        <f t="shared" si="7"/>
        <v>5.2632964025369085E-4</v>
      </c>
      <c r="E484" s="109">
        <f>SUM($D$2:D484)</f>
        <v>0.94634069317613567</v>
      </c>
    </row>
    <row r="485" spans="1:5">
      <c r="A485">
        <v>484</v>
      </c>
      <c r="B485" t="s">
        <v>1602</v>
      </c>
      <c r="C485">
        <v>20</v>
      </c>
      <c r="D485" s="108">
        <f t="shared" si="7"/>
        <v>5.2632964025369085E-4</v>
      </c>
      <c r="E485" s="109">
        <f>SUM($D$2:D485)</f>
        <v>0.94686702281638935</v>
      </c>
    </row>
    <row r="486" spans="1:5">
      <c r="A486">
        <v>485</v>
      </c>
      <c r="B486" t="s">
        <v>8962</v>
      </c>
      <c r="C486">
        <v>20</v>
      </c>
      <c r="D486" s="108">
        <f t="shared" si="7"/>
        <v>5.2632964025369085E-4</v>
      </c>
      <c r="E486" s="109">
        <f>SUM($D$2:D486)</f>
        <v>0.94739335245664302</v>
      </c>
    </row>
    <row r="487" spans="1:5">
      <c r="A487">
        <v>486</v>
      </c>
      <c r="B487" t="s">
        <v>659</v>
      </c>
      <c r="C487">
        <v>20</v>
      </c>
      <c r="D487" s="108">
        <f t="shared" si="7"/>
        <v>5.2632964025369085E-4</v>
      </c>
      <c r="E487" s="109">
        <f>SUM($D$2:D487)</f>
        <v>0.9479196820968967</v>
      </c>
    </row>
    <row r="488" spans="1:5">
      <c r="A488">
        <v>487</v>
      </c>
      <c r="B488" t="s">
        <v>8922</v>
      </c>
      <c r="C488">
        <v>20</v>
      </c>
      <c r="D488" s="108">
        <f t="shared" si="7"/>
        <v>5.2632964025369085E-4</v>
      </c>
      <c r="E488" s="109">
        <f>SUM($D$2:D488)</f>
        <v>0.94844601173715037</v>
      </c>
    </row>
    <row r="489" spans="1:5">
      <c r="A489">
        <v>488</v>
      </c>
      <c r="B489" t="s">
        <v>8717</v>
      </c>
      <c r="C489">
        <v>20</v>
      </c>
      <c r="D489" s="108">
        <f t="shared" si="7"/>
        <v>5.2632964025369085E-4</v>
      </c>
      <c r="E489" s="109">
        <f>SUM($D$2:D489)</f>
        <v>0.94897234137740405</v>
      </c>
    </row>
    <row r="490" spans="1:5">
      <c r="A490">
        <v>489</v>
      </c>
      <c r="B490" t="s">
        <v>2403</v>
      </c>
      <c r="C490">
        <v>20</v>
      </c>
      <c r="D490" s="108">
        <f t="shared" si="7"/>
        <v>5.2632964025369085E-4</v>
      </c>
      <c r="E490" s="109">
        <f>SUM($D$2:D490)</f>
        <v>0.94949867101765772</v>
      </c>
    </row>
    <row r="491" spans="1:5">
      <c r="A491">
        <v>490</v>
      </c>
      <c r="B491" t="s">
        <v>2811</v>
      </c>
      <c r="C491">
        <v>20</v>
      </c>
      <c r="D491" s="108">
        <f t="shared" si="7"/>
        <v>5.2632964025369085E-4</v>
      </c>
      <c r="E491" s="109">
        <f>SUM($D$2:D491)</f>
        <v>0.9500250006579114</v>
      </c>
    </row>
    <row r="492" spans="1:5">
      <c r="A492">
        <v>491</v>
      </c>
      <c r="B492" t="s">
        <v>2502</v>
      </c>
      <c r="C492">
        <v>20</v>
      </c>
      <c r="D492" s="108">
        <f t="shared" si="7"/>
        <v>5.2632964025369085E-4</v>
      </c>
      <c r="E492" s="109">
        <f>SUM($D$2:D492)</f>
        <v>0.95055133029816508</v>
      </c>
    </row>
    <row r="493" spans="1:5">
      <c r="A493">
        <v>492</v>
      </c>
      <c r="B493" t="s">
        <v>8762</v>
      </c>
      <c r="C493">
        <v>20</v>
      </c>
      <c r="D493" s="108">
        <f t="shared" si="7"/>
        <v>5.2632964025369085E-4</v>
      </c>
      <c r="E493" s="109">
        <f>SUM($D$2:D493)</f>
        <v>0.95107765993841875</v>
      </c>
    </row>
    <row r="494" spans="1:5">
      <c r="A494">
        <v>493</v>
      </c>
      <c r="B494" t="s">
        <v>2383</v>
      </c>
      <c r="C494">
        <v>19</v>
      </c>
      <c r="D494" s="108">
        <f t="shared" si="7"/>
        <v>5.0001315824100634E-4</v>
      </c>
      <c r="E494" s="109">
        <f>SUM($D$2:D494)</f>
        <v>0.95157767309665975</v>
      </c>
    </row>
    <row r="495" spans="1:5">
      <c r="A495">
        <v>494</v>
      </c>
      <c r="B495" t="s">
        <v>7977</v>
      </c>
      <c r="C495">
        <v>19</v>
      </c>
      <c r="D495" s="108">
        <f t="shared" si="7"/>
        <v>5.0001315824100634E-4</v>
      </c>
      <c r="E495" s="109">
        <f>SUM($D$2:D495)</f>
        <v>0.95207768625490075</v>
      </c>
    </row>
    <row r="496" spans="1:5">
      <c r="A496">
        <v>495</v>
      </c>
      <c r="B496" t="s">
        <v>8935</v>
      </c>
      <c r="C496">
        <v>19</v>
      </c>
      <c r="D496" s="108">
        <f t="shared" si="7"/>
        <v>5.0001315824100634E-4</v>
      </c>
      <c r="E496" s="109">
        <f>SUM($D$2:D496)</f>
        <v>0.95257769941314174</v>
      </c>
    </row>
    <row r="497" spans="1:5">
      <c r="A497">
        <v>496</v>
      </c>
      <c r="B497" t="s">
        <v>1414</v>
      </c>
      <c r="C497">
        <v>19</v>
      </c>
      <c r="D497" s="108">
        <f t="shared" si="7"/>
        <v>5.0001315824100634E-4</v>
      </c>
      <c r="E497" s="109">
        <f>SUM($D$2:D497)</f>
        <v>0.95307771257138274</v>
      </c>
    </row>
    <row r="498" spans="1:5">
      <c r="A498">
        <v>497</v>
      </c>
      <c r="B498" t="s">
        <v>8726</v>
      </c>
      <c r="C498">
        <v>19</v>
      </c>
      <c r="D498" s="108">
        <f t="shared" si="7"/>
        <v>5.0001315824100634E-4</v>
      </c>
      <c r="E498" s="109">
        <f>SUM($D$2:D498)</f>
        <v>0.95357772572962374</v>
      </c>
    </row>
    <row r="499" spans="1:5">
      <c r="A499">
        <v>498</v>
      </c>
      <c r="B499" t="s">
        <v>1605</v>
      </c>
      <c r="C499">
        <v>19</v>
      </c>
      <c r="D499" s="108">
        <f t="shared" si="7"/>
        <v>5.0001315824100634E-4</v>
      </c>
      <c r="E499" s="109">
        <f>SUM($D$2:D499)</f>
        <v>0.95407773888786473</v>
      </c>
    </row>
    <row r="500" spans="1:5">
      <c r="A500">
        <v>499</v>
      </c>
      <c r="B500" t="s">
        <v>2616</v>
      </c>
      <c r="C500">
        <v>19</v>
      </c>
      <c r="D500" s="108">
        <f t="shared" si="7"/>
        <v>5.0001315824100634E-4</v>
      </c>
      <c r="E500" s="109">
        <f>SUM($D$2:D500)</f>
        <v>0.95457775204610573</v>
      </c>
    </row>
    <row r="501" spans="1:5">
      <c r="A501">
        <v>500</v>
      </c>
      <c r="B501" t="s">
        <v>1342</v>
      </c>
      <c r="C501">
        <v>19</v>
      </c>
      <c r="D501" s="108">
        <f t="shared" si="7"/>
        <v>5.0001315824100634E-4</v>
      </c>
      <c r="E501" s="109">
        <f>SUM($D$2:D501)</f>
        <v>0.95507776520434673</v>
      </c>
    </row>
    <row r="502" spans="1:5">
      <c r="A502">
        <v>501</v>
      </c>
      <c r="B502" t="s">
        <v>1557</v>
      </c>
      <c r="C502">
        <v>19</v>
      </c>
      <c r="D502" s="108">
        <f t="shared" si="7"/>
        <v>5.0001315824100634E-4</v>
      </c>
      <c r="E502" s="109">
        <f>SUM($D$2:D502)</f>
        <v>0.95557777836258773</v>
      </c>
    </row>
    <row r="503" spans="1:5">
      <c r="A503">
        <v>502</v>
      </c>
      <c r="B503" t="s">
        <v>8902</v>
      </c>
      <c r="C503">
        <v>19</v>
      </c>
      <c r="D503" s="108">
        <f t="shared" si="7"/>
        <v>5.0001315824100634E-4</v>
      </c>
      <c r="E503" s="109">
        <f>SUM($D$2:D503)</f>
        <v>0.95607779152082872</v>
      </c>
    </row>
    <row r="504" spans="1:5">
      <c r="A504">
        <v>503</v>
      </c>
      <c r="B504" t="s">
        <v>8784</v>
      </c>
      <c r="C504">
        <v>18</v>
      </c>
      <c r="D504" s="108">
        <f t="shared" si="7"/>
        <v>4.7369667622832178E-4</v>
      </c>
      <c r="E504" s="109">
        <f>SUM($D$2:D504)</f>
        <v>0.95655148819705704</v>
      </c>
    </row>
    <row r="505" spans="1:5">
      <c r="A505">
        <v>504</v>
      </c>
      <c r="B505" t="s">
        <v>8759</v>
      </c>
      <c r="C505">
        <v>18</v>
      </c>
      <c r="D505" s="108">
        <f t="shared" si="7"/>
        <v>4.7369667622832178E-4</v>
      </c>
      <c r="E505" s="109">
        <f>SUM($D$2:D505)</f>
        <v>0.95702518487328536</v>
      </c>
    </row>
    <row r="506" spans="1:5">
      <c r="A506">
        <v>505</v>
      </c>
      <c r="B506" t="s">
        <v>8982</v>
      </c>
      <c r="C506">
        <v>18</v>
      </c>
      <c r="D506" s="108">
        <f t="shared" si="7"/>
        <v>4.7369667622832178E-4</v>
      </c>
      <c r="E506" s="109">
        <f>SUM($D$2:D506)</f>
        <v>0.95749888154951368</v>
      </c>
    </row>
    <row r="507" spans="1:5">
      <c r="A507">
        <v>506</v>
      </c>
      <c r="B507" t="s">
        <v>1640</v>
      </c>
      <c r="C507">
        <v>18</v>
      </c>
      <c r="D507" s="108">
        <f t="shared" si="7"/>
        <v>4.7369667622832178E-4</v>
      </c>
      <c r="E507" s="109">
        <f>SUM($D$2:D507)</f>
        <v>0.957972578225742</v>
      </c>
    </row>
    <row r="508" spans="1:5">
      <c r="A508">
        <v>507</v>
      </c>
      <c r="B508" t="s">
        <v>8554</v>
      </c>
      <c r="C508">
        <v>18</v>
      </c>
      <c r="D508" s="108">
        <f t="shared" si="7"/>
        <v>4.7369667622832178E-4</v>
      </c>
      <c r="E508" s="109">
        <f>SUM($D$2:D508)</f>
        <v>0.95844627490197032</v>
      </c>
    </row>
    <row r="509" spans="1:5">
      <c r="A509">
        <v>508</v>
      </c>
      <c r="B509" t="s">
        <v>8723</v>
      </c>
      <c r="C509">
        <v>18</v>
      </c>
      <c r="D509" s="108">
        <f t="shared" si="7"/>
        <v>4.7369667622832178E-4</v>
      </c>
      <c r="E509" s="109">
        <f>SUM($D$2:D509)</f>
        <v>0.95891997157819864</v>
      </c>
    </row>
    <row r="510" spans="1:5">
      <c r="A510">
        <v>509</v>
      </c>
      <c r="B510" t="s">
        <v>1690</v>
      </c>
      <c r="C510">
        <v>18</v>
      </c>
      <c r="D510" s="108">
        <f t="shared" si="7"/>
        <v>4.7369667622832178E-4</v>
      </c>
      <c r="E510" s="109">
        <f>SUM($D$2:D510)</f>
        <v>0.95939366825442696</v>
      </c>
    </row>
    <row r="511" spans="1:5">
      <c r="A511">
        <v>510</v>
      </c>
      <c r="B511" t="s">
        <v>1465</v>
      </c>
      <c r="C511">
        <v>18</v>
      </c>
      <c r="D511" s="108">
        <f t="shared" si="7"/>
        <v>4.7369667622832178E-4</v>
      </c>
      <c r="E511" s="109">
        <f>SUM($D$2:D511)</f>
        <v>0.95986736493065528</v>
      </c>
    </row>
    <row r="512" spans="1:5">
      <c r="A512">
        <v>511</v>
      </c>
      <c r="B512" s="12" t="s">
        <v>1290</v>
      </c>
      <c r="C512">
        <v>18</v>
      </c>
      <c r="D512" s="108">
        <f t="shared" si="7"/>
        <v>4.7369667622832178E-4</v>
      </c>
      <c r="E512" s="109">
        <f>SUM($D$2:D512)</f>
        <v>0.96034106160688359</v>
      </c>
    </row>
    <row r="513" spans="1:5">
      <c r="A513">
        <v>512</v>
      </c>
      <c r="B513" t="s">
        <v>8970</v>
      </c>
      <c r="C513">
        <v>18</v>
      </c>
      <c r="D513" s="108">
        <f t="shared" si="7"/>
        <v>4.7369667622832178E-4</v>
      </c>
      <c r="E513" s="109">
        <f>SUM($D$2:D513)</f>
        <v>0.96081475828311191</v>
      </c>
    </row>
    <row r="514" spans="1:5">
      <c r="A514">
        <v>513</v>
      </c>
      <c r="B514" t="s">
        <v>8836</v>
      </c>
      <c r="C514">
        <v>18</v>
      </c>
      <c r="D514" s="108">
        <f t="shared" ref="D514:D577" si="8">C514/$K$2</f>
        <v>4.7369667622832178E-4</v>
      </c>
      <c r="E514" s="109">
        <f>SUM($D$2:D514)</f>
        <v>0.96128845495934023</v>
      </c>
    </row>
    <row r="515" spans="1:5">
      <c r="A515">
        <v>514</v>
      </c>
      <c r="B515" t="s">
        <v>1610</v>
      </c>
      <c r="C515">
        <v>18</v>
      </c>
      <c r="D515" s="108">
        <f t="shared" si="8"/>
        <v>4.7369667622832178E-4</v>
      </c>
      <c r="E515" s="109">
        <f>SUM($D$2:D515)</f>
        <v>0.96176215163556855</v>
      </c>
    </row>
    <row r="516" spans="1:5">
      <c r="A516">
        <v>515</v>
      </c>
      <c r="B516" t="s">
        <v>8996</v>
      </c>
      <c r="C516">
        <v>18</v>
      </c>
      <c r="D516" s="108">
        <f t="shared" si="8"/>
        <v>4.7369667622832178E-4</v>
      </c>
      <c r="E516" s="109">
        <f>SUM($D$2:D516)</f>
        <v>0.96223584831179687</v>
      </c>
    </row>
    <row r="517" spans="1:5">
      <c r="A517">
        <v>516</v>
      </c>
      <c r="B517" t="s">
        <v>8863</v>
      </c>
      <c r="C517">
        <v>18</v>
      </c>
      <c r="D517" s="108">
        <f t="shared" si="8"/>
        <v>4.7369667622832178E-4</v>
      </c>
      <c r="E517" s="109">
        <f>SUM($D$2:D517)</f>
        <v>0.96270954498802519</v>
      </c>
    </row>
    <row r="518" spans="1:5">
      <c r="A518">
        <v>517</v>
      </c>
      <c r="B518" t="s">
        <v>1384</v>
      </c>
      <c r="C518">
        <v>17</v>
      </c>
      <c r="D518" s="108">
        <f t="shared" si="8"/>
        <v>4.4738019421563727E-4</v>
      </c>
      <c r="E518" s="109">
        <f>SUM($D$2:D518)</f>
        <v>0.96315692518224083</v>
      </c>
    </row>
    <row r="519" spans="1:5">
      <c r="A519">
        <v>518</v>
      </c>
      <c r="B519" t="s">
        <v>636</v>
      </c>
      <c r="C519">
        <v>17</v>
      </c>
      <c r="D519" s="108">
        <f t="shared" si="8"/>
        <v>4.4738019421563727E-4</v>
      </c>
      <c r="E519" s="109">
        <f>SUM($D$2:D519)</f>
        <v>0.96360430537645647</v>
      </c>
    </row>
    <row r="520" spans="1:5">
      <c r="A520">
        <v>519</v>
      </c>
      <c r="B520" t="s">
        <v>1453</v>
      </c>
      <c r="C520">
        <v>17</v>
      </c>
      <c r="D520" s="108">
        <f t="shared" si="8"/>
        <v>4.4738019421563727E-4</v>
      </c>
      <c r="E520" s="109">
        <f>SUM($D$2:D520)</f>
        <v>0.96405168557067211</v>
      </c>
    </row>
    <row r="521" spans="1:5">
      <c r="A521">
        <v>520</v>
      </c>
      <c r="B521" t="s">
        <v>2375</v>
      </c>
      <c r="C521">
        <v>17</v>
      </c>
      <c r="D521" s="108">
        <f t="shared" si="8"/>
        <v>4.4738019421563727E-4</v>
      </c>
      <c r="E521" s="109">
        <f>SUM($D$2:D521)</f>
        <v>0.96449906576488775</v>
      </c>
    </row>
    <row r="522" spans="1:5">
      <c r="A522">
        <v>521</v>
      </c>
      <c r="B522" t="s">
        <v>1426</v>
      </c>
      <c r="C522">
        <v>17</v>
      </c>
      <c r="D522" s="108">
        <f t="shared" si="8"/>
        <v>4.4738019421563727E-4</v>
      </c>
      <c r="E522" s="109">
        <f>SUM($D$2:D522)</f>
        <v>0.96494644595910339</v>
      </c>
    </row>
    <row r="523" spans="1:5">
      <c r="A523">
        <v>522</v>
      </c>
      <c r="B523" t="s">
        <v>2396</v>
      </c>
      <c r="C523">
        <v>17</v>
      </c>
      <c r="D523" s="108">
        <f t="shared" si="8"/>
        <v>4.4738019421563727E-4</v>
      </c>
      <c r="E523" s="109">
        <f>SUM($D$2:D523)</f>
        <v>0.96539382615331903</v>
      </c>
    </row>
    <row r="524" spans="1:5">
      <c r="A524">
        <v>523</v>
      </c>
      <c r="B524" t="s">
        <v>8952</v>
      </c>
      <c r="C524">
        <v>17</v>
      </c>
      <c r="D524" s="108">
        <f t="shared" si="8"/>
        <v>4.4738019421563727E-4</v>
      </c>
      <c r="E524" s="109">
        <f>SUM($D$2:D524)</f>
        <v>0.96584120634753468</v>
      </c>
    </row>
    <row r="525" spans="1:5">
      <c r="A525">
        <v>524</v>
      </c>
      <c r="B525" t="s">
        <v>5011</v>
      </c>
      <c r="C525">
        <v>17</v>
      </c>
      <c r="D525" s="108">
        <f t="shared" si="8"/>
        <v>4.4738019421563727E-4</v>
      </c>
      <c r="E525" s="109">
        <f>SUM($D$2:D525)</f>
        <v>0.96628858654175032</v>
      </c>
    </row>
    <row r="526" spans="1:5">
      <c r="A526">
        <v>525</v>
      </c>
      <c r="B526" t="s">
        <v>8984</v>
      </c>
      <c r="C526">
        <v>17</v>
      </c>
      <c r="D526" s="108">
        <f t="shared" si="8"/>
        <v>4.4738019421563727E-4</v>
      </c>
      <c r="E526" s="109">
        <f>SUM($D$2:D526)</f>
        <v>0.96673596673596596</v>
      </c>
    </row>
    <row r="527" spans="1:5">
      <c r="A527">
        <v>526</v>
      </c>
      <c r="B527" t="s">
        <v>2637</v>
      </c>
      <c r="C527">
        <v>17</v>
      </c>
      <c r="D527" s="108">
        <f t="shared" si="8"/>
        <v>4.4738019421563727E-4</v>
      </c>
      <c r="E527" s="109">
        <f>SUM($D$2:D527)</f>
        <v>0.9671833469301816</v>
      </c>
    </row>
    <row r="528" spans="1:5">
      <c r="A528">
        <v>527</v>
      </c>
      <c r="B528" t="s">
        <v>8676</v>
      </c>
      <c r="C528">
        <v>17</v>
      </c>
      <c r="D528" s="108">
        <f t="shared" si="8"/>
        <v>4.4738019421563727E-4</v>
      </c>
      <c r="E528" s="109">
        <f>SUM($D$2:D528)</f>
        <v>0.96763072712439724</v>
      </c>
    </row>
    <row r="529" spans="1:5">
      <c r="A529">
        <v>528</v>
      </c>
      <c r="B529" t="s">
        <v>8776</v>
      </c>
      <c r="C529">
        <v>17</v>
      </c>
      <c r="D529" s="108">
        <f t="shared" si="8"/>
        <v>4.4738019421563727E-4</v>
      </c>
      <c r="E529" s="109">
        <f>SUM($D$2:D529)</f>
        <v>0.96807810731861288</v>
      </c>
    </row>
    <row r="530" spans="1:5">
      <c r="A530">
        <v>529</v>
      </c>
      <c r="B530" t="s">
        <v>1621</v>
      </c>
      <c r="C530">
        <v>17</v>
      </c>
      <c r="D530" s="108">
        <f t="shared" si="8"/>
        <v>4.4738019421563727E-4</v>
      </c>
      <c r="E530" s="109">
        <f>SUM($D$2:D530)</f>
        <v>0.96852548751282852</v>
      </c>
    </row>
    <row r="531" spans="1:5">
      <c r="A531">
        <v>530</v>
      </c>
      <c r="B531" t="s">
        <v>1685</v>
      </c>
      <c r="C531">
        <v>16</v>
      </c>
      <c r="D531" s="108">
        <f t="shared" si="8"/>
        <v>4.210637122029527E-4</v>
      </c>
      <c r="E531" s="109">
        <f>SUM($D$2:D531)</f>
        <v>0.96894655122503148</v>
      </c>
    </row>
    <row r="532" spans="1:5">
      <c r="A532">
        <v>531</v>
      </c>
      <c r="B532" t="s">
        <v>2384</v>
      </c>
      <c r="C532">
        <v>16</v>
      </c>
      <c r="D532" s="108">
        <f t="shared" si="8"/>
        <v>4.210637122029527E-4</v>
      </c>
      <c r="E532" s="109">
        <f>SUM($D$2:D532)</f>
        <v>0.96936761493723445</v>
      </c>
    </row>
    <row r="533" spans="1:5">
      <c r="A533">
        <v>532</v>
      </c>
      <c r="B533" t="s">
        <v>8904</v>
      </c>
      <c r="C533">
        <v>16</v>
      </c>
      <c r="D533" s="108">
        <f t="shared" si="8"/>
        <v>4.210637122029527E-4</v>
      </c>
      <c r="E533" s="109">
        <f>SUM($D$2:D533)</f>
        <v>0.96978867864943741</v>
      </c>
    </row>
    <row r="534" spans="1:5">
      <c r="A534">
        <v>533</v>
      </c>
      <c r="B534" t="s">
        <v>9008</v>
      </c>
      <c r="C534">
        <v>16</v>
      </c>
      <c r="D534" s="108">
        <f t="shared" si="8"/>
        <v>4.210637122029527E-4</v>
      </c>
      <c r="E534" s="109">
        <f>SUM($D$2:D534)</f>
        <v>0.97020974236164037</v>
      </c>
    </row>
    <row r="535" spans="1:5">
      <c r="A535">
        <v>534</v>
      </c>
      <c r="B535" t="s">
        <v>8993</v>
      </c>
      <c r="C535">
        <v>16</v>
      </c>
      <c r="D535" s="108">
        <f t="shared" si="8"/>
        <v>4.210637122029527E-4</v>
      </c>
      <c r="E535" s="109">
        <f>SUM($D$2:D535)</f>
        <v>0.97063080607384333</v>
      </c>
    </row>
    <row r="536" spans="1:5">
      <c r="A536">
        <v>535</v>
      </c>
      <c r="B536" t="s">
        <v>1403</v>
      </c>
      <c r="C536">
        <v>16</v>
      </c>
      <c r="D536" s="108">
        <f t="shared" si="8"/>
        <v>4.210637122029527E-4</v>
      </c>
      <c r="E536" s="109">
        <f>SUM($D$2:D536)</f>
        <v>0.9710518697860463</v>
      </c>
    </row>
    <row r="537" spans="1:5">
      <c r="A537">
        <v>536</v>
      </c>
      <c r="B537" t="s">
        <v>9016</v>
      </c>
      <c r="C537">
        <v>16</v>
      </c>
      <c r="D537" s="108">
        <f t="shared" si="8"/>
        <v>4.210637122029527E-4</v>
      </c>
      <c r="E537" s="109">
        <f>SUM($D$2:D537)</f>
        <v>0.97147293349824926</v>
      </c>
    </row>
    <row r="538" spans="1:5">
      <c r="A538">
        <v>537</v>
      </c>
      <c r="B538" t="s">
        <v>8738</v>
      </c>
      <c r="C538">
        <v>16</v>
      </c>
      <c r="D538" s="108">
        <f t="shared" si="8"/>
        <v>4.210637122029527E-4</v>
      </c>
      <c r="E538" s="109">
        <f>SUM($D$2:D538)</f>
        <v>0.97189399721045222</v>
      </c>
    </row>
    <row r="539" spans="1:5">
      <c r="A539">
        <v>538</v>
      </c>
      <c r="B539" t="s">
        <v>692</v>
      </c>
      <c r="C539">
        <v>16</v>
      </c>
      <c r="D539" s="108">
        <f t="shared" si="8"/>
        <v>4.210637122029527E-4</v>
      </c>
      <c r="E539" s="109">
        <f>SUM($D$2:D539)</f>
        <v>0.97231506092265518</v>
      </c>
    </row>
    <row r="540" spans="1:5">
      <c r="A540">
        <v>539</v>
      </c>
      <c r="B540" t="s">
        <v>4867</v>
      </c>
      <c r="C540">
        <v>16</v>
      </c>
      <c r="D540" s="108">
        <f t="shared" si="8"/>
        <v>4.210637122029527E-4</v>
      </c>
      <c r="E540" s="109">
        <f>SUM($D$2:D540)</f>
        <v>0.97273612463485815</v>
      </c>
    </row>
    <row r="541" spans="1:5">
      <c r="A541">
        <v>540</v>
      </c>
      <c r="B541" t="s">
        <v>9014</v>
      </c>
      <c r="C541">
        <v>16</v>
      </c>
      <c r="D541" s="108">
        <f t="shared" si="8"/>
        <v>4.210637122029527E-4</v>
      </c>
      <c r="E541" s="109">
        <f>SUM($D$2:D541)</f>
        <v>0.97315718834706111</v>
      </c>
    </row>
    <row r="542" spans="1:5">
      <c r="A542">
        <v>541</v>
      </c>
      <c r="B542" t="s">
        <v>8979</v>
      </c>
      <c r="C542">
        <v>16</v>
      </c>
      <c r="D542" s="108">
        <f t="shared" si="8"/>
        <v>4.210637122029527E-4</v>
      </c>
      <c r="E542" s="109">
        <f>SUM($D$2:D542)</f>
        <v>0.97357825205926407</v>
      </c>
    </row>
    <row r="543" spans="1:5">
      <c r="A543">
        <v>542</v>
      </c>
      <c r="B543" t="s">
        <v>9036</v>
      </c>
      <c r="C543">
        <v>15</v>
      </c>
      <c r="D543" s="108">
        <f t="shared" si="8"/>
        <v>3.9474723019026814E-4</v>
      </c>
      <c r="E543" s="109">
        <f>SUM($D$2:D543)</f>
        <v>0.97397299928945436</v>
      </c>
    </row>
    <row r="544" spans="1:5">
      <c r="A544">
        <v>543</v>
      </c>
      <c r="B544" t="s">
        <v>8770</v>
      </c>
      <c r="C544">
        <v>15</v>
      </c>
      <c r="D544" s="108">
        <f t="shared" si="8"/>
        <v>3.9474723019026814E-4</v>
      </c>
      <c r="E544" s="109">
        <f>SUM($D$2:D544)</f>
        <v>0.97436774651964464</v>
      </c>
    </row>
    <row r="545" spans="1:5">
      <c r="A545">
        <v>544</v>
      </c>
      <c r="B545" t="s">
        <v>1543</v>
      </c>
      <c r="C545">
        <v>15</v>
      </c>
      <c r="D545" s="108">
        <f t="shared" si="8"/>
        <v>3.9474723019026814E-4</v>
      </c>
      <c r="E545" s="109">
        <f>SUM($D$2:D545)</f>
        <v>0.97476249374983492</v>
      </c>
    </row>
    <row r="546" spans="1:5">
      <c r="A546">
        <v>545</v>
      </c>
      <c r="B546" t="s">
        <v>1596</v>
      </c>
      <c r="C546">
        <v>15</v>
      </c>
      <c r="D546" s="108">
        <f t="shared" si="8"/>
        <v>3.9474723019026814E-4</v>
      </c>
      <c r="E546" s="109">
        <f>SUM($D$2:D546)</f>
        <v>0.97515724098002521</v>
      </c>
    </row>
    <row r="547" spans="1:5">
      <c r="A547">
        <v>546</v>
      </c>
      <c r="B547" t="s">
        <v>3550</v>
      </c>
      <c r="C547">
        <v>15</v>
      </c>
      <c r="D547" s="108">
        <f t="shared" si="8"/>
        <v>3.9474723019026814E-4</v>
      </c>
      <c r="E547" s="109">
        <f>SUM($D$2:D547)</f>
        <v>0.97555198821021549</v>
      </c>
    </row>
    <row r="548" spans="1:5">
      <c r="A548">
        <v>547</v>
      </c>
      <c r="B548" t="s">
        <v>1407</v>
      </c>
      <c r="C548">
        <v>15</v>
      </c>
      <c r="D548" s="108">
        <f t="shared" si="8"/>
        <v>3.9474723019026814E-4</v>
      </c>
      <c r="E548" s="109">
        <f>SUM($D$2:D548)</f>
        <v>0.97594673544040578</v>
      </c>
    </row>
    <row r="549" spans="1:5">
      <c r="A549">
        <v>548</v>
      </c>
      <c r="B549" t="s">
        <v>9011</v>
      </c>
      <c r="C549">
        <v>15</v>
      </c>
      <c r="D549" s="108">
        <f t="shared" si="8"/>
        <v>3.9474723019026814E-4</v>
      </c>
      <c r="E549" s="109">
        <f>SUM($D$2:D549)</f>
        <v>0.97634148267059606</v>
      </c>
    </row>
    <row r="550" spans="1:5">
      <c r="A550">
        <v>549</v>
      </c>
      <c r="B550" t="s">
        <v>9019</v>
      </c>
      <c r="C550">
        <v>15</v>
      </c>
      <c r="D550" s="108">
        <f t="shared" si="8"/>
        <v>3.9474723019026814E-4</v>
      </c>
      <c r="E550" s="109">
        <f>SUM($D$2:D550)</f>
        <v>0.97673622990078635</v>
      </c>
    </row>
    <row r="551" spans="1:5">
      <c r="A551">
        <v>550</v>
      </c>
      <c r="B551" t="s">
        <v>2390</v>
      </c>
      <c r="C551">
        <v>15</v>
      </c>
      <c r="D551" s="108">
        <f t="shared" si="8"/>
        <v>3.9474723019026814E-4</v>
      </c>
      <c r="E551" s="109">
        <f>SUM($D$2:D551)</f>
        <v>0.97713097713097663</v>
      </c>
    </row>
    <row r="552" spans="1:5">
      <c r="A552">
        <v>551</v>
      </c>
      <c r="B552" t="s">
        <v>2489</v>
      </c>
      <c r="C552">
        <v>15</v>
      </c>
      <c r="D552" s="108">
        <f t="shared" si="8"/>
        <v>3.9474723019026814E-4</v>
      </c>
      <c r="E552" s="109">
        <f>SUM($D$2:D552)</f>
        <v>0.97752572436116691</v>
      </c>
    </row>
    <row r="553" spans="1:5">
      <c r="A553">
        <v>552</v>
      </c>
      <c r="B553" t="s">
        <v>8012</v>
      </c>
      <c r="C553">
        <v>15</v>
      </c>
      <c r="D553" s="108">
        <f t="shared" si="8"/>
        <v>3.9474723019026814E-4</v>
      </c>
      <c r="E553" s="109">
        <f>SUM($D$2:D553)</f>
        <v>0.9779204715913572</v>
      </c>
    </row>
    <row r="554" spans="1:5">
      <c r="A554">
        <v>553</v>
      </c>
      <c r="B554" t="s">
        <v>1527</v>
      </c>
      <c r="C554">
        <v>15</v>
      </c>
      <c r="D554" s="108">
        <f t="shared" si="8"/>
        <v>3.9474723019026814E-4</v>
      </c>
      <c r="E554" s="109">
        <f>SUM($D$2:D554)</f>
        <v>0.97831521882154748</v>
      </c>
    </row>
    <row r="555" spans="1:5">
      <c r="A555">
        <v>554</v>
      </c>
      <c r="B555" t="s">
        <v>2411</v>
      </c>
      <c r="C555">
        <v>15</v>
      </c>
      <c r="D555" s="108">
        <f t="shared" si="8"/>
        <v>3.9474723019026814E-4</v>
      </c>
      <c r="E555" s="109">
        <f>SUM($D$2:D555)</f>
        <v>0.97870996605173777</v>
      </c>
    </row>
    <row r="556" spans="1:5">
      <c r="A556">
        <v>555</v>
      </c>
      <c r="B556" t="s">
        <v>2465</v>
      </c>
      <c r="C556">
        <v>14</v>
      </c>
      <c r="D556" s="108">
        <f t="shared" si="8"/>
        <v>3.6843074817758363E-4</v>
      </c>
      <c r="E556" s="109">
        <f>SUM($D$2:D556)</f>
        <v>0.97907839679991537</v>
      </c>
    </row>
    <row r="557" spans="1:5">
      <c r="A557">
        <v>556</v>
      </c>
      <c r="B557" t="s">
        <v>8879</v>
      </c>
      <c r="C557">
        <v>14</v>
      </c>
      <c r="D557" s="108">
        <f t="shared" si="8"/>
        <v>3.6843074817758363E-4</v>
      </c>
      <c r="E557" s="109">
        <f>SUM($D$2:D557)</f>
        <v>0.97944682754809298</v>
      </c>
    </row>
    <row r="558" spans="1:5">
      <c r="A558">
        <v>557</v>
      </c>
      <c r="B558" t="s">
        <v>8795</v>
      </c>
      <c r="C558">
        <v>14</v>
      </c>
      <c r="D558" s="108">
        <f t="shared" si="8"/>
        <v>3.6843074817758363E-4</v>
      </c>
      <c r="E558" s="109">
        <f>SUM($D$2:D558)</f>
        <v>0.97981525829627059</v>
      </c>
    </row>
    <row r="559" spans="1:5">
      <c r="A559">
        <v>558</v>
      </c>
      <c r="B559" t="s">
        <v>8781</v>
      </c>
      <c r="C559">
        <v>14</v>
      </c>
      <c r="D559" s="108">
        <f t="shared" si="8"/>
        <v>3.6843074817758363E-4</v>
      </c>
      <c r="E559" s="109">
        <f>SUM($D$2:D559)</f>
        <v>0.98018368904444819</v>
      </c>
    </row>
    <row r="560" spans="1:5">
      <c r="A560">
        <v>559</v>
      </c>
      <c r="B560" t="s">
        <v>1676</v>
      </c>
      <c r="C560">
        <v>14</v>
      </c>
      <c r="D560" s="108">
        <f t="shared" si="8"/>
        <v>3.6843074817758363E-4</v>
      </c>
      <c r="E560" s="109">
        <f>SUM($D$2:D560)</f>
        <v>0.9805521197926258</v>
      </c>
    </row>
    <row r="561" spans="1:5">
      <c r="A561">
        <v>560</v>
      </c>
      <c r="B561" t="s">
        <v>8792</v>
      </c>
      <c r="C561">
        <v>14</v>
      </c>
      <c r="D561" s="108">
        <f t="shared" si="8"/>
        <v>3.6843074817758363E-4</v>
      </c>
      <c r="E561" s="109">
        <f>SUM($D$2:D561)</f>
        <v>0.9809205505408034</v>
      </c>
    </row>
    <row r="562" spans="1:5">
      <c r="A562">
        <v>561</v>
      </c>
      <c r="B562" t="s">
        <v>9047</v>
      </c>
      <c r="C562">
        <v>14</v>
      </c>
      <c r="D562" s="108">
        <f t="shared" si="8"/>
        <v>3.6843074817758363E-4</v>
      </c>
      <c r="E562" s="109">
        <f>SUM($D$2:D562)</f>
        <v>0.98128898128898101</v>
      </c>
    </row>
    <row r="563" spans="1:5">
      <c r="A563">
        <v>562</v>
      </c>
      <c r="B563" t="s">
        <v>2393</v>
      </c>
      <c r="C563">
        <v>14</v>
      </c>
      <c r="D563" s="108">
        <f t="shared" si="8"/>
        <v>3.6843074817758363E-4</v>
      </c>
      <c r="E563" s="109">
        <f>SUM($D$2:D563)</f>
        <v>0.98165741203715862</v>
      </c>
    </row>
    <row r="564" spans="1:5">
      <c r="A564">
        <v>563</v>
      </c>
      <c r="B564" t="s">
        <v>2397</v>
      </c>
      <c r="C564">
        <v>14</v>
      </c>
      <c r="D564" s="108">
        <f t="shared" si="8"/>
        <v>3.6843074817758363E-4</v>
      </c>
      <c r="E564" s="109">
        <f>SUM($D$2:D564)</f>
        <v>0.98202584278533622</v>
      </c>
    </row>
    <row r="565" spans="1:5">
      <c r="A565">
        <v>564</v>
      </c>
      <c r="B565" t="s">
        <v>9021</v>
      </c>
      <c r="C565">
        <v>14</v>
      </c>
      <c r="D565" s="108">
        <f t="shared" si="8"/>
        <v>3.6843074817758363E-4</v>
      </c>
      <c r="E565" s="109">
        <f>SUM($D$2:D565)</f>
        <v>0.98239427353351383</v>
      </c>
    </row>
    <row r="566" spans="1:5">
      <c r="A566">
        <v>565</v>
      </c>
      <c r="B566" t="s">
        <v>2447</v>
      </c>
      <c r="C566">
        <v>14</v>
      </c>
      <c r="D566" s="108">
        <f t="shared" si="8"/>
        <v>3.6843074817758363E-4</v>
      </c>
      <c r="E566" s="109">
        <f>SUM($D$2:D566)</f>
        <v>0.98276270428169143</v>
      </c>
    </row>
    <row r="567" spans="1:5">
      <c r="A567">
        <v>566</v>
      </c>
      <c r="B567" t="s">
        <v>9067</v>
      </c>
      <c r="C567">
        <v>14</v>
      </c>
      <c r="D567" s="108">
        <f t="shared" si="8"/>
        <v>3.6843074817758363E-4</v>
      </c>
      <c r="E567" s="109">
        <f>SUM($D$2:D567)</f>
        <v>0.98313113502986904</v>
      </c>
    </row>
    <row r="568" spans="1:5">
      <c r="A568">
        <v>567</v>
      </c>
      <c r="B568" t="s">
        <v>2395</v>
      </c>
      <c r="C568">
        <v>14</v>
      </c>
      <c r="D568" s="108">
        <f t="shared" si="8"/>
        <v>3.6843074817758363E-4</v>
      </c>
      <c r="E568" s="109">
        <f>SUM($D$2:D568)</f>
        <v>0.98349956577804665</v>
      </c>
    </row>
    <row r="569" spans="1:5">
      <c r="A569">
        <v>568</v>
      </c>
      <c r="B569" t="s">
        <v>9070</v>
      </c>
      <c r="C569">
        <v>14</v>
      </c>
      <c r="D569" s="108">
        <f t="shared" si="8"/>
        <v>3.6843074817758363E-4</v>
      </c>
      <c r="E569" s="109">
        <f>SUM($D$2:D569)</f>
        <v>0.98386799652622425</v>
      </c>
    </row>
    <row r="570" spans="1:5">
      <c r="A570">
        <v>569</v>
      </c>
      <c r="B570" t="s">
        <v>9039</v>
      </c>
      <c r="C570">
        <v>14</v>
      </c>
      <c r="D570" s="108">
        <f t="shared" si="8"/>
        <v>3.6843074817758363E-4</v>
      </c>
      <c r="E570" s="109">
        <f>SUM($D$2:D570)</f>
        <v>0.98423642727440186</v>
      </c>
    </row>
    <row r="571" spans="1:5">
      <c r="A571">
        <v>570</v>
      </c>
      <c r="B571" t="s">
        <v>1455</v>
      </c>
      <c r="C571">
        <v>14</v>
      </c>
      <c r="D571" s="108">
        <f t="shared" si="8"/>
        <v>3.6843074817758363E-4</v>
      </c>
      <c r="E571" s="109">
        <f>SUM($D$2:D571)</f>
        <v>0.98460485802257947</v>
      </c>
    </row>
    <row r="572" spans="1:5">
      <c r="A572">
        <v>571</v>
      </c>
      <c r="B572" t="s">
        <v>9041</v>
      </c>
      <c r="C572">
        <v>13</v>
      </c>
      <c r="D572" s="108">
        <f t="shared" si="8"/>
        <v>3.4211426616489907E-4</v>
      </c>
      <c r="E572" s="109">
        <f>SUM($D$2:D572)</f>
        <v>0.98494697228874439</v>
      </c>
    </row>
    <row r="573" spans="1:5">
      <c r="A573">
        <v>572</v>
      </c>
      <c r="B573" t="s">
        <v>8850</v>
      </c>
      <c r="C573">
        <v>13</v>
      </c>
      <c r="D573" s="108">
        <f t="shared" si="8"/>
        <v>3.4211426616489907E-4</v>
      </c>
      <c r="E573" s="109">
        <f>SUM($D$2:D573)</f>
        <v>0.98528908655490932</v>
      </c>
    </row>
    <row r="574" spans="1:5">
      <c r="A574">
        <v>573</v>
      </c>
      <c r="B574" t="s">
        <v>1627</v>
      </c>
      <c r="C574">
        <v>13</v>
      </c>
      <c r="D574" s="108">
        <f t="shared" si="8"/>
        <v>3.4211426616489907E-4</v>
      </c>
      <c r="E574" s="109">
        <f>SUM($D$2:D574)</f>
        <v>0.98563120082107425</v>
      </c>
    </row>
    <row r="575" spans="1:5">
      <c r="A575">
        <v>574</v>
      </c>
      <c r="B575" t="s">
        <v>1688</v>
      </c>
      <c r="C575">
        <v>13</v>
      </c>
      <c r="D575" s="108">
        <f t="shared" si="8"/>
        <v>3.4211426616489907E-4</v>
      </c>
      <c r="E575" s="109">
        <f>SUM($D$2:D575)</f>
        <v>0.98597331508723918</v>
      </c>
    </row>
    <row r="576" spans="1:5">
      <c r="A576">
        <v>575</v>
      </c>
      <c r="B576" t="s">
        <v>8973</v>
      </c>
      <c r="C576">
        <v>13</v>
      </c>
      <c r="D576" s="108">
        <f t="shared" si="8"/>
        <v>3.4211426616489907E-4</v>
      </c>
      <c r="E576" s="109">
        <f>SUM($D$2:D576)</f>
        <v>0.98631542935340411</v>
      </c>
    </row>
    <row r="577" spans="1:5">
      <c r="A577">
        <v>576</v>
      </c>
      <c r="B577" t="s">
        <v>8866</v>
      </c>
      <c r="C577">
        <v>13</v>
      </c>
      <c r="D577" s="108">
        <f t="shared" si="8"/>
        <v>3.4211426616489907E-4</v>
      </c>
      <c r="E577" s="109">
        <f>SUM($D$2:D577)</f>
        <v>0.98665754361956903</v>
      </c>
    </row>
    <row r="578" spans="1:5">
      <c r="A578">
        <v>577</v>
      </c>
      <c r="B578" t="s">
        <v>8965</v>
      </c>
      <c r="C578">
        <v>13</v>
      </c>
      <c r="D578" s="108">
        <f t="shared" ref="D578:D620" si="9">C578/$K$2</f>
        <v>3.4211426616489907E-4</v>
      </c>
      <c r="E578" s="109">
        <f>SUM($D$2:D578)</f>
        <v>0.98699965788573396</v>
      </c>
    </row>
    <row r="579" spans="1:5">
      <c r="A579">
        <v>578</v>
      </c>
      <c r="B579" t="s">
        <v>9055</v>
      </c>
      <c r="C579">
        <v>13</v>
      </c>
      <c r="D579" s="108">
        <f t="shared" si="9"/>
        <v>3.4211426616489907E-4</v>
      </c>
      <c r="E579" s="109">
        <f>SUM($D$2:D579)</f>
        <v>0.98734177215189889</v>
      </c>
    </row>
    <row r="580" spans="1:5">
      <c r="A580">
        <v>579</v>
      </c>
      <c r="B580" t="s">
        <v>2618</v>
      </c>
      <c r="C580">
        <v>13</v>
      </c>
      <c r="D580" s="108">
        <f t="shared" si="9"/>
        <v>3.4211426616489907E-4</v>
      </c>
      <c r="E580" s="109">
        <f>SUM($D$2:D580)</f>
        <v>0.98768388641806382</v>
      </c>
    </row>
    <row r="581" spans="1:5">
      <c r="A581">
        <v>580</v>
      </c>
      <c r="B581" t="s">
        <v>9002</v>
      </c>
      <c r="C581">
        <v>13</v>
      </c>
      <c r="D581" s="108">
        <f t="shared" si="9"/>
        <v>3.4211426616489907E-4</v>
      </c>
      <c r="E581" s="109">
        <f>SUM($D$2:D581)</f>
        <v>0.98802600068422874</v>
      </c>
    </row>
    <row r="582" spans="1:5">
      <c r="A582">
        <v>581</v>
      </c>
      <c r="B582" t="s">
        <v>664</v>
      </c>
      <c r="C582">
        <v>13</v>
      </c>
      <c r="D582" s="108">
        <f t="shared" si="9"/>
        <v>3.4211426616489907E-4</v>
      </c>
      <c r="E582" s="109">
        <f>SUM($D$2:D582)</f>
        <v>0.98836811495039367</v>
      </c>
    </row>
    <row r="583" spans="1:5">
      <c r="A583">
        <v>582</v>
      </c>
      <c r="B583" t="s">
        <v>5128</v>
      </c>
      <c r="C583">
        <v>13</v>
      </c>
      <c r="D583" s="108">
        <f t="shared" si="9"/>
        <v>3.4211426616489907E-4</v>
      </c>
      <c r="E583" s="109">
        <f>SUM($D$2:D583)</f>
        <v>0.9887102292165586</v>
      </c>
    </row>
    <row r="584" spans="1:5">
      <c r="A584">
        <v>583</v>
      </c>
      <c r="B584" t="s">
        <v>2427</v>
      </c>
      <c r="C584">
        <v>13</v>
      </c>
      <c r="D584" s="108">
        <f t="shared" si="9"/>
        <v>3.4211426616489907E-4</v>
      </c>
      <c r="E584" s="109">
        <f>SUM($D$2:D584)</f>
        <v>0.98905234348272353</v>
      </c>
    </row>
    <row r="585" spans="1:5">
      <c r="A585">
        <v>584</v>
      </c>
      <c r="B585" t="s">
        <v>2381</v>
      </c>
      <c r="C585">
        <v>13</v>
      </c>
      <c r="D585" s="108">
        <f t="shared" si="9"/>
        <v>3.4211426616489907E-4</v>
      </c>
      <c r="E585" s="109">
        <f>SUM($D$2:D585)</f>
        <v>0.98939445774888846</v>
      </c>
    </row>
    <row r="586" spans="1:5">
      <c r="A586">
        <v>585</v>
      </c>
      <c r="B586" t="s">
        <v>8801</v>
      </c>
      <c r="C586">
        <v>13</v>
      </c>
      <c r="D586" s="108">
        <f t="shared" si="9"/>
        <v>3.4211426616489907E-4</v>
      </c>
      <c r="E586" s="109">
        <f>SUM($D$2:D586)</f>
        <v>0.98973657201505338</v>
      </c>
    </row>
    <row r="587" spans="1:5">
      <c r="A587">
        <v>586</v>
      </c>
      <c r="B587" t="s">
        <v>2536</v>
      </c>
      <c r="C587">
        <v>12</v>
      </c>
      <c r="D587" s="108">
        <f t="shared" si="9"/>
        <v>3.1579778415221455E-4</v>
      </c>
      <c r="E587" s="109">
        <f>SUM($D$2:D587)</f>
        <v>0.99005236979920563</v>
      </c>
    </row>
    <row r="588" spans="1:5">
      <c r="A588">
        <v>587</v>
      </c>
      <c r="B588" t="s">
        <v>9027</v>
      </c>
      <c r="C588">
        <v>12</v>
      </c>
      <c r="D588" s="108">
        <f t="shared" si="9"/>
        <v>3.1579778415221455E-4</v>
      </c>
      <c r="E588" s="109">
        <f>SUM($D$2:D588)</f>
        <v>0.99036816758335788</v>
      </c>
    </row>
    <row r="589" spans="1:5">
      <c r="A589">
        <v>588</v>
      </c>
      <c r="B589" t="s">
        <v>2385</v>
      </c>
      <c r="C589">
        <v>12</v>
      </c>
      <c r="D589" s="108">
        <f t="shared" si="9"/>
        <v>3.1579778415221455E-4</v>
      </c>
      <c r="E589" s="109">
        <f>SUM($D$2:D589)</f>
        <v>0.99068396536751013</v>
      </c>
    </row>
    <row r="590" spans="1:5">
      <c r="A590">
        <v>589</v>
      </c>
      <c r="B590" t="s">
        <v>2619</v>
      </c>
      <c r="C590">
        <v>12</v>
      </c>
      <c r="D590" s="108">
        <f t="shared" si="9"/>
        <v>3.1579778415221455E-4</v>
      </c>
      <c r="E590" s="109">
        <f>SUM($D$2:D590)</f>
        <v>0.99099976315166238</v>
      </c>
    </row>
    <row r="591" spans="1:5">
      <c r="A591">
        <v>590</v>
      </c>
      <c r="B591" t="s">
        <v>8847</v>
      </c>
      <c r="C591">
        <v>12</v>
      </c>
      <c r="D591" s="108">
        <f t="shared" si="9"/>
        <v>3.1579778415221455E-4</v>
      </c>
      <c r="E591" s="109">
        <f>SUM($D$2:D591)</f>
        <v>0.99131556093581463</v>
      </c>
    </row>
    <row r="592" spans="1:5">
      <c r="A592">
        <v>591</v>
      </c>
      <c r="B592" t="s">
        <v>8830</v>
      </c>
      <c r="C592">
        <v>12</v>
      </c>
      <c r="D592" s="108">
        <f t="shared" si="9"/>
        <v>3.1579778415221455E-4</v>
      </c>
      <c r="E592" s="109">
        <f>SUM($D$2:D592)</f>
        <v>0.99163135871996688</v>
      </c>
    </row>
    <row r="593" spans="1:5">
      <c r="A593">
        <v>592</v>
      </c>
      <c r="B593" t="s">
        <v>9104</v>
      </c>
      <c r="C593">
        <v>12</v>
      </c>
      <c r="D593" s="108">
        <f t="shared" si="9"/>
        <v>3.1579778415221455E-4</v>
      </c>
      <c r="E593" s="109">
        <f>SUM($D$2:D593)</f>
        <v>0.99194715650411913</v>
      </c>
    </row>
    <row r="594" spans="1:5">
      <c r="A594">
        <v>593</v>
      </c>
      <c r="B594" t="s">
        <v>2599</v>
      </c>
      <c r="C594">
        <v>12</v>
      </c>
      <c r="D594" s="108">
        <f t="shared" si="9"/>
        <v>3.1579778415221455E-4</v>
      </c>
      <c r="E594" s="109">
        <f>SUM($D$2:D594)</f>
        <v>0.99226295428827138</v>
      </c>
    </row>
    <row r="595" spans="1:5">
      <c r="A595">
        <v>594</v>
      </c>
      <c r="B595" t="s">
        <v>9053</v>
      </c>
      <c r="C595">
        <v>12</v>
      </c>
      <c r="D595" s="108">
        <f t="shared" si="9"/>
        <v>3.1579778415221455E-4</v>
      </c>
      <c r="E595" s="109">
        <f>SUM($D$2:D595)</f>
        <v>0.99257875207242363</v>
      </c>
    </row>
    <row r="596" spans="1:5">
      <c r="A596">
        <v>595</v>
      </c>
      <c r="B596" t="s">
        <v>633</v>
      </c>
      <c r="C596">
        <v>12</v>
      </c>
      <c r="D596" s="108">
        <f t="shared" si="9"/>
        <v>3.1579778415221455E-4</v>
      </c>
      <c r="E596" s="109">
        <f>SUM($D$2:D596)</f>
        <v>0.99289454985657588</v>
      </c>
    </row>
    <row r="597" spans="1:5">
      <c r="A597">
        <v>596</v>
      </c>
      <c r="B597" t="s">
        <v>9107</v>
      </c>
      <c r="C597">
        <v>12</v>
      </c>
      <c r="D597" s="108">
        <f t="shared" si="9"/>
        <v>3.1579778415221455E-4</v>
      </c>
      <c r="E597" s="109">
        <f>SUM($D$2:D597)</f>
        <v>0.99321034764072813</v>
      </c>
    </row>
    <row r="598" spans="1:5">
      <c r="A598">
        <v>597</v>
      </c>
      <c r="B598" t="s">
        <v>9030</v>
      </c>
      <c r="C598">
        <v>12</v>
      </c>
      <c r="D598" s="108">
        <f t="shared" si="9"/>
        <v>3.1579778415221455E-4</v>
      </c>
      <c r="E598" s="109">
        <f>SUM($D$2:D598)</f>
        <v>0.99352614542488038</v>
      </c>
    </row>
    <row r="599" spans="1:5">
      <c r="A599">
        <v>598</v>
      </c>
      <c r="B599" t="s">
        <v>9024</v>
      </c>
      <c r="C599">
        <v>12</v>
      </c>
      <c r="D599" s="108">
        <f t="shared" si="9"/>
        <v>3.1579778415221455E-4</v>
      </c>
      <c r="E599" s="109">
        <f>SUM($D$2:D599)</f>
        <v>0.99384194320903263</v>
      </c>
    </row>
    <row r="600" spans="1:5">
      <c r="A600">
        <v>599</v>
      </c>
      <c r="B600" t="s">
        <v>8798</v>
      </c>
      <c r="C600">
        <v>12</v>
      </c>
      <c r="D600" s="108">
        <f t="shared" si="9"/>
        <v>3.1579778415221455E-4</v>
      </c>
      <c r="E600" s="109">
        <f>SUM($D$2:D600)</f>
        <v>0.99415774099318488</v>
      </c>
    </row>
    <row r="601" spans="1:5">
      <c r="A601">
        <v>600</v>
      </c>
      <c r="B601" t="s">
        <v>8857</v>
      </c>
      <c r="C601">
        <v>12</v>
      </c>
      <c r="D601" s="108">
        <f t="shared" si="9"/>
        <v>3.1579778415221455E-4</v>
      </c>
      <c r="E601" s="109">
        <f>SUM($D$2:D601)</f>
        <v>0.99447353877733713</v>
      </c>
    </row>
    <row r="602" spans="1:5">
      <c r="A602">
        <v>601</v>
      </c>
      <c r="B602" t="s">
        <v>691</v>
      </c>
      <c r="C602">
        <v>12</v>
      </c>
      <c r="D602" s="108">
        <f t="shared" si="9"/>
        <v>3.1579778415221455E-4</v>
      </c>
      <c r="E602" s="109">
        <f>SUM($D$2:D602)</f>
        <v>0.99478933656148938</v>
      </c>
    </row>
    <row r="603" spans="1:5">
      <c r="A603">
        <v>602</v>
      </c>
      <c r="B603" t="s">
        <v>9044</v>
      </c>
      <c r="C603">
        <v>11</v>
      </c>
      <c r="D603" s="108">
        <f t="shared" si="9"/>
        <v>2.8948130213952999E-4</v>
      </c>
      <c r="E603" s="109">
        <f>SUM($D$2:D603)</f>
        <v>0.99507881786362895</v>
      </c>
    </row>
    <row r="604" spans="1:5">
      <c r="A604">
        <v>603</v>
      </c>
      <c r="B604" t="s">
        <v>9073</v>
      </c>
      <c r="C604">
        <v>11</v>
      </c>
      <c r="D604" s="108">
        <f t="shared" si="9"/>
        <v>2.8948130213952999E-4</v>
      </c>
      <c r="E604" s="109">
        <f>SUM($D$2:D604)</f>
        <v>0.99536829916576852</v>
      </c>
    </row>
    <row r="605" spans="1:5">
      <c r="A605">
        <v>604</v>
      </c>
      <c r="B605" t="s">
        <v>9079</v>
      </c>
      <c r="C605">
        <v>11</v>
      </c>
      <c r="D605" s="108">
        <f t="shared" si="9"/>
        <v>2.8948130213952999E-4</v>
      </c>
      <c r="E605" s="109">
        <f>SUM($D$2:D605)</f>
        <v>0.99565778046790809</v>
      </c>
    </row>
    <row r="606" spans="1:5">
      <c r="A606">
        <v>605</v>
      </c>
      <c r="B606" t="s">
        <v>9118</v>
      </c>
      <c r="C606">
        <v>11</v>
      </c>
      <c r="D606" s="108">
        <f t="shared" si="9"/>
        <v>2.8948130213952999E-4</v>
      </c>
      <c r="E606" s="109">
        <f>SUM($D$2:D606)</f>
        <v>0.99594726177004766</v>
      </c>
    </row>
    <row r="607" spans="1:5">
      <c r="A607">
        <v>606</v>
      </c>
      <c r="B607" t="s">
        <v>9085</v>
      </c>
      <c r="C607">
        <v>11</v>
      </c>
      <c r="D607" s="108">
        <f t="shared" si="9"/>
        <v>2.8948130213952999E-4</v>
      </c>
      <c r="E607" s="109">
        <f>SUM($D$2:D607)</f>
        <v>0.99623674307218724</v>
      </c>
    </row>
    <row r="608" spans="1:5">
      <c r="A608">
        <v>607</v>
      </c>
      <c r="B608" t="s">
        <v>8914</v>
      </c>
      <c r="C608">
        <v>11</v>
      </c>
      <c r="D608" s="108">
        <f t="shared" si="9"/>
        <v>2.8948130213952999E-4</v>
      </c>
      <c r="E608" s="109">
        <f>SUM($D$2:D608)</f>
        <v>0.99652622437432681</v>
      </c>
    </row>
    <row r="609" spans="1:5">
      <c r="A609">
        <v>608</v>
      </c>
      <c r="B609" t="s">
        <v>8824</v>
      </c>
      <c r="C609">
        <v>11</v>
      </c>
      <c r="D609" s="108">
        <f t="shared" si="9"/>
        <v>2.8948130213952999E-4</v>
      </c>
      <c r="E609" s="109">
        <f>SUM($D$2:D609)</f>
        <v>0.99681570567646638</v>
      </c>
    </row>
    <row r="610" spans="1:5">
      <c r="A610">
        <v>609</v>
      </c>
      <c r="B610" t="s">
        <v>9061</v>
      </c>
      <c r="C610">
        <v>11</v>
      </c>
      <c r="D610" s="108">
        <f t="shared" si="9"/>
        <v>2.8948130213952999E-4</v>
      </c>
      <c r="E610" s="109">
        <f>SUM($D$2:D610)</f>
        <v>0.99710518697860595</v>
      </c>
    </row>
    <row r="611" spans="1:5">
      <c r="A611">
        <v>610</v>
      </c>
      <c r="B611" t="s">
        <v>2566</v>
      </c>
      <c r="C611">
        <v>11</v>
      </c>
      <c r="D611" s="108">
        <f t="shared" si="9"/>
        <v>2.8948130213952999E-4</v>
      </c>
      <c r="E611" s="109">
        <f>SUM($D$2:D611)</f>
        <v>0.99739466828074552</v>
      </c>
    </row>
    <row r="612" spans="1:5">
      <c r="A612">
        <v>611</v>
      </c>
      <c r="B612" t="s">
        <v>9133</v>
      </c>
      <c r="C612">
        <v>11</v>
      </c>
      <c r="D612" s="108">
        <f t="shared" si="9"/>
        <v>2.8948130213952999E-4</v>
      </c>
      <c r="E612" s="109">
        <f>SUM($D$2:D612)</f>
        <v>0.99768414958288509</v>
      </c>
    </row>
    <row r="613" spans="1:5">
      <c r="A613">
        <v>612</v>
      </c>
      <c r="B613" t="s">
        <v>2404</v>
      </c>
      <c r="C613">
        <v>11</v>
      </c>
      <c r="D613" s="108">
        <f t="shared" si="9"/>
        <v>2.8948130213952999E-4</v>
      </c>
      <c r="E613" s="109">
        <f>SUM($D$2:D613)</f>
        <v>0.99797363088502467</v>
      </c>
    </row>
    <row r="614" spans="1:5">
      <c r="A614">
        <v>613</v>
      </c>
      <c r="B614" t="s">
        <v>9109</v>
      </c>
      <c r="C614">
        <v>11</v>
      </c>
      <c r="D614" s="108">
        <f t="shared" si="9"/>
        <v>2.8948130213952999E-4</v>
      </c>
      <c r="E614" s="109">
        <f>SUM($D$2:D614)</f>
        <v>0.99826311218716424</v>
      </c>
    </row>
    <row r="615" spans="1:5">
      <c r="A615">
        <v>614</v>
      </c>
      <c r="B615" t="s">
        <v>9127</v>
      </c>
      <c r="C615">
        <v>11</v>
      </c>
      <c r="D615" s="108">
        <f t="shared" si="9"/>
        <v>2.8948130213952999E-4</v>
      </c>
      <c r="E615" s="109">
        <f>SUM($D$2:D615)</f>
        <v>0.99855259348930381</v>
      </c>
    </row>
    <row r="616" spans="1:5">
      <c r="A616">
        <v>615</v>
      </c>
      <c r="B616" t="s">
        <v>9064</v>
      </c>
      <c r="C616">
        <v>11</v>
      </c>
      <c r="D616" s="108">
        <f t="shared" si="9"/>
        <v>2.8948130213952999E-4</v>
      </c>
      <c r="E616" s="109">
        <f>SUM($D$2:D616)</f>
        <v>0.99884207479144338</v>
      </c>
    </row>
    <row r="617" spans="1:5">
      <c r="A617">
        <v>616</v>
      </c>
      <c r="B617" t="s">
        <v>9097</v>
      </c>
      <c r="C617">
        <v>11</v>
      </c>
      <c r="D617" s="108">
        <f t="shared" si="9"/>
        <v>2.8948130213952999E-4</v>
      </c>
      <c r="E617" s="109">
        <f>SUM($D$2:D617)</f>
        <v>0.99913155609358295</v>
      </c>
    </row>
    <row r="618" spans="1:5">
      <c r="A618">
        <v>617</v>
      </c>
      <c r="B618" t="s">
        <v>9135</v>
      </c>
      <c r="C618">
        <v>11</v>
      </c>
      <c r="D618" s="108">
        <f t="shared" si="9"/>
        <v>2.8948130213952999E-4</v>
      </c>
      <c r="E618" s="109">
        <f>SUM($D$2:D618)</f>
        <v>0.99942103739572252</v>
      </c>
    </row>
    <row r="619" spans="1:5">
      <c r="A619">
        <v>618</v>
      </c>
      <c r="B619" t="s">
        <v>9102</v>
      </c>
      <c r="C619">
        <v>11</v>
      </c>
      <c r="D619" s="108">
        <f t="shared" si="9"/>
        <v>2.8948130213952999E-4</v>
      </c>
      <c r="E619" s="109">
        <f>SUM($D$2:D619)</f>
        <v>0.99971051869786209</v>
      </c>
    </row>
    <row r="620" spans="1:5">
      <c r="A620">
        <v>619</v>
      </c>
      <c r="B620" t="s">
        <v>9115</v>
      </c>
      <c r="C620">
        <v>11</v>
      </c>
      <c r="D620" s="108">
        <f t="shared" si="9"/>
        <v>2.8948130213952999E-4</v>
      </c>
      <c r="E620" s="109">
        <f>SUM($D$2:D620)</f>
        <v>1.0000000000000016</v>
      </c>
    </row>
  </sheetData>
  <autoFilter ref="A1:E620" xr:uid="{0C30BE5A-D888-409D-9624-B878E26A3C78}">
    <sortState xmlns:xlrd2="http://schemas.microsoft.com/office/spreadsheetml/2017/richdata2" ref="A2:E620">
      <sortCondition descending="1" ref="C1:C620"/>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4561-5D68-426D-A715-63097891E6BB}">
  <dimension ref="A1:J85"/>
  <sheetViews>
    <sheetView workbookViewId="0">
      <selection activeCell="B2" sqref="B2"/>
    </sheetView>
  </sheetViews>
  <sheetFormatPr defaultColWidth="8.88671875" defaultRowHeight="14.4"/>
  <cols>
    <col min="1" max="1" width="17.5546875" style="72" customWidth="1"/>
    <col min="2" max="2" width="19.109375" style="72" customWidth="1"/>
    <col min="3" max="3" width="17.109375" style="72" customWidth="1"/>
    <col min="4" max="16384" width="8.88671875" style="72"/>
  </cols>
  <sheetData>
    <row r="1" spans="1:10">
      <c r="A1" s="72" t="s">
        <v>5015</v>
      </c>
      <c r="B1" s="72" t="s">
        <v>5016</v>
      </c>
      <c r="C1" s="72" t="s">
        <v>5017</v>
      </c>
      <c r="D1" s="72" t="s">
        <v>5018</v>
      </c>
      <c r="E1" s="72" t="s">
        <v>5019</v>
      </c>
      <c r="F1" s="72" t="s">
        <v>5020</v>
      </c>
      <c r="G1" s="72" t="s">
        <v>5021</v>
      </c>
      <c r="H1" s="72" t="s">
        <v>5022</v>
      </c>
      <c r="I1" s="72" t="s">
        <v>5023</v>
      </c>
      <c r="J1" s="72" t="s">
        <v>5024</v>
      </c>
    </row>
    <row r="2" spans="1:10">
      <c r="A2">
        <v>60780491</v>
      </c>
      <c r="B2">
        <v>60780491</v>
      </c>
      <c r="C2" t="s">
        <v>5025</v>
      </c>
      <c r="D2">
        <v>17</v>
      </c>
      <c r="E2">
        <v>17</v>
      </c>
      <c r="F2">
        <v>23.4</v>
      </c>
      <c r="G2" t="s">
        <v>5026</v>
      </c>
      <c r="H2" t="s">
        <v>5026</v>
      </c>
      <c r="I2">
        <v>6</v>
      </c>
      <c r="J2">
        <v>93</v>
      </c>
    </row>
    <row r="3" spans="1:10">
      <c r="A3">
        <v>60780517</v>
      </c>
      <c r="B3">
        <v>60780517</v>
      </c>
      <c r="C3" t="s">
        <v>5025</v>
      </c>
      <c r="D3">
        <v>17</v>
      </c>
      <c r="E3">
        <v>17</v>
      </c>
      <c r="F3">
        <v>21.4</v>
      </c>
      <c r="G3" t="s">
        <v>5026</v>
      </c>
      <c r="H3" t="s">
        <v>5026</v>
      </c>
      <c r="I3">
        <v>6</v>
      </c>
      <c r="J3">
        <v>93</v>
      </c>
    </row>
    <row r="4" spans="1:10">
      <c r="A4">
        <v>60780715</v>
      </c>
      <c r="B4">
        <v>60780715</v>
      </c>
      <c r="C4" t="s">
        <v>5025</v>
      </c>
      <c r="D4">
        <v>15</v>
      </c>
      <c r="E4">
        <v>15</v>
      </c>
      <c r="F4">
        <v>18.899999999999999</v>
      </c>
      <c r="G4" t="s">
        <v>5026</v>
      </c>
      <c r="H4" t="s">
        <v>5026</v>
      </c>
      <c r="I4">
        <v>6</v>
      </c>
      <c r="J4">
        <v>93</v>
      </c>
    </row>
    <row r="5" spans="1:10">
      <c r="A5">
        <v>60785011</v>
      </c>
      <c r="B5">
        <v>60789195</v>
      </c>
      <c r="C5" t="s">
        <v>5025</v>
      </c>
      <c r="D5">
        <v>44</v>
      </c>
      <c r="E5">
        <v>45</v>
      </c>
      <c r="F5">
        <v>27.6</v>
      </c>
      <c r="G5" t="s">
        <v>5026</v>
      </c>
      <c r="H5" t="s">
        <v>5026</v>
      </c>
      <c r="I5">
        <v>6</v>
      </c>
      <c r="J5">
        <v>93</v>
      </c>
    </row>
    <row r="6" spans="1:10">
      <c r="A6">
        <v>100000017</v>
      </c>
      <c r="B6">
        <v>100000090</v>
      </c>
      <c r="C6" t="s">
        <v>5025</v>
      </c>
      <c r="D6">
        <v>11</v>
      </c>
      <c r="E6">
        <v>11</v>
      </c>
      <c r="F6">
        <v>24.8</v>
      </c>
      <c r="G6" t="s">
        <v>5026</v>
      </c>
      <c r="H6" t="s">
        <v>5026</v>
      </c>
      <c r="I6">
        <v>10</v>
      </c>
      <c r="J6">
        <v>44</v>
      </c>
    </row>
    <row r="7" spans="1:10">
      <c r="A7">
        <v>130001647</v>
      </c>
      <c r="B7">
        <v>130001647</v>
      </c>
      <c r="C7" t="s">
        <v>5025</v>
      </c>
      <c r="D7">
        <v>58</v>
      </c>
      <c r="E7">
        <v>58</v>
      </c>
      <c r="F7">
        <v>21.8</v>
      </c>
      <c r="G7" t="s">
        <v>5026</v>
      </c>
      <c r="H7" t="s">
        <v>5026</v>
      </c>
      <c r="I7">
        <v>13</v>
      </c>
      <c r="J7">
        <v>93</v>
      </c>
    </row>
    <row r="8" spans="1:10">
      <c r="A8">
        <v>130043664</v>
      </c>
      <c r="B8">
        <v>130043664</v>
      </c>
      <c r="C8" t="s">
        <v>5025</v>
      </c>
      <c r="D8">
        <v>13</v>
      </c>
      <c r="E8">
        <v>13</v>
      </c>
      <c r="F8">
        <v>44</v>
      </c>
      <c r="G8" t="s">
        <v>5026</v>
      </c>
      <c r="H8" t="s">
        <v>5026</v>
      </c>
      <c r="I8">
        <v>13</v>
      </c>
      <c r="J8">
        <v>93</v>
      </c>
    </row>
    <row r="9" spans="1:10">
      <c r="A9">
        <v>130785652</v>
      </c>
      <c r="B9">
        <v>130785652</v>
      </c>
      <c r="C9" t="s">
        <v>5025</v>
      </c>
      <c r="D9">
        <v>22</v>
      </c>
      <c r="E9">
        <v>22</v>
      </c>
      <c r="F9">
        <v>22.8</v>
      </c>
      <c r="G9" t="s">
        <v>5026</v>
      </c>
      <c r="H9" t="s">
        <v>5026</v>
      </c>
      <c r="I9">
        <v>13</v>
      </c>
      <c r="J9">
        <v>93</v>
      </c>
    </row>
    <row r="10" spans="1:10">
      <c r="A10">
        <v>130786049</v>
      </c>
      <c r="B10">
        <v>130780521</v>
      </c>
      <c r="C10" t="s">
        <v>5025</v>
      </c>
      <c r="D10">
        <v>18</v>
      </c>
      <c r="E10">
        <v>18</v>
      </c>
      <c r="F10">
        <v>27.6</v>
      </c>
      <c r="G10" t="s">
        <v>5026</v>
      </c>
      <c r="H10" t="s">
        <v>5026</v>
      </c>
      <c r="I10">
        <v>13</v>
      </c>
      <c r="J10">
        <v>93</v>
      </c>
    </row>
    <row r="11" spans="1:10">
      <c r="A11">
        <v>130786049</v>
      </c>
      <c r="B11">
        <v>130783293</v>
      </c>
      <c r="C11" t="s">
        <v>5025</v>
      </c>
      <c r="D11">
        <v>22</v>
      </c>
      <c r="E11">
        <v>22</v>
      </c>
      <c r="F11">
        <v>24.3</v>
      </c>
      <c r="G11" t="s">
        <v>5026</v>
      </c>
      <c r="H11" t="s">
        <v>5026</v>
      </c>
      <c r="I11">
        <v>13</v>
      </c>
      <c r="J11">
        <v>93</v>
      </c>
    </row>
    <row r="12" spans="1:10">
      <c r="A12">
        <v>130786361</v>
      </c>
      <c r="B12">
        <v>130786361</v>
      </c>
      <c r="C12" t="s">
        <v>5025</v>
      </c>
      <c r="D12">
        <v>15</v>
      </c>
      <c r="E12">
        <v>15</v>
      </c>
      <c r="F12">
        <v>26.7</v>
      </c>
      <c r="G12" t="s">
        <v>5026</v>
      </c>
      <c r="H12" t="s">
        <v>5026</v>
      </c>
      <c r="I12">
        <v>13</v>
      </c>
      <c r="J12">
        <v>93</v>
      </c>
    </row>
    <row r="13" spans="1:10">
      <c r="A13">
        <v>140000100</v>
      </c>
      <c r="B13">
        <v>140000209</v>
      </c>
      <c r="C13" t="s">
        <v>5025</v>
      </c>
      <c r="D13">
        <v>23</v>
      </c>
      <c r="E13">
        <v>23</v>
      </c>
      <c r="F13">
        <v>17.600000000000001</v>
      </c>
      <c r="G13" t="s">
        <v>5026</v>
      </c>
      <c r="H13" t="s">
        <v>5026</v>
      </c>
      <c r="I13">
        <v>14</v>
      </c>
      <c r="J13">
        <v>28</v>
      </c>
    </row>
    <row r="14" spans="1:10">
      <c r="A14">
        <v>210780581</v>
      </c>
      <c r="B14">
        <v>210987558</v>
      </c>
      <c r="C14" t="s">
        <v>5025</v>
      </c>
      <c r="D14">
        <v>64</v>
      </c>
      <c r="E14">
        <v>64</v>
      </c>
      <c r="F14">
        <v>15.2</v>
      </c>
      <c r="G14" t="s">
        <v>5026</v>
      </c>
      <c r="H14" t="s">
        <v>5026</v>
      </c>
      <c r="I14">
        <v>21</v>
      </c>
      <c r="J14">
        <v>27</v>
      </c>
    </row>
    <row r="15" spans="1:10">
      <c r="A15">
        <v>250000015</v>
      </c>
      <c r="B15">
        <v>250006954</v>
      </c>
      <c r="C15" t="s">
        <v>5025</v>
      </c>
      <c r="D15">
        <v>39</v>
      </c>
      <c r="E15">
        <v>39</v>
      </c>
      <c r="F15">
        <v>21.2</v>
      </c>
      <c r="G15" t="s">
        <v>5026</v>
      </c>
      <c r="H15" t="s">
        <v>5026</v>
      </c>
      <c r="I15">
        <v>25</v>
      </c>
      <c r="J15">
        <v>27</v>
      </c>
    </row>
    <row r="16" spans="1:10">
      <c r="A16">
        <v>290000017</v>
      </c>
      <c r="B16">
        <v>290004324</v>
      </c>
      <c r="C16" t="s">
        <v>5025</v>
      </c>
      <c r="D16">
        <v>19</v>
      </c>
      <c r="E16">
        <v>19</v>
      </c>
      <c r="F16">
        <v>24.5</v>
      </c>
      <c r="G16" t="s">
        <v>5026</v>
      </c>
      <c r="H16" t="s">
        <v>5026</v>
      </c>
      <c r="I16">
        <v>29</v>
      </c>
      <c r="J16">
        <v>53</v>
      </c>
    </row>
    <row r="17" spans="1:10">
      <c r="A17">
        <v>300780038</v>
      </c>
      <c r="B17">
        <v>300782117</v>
      </c>
      <c r="C17" t="s">
        <v>5025</v>
      </c>
      <c r="D17">
        <v>28</v>
      </c>
      <c r="E17">
        <v>28</v>
      </c>
      <c r="F17">
        <v>15</v>
      </c>
      <c r="G17" t="s">
        <v>5026</v>
      </c>
      <c r="H17" t="s">
        <v>5026</v>
      </c>
      <c r="I17">
        <v>30</v>
      </c>
      <c r="J17">
        <v>76</v>
      </c>
    </row>
    <row r="18" spans="1:10">
      <c r="A18">
        <v>310026927</v>
      </c>
      <c r="B18">
        <v>310026927</v>
      </c>
      <c r="C18" t="s">
        <v>5025</v>
      </c>
      <c r="D18">
        <v>26</v>
      </c>
      <c r="E18">
        <v>26</v>
      </c>
      <c r="F18">
        <v>22.7</v>
      </c>
      <c r="G18" t="s">
        <v>5026</v>
      </c>
      <c r="H18" t="s">
        <v>5026</v>
      </c>
      <c r="I18">
        <v>31</v>
      </c>
      <c r="J18">
        <v>76</v>
      </c>
    </row>
    <row r="19" spans="1:10">
      <c r="A19">
        <v>310780259</v>
      </c>
      <c r="B19">
        <v>310780259</v>
      </c>
      <c r="C19" t="s">
        <v>5025</v>
      </c>
      <c r="D19">
        <v>24</v>
      </c>
      <c r="E19">
        <v>24</v>
      </c>
      <c r="F19">
        <v>17.8</v>
      </c>
      <c r="G19" t="s">
        <v>5026</v>
      </c>
      <c r="H19" t="s">
        <v>5026</v>
      </c>
      <c r="I19">
        <v>31</v>
      </c>
      <c r="J19">
        <v>76</v>
      </c>
    </row>
    <row r="20" spans="1:10">
      <c r="A20">
        <v>310781406</v>
      </c>
      <c r="B20">
        <v>310783055</v>
      </c>
      <c r="C20" t="s">
        <v>5025</v>
      </c>
      <c r="D20">
        <v>42</v>
      </c>
      <c r="E20">
        <v>42</v>
      </c>
      <c r="F20">
        <v>20.5</v>
      </c>
      <c r="G20" t="s">
        <v>5026</v>
      </c>
      <c r="H20" t="s">
        <v>5026</v>
      </c>
      <c r="I20">
        <v>31</v>
      </c>
      <c r="J20">
        <v>76</v>
      </c>
    </row>
    <row r="21" spans="1:10">
      <c r="A21">
        <v>310781505</v>
      </c>
      <c r="B21">
        <v>310781505</v>
      </c>
      <c r="C21" t="s">
        <v>5025</v>
      </c>
      <c r="D21">
        <v>12</v>
      </c>
      <c r="E21">
        <v>12</v>
      </c>
      <c r="F21">
        <v>28.7</v>
      </c>
      <c r="G21" t="s">
        <v>5026</v>
      </c>
      <c r="H21" t="s">
        <v>5026</v>
      </c>
      <c r="I21">
        <v>31</v>
      </c>
      <c r="J21">
        <v>76</v>
      </c>
    </row>
    <row r="22" spans="1:10">
      <c r="A22">
        <v>330781196</v>
      </c>
      <c r="B22">
        <v>330783648</v>
      </c>
      <c r="C22" t="s">
        <v>5025</v>
      </c>
      <c r="D22">
        <v>140</v>
      </c>
      <c r="E22">
        <v>140</v>
      </c>
      <c r="F22">
        <v>16.399999999999999</v>
      </c>
      <c r="G22" t="s">
        <v>5026</v>
      </c>
      <c r="H22" t="s">
        <v>5026</v>
      </c>
      <c r="I22">
        <v>33</v>
      </c>
      <c r="J22">
        <v>75</v>
      </c>
    </row>
    <row r="23" spans="1:10">
      <c r="A23">
        <v>340000207</v>
      </c>
      <c r="B23">
        <v>340000207</v>
      </c>
      <c r="C23" t="s">
        <v>5025</v>
      </c>
      <c r="D23">
        <v>13</v>
      </c>
      <c r="E23">
        <v>13</v>
      </c>
      <c r="F23">
        <v>20</v>
      </c>
      <c r="G23" t="s">
        <v>5026</v>
      </c>
      <c r="H23" t="s">
        <v>5026</v>
      </c>
      <c r="I23">
        <v>34</v>
      </c>
      <c r="J23">
        <v>76</v>
      </c>
    </row>
    <row r="24" spans="1:10">
      <c r="A24">
        <v>340015502</v>
      </c>
      <c r="B24">
        <v>340015502</v>
      </c>
      <c r="C24" t="s">
        <v>5025</v>
      </c>
      <c r="D24">
        <v>33</v>
      </c>
      <c r="E24">
        <v>33</v>
      </c>
      <c r="F24">
        <v>22.4</v>
      </c>
      <c r="G24" t="s">
        <v>5026</v>
      </c>
      <c r="H24" t="s">
        <v>5026</v>
      </c>
      <c r="I24">
        <v>34</v>
      </c>
      <c r="J24">
        <v>76</v>
      </c>
    </row>
    <row r="25" spans="1:10">
      <c r="A25">
        <v>340780477</v>
      </c>
      <c r="B25">
        <v>340782036</v>
      </c>
      <c r="C25" t="s">
        <v>5025</v>
      </c>
      <c r="D25">
        <v>34</v>
      </c>
      <c r="E25">
        <v>34</v>
      </c>
      <c r="F25">
        <v>21.7</v>
      </c>
      <c r="G25" t="s">
        <v>5026</v>
      </c>
      <c r="H25" t="s">
        <v>5026</v>
      </c>
      <c r="I25">
        <v>34</v>
      </c>
      <c r="J25">
        <v>76</v>
      </c>
    </row>
    <row r="26" spans="1:10">
      <c r="A26">
        <v>340780642</v>
      </c>
      <c r="B26">
        <v>340780642</v>
      </c>
      <c r="C26" t="s">
        <v>5025</v>
      </c>
      <c r="D26">
        <v>18</v>
      </c>
      <c r="E26">
        <v>18</v>
      </c>
      <c r="F26">
        <v>24.5</v>
      </c>
      <c r="G26" t="s">
        <v>5026</v>
      </c>
      <c r="H26" t="s">
        <v>5026</v>
      </c>
      <c r="I26">
        <v>34</v>
      </c>
      <c r="J26">
        <v>76</v>
      </c>
    </row>
    <row r="27" spans="1:10">
      <c r="A27">
        <v>350000121</v>
      </c>
      <c r="B27">
        <v>350000121</v>
      </c>
      <c r="C27" t="s">
        <v>5025</v>
      </c>
      <c r="D27">
        <v>13</v>
      </c>
      <c r="E27">
        <v>13</v>
      </c>
      <c r="F27">
        <v>17.2</v>
      </c>
      <c r="G27" t="s">
        <v>5026</v>
      </c>
      <c r="H27" t="s">
        <v>5026</v>
      </c>
      <c r="I27">
        <v>35</v>
      </c>
      <c r="J27">
        <v>53</v>
      </c>
    </row>
    <row r="28" spans="1:10">
      <c r="A28">
        <v>350005179</v>
      </c>
      <c r="B28">
        <v>350000741</v>
      </c>
      <c r="C28" t="s">
        <v>5025</v>
      </c>
      <c r="D28">
        <v>76</v>
      </c>
      <c r="E28">
        <v>76</v>
      </c>
      <c r="F28">
        <v>20.100000000000001</v>
      </c>
      <c r="G28" t="s">
        <v>5026</v>
      </c>
      <c r="H28" t="s">
        <v>5026</v>
      </c>
      <c r="I28">
        <v>35</v>
      </c>
      <c r="J28">
        <v>53</v>
      </c>
    </row>
    <row r="29" spans="1:10">
      <c r="A29">
        <v>370000481</v>
      </c>
      <c r="B29">
        <v>370004467</v>
      </c>
      <c r="C29" t="s">
        <v>5025</v>
      </c>
      <c r="D29">
        <v>23</v>
      </c>
      <c r="E29">
        <v>26</v>
      </c>
      <c r="F29">
        <v>22.2</v>
      </c>
      <c r="G29" t="s">
        <v>5026</v>
      </c>
      <c r="H29" t="s">
        <v>5026</v>
      </c>
      <c r="I29">
        <v>37</v>
      </c>
      <c r="J29">
        <v>24</v>
      </c>
    </row>
    <row r="30" spans="1:10">
      <c r="A30">
        <v>380780049</v>
      </c>
      <c r="B30">
        <v>380000034</v>
      </c>
      <c r="C30" t="s">
        <v>5025</v>
      </c>
      <c r="D30">
        <v>14</v>
      </c>
      <c r="E30">
        <v>14</v>
      </c>
      <c r="F30">
        <v>21.9</v>
      </c>
      <c r="G30" t="s">
        <v>5026</v>
      </c>
      <c r="H30" t="s">
        <v>5026</v>
      </c>
      <c r="I30">
        <v>38</v>
      </c>
      <c r="J30">
        <v>84</v>
      </c>
    </row>
    <row r="31" spans="1:10">
      <c r="A31">
        <v>420011413</v>
      </c>
      <c r="B31">
        <v>420011413</v>
      </c>
      <c r="C31" t="s">
        <v>5025</v>
      </c>
      <c r="D31">
        <v>11</v>
      </c>
      <c r="E31">
        <v>11</v>
      </c>
      <c r="F31">
        <v>38.799999999999997</v>
      </c>
      <c r="G31" t="s">
        <v>5026</v>
      </c>
      <c r="H31" t="s">
        <v>5026</v>
      </c>
      <c r="I31">
        <v>42</v>
      </c>
      <c r="J31">
        <v>84</v>
      </c>
    </row>
    <row r="32" spans="1:10">
      <c r="A32">
        <v>420784878</v>
      </c>
      <c r="B32">
        <v>420785354</v>
      </c>
      <c r="C32" t="s">
        <v>5025</v>
      </c>
      <c r="D32">
        <v>20</v>
      </c>
      <c r="E32">
        <v>20</v>
      </c>
      <c r="F32">
        <v>21</v>
      </c>
      <c r="G32" t="s">
        <v>5026</v>
      </c>
      <c r="H32" t="s">
        <v>5026</v>
      </c>
      <c r="I32">
        <v>42</v>
      </c>
      <c r="J32">
        <v>84</v>
      </c>
    </row>
    <row r="33" spans="1:10">
      <c r="A33">
        <v>440000289</v>
      </c>
      <c r="B33">
        <v>440000271</v>
      </c>
      <c r="C33" t="s">
        <v>5025</v>
      </c>
      <c r="D33">
        <v>17</v>
      </c>
      <c r="E33">
        <v>17</v>
      </c>
      <c r="F33">
        <v>24.2</v>
      </c>
      <c r="G33" t="s">
        <v>5026</v>
      </c>
      <c r="H33" t="s">
        <v>5026</v>
      </c>
      <c r="I33">
        <v>44</v>
      </c>
      <c r="J33">
        <v>52</v>
      </c>
    </row>
    <row r="34" spans="1:10">
      <c r="A34">
        <v>440033819</v>
      </c>
      <c r="B34">
        <v>440033819</v>
      </c>
      <c r="C34" t="s">
        <v>5025</v>
      </c>
      <c r="D34">
        <v>23</v>
      </c>
      <c r="E34">
        <v>23</v>
      </c>
      <c r="F34">
        <v>13.5</v>
      </c>
      <c r="G34" t="s">
        <v>5026</v>
      </c>
      <c r="H34" t="s">
        <v>5026</v>
      </c>
      <c r="I34">
        <v>44</v>
      </c>
      <c r="J34">
        <v>52</v>
      </c>
    </row>
    <row r="35" spans="1:10">
      <c r="A35">
        <v>440041580</v>
      </c>
      <c r="B35">
        <v>440041580</v>
      </c>
      <c r="C35" t="s">
        <v>5025</v>
      </c>
      <c r="D35">
        <v>21</v>
      </c>
      <c r="E35">
        <v>21</v>
      </c>
      <c r="F35">
        <v>21.3</v>
      </c>
      <c r="G35" t="s">
        <v>5026</v>
      </c>
      <c r="H35" t="s">
        <v>5026</v>
      </c>
      <c r="I35">
        <v>44</v>
      </c>
      <c r="J35">
        <v>52</v>
      </c>
    </row>
    <row r="36" spans="1:10">
      <c r="A36">
        <v>450000088</v>
      </c>
      <c r="B36">
        <v>450002613</v>
      </c>
      <c r="C36" t="s">
        <v>5025</v>
      </c>
      <c r="D36">
        <v>47</v>
      </c>
      <c r="E36">
        <v>47</v>
      </c>
      <c r="F36">
        <v>20.8</v>
      </c>
      <c r="G36" t="s">
        <v>5026</v>
      </c>
      <c r="H36" t="s">
        <v>5026</v>
      </c>
      <c r="I36">
        <v>45</v>
      </c>
      <c r="J36">
        <v>24</v>
      </c>
    </row>
    <row r="37" spans="1:10">
      <c r="A37">
        <v>490000031</v>
      </c>
      <c r="B37">
        <v>490000049</v>
      </c>
      <c r="C37" t="s">
        <v>5025</v>
      </c>
      <c r="D37">
        <v>20</v>
      </c>
      <c r="E37">
        <v>20</v>
      </c>
      <c r="F37">
        <v>16</v>
      </c>
      <c r="G37" t="s">
        <v>5026</v>
      </c>
      <c r="H37" t="s">
        <v>5026</v>
      </c>
      <c r="I37">
        <v>49</v>
      </c>
      <c r="J37">
        <v>52</v>
      </c>
    </row>
    <row r="38" spans="1:10">
      <c r="A38">
        <v>490014909</v>
      </c>
      <c r="B38">
        <v>490014909</v>
      </c>
      <c r="C38" t="s">
        <v>5025</v>
      </c>
      <c r="D38">
        <v>14</v>
      </c>
      <c r="E38">
        <v>14</v>
      </c>
      <c r="F38">
        <v>16.899999999999999</v>
      </c>
      <c r="G38" t="s">
        <v>5026</v>
      </c>
      <c r="H38" t="s">
        <v>5026</v>
      </c>
      <c r="I38">
        <v>49</v>
      </c>
      <c r="J38">
        <v>52</v>
      </c>
    </row>
    <row r="39" spans="1:10">
      <c r="A39">
        <v>510000029</v>
      </c>
      <c r="B39">
        <v>510002447</v>
      </c>
      <c r="C39" t="s">
        <v>5025</v>
      </c>
      <c r="D39">
        <v>33</v>
      </c>
      <c r="E39">
        <v>34</v>
      </c>
      <c r="F39">
        <v>16.600000000000001</v>
      </c>
      <c r="G39" t="s">
        <v>5026</v>
      </c>
      <c r="H39" t="s">
        <v>5026</v>
      </c>
      <c r="I39">
        <v>51</v>
      </c>
      <c r="J39">
        <v>44</v>
      </c>
    </row>
    <row r="40" spans="1:10">
      <c r="A40">
        <v>540000478</v>
      </c>
      <c r="B40">
        <v>540000478</v>
      </c>
      <c r="C40" t="s">
        <v>5025</v>
      </c>
      <c r="D40">
        <v>12</v>
      </c>
      <c r="E40">
        <v>12</v>
      </c>
      <c r="F40">
        <v>28.6</v>
      </c>
      <c r="G40" t="s">
        <v>5026</v>
      </c>
      <c r="H40" t="s">
        <v>5026</v>
      </c>
      <c r="I40">
        <v>54</v>
      </c>
      <c r="J40">
        <v>44</v>
      </c>
    </row>
    <row r="41" spans="1:10">
      <c r="A41">
        <v>540023264</v>
      </c>
      <c r="B41">
        <v>540002698</v>
      </c>
      <c r="C41" t="s">
        <v>5025</v>
      </c>
      <c r="D41">
        <v>74</v>
      </c>
      <c r="E41">
        <v>74</v>
      </c>
      <c r="F41">
        <v>24.7</v>
      </c>
      <c r="G41" t="s">
        <v>5026</v>
      </c>
      <c r="H41" t="s">
        <v>5026</v>
      </c>
      <c r="I41">
        <v>54</v>
      </c>
      <c r="J41">
        <v>44</v>
      </c>
    </row>
    <row r="42" spans="1:10">
      <c r="A42">
        <v>570026252</v>
      </c>
      <c r="B42">
        <v>570026252</v>
      </c>
      <c r="C42" t="s">
        <v>5025</v>
      </c>
      <c r="D42">
        <v>11</v>
      </c>
      <c r="E42">
        <v>11</v>
      </c>
      <c r="F42">
        <v>22.4</v>
      </c>
      <c r="G42" t="s">
        <v>5026</v>
      </c>
      <c r="H42" t="s">
        <v>5026</v>
      </c>
      <c r="I42">
        <v>57</v>
      </c>
      <c r="J42">
        <v>44</v>
      </c>
    </row>
    <row r="43" spans="1:10">
      <c r="A43">
        <v>590780193</v>
      </c>
      <c r="B43">
        <v>590811279</v>
      </c>
      <c r="C43" t="s">
        <v>5025</v>
      </c>
      <c r="D43">
        <v>72</v>
      </c>
      <c r="E43">
        <v>74</v>
      </c>
      <c r="F43">
        <v>20.9</v>
      </c>
      <c r="G43" t="s">
        <v>5026</v>
      </c>
      <c r="H43" t="s">
        <v>5026</v>
      </c>
      <c r="I43">
        <v>59</v>
      </c>
      <c r="J43">
        <v>32</v>
      </c>
    </row>
    <row r="44" spans="1:10">
      <c r="A44">
        <v>590780284</v>
      </c>
      <c r="B44">
        <v>590780284</v>
      </c>
      <c r="C44" t="s">
        <v>5025</v>
      </c>
      <c r="D44">
        <v>33</v>
      </c>
      <c r="E44">
        <v>33</v>
      </c>
      <c r="F44">
        <v>22.7</v>
      </c>
      <c r="G44" t="s">
        <v>5026</v>
      </c>
      <c r="H44" t="s">
        <v>5026</v>
      </c>
      <c r="I44">
        <v>59</v>
      </c>
      <c r="J44">
        <v>32</v>
      </c>
    </row>
    <row r="45" spans="1:10">
      <c r="A45">
        <v>590782215</v>
      </c>
      <c r="B45">
        <v>590000618</v>
      </c>
      <c r="C45" t="s">
        <v>5025</v>
      </c>
      <c r="D45">
        <v>13</v>
      </c>
      <c r="E45">
        <v>13</v>
      </c>
      <c r="F45">
        <v>23.3</v>
      </c>
      <c r="G45" t="s">
        <v>5026</v>
      </c>
      <c r="H45" t="s">
        <v>5026</v>
      </c>
      <c r="I45">
        <v>59</v>
      </c>
      <c r="J45">
        <v>32</v>
      </c>
    </row>
    <row r="46" spans="1:10">
      <c r="A46">
        <v>630780989</v>
      </c>
      <c r="B46">
        <v>630781268</v>
      </c>
      <c r="C46" t="s">
        <v>5025</v>
      </c>
      <c r="D46">
        <v>38</v>
      </c>
      <c r="E46">
        <v>39</v>
      </c>
      <c r="F46">
        <v>28.5</v>
      </c>
      <c r="G46" t="s">
        <v>5026</v>
      </c>
      <c r="H46" t="s">
        <v>5026</v>
      </c>
      <c r="I46">
        <v>63</v>
      </c>
      <c r="J46">
        <v>84</v>
      </c>
    </row>
    <row r="47" spans="1:10">
      <c r="A47">
        <v>640780417</v>
      </c>
      <c r="B47">
        <v>640000162</v>
      </c>
      <c r="C47" t="s">
        <v>5025</v>
      </c>
      <c r="D47">
        <v>22</v>
      </c>
      <c r="E47">
        <v>22</v>
      </c>
      <c r="F47">
        <v>12.5</v>
      </c>
      <c r="G47" t="s">
        <v>5026</v>
      </c>
      <c r="H47" t="s">
        <v>5026</v>
      </c>
      <c r="I47">
        <v>64</v>
      </c>
      <c r="J47">
        <v>75</v>
      </c>
    </row>
    <row r="48" spans="1:10">
      <c r="A48">
        <v>670780055</v>
      </c>
      <c r="B48">
        <v>670000025</v>
      </c>
      <c r="C48" t="s">
        <v>5025</v>
      </c>
      <c r="D48">
        <v>11</v>
      </c>
      <c r="E48">
        <v>11</v>
      </c>
      <c r="F48">
        <v>24.4</v>
      </c>
      <c r="G48" t="s">
        <v>5026</v>
      </c>
      <c r="H48" t="s">
        <v>5026</v>
      </c>
      <c r="I48">
        <v>67</v>
      </c>
      <c r="J48">
        <v>44</v>
      </c>
    </row>
    <row r="49" spans="1:10">
      <c r="A49">
        <v>670780055</v>
      </c>
      <c r="B49">
        <v>670783273</v>
      </c>
      <c r="C49" t="s">
        <v>5025</v>
      </c>
      <c r="D49">
        <v>67</v>
      </c>
      <c r="E49">
        <v>67</v>
      </c>
      <c r="F49">
        <v>25.1</v>
      </c>
      <c r="G49" t="s">
        <v>5026</v>
      </c>
      <c r="H49" t="s">
        <v>5026</v>
      </c>
      <c r="I49">
        <v>67</v>
      </c>
      <c r="J49">
        <v>44</v>
      </c>
    </row>
    <row r="50" spans="1:10">
      <c r="A50">
        <v>670780188</v>
      </c>
      <c r="B50">
        <v>670780188</v>
      </c>
      <c r="C50" t="s">
        <v>5025</v>
      </c>
      <c r="D50">
        <v>13</v>
      </c>
      <c r="E50">
        <v>13</v>
      </c>
      <c r="F50">
        <v>18.3</v>
      </c>
      <c r="G50" t="s">
        <v>5026</v>
      </c>
      <c r="H50" t="s">
        <v>5026</v>
      </c>
      <c r="I50">
        <v>67</v>
      </c>
      <c r="J50">
        <v>44</v>
      </c>
    </row>
    <row r="51" spans="1:10">
      <c r="A51">
        <v>680000973</v>
      </c>
      <c r="B51">
        <v>680000684</v>
      </c>
      <c r="C51" t="s">
        <v>5025</v>
      </c>
      <c r="D51">
        <v>17</v>
      </c>
      <c r="E51">
        <v>17</v>
      </c>
      <c r="F51">
        <v>26.6</v>
      </c>
      <c r="G51" t="s">
        <v>5026</v>
      </c>
      <c r="H51" t="s">
        <v>5026</v>
      </c>
      <c r="I51">
        <v>68</v>
      </c>
      <c r="J51">
        <v>44</v>
      </c>
    </row>
    <row r="52" spans="1:10">
      <c r="A52">
        <v>690000880</v>
      </c>
      <c r="B52">
        <v>690000880</v>
      </c>
      <c r="C52" t="s">
        <v>5025</v>
      </c>
      <c r="D52">
        <v>33</v>
      </c>
      <c r="E52">
        <v>33</v>
      </c>
      <c r="F52">
        <v>19</v>
      </c>
      <c r="G52" t="s">
        <v>5026</v>
      </c>
      <c r="H52" t="s">
        <v>5026</v>
      </c>
      <c r="I52">
        <v>69</v>
      </c>
      <c r="J52">
        <v>84</v>
      </c>
    </row>
    <row r="53" spans="1:10">
      <c r="A53">
        <v>690023411</v>
      </c>
      <c r="B53">
        <v>690023411</v>
      </c>
      <c r="C53" t="s">
        <v>5025</v>
      </c>
      <c r="D53">
        <v>80</v>
      </c>
      <c r="E53">
        <v>80</v>
      </c>
      <c r="F53">
        <v>15.8</v>
      </c>
      <c r="G53" t="s">
        <v>5026</v>
      </c>
      <c r="H53" t="s">
        <v>5026</v>
      </c>
      <c r="I53">
        <v>69</v>
      </c>
      <c r="J53">
        <v>84</v>
      </c>
    </row>
    <row r="54" spans="1:10">
      <c r="A54">
        <v>690781810</v>
      </c>
      <c r="B54">
        <v>690783154</v>
      </c>
      <c r="C54" t="s">
        <v>5025</v>
      </c>
      <c r="D54">
        <v>14</v>
      </c>
      <c r="E54">
        <v>14</v>
      </c>
      <c r="F54">
        <v>36.799999999999997</v>
      </c>
      <c r="G54" t="s">
        <v>5026</v>
      </c>
      <c r="H54" t="s">
        <v>5026</v>
      </c>
      <c r="I54">
        <v>69</v>
      </c>
      <c r="J54">
        <v>84</v>
      </c>
    </row>
    <row r="55" spans="1:10">
      <c r="A55">
        <v>690781810</v>
      </c>
      <c r="B55">
        <v>690784137</v>
      </c>
      <c r="C55" t="s">
        <v>5025</v>
      </c>
      <c r="D55">
        <v>11</v>
      </c>
      <c r="E55">
        <v>11</v>
      </c>
      <c r="F55">
        <v>18.600000000000001</v>
      </c>
      <c r="G55" t="s">
        <v>5026</v>
      </c>
      <c r="H55" t="s">
        <v>5026</v>
      </c>
      <c r="I55">
        <v>69</v>
      </c>
      <c r="J55">
        <v>84</v>
      </c>
    </row>
    <row r="56" spans="1:10">
      <c r="A56">
        <v>690781810</v>
      </c>
      <c r="B56">
        <v>690784152</v>
      </c>
      <c r="C56" t="s">
        <v>5025</v>
      </c>
      <c r="D56">
        <v>19</v>
      </c>
      <c r="E56">
        <v>19</v>
      </c>
      <c r="F56">
        <v>26.6</v>
      </c>
      <c r="G56" t="s">
        <v>5026</v>
      </c>
      <c r="H56" t="s">
        <v>5026</v>
      </c>
      <c r="I56">
        <v>69</v>
      </c>
      <c r="J56">
        <v>84</v>
      </c>
    </row>
    <row r="57" spans="1:10">
      <c r="A57">
        <v>690793468</v>
      </c>
      <c r="B57">
        <v>690793468</v>
      </c>
      <c r="C57" t="s">
        <v>5025</v>
      </c>
      <c r="D57">
        <v>13</v>
      </c>
      <c r="E57">
        <v>13</v>
      </c>
      <c r="F57">
        <v>20.8</v>
      </c>
      <c r="G57" t="s">
        <v>5026</v>
      </c>
      <c r="H57" t="s">
        <v>5026</v>
      </c>
      <c r="I57">
        <v>69</v>
      </c>
      <c r="J57">
        <v>84</v>
      </c>
    </row>
    <row r="58" spans="1:10">
      <c r="A58">
        <v>720000199</v>
      </c>
      <c r="B58">
        <v>720000199</v>
      </c>
      <c r="C58" t="s">
        <v>5025</v>
      </c>
      <c r="D58">
        <v>15</v>
      </c>
      <c r="E58">
        <v>15</v>
      </c>
      <c r="F58">
        <v>20.5</v>
      </c>
      <c r="G58" t="s">
        <v>5026</v>
      </c>
      <c r="H58" t="s">
        <v>5026</v>
      </c>
      <c r="I58">
        <v>72</v>
      </c>
      <c r="J58">
        <v>52</v>
      </c>
    </row>
    <row r="59" spans="1:10">
      <c r="A59">
        <v>730000015</v>
      </c>
      <c r="B59">
        <v>730000031</v>
      </c>
      <c r="C59" t="s">
        <v>5025</v>
      </c>
      <c r="D59">
        <v>15</v>
      </c>
      <c r="E59">
        <v>15</v>
      </c>
      <c r="F59">
        <v>22.1</v>
      </c>
      <c r="G59" t="s">
        <v>5026</v>
      </c>
      <c r="H59" t="s">
        <v>5026</v>
      </c>
      <c r="I59">
        <v>73</v>
      </c>
      <c r="J59">
        <v>84</v>
      </c>
    </row>
    <row r="60" spans="1:10">
      <c r="A60">
        <v>740781133</v>
      </c>
      <c r="B60">
        <v>740000237</v>
      </c>
      <c r="C60" t="s">
        <v>5025</v>
      </c>
      <c r="D60">
        <v>17</v>
      </c>
      <c r="E60">
        <v>17</v>
      </c>
      <c r="F60">
        <v>16.2</v>
      </c>
      <c r="G60" t="s">
        <v>5026</v>
      </c>
      <c r="H60" t="s">
        <v>5026</v>
      </c>
      <c r="I60">
        <v>74</v>
      </c>
      <c r="J60">
        <v>84</v>
      </c>
    </row>
    <row r="61" spans="1:10">
      <c r="A61">
        <v>750000523</v>
      </c>
      <c r="B61">
        <v>750000523</v>
      </c>
      <c r="C61" t="s">
        <v>5025</v>
      </c>
      <c r="D61">
        <v>17</v>
      </c>
      <c r="E61">
        <v>17</v>
      </c>
      <c r="F61">
        <v>22.1</v>
      </c>
      <c r="G61" t="s">
        <v>5026</v>
      </c>
      <c r="H61" t="s">
        <v>5026</v>
      </c>
      <c r="I61">
        <v>75</v>
      </c>
      <c r="J61">
        <v>11</v>
      </c>
    </row>
    <row r="62" spans="1:10">
      <c r="A62">
        <v>750150104</v>
      </c>
      <c r="B62">
        <v>750150104</v>
      </c>
      <c r="C62" t="s">
        <v>5025</v>
      </c>
      <c r="D62">
        <v>15</v>
      </c>
      <c r="E62">
        <v>15</v>
      </c>
      <c r="F62">
        <v>28.9</v>
      </c>
      <c r="G62" t="s">
        <v>5026</v>
      </c>
      <c r="H62" t="s">
        <v>5026</v>
      </c>
      <c r="I62">
        <v>75</v>
      </c>
      <c r="J62">
        <v>11</v>
      </c>
    </row>
    <row r="63" spans="1:10">
      <c r="A63">
        <v>750712184</v>
      </c>
      <c r="B63">
        <v>750100091</v>
      </c>
      <c r="C63" t="s">
        <v>5025</v>
      </c>
      <c r="D63">
        <v>41</v>
      </c>
      <c r="E63">
        <v>44</v>
      </c>
      <c r="F63">
        <v>19.899999999999999</v>
      </c>
      <c r="G63" t="s">
        <v>5026</v>
      </c>
      <c r="H63" t="s">
        <v>5026</v>
      </c>
      <c r="I63">
        <v>75</v>
      </c>
      <c r="J63">
        <v>11</v>
      </c>
    </row>
    <row r="64" spans="1:10">
      <c r="A64">
        <v>750712184</v>
      </c>
      <c r="B64">
        <v>750100125</v>
      </c>
      <c r="C64" t="s">
        <v>5025</v>
      </c>
      <c r="D64">
        <v>39</v>
      </c>
      <c r="E64">
        <v>40</v>
      </c>
      <c r="F64">
        <v>25.7</v>
      </c>
      <c r="G64" t="s">
        <v>5026</v>
      </c>
      <c r="H64" t="s">
        <v>5026</v>
      </c>
      <c r="I64">
        <v>75</v>
      </c>
      <c r="J64">
        <v>11</v>
      </c>
    </row>
    <row r="65" spans="1:10">
      <c r="A65">
        <v>750712184</v>
      </c>
      <c r="B65">
        <v>750100166</v>
      </c>
      <c r="C65" t="s">
        <v>5025</v>
      </c>
      <c r="D65">
        <v>44</v>
      </c>
      <c r="E65">
        <v>46</v>
      </c>
      <c r="F65">
        <v>23.8</v>
      </c>
      <c r="G65" t="s">
        <v>5026</v>
      </c>
      <c r="H65" t="s">
        <v>5026</v>
      </c>
      <c r="I65">
        <v>75</v>
      </c>
      <c r="J65">
        <v>11</v>
      </c>
    </row>
    <row r="66" spans="1:10">
      <c r="A66">
        <v>750712184</v>
      </c>
      <c r="B66">
        <v>750803447</v>
      </c>
      <c r="C66" t="s">
        <v>5025</v>
      </c>
      <c r="D66">
        <v>27</v>
      </c>
      <c r="E66">
        <v>43</v>
      </c>
      <c r="F66">
        <v>21</v>
      </c>
      <c r="G66" t="s">
        <v>5026</v>
      </c>
      <c r="H66" t="s">
        <v>5026</v>
      </c>
      <c r="I66">
        <v>75</v>
      </c>
      <c r="J66">
        <v>11</v>
      </c>
    </row>
    <row r="67" spans="1:10">
      <c r="A67">
        <v>750712184</v>
      </c>
      <c r="B67">
        <v>920100013</v>
      </c>
      <c r="C67" t="s">
        <v>5025</v>
      </c>
      <c r="D67">
        <v>27</v>
      </c>
      <c r="E67">
        <v>28</v>
      </c>
      <c r="F67">
        <v>19</v>
      </c>
      <c r="G67" t="s">
        <v>5026</v>
      </c>
      <c r="H67" t="s">
        <v>5026</v>
      </c>
      <c r="I67">
        <v>92</v>
      </c>
      <c r="J67">
        <v>11</v>
      </c>
    </row>
    <row r="68" spans="1:10">
      <c r="A68">
        <v>750712184</v>
      </c>
      <c r="B68">
        <v>920100039</v>
      </c>
      <c r="C68" t="s">
        <v>5025</v>
      </c>
      <c r="D68">
        <v>129</v>
      </c>
      <c r="E68">
        <v>136</v>
      </c>
      <c r="F68">
        <v>28.7</v>
      </c>
      <c r="G68" t="s">
        <v>5026</v>
      </c>
      <c r="H68" t="s">
        <v>5026</v>
      </c>
      <c r="I68">
        <v>92</v>
      </c>
      <c r="J68">
        <v>11</v>
      </c>
    </row>
    <row r="69" spans="1:10">
      <c r="A69">
        <v>750712184</v>
      </c>
      <c r="B69">
        <v>940100027</v>
      </c>
      <c r="C69" t="s">
        <v>5025</v>
      </c>
      <c r="D69">
        <v>47</v>
      </c>
      <c r="E69">
        <v>47</v>
      </c>
      <c r="F69">
        <v>17.7</v>
      </c>
      <c r="G69" t="s">
        <v>5026</v>
      </c>
      <c r="H69" t="s">
        <v>5026</v>
      </c>
      <c r="I69">
        <v>94</v>
      </c>
      <c r="J69">
        <v>11</v>
      </c>
    </row>
    <row r="70" spans="1:10">
      <c r="A70">
        <v>750712184</v>
      </c>
      <c r="B70">
        <v>940100043</v>
      </c>
      <c r="C70" t="s">
        <v>5025</v>
      </c>
      <c r="D70">
        <v>16</v>
      </c>
      <c r="E70">
        <v>16</v>
      </c>
      <c r="F70">
        <v>22.8</v>
      </c>
      <c r="G70" t="s">
        <v>5026</v>
      </c>
      <c r="H70" t="s">
        <v>5026</v>
      </c>
      <c r="I70">
        <v>94</v>
      </c>
      <c r="J70">
        <v>11</v>
      </c>
    </row>
    <row r="71" spans="1:10">
      <c r="A71">
        <v>750712184</v>
      </c>
      <c r="B71">
        <v>940100068</v>
      </c>
      <c r="C71" t="s">
        <v>5025</v>
      </c>
      <c r="D71">
        <v>41</v>
      </c>
      <c r="E71">
        <v>43</v>
      </c>
      <c r="F71">
        <v>21.6</v>
      </c>
      <c r="G71" t="s">
        <v>5026</v>
      </c>
      <c r="H71" t="s">
        <v>5026</v>
      </c>
      <c r="I71">
        <v>94</v>
      </c>
      <c r="J71">
        <v>11</v>
      </c>
    </row>
    <row r="72" spans="1:10">
      <c r="A72">
        <v>760780239</v>
      </c>
      <c r="B72">
        <v>760000158</v>
      </c>
      <c r="C72" t="s">
        <v>5025</v>
      </c>
      <c r="D72">
        <v>58</v>
      </c>
      <c r="E72">
        <v>59</v>
      </c>
      <c r="F72">
        <v>22.8</v>
      </c>
      <c r="G72" t="s">
        <v>5026</v>
      </c>
      <c r="H72" t="s">
        <v>5026</v>
      </c>
      <c r="I72">
        <v>76</v>
      </c>
      <c r="J72">
        <v>28</v>
      </c>
    </row>
    <row r="73" spans="1:10">
      <c r="A73">
        <v>760780726</v>
      </c>
      <c r="B73">
        <v>760805770</v>
      </c>
      <c r="C73" t="s">
        <v>5025</v>
      </c>
      <c r="D73">
        <v>14</v>
      </c>
      <c r="E73">
        <v>14</v>
      </c>
      <c r="F73">
        <v>24.9</v>
      </c>
      <c r="G73" t="s">
        <v>5026</v>
      </c>
      <c r="H73" t="s">
        <v>5026</v>
      </c>
      <c r="I73">
        <v>76</v>
      </c>
      <c r="J73">
        <v>28</v>
      </c>
    </row>
    <row r="74" spans="1:10">
      <c r="A74">
        <v>780001236</v>
      </c>
      <c r="B74">
        <v>780000311</v>
      </c>
      <c r="C74" t="s">
        <v>5025</v>
      </c>
      <c r="D74">
        <v>12</v>
      </c>
      <c r="E74">
        <v>12</v>
      </c>
      <c r="F74">
        <v>33.5</v>
      </c>
      <c r="G74" t="s">
        <v>5026</v>
      </c>
      <c r="H74" t="s">
        <v>5026</v>
      </c>
      <c r="I74">
        <v>78</v>
      </c>
      <c r="J74">
        <v>11</v>
      </c>
    </row>
    <row r="75" spans="1:10">
      <c r="A75">
        <v>780110078</v>
      </c>
      <c r="B75">
        <v>780800256</v>
      </c>
      <c r="C75" t="s">
        <v>5025</v>
      </c>
      <c r="D75">
        <v>13</v>
      </c>
      <c r="E75">
        <v>13</v>
      </c>
      <c r="F75">
        <v>22.9</v>
      </c>
      <c r="G75" t="s">
        <v>5026</v>
      </c>
      <c r="H75" t="s">
        <v>5026</v>
      </c>
      <c r="I75">
        <v>78</v>
      </c>
      <c r="J75">
        <v>11</v>
      </c>
    </row>
    <row r="76" spans="1:10">
      <c r="A76">
        <v>800000044</v>
      </c>
      <c r="B76">
        <v>800006124</v>
      </c>
      <c r="C76" t="s">
        <v>5025</v>
      </c>
      <c r="D76">
        <v>24</v>
      </c>
      <c r="E76">
        <v>24</v>
      </c>
      <c r="F76">
        <v>34.9</v>
      </c>
      <c r="G76" t="s">
        <v>5026</v>
      </c>
      <c r="H76" t="s">
        <v>5026</v>
      </c>
      <c r="I76">
        <v>80</v>
      </c>
      <c r="J76">
        <v>32</v>
      </c>
    </row>
    <row r="77" spans="1:10">
      <c r="A77">
        <v>810000380</v>
      </c>
      <c r="B77">
        <v>810000521</v>
      </c>
      <c r="C77" t="s">
        <v>5025</v>
      </c>
      <c r="D77">
        <v>13</v>
      </c>
      <c r="E77">
        <v>13</v>
      </c>
      <c r="F77">
        <v>23.5</v>
      </c>
      <c r="G77" t="s">
        <v>5026</v>
      </c>
      <c r="H77" t="s">
        <v>5026</v>
      </c>
      <c r="I77">
        <v>81</v>
      </c>
      <c r="J77">
        <v>76</v>
      </c>
    </row>
    <row r="78" spans="1:10">
      <c r="A78">
        <v>830100616</v>
      </c>
      <c r="B78">
        <v>830000345</v>
      </c>
      <c r="C78" t="s">
        <v>5025</v>
      </c>
      <c r="D78">
        <v>16</v>
      </c>
      <c r="E78">
        <v>17</v>
      </c>
      <c r="F78">
        <v>20.9</v>
      </c>
      <c r="G78" t="s">
        <v>5026</v>
      </c>
      <c r="H78" t="s">
        <v>5026</v>
      </c>
      <c r="I78">
        <v>83</v>
      </c>
      <c r="J78">
        <v>93</v>
      </c>
    </row>
    <row r="79" spans="1:10">
      <c r="A79">
        <v>840006597</v>
      </c>
      <c r="B79">
        <v>840001861</v>
      </c>
      <c r="C79" t="s">
        <v>5025</v>
      </c>
      <c r="D79">
        <v>14</v>
      </c>
      <c r="E79">
        <v>14</v>
      </c>
      <c r="F79">
        <v>21.9</v>
      </c>
      <c r="G79" t="s">
        <v>5026</v>
      </c>
      <c r="H79" t="s">
        <v>5026</v>
      </c>
      <c r="I79">
        <v>84</v>
      </c>
      <c r="J79">
        <v>93</v>
      </c>
    </row>
    <row r="80" spans="1:10">
      <c r="A80">
        <v>860014208</v>
      </c>
      <c r="B80">
        <v>860000223</v>
      </c>
      <c r="C80" t="s">
        <v>5025</v>
      </c>
      <c r="D80">
        <v>36</v>
      </c>
      <c r="E80">
        <v>36</v>
      </c>
      <c r="F80">
        <v>20.399999999999999</v>
      </c>
      <c r="G80" t="s">
        <v>5026</v>
      </c>
      <c r="H80" t="s">
        <v>5026</v>
      </c>
      <c r="I80">
        <v>86</v>
      </c>
      <c r="J80">
        <v>75</v>
      </c>
    </row>
    <row r="81" spans="1:10">
      <c r="A81">
        <v>870000015</v>
      </c>
      <c r="B81">
        <v>870000064</v>
      </c>
      <c r="C81" t="s">
        <v>5025</v>
      </c>
      <c r="D81">
        <v>24</v>
      </c>
      <c r="E81">
        <v>24</v>
      </c>
      <c r="F81">
        <v>24.3</v>
      </c>
      <c r="G81" t="s">
        <v>5026</v>
      </c>
      <c r="H81" t="s">
        <v>5026</v>
      </c>
      <c r="I81">
        <v>87</v>
      </c>
      <c r="J81">
        <v>75</v>
      </c>
    </row>
    <row r="82" spans="1:10">
      <c r="A82">
        <v>870000288</v>
      </c>
      <c r="B82">
        <v>870000288</v>
      </c>
      <c r="C82" t="s">
        <v>5025</v>
      </c>
      <c r="D82">
        <v>11</v>
      </c>
      <c r="E82">
        <v>11</v>
      </c>
      <c r="F82">
        <v>19.100000000000001</v>
      </c>
      <c r="G82" t="s">
        <v>5026</v>
      </c>
      <c r="H82" t="s">
        <v>5026</v>
      </c>
      <c r="I82">
        <v>87</v>
      </c>
      <c r="J82">
        <v>75</v>
      </c>
    </row>
    <row r="83" spans="1:10">
      <c r="A83">
        <v>900000365</v>
      </c>
      <c r="B83">
        <v>900003039</v>
      </c>
      <c r="C83" t="s">
        <v>5025</v>
      </c>
      <c r="D83">
        <v>23</v>
      </c>
      <c r="E83">
        <v>23</v>
      </c>
      <c r="F83">
        <v>24.6</v>
      </c>
      <c r="G83" t="s">
        <v>5026</v>
      </c>
      <c r="H83" t="s">
        <v>5026</v>
      </c>
      <c r="I83">
        <v>90</v>
      </c>
      <c r="J83">
        <v>27</v>
      </c>
    </row>
    <row r="84" spans="1:10">
      <c r="A84">
        <v>920000650</v>
      </c>
      <c r="B84">
        <v>920000650</v>
      </c>
      <c r="C84" t="s">
        <v>5025</v>
      </c>
      <c r="D84">
        <v>11</v>
      </c>
      <c r="E84">
        <v>11</v>
      </c>
      <c r="F84">
        <v>23.4</v>
      </c>
      <c r="G84" t="s">
        <v>5026</v>
      </c>
      <c r="H84" t="s">
        <v>5026</v>
      </c>
      <c r="I84">
        <v>92</v>
      </c>
      <c r="J84">
        <v>11</v>
      </c>
    </row>
    <row r="85" spans="1:10">
      <c r="A85">
        <v>940000664</v>
      </c>
      <c r="B85">
        <v>940000664</v>
      </c>
      <c r="C85" t="s">
        <v>5025</v>
      </c>
      <c r="D85">
        <v>19</v>
      </c>
      <c r="E85">
        <v>19</v>
      </c>
      <c r="F85">
        <v>18.600000000000001</v>
      </c>
      <c r="G85" t="s">
        <v>5026</v>
      </c>
      <c r="H85" t="s">
        <v>5026</v>
      </c>
      <c r="I85">
        <v>94</v>
      </c>
      <c r="J85">
        <v>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CCFEE-9610-414F-87BB-7A4ACF371E8D}">
  <dimension ref="A1:Q117"/>
  <sheetViews>
    <sheetView topLeftCell="A25" workbookViewId="0">
      <selection activeCell="F47" sqref="F47"/>
    </sheetView>
  </sheetViews>
  <sheetFormatPr defaultRowHeight="14.4"/>
  <cols>
    <col min="1" max="1" width="8.5546875" customWidth="1"/>
    <col min="3" max="3" width="8.5546875" customWidth="1"/>
    <col min="4" max="4" width="14.109375" customWidth="1"/>
    <col min="5" max="5" width="20.88671875" customWidth="1"/>
    <col min="6" max="6" width="38" customWidth="1"/>
    <col min="7" max="7" width="26.109375" bestFit="1" customWidth="1"/>
    <col min="12" max="12" width="8.5546875" style="18"/>
    <col min="13" max="13" width="26.109375" bestFit="1" customWidth="1"/>
    <col min="14" max="14" width="22.44140625" bestFit="1" customWidth="1"/>
    <col min="15" max="15" width="9.109375" style="18"/>
  </cols>
  <sheetData>
    <row r="1" spans="1:17">
      <c r="A1" s="8" t="s">
        <v>802</v>
      </c>
      <c r="F1" s="9" t="s">
        <v>891</v>
      </c>
    </row>
    <row r="2" spans="1:17">
      <c r="A2" s="16" t="s">
        <v>801</v>
      </c>
    </row>
    <row r="3" spans="1:17" s="17" customFormat="1">
      <c r="A3" s="17" t="s">
        <v>409</v>
      </c>
      <c r="B3" s="17" t="s">
        <v>8</v>
      </c>
      <c r="C3" s="17" t="s">
        <v>1032</v>
      </c>
      <c r="D3" s="17" t="s">
        <v>1033</v>
      </c>
      <c r="E3" s="17" t="s">
        <v>1036</v>
      </c>
      <c r="F3" s="17" t="s">
        <v>1034</v>
      </c>
      <c r="G3" s="17" t="s">
        <v>1034</v>
      </c>
      <c r="L3" s="19"/>
      <c r="M3" s="17" t="s">
        <v>1167</v>
      </c>
      <c r="O3" s="19"/>
      <c r="Q3" s="17" t="s">
        <v>1176</v>
      </c>
    </row>
    <row r="4" spans="1:17">
      <c r="A4" t="s">
        <v>839</v>
      </c>
      <c r="B4" t="s">
        <v>840</v>
      </c>
      <c r="C4" t="s">
        <v>809</v>
      </c>
      <c r="D4" t="s">
        <v>841</v>
      </c>
      <c r="E4" t="s">
        <v>1034</v>
      </c>
      <c r="F4" t="s">
        <v>842</v>
      </c>
      <c r="G4" t="s">
        <v>1042</v>
      </c>
      <c r="H4" t="str">
        <f>_xlfn.XLOOKUP(G4,$M:$M,$N:$N)</f>
        <v>Vincent Hautefeuille</v>
      </c>
      <c r="M4" t="s">
        <v>1042</v>
      </c>
      <c r="N4" t="s">
        <v>508</v>
      </c>
      <c r="Q4" t="s">
        <v>1172</v>
      </c>
    </row>
    <row r="5" spans="1:17">
      <c r="A5" t="s">
        <v>803</v>
      </c>
      <c r="B5" t="s">
        <v>804</v>
      </c>
      <c r="C5" t="s">
        <v>623</v>
      </c>
      <c r="D5" t="s">
        <v>805</v>
      </c>
      <c r="E5" t="s">
        <v>1034</v>
      </c>
      <c r="F5" t="s">
        <v>806</v>
      </c>
      <c r="G5" t="s">
        <v>806</v>
      </c>
      <c r="H5" t="str">
        <f t="shared" ref="H5:H68" si="0">_xlfn.XLOOKUP(G5,$M:$M,$N:$N)</f>
        <v>Franck Audemar</v>
      </c>
      <c r="M5" t="s">
        <v>806</v>
      </c>
      <c r="N5" t="s">
        <v>1091</v>
      </c>
      <c r="Q5" t="s">
        <v>1173</v>
      </c>
    </row>
    <row r="6" spans="1:17">
      <c r="A6" t="s">
        <v>843</v>
      </c>
      <c r="B6" t="s">
        <v>874</v>
      </c>
      <c r="C6" t="s">
        <v>809</v>
      </c>
      <c r="D6" t="s">
        <v>875</v>
      </c>
      <c r="E6" t="s">
        <v>1034</v>
      </c>
      <c r="F6" t="s">
        <v>876</v>
      </c>
      <c r="G6" t="s">
        <v>876</v>
      </c>
      <c r="H6" t="str">
        <f t="shared" si="0"/>
        <v>Angélique Vienot</v>
      </c>
      <c r="M6" t="s">
        <v>876</v>
      </c>
      <c r="N6" t="s">
        <v>1092</v>
      </c>
      <c r="Q6" t="s">
        <v>1174</v>
      </c>
    </row>
    <row r="7" spans="1:17">
      <c r="A7" t="s">
        <v>825</v>
      </c>
      <c r="B7" t="s">
        <v>826</v>
      </c>
      <c r="C7" t="s">
        <v>809</v>
      </c>
      <c r="D7" t="s">
        <v>827</v>
      </c>
      <c r="E7" t="s">
        <v>1034</v>
      </c>
      <c r="F7" t="s">
        <v>828</v>
      </c>
      <c r="G7" t="s">
        <v>828</v>
      </c>
      <c r="H7" t="str">
        <f t="shared" si="0"/>
        <v>Marion Chauvenet</v>
      </c>
      <c r="M7" t="s">
        <v>828</v>
      </c>
      <c r="N7" t="s">
        <v>1093</v>
      </c>
      <c r="Q7" t="s">
        <v>1175</v>
      </c>
    </row>
    <row r="8" spans="1:17">
      <c r="A8" t="s">
        <v>861</v>
      </c>
      <c r="B8" t="s">
        <v>862</v>
      </c>
      <c r="C8" t="s">
        <v>809</v>
      </c>
      <c r="D8" t="s">
        <v>863</v>
      </c>
      <c r="E8" t="s">
        <v>1034</v>
      </c>
      <c r="F8" t="s">
        <v>864</v>
      </c>
      <c r="G8" t="s">
        <v>864</v>
      </c>
      <c r="H8" t="str">
        <f t="shared" si="0"/>
        <v>Pierre Guillaume Poureau</v>
      </c>
      <c r="M8" t="s">
        <v>864</v>
      </c>
      <c r="N8" t="s">
        <v>1094</v>
      </c>
      <c r="Q8" t="s">
        <v>19</v>
      </c>
    </row>
    <row r="9" spans="1:17">
      <c r="A9" t="s">
        <v>807</v>
      </c>
      <c r="B9" t="s">
        <v>808</v>
      </c>
      <c r="C9" t="s">
        <v>809</v>
      </c>
      <c r="D9" t="s">
        <v>810</v>
      </c>
      <c r="E9" t="s">
        <v>1034</v>
      </c>
      <c r="F9" t="s">
        <v>811</v>
      </c>
      <c r="G9" t="s">
        <v>1037</v>
      </c>
      <c r="H9" t="str">
        <f t="shared" si="0"/>
        <v>Anne Bignon</v>
      </c>
      <c r="M9" t="s">
        <v>1037</v>
      </c>
      <c r="N9" t="s">
        <v>1095</v>
      </c>
    </row>
    <row r="10" spans="1:17">
      <c r="A10" t="s">
        <v>812</v>
      </c>
      <c r="B10" t="s">
        <v>829</v>
      </c>
      <c r="C10" t="s">
        <v>809</v>
      </c>
      <c r="D10" t="s">
        <v>830</v>
      </c>
      <c r="E10" s="8" t="s">
        <v>1035</v>
      </c>
      <c r="F10" t="s">
        <v>831</v>
      </c>
      <c r="G10" t="s">
        <v>1040</v>
      </c>
      <c r="H10" t="str">
        <f t="shared" si="0"/>
        <v>Louis de Mestier</v>
      </c>
      <c r="M10" t="s">
        <v>1040</v>
      </c>
      <c r="N10" t="s">
        <v>507</v>
      </c>
    </row>
    <row r="11" spans="1:17">
      <c r="A11" t="s">
        <v>843</v>
      </c>
      <c r="B11" t="s">
        <v>844</v>
      </c>
      <c r="C11" t="s">
        <v>809</v>
      </c>
      <c r="D11" t="s">
        <v>845</v>
      </c>
      <c r="E11" t="s">
        <v>1034</v>
      </c>
      <c r="F11" t="s">
        <v>846</v>
      </c>
      <c r="G11" t="s">
        <v>1043</v>
      </c>
      <c r="H11" t="str">
        <f t="shared" si="0"/>
        <v>Jean Jouve</v>
      </c>
      <c r="M11" t="s">
        <v>1043</v>
      </c>
      <c r="N11" t="s">
        <v>1096</v>
      </c>
    </row>
    <row r="12" spans="1:17">
      <c r="A12" t="s">
        <v>825</v>
      </c>
      <c r="B12" t="s">
        <v>868</v>
      </c>
      <c r="C12" t="s">
        <v>809</v>
      </c>
      <c r="D12" t="s">
        <v>869</v>
      </c>
      <c r="E12" t="s">
        <v>1034</v>
      </c>
      <c r="F12" t="s">
        <v>870</v>
      </c>
      <c r="G12" t="s">
        <v>870</v>
      </c>
      <c r="H12" t="str">
        <f t="shared" si="0"/>
        <v>Gaël Roth</v>
      </c>
      <c r="M12" t="s">
        <v>870</v>
      </c>
      <c r="N12" t="s">
        <v>1097</v>
      </c>
    </row>
    <row r="13" spans="1:17">
      <c r="A13" t="s">
        <v>839</v>
      </c>
      <c r="B13" t="s">
        <v>871</v>
      </c>
      <c r="C13" t="s">
        <v>809</v>
      </c>
      <c r="D13" t="s">
        <v>872</v>
      </c>
      <c r="E13" t="s">
        <v>1034</v>
      </c>
      <c r="F13" t="s">
        <v>873</v>
      </c>
      <c r="G13" t="s">
        <v>1049</v>
      </c>
      <c r="H13" t="str">
        <f t="shared" si="0"/>
        <v>Anthony Turpin</v>
      </c>
      <c r="M13" t="s">
        <v>1049</v>
      </c>
      <c r="N13" t="s">
        <v>510</v>
      </c>
    </row>
    <row r="14" spans="1:17">
      <c r="A14" t="s">
        <v>803</v>
      </c>
      <c r="B14" t="s">
        <v>855</v>
      </c>
      <c r="C14" t="s">
        <v>809</v>
      </c>
      <c r="D14" t="s">
        <v>856</v>
      </c>
      <c r="E14" t="s">
        <v>1034</v>
      </c>
      <c r="F14" t="s">
        <v>857</v>
      </c>
      <c r="G14" t="s">
        <v>1046</v>
      </c>
      <c r="H14" t="str">
        <f t="shared" si="0"/>
        <v>Clémentine Peyramaure</v>
      </c>
      <c r="M14" t="s">
        <v>1046</v>
      </c>
      <c r="N14" t="s">
        <v>1098</v>
      </c>
    </row>
    <row r="15" spans="1:17">
      <c r="A15" t="s">
        <v>821</v>
      </c>
      <c r="B15" t="s">
        <v>822</v>
      </c>
      <c r="C15" t="s">
        <v>814</v>
      </c>
      <c r="D15" t="s">
        <v>823</v>
      </c>
      <c r="E15" s="8" t="s">
        <v>1035</v>
      </c>
      <c r="F15" t="s">
        <v>824</v>
      </c>
      <c r="G15" t="s">
        <v>1039</v>
      </c>
      <c r="H15" t="str">
        <f t="shared" si="0"/>
        <v>Brice Chanez</v>
      </c>
      <c r="M15" t="s">
        <v>1039</v>
      </c>
      <c r="N15" t="s">
        <v>506</v>
      </c>
    </row>
    <row r="16" spans="1:17">
      <c r="A16" t="s">
        <v>821</v>
      </c>
      <c r="B16" t="s">
        <v>822</v>
      </c>
      <c r="C16" t="s">
        <v>809</v>
      </c>
      <c r="D16" t="s">
        <v>883</v>
      </c>
      <c r="E16" t="s">
        <v>1034</v>
      </c>
      <c r="F16" t="s">
        <v>884</v>
      </c>
      <c r="G16" t="s">
        <v>1051</v>
      </c>
      <c r="H16" t="str">
        <f t="shared" si="0"/>
        <v>Laétitia Dahan</v>
      </c>
      <c r="M16" t="s">
        <v>1051</v>
      </c>
      <c r="N16" t="s">
        <v>1099</v>
      </c>
    </row>
    <row r="17" spans="1:14">
      <c r="A17" t="s">
        <v>832</v>
      </c>
      <c r="B17" t="s">
        <v>858</v>
      </c>
      <c r="C17" t="s">
        <v>814</v>
      </c>
      <c r="D17" t="s">
        <v>859</v>
      </c>
      <c r="E17" t="s">
        <v>1034</v>
      </c>
      <c r="F17" t="s">
        <v>860</v>
      </c>
      <c r="G17" t="s">
        <v>1047</v>
      </c>
      <c r="H17" t="str">
        <f t="shared" si="0"/>
        <v>Fabienne Portales</v>
      </c>
      <c r="M17" t="s">
        <v>1047</v>
      </c>
      <c r="N17" t="s">
        <v>458</v>
      </c>
    </row>
    <row r="18" spans="1:14">
      <c r="A18" t="s">
        <v>821</v>
      </c>
      <c r="B18" t="s">
        <v>836</v>
      </c>
      <c r="C18" t="s">
        <v>809</v>
      </c>
      <c r="D18" t="s">
        <v>837</v>
      </c>
      <c r="E18" t="s">
        <v>1034</v>
      </c>
      <c r="F18" t="s">
        <v>838</v>
      </c>
      <c r="G18" t="s">
        <v>1041</v>
      </c>
      <c r="H18" t="str">
        <f t="shared" si="0"/>
        <v>Anne Frin</v>
      </c>
      <c r="M18" t="s">
        <v>1041</v>
      </c>
      <c r="N18" t="s">
        <v>1100</v>
      </c>
    </row>
    <row r="19" spans="1:14">
      <c r="A19" t="s">
        <v>812</v>
      </c>
      <c r="B19" t="s">
        <v>700</v>
      </c>
      <c r="C19" t="s">
        <v>809</v>
      </c>
      <c r="D19" t="s">
        <v>853</v>
      </c>
      <c r="E19" t="s">
        <v>1034</v>
      </c>
      <c r="F19" t="s">
        <v>854</v>
      </c>
      <c r="G19" t="s">
        <v>1045</v>
      </c>
      <c r="H19" t="str">
        <f t="shared" si="0"/>
        <v>Anna Pellat</v>
      </c>
      <c r="M19" t="s">
        <v>1045</v>
      </c>
      <c r="N19" t="s">
        <v>1101</v>
      </c>
    </row>
    <row r="20" spans="1:14">
      <c r="A20" t="s">
        <v>812</v>
      </c>
      <c r="B20" t="s">
        <v>700</v>
      </c>
      <c r="C20" t="s">
        <v>809</v>
      </c>
      <c r="D20" t="s">
        <v>847</v>
      </c>
      <c r="E20" t="s">
        <v>1034</v>
      </c>
      <c r="F20" t="s">
        <v>848</v>
      </c>
      <c r="G20" t="s">
        <v>848</v>
      </c>
      <c r="H20" t="str">
        <f t="shared" si="0"/>
        <v>Leo Mas</v>
      </c>
      <c r="M20" t="s">
        <v>848</v>
      </c>
      <c r="N20" t="s">
        <v>1102</v>
      </c>
    </row>
    <row r="21" spans="1:14">
      <c r="A21" t="s">
        <v>803</v>
      </c>
      <c r="B21" t="s">
        <v>888</v>
      </c>
      <c r="C21" t="s">
        <v>809</v>
      </c>
      <c r="D21" t="s">
        <v>889</v>
      </c>
      <c r="E21" t="s">
        <v>1034</v>
      </c>
      <c r="F21" t="s">
        <v>890</v>
      </c>
      <c r="G21" t="s">
        <v>890</v>
      </c>
      <c r="H21" t="str">
        <f t="shared" si="0"/>
        <v>David Tougeron</v>
      </c>
      <c r="M21" t="s">
        <v>890</v>
      </c>
      <c r="N21" t="s">
        <v>1103</v>
      </c>
    </row>
    <row r="22" spans="1:14">
      <c r="A22" t="s">
        <v>849</v>
      </c>
      <c r="B22" t="s">
        <v>880</v>
      </c>
      <c r="C22" t="s">
        <v>809</v>
      </c>
      <c r="D22" t="s">
        <v>881</v>
      </c>
      <c r="E22" t="s">
        <v>1034</v>
      </c>
      <c r="F22" t="s">
        <v>882</v>
      </c>
      <c r="G22" t="s">
        <v>1050</v>
      </c>
      <c r="H22" t="str">
        <f t="shared" si="0"/>
        <v>Olivier Bouché</v>
      </c>
      <c r="M22" t="s">
        <v>1050</v>
      </c>
      <c r="N22" t="s">
        <v>1104</v>
      </c>
    </row>
    <row r="23" spans="1:14">
      <c r="A23" t="s">
        <v>807</v>
      </c>
      <c r="B23" t="s">
        <v>885</v>
      </c>
      <c r="C23" t="s">
        <v>809</v>
      </c>
      <c r="D23" t="s">
        <v>886</v>
      </c>
      <c r="E23" t="s">
        <v>1034</v>
      </c>
      <c r="F23" t="s">
        <v>887</v>
      </c>
      <c r="G23" t="s">
        <v>1052</v>
      </c>
      <c r="H23" t="str">
        <f t="shared" si="0"/>
        <v>Lilian Schwarz</v>
      </c>
      <c r="M23" t="s">
        <v>1052</v>
      </c>
      <c r="N23" t="s">
        <v>1105</v>
      </c>
    </row>
    <row r="24" spans="1:14">
      <c r="A24" t="s">
        <v>825</v>
      </c>
      <c r="B24" t="s">
        <v>877</v>
      </c>
      <c r="C24" t="s">
        <v>809</v>
      </c>
      <c r="D24" t="s">
        <v>878</v>
      </c>
      <c r="E24" s="8" t="s">
        <v>1035</v>
      </c>
      <c r="F24" t="s">
        <v>879</v>
      </c>
      <c r="G24" t="s">
        <v>879</v>
      </c>
      <c r="H24" t="str">
        <f t="shared" si="0"/>
        <v>Nicolas Williet</v>
      </c>
      <c r="M24" t="s">
        <v>879</v>
      </c>
      <c r="N24" t="s">
        <v>1106</v>
      </c>
    </row>
    <row r="25" spans="1:14">
      <c r="A25" t="s">
        <v>821</v>
      </c>
      <c r="B25" t="s">
        <v>865</v>
      </c>
      <c r="C25" t="s">
        <v>623</v>
      </c>
      <c r="D25" t="s">
        <v>866</v>
      </c>
      <c r="E25" t="s">
        <v>1034</v>
      </c>
      <c r="F25" t="s">
        <v>867</v>
      </c>
      <c r="G25" t="s">
        <v>1048</v>
      </c>
      <c r="H25" t="str">
        <f t="shared" si="0"/>
        <v>Prieux</v>
      </c>
      <c r="M25" t="s">
        <v>1048</v>
      </c>
      <c r="N25" t="s">
        <v>1107</v>
      </c>
    </row>
    <row r="26" spans="1:14">
      <c r="A26" t="s">
        <v>832</v>
      </c>
      <c r="B26" t="s">
        <v>833</v>
      </c>
      <c r="C26" t="s">
        <v>809</v>
      </c>
      <c r="D26" t="s">
        <v>834</v>
      </c>
      <c r="E26" t="s">
        <v>1034</v>
      </c>
      <c r="F26" t="s">
        <v>835</v>
      </c>
      <c r="G26" t="s">
        <v>835</v>
      </c>
      <c r="H26" t="str">
        <f t="shared" si="0"/>
        <v>Nadim Fares</v>
      </c>
      <c r="M26" t="s">
        <v>835</v>
      </c>
      <c r="N26" t="s">
        <v>425</v>
      </c>
    </row>
    <row r="27" spans="1:14">
      <c r="A27" t="s">
        <v>817</v>
      </c>
      <c r="B27" t="s">
        <v>818</v>
      </c>
      <c r="C27" t="s">
        <v>809</v>
      </c>
      <c r="D27" t="s">
        <v>819</v>
      </c>
      <c r="E27" t="s">
        <v>1034</v>
      </c>
      <c r="F27" t="s">
        <v>820</v>
      </c>
      <c r="G27" t="s">
        <v>820</v>
      </c>
      <c r="H27" t="str">
        <f t="shared" si="0"/>
        <v>Petru Bucur</v>
      </c>
      <c r="M27" t="s">
        <v>820</v>
      </c>
      <c r="N27" t="s">
        <v>1108</v>
      </c>
    </row>
    <row r="28" spans="1:14">
      <c r="A28" t="s">
        <v>849</v>
      </c>
      <c r="B28" t="s">
        <v>850</v>
      </c>
      <c r="C28" t="s">
        <v>809</v>
      </c>
      <c r="D28" t="s">
        <v>851</v>
      </c>
      <c r="E28" t="s">
        <v>1034</v>
      </c>
      <c r="F28" t="s">
        <v>852</v>
      </c>
      <c r="G28" t="s">
        <v>1044</v>
      </c>
      <c r="H28" t="str">
        <f t="shared" si="0"/>
        <v>Marie Muller</v>
      </c>
      <c r="M28" t="s">
        <v>1044</v>
      </c>
      <c r="N28" t="s">
        <v>1109</v>
      </c>
    </row>
    <row r="29" spans="1:14">
      <c r="A29" t="s">
        <v>812</v>
      </c>
      <c r="B29" t="s">
        <v>813</v>
      </c>
      <c r="C29" t="s">
        <v>814</v>
      </c>
      <c r="D29" t="s">
        <v>815</v>
      </c>
      <c r="E29" t="s">
        <v>1034</v>
      </c>
      <c r="F29" t="s">
        <v>816</v>
      </c>
      <c r="G29" t="s">
        <v>1038</v>
      </c>
      <c r="H29" t="str">
        <f t="shared" si="0"/>
        <v>Alice Boileve</v>
      </c>
      <c r="M29" t="s">
        <v>1038</v>
      </c>
      <c r="N29" t="s">
        <v>505</v>
      </c>
    </row>
    <row r="30" spans="1:14">
      <c r="M30" t="s">
        <v>1053</v>
      </c>
      <c r="N30" t="s">
        <v>1110</v>
      </c>
    </row>
    <row r="31" spans="1:14">
      <c r="M31" t="s">
        <v>898</v>
      </c>
      <c r="N31" t="s">
        <v>1111</v>
      </c>
    </row>
    <row r="32" spans="1:14">
      <c r="M32" t="s">
        <v>899</v>
      </c>
      <c r="N32" t="s">
        <v>1112</v>
      </c>
    </row>
    <row r="33" spans="1:15">
      <c r="A33" s="16" t="s">
        <v>892</v>
      </c>
      <c r="M33" t="s">
        <v>902</v>
      </c>
      <c r="N33" t="s">
        <v>1113</v>
      </c>
    </row>
    <row r="34" spans="1:15">
      <c r="A34" s="8" t="s">
        <v>988</v>
      </c>
      <c r="M34" s="17" t="s">
        <v>906</v>
      </c>
      <c r="N34" t="s">
        <v>437</v>
      </c>
    </row>
    <row r="35" spans="1:15" s="17" customFormat="1">
      <c r="A35" s="17" t="s">
        <v>409</v>
      </c>
      <c r="B35" s="17" t="s">
        <v>8</v>
      </c>
      <c r="C35" s="17" t="s">
        <v>1032</v>
      </c>
      <c r="D35" s="17" t="s">
        <v>1033</v>
      </c>
      <c r="E35" s="17" t="s">
        <v>1036</v>
      </c>
      <c r="F35" s="17" t="s">
        <v>1034</v>
      </c>
      <c r="H35"/>
      <c r="L35" s="19"/>
      <c r="M35" t="s">
        <v>909</v>
      </c>
      <c r="N35" s="17" t="s">
        <v>1114</v>
      </c>
      <c r="O35" s="19"/>
    </row>
    <row r="36" spans="1:15">
      <c r="A36" t="s">
        <v>825</v>
      </c>
      <c r="B36" t="s">
        <v>893</v>
      </c>
      <c r="C36" t="s">
        <v>623</v>
      </c>
      <c r="D36" t="s">
        <v>894</v>
      </c>
      <c r="E36" t="s">
        <v>1034</v>
      </c>
      <c r="F36" t="s">
        <v>895</v>
      </c>
      <c r="G36" t="s">
        <v>1053</v>
      </c>
      <c r="H36" t="str">
        <f t="shared" si="0"/>
        <v>Didier Pillon</v>
      </c>
      <c r="M36" t="s">
        <v>1054</v>
      </c>
      <c r="N36" t="s">
        <v>1115</v>
      </c>
    </row>
    <row r="37" spans="1:15">
      <c r="A37" t="s">
        <v>825</v>
      </c>
      <c r="B37" t="s">
        <v>896</v>
      </c>
      <c r="C37" t="s">
        <v>809</v>
      </c>
      <c r="D37" t="s">
        <v>897</v>
      </c>
      <c r="E37" t="s">
        <v>1034</v>
      </c>
      <c r="F37" t="s">
        <v>898</v>
      </c>
      <c r="G37" t="s">
        <v>898</v>
      </c>
      <c r="H37" t="str">
        <f t="shared" si="0"/>
        <v>Denis Pezet</v>
      </c>
      <c r="M37" t="s">
        <v>1055</v>
      </c>
      <c r="N37" t="s">
        <v>1116</v>
      </c>
    </row>
    <row r="38" spans="1:15">
      <c r="A38" t="s">
        <v>825</v>
      </c>
      <c r="B38" t="s">
        <v>896</v>
      </c>
      <c r="C38" t="s">
        <v>809</v>
      </c>
      <c r="D38" t="s">
        <v>897</v>
      </c>
      <c r="E38" t="s">
        <v>1034</v>
      </c>
      <c r="F38" t="s">
        <v>899</v>
      </c>
      <c r="G38" t="s">
        <v>899</v>
      </c>
      <c r="H38" t="str">
        <f t="shared" si="0"/>
        <v>Caroline Petorin</v>
      </c>
      <c r="M38" t="s">
        <v>1056</v>
      </c>
      <c r="N38" t="s">
        <v>1117</v>
      </c>
    </row>
    <row r="39" spans="1:15">
      <c r="A39" t="s">
        <v>825</v>
      </c>
      <c r="B39" t="s">
        <v>900</v>
      </c>
      <c r="C39" t="s">
        <v>623</v>
      </c>
      <c r="D39" t="s">
        <v>901</v>
      </c>
      <c r="E39" t="s">
        <v>1034</v>
      </c>
      <c r="F39" t="s">
        <v>902</v>
      </c>
      <c r="G39" t="s">
        <v>902</v>
      </c>
      <c r="H39" t="str">
        <f t="shared" si="0"/>
        <v>Kheir Eddine Benmammar</v>
      </c>
      <c r="M39" t="s">
        <v>1057</v>
      </c>
      <c r="N39" t="s">
        <v>1118</v>
      </c>
    </row>
    <row r="40" spans="1:15">
      <c r="A40" t="s">
        <v>825</v>
      </c>
      <c r="B40" t="s">
        <v>903</v>
      </c>
      <c r="C40" t="s">
        <v>904</v>
      </c>
      <c r="D40" t="s">
        <v>905</v>
      </c>
      <c r="E40" t="s">
        <v>1034</v>
      </c>
      <c r="F40" t="s">
        <v>906</v>
      </c>
      <c r="G40" t="s">
        <v>906</v>
      </c>
      <c r="H40" t="str">
        <f t="shared" si="0"/>
        <v>Jérôme Desrame</v>
      </c>
      <c r="M40" t="s">
        <v>920</v>
      </c>
      <c r="N40" t="s">
        <v>1119</v>
      </c>
    </row>
    <row r="41" spans="1:15">
      <c r="A41" t="s">
        <v>843</v>
      </c>
      <c r="B41" t="s">
        <v>907</v>
      </c>
      <c r="C41" t="s">
        <v>904</v>
      </c>
      <c r="D41" t="s">
        <v>908</v>
      </c>
      <c r="E41" t="s">
        <v>1034</v>
      </c>
      <c r="F41" t="s">
        <v>909</v>
      </c>
      <c r="G41" t="s">
        <v>909</v>
      </c>
      <c r="H41" t="str">
        <f t="shared" si="0"/>
        <v>Adrien Melis</v>
      </c>
      <c r="M41" t="s">
        <v>1058</v>
      </c>
      <c r="N41" t="s">
        <v>1120</v>
      </c>
    </row>
    <row r="42" spans="1:15">
      <c r="A42" t="s">
        <v>843</v>
      </c>
      <c r="B42" t="s">
        <v>844</v>
      </c>
      <c r="C42" t="s">
        <v>904</v>
      </c>
      <c r="D42" t="s">
        <v>910</v>
      </c>
      <c r="E42" t="s">
        <v>1034</v>
      </c>
      <c r="F42" t="s">
        <v>911</v>
      </c>
      <c r="G42" t="s">
        <v>1054</v>
      </c>
      <c r="H42" t="str">
        <f t="shared" si="0"/>
        <v>Darut</v>
      </c>
      <c r="M42" t="s">
        <v>1059</v>
      </c>
      <c r="N42" t="s">
        <v>1121</v>
      </c>
    </row>
    <row r="43" spans="1:15">
      <c r="A43" t="s">
        <v>843</v>
      </c>
      <c r="B43" t="s">
        <v>844</v>
      </c>
      <c r="C43" t="s">
        <v>814</v>
      </c>
      <c r="D43" t="s">
        <v>912</v>
      </c>
      <c r="E43" t="s">
        <v>1034</v>
      </c>
      <c r="F43" t="s">
        <v>913</v>
      </c>
      <c r="G43" t="s">
        <v>1055</v>
      </c>
      <c r="H43" t="str">
        <f t="shared" si="0"/>
        <v>Leila Bengrine Lefevre</v>
      </c>
      <c r="M43" t="s">
        <v>1060</v>
      </c>
      <c r="N43" t="s">
        <v>1122</v>
      </c>
    </row>
    <row r="44" spans="1:15">
      <c r="A44" t="s">
        <v>843</v>
      </c>
      <c r="B44" t="s">
        <v>844</v>
      </c>
      <c r="C44" t="s">
        <v>809</v>
      </c>
      <c r="D44" t="s">
        <v>845</v>
      </c>
      <c r="E44" t="s">
        <v>1034</v>
      </c>
      <c r="F44" t="s">
        <v>914</v>
      </c>
      <c r="G44" t="s">
        <v>1056</v>
      </c>
      <c r="H44" t="str">
        <f t="shared" si="0"/>
        <v>Antoine Drouillard</v>
      </c>
      <c r="M44" t="s">
        <v>1061</v>
      </c>
      <c r="N44" t="s">
        <v>1123</v>
      </c>
    </row>
    <row r="45" spans="1:15">
      <c r="A45" t="s">
        <v>843</v>
      </c>
      <c r="B45" t="s">
        <v>915</v>
      </c>
      <c r="C45" t="s">
        <v>623</v>
      </c>
      <c r="D45" t="s">
        <v>916</v>
      </c>
      <c r="E45" t="s">
        <v>1034</v>
      </c>
      <c r="F45" t="s">
        <v>917</v>
      </c>
      <c r="G45" t="s">
        <v>1057</v>
      </c>
      <c r="H45" t="str">
        <f t="shared" si="0"/>
        <v>Yacine Hadjarab</v>
      </c>
      <c r="M45" t="s">
        <v>931</v>
      </c>
      <c r="N45" t="s">
        <v>1124</v>
      </c>
    </row>
    <row r="46" spans="1:15">
      <c r="A46" t="s">
        <v>861</v>
      </c>
      <c r="B46" t="s">
        <v>918</v>
      </c>
      <c r="C46" t="s">
        <v>623</v>
      </c>
      <c r="D46" t="s">
        <v>919</v>
      </c>
      <c r="E46" t="s">
        <v>1034</v>
      </c>
      <c r="F46" t="s">
        <v>920</v>
      </c>
      <c r="G46" t="s">
        <v>920</v>
      </c>
      <c r="H46" t="str">
        <f t="shared" si="0"/>
        <v>Karine Bideau</v>
      </c>
      <c r="M46" t="s">
        <v>1062</v>
      </c>
      <c r="N46" t="s">
        <v>1125</v>
      </c>
    </row>
    <row r="47" spans="1:15">
      <c r="A47" t="s">
        <v>849</v>
      </c>
      <c r="B47" t="s">
        <v>921</v>
      </c>
      <c r="C47" t="s">
        <v>623</v>
      </c>
      <c r="D47" t="s">
        <v>922</v>
      </c>
      <c r="E47" t="s">
        <v>1034</v>
      </c>
      <c r="F47" t="s">
        <v>923</v>
      </c>
      <c r="G47" t="s">
        <v>1058</v>
      </c>
      <c r="H47" t="str">
        <f t="shared" si="0"/>
        <v>Guillaume Conroy</v>
      </c>
      <c r="M47" t="s">
        <v>937</v>
      </c>
      <c r="N47" t="s">
        <v>1126</v>
      </c>
    </row>
    <row r="48" spans="1:15">
      <c r="A48" t="s">
        <v>849</v>
      </c>
      <c r="B48" t="s">
        <v>924</v>
      </c>
      <c r="C48" t="s">
        <v>623</v>
      </c>
      <c r="D48" t="s">
        <v>925</v>
      </c>
      <c r="E48" t="s">
        <v>1034</v>
      </c>
      <c r="F48" t="s">
        <v>926</v>
      </c>
      <c r="G48" t="s">
        <v>1059</v>
      </c>
      <c r="H48" t="str">
        <f t="shared" si="0"/>
        <v>Marion Bolliet</v>
      </c>
      <c r="M48" t="s">
        <v>1063</v>
      </c>
      <c r="N48" t="s">
        <v>1127</v>
      </c>
    </row>
    <row r="49" spans="1:14">
      <c r="A49" t="s">
        <v>849</v>
      </c>
      <c r="B49" t="s">
        <v>924</v>
      </c>
      <c r="C49" t="s">
        <v>623</v>
      </c>
      <c r="D49" t="s">
        <v>925</v>
      </c>
      <c r="E49" t="s">
        <v>1034</v>
      </c>
      <c r="F49" t="s">
        <v>927</v>
      </c>
      <c r="G49" t="s">
        <v>1060</v>
      </c>
      <c r="H49" t="str">
        <f t="shared" si="0"/>
        <v>Gilles Breysacher</v>
      </c>
      <c r="M49" t="s">
        <v>1064</v>
      </c>
      <c r="N49" t="s">
        <v>1128</v>
      </c>
    </row>
    <row r="50" spans="1:14">
      <c r="A50" t="s">
        <v>849</v>
      </c>
      <c r="B50" t="s">
        <v>850</v>
      </c>
      <c r="C50" t="s">
        <v>809</v>
      </c>
      <c r="D50" t="s">
        <v>851</v>
      </c>
      <c r="E50" t="s">
        <v>1034</v>
      </c>
      <c r="F50" t="s">
        <v>928</v>
      </c>
      <c r="G50" t="s">
        <v>1061</v>
      </c>
      <c r="H50" t="str">
        <f t="shared" si="0"/>
        <v>Anthony Lopez</v>
      </c>
      <c r="M50" t="s">
        <v>944</v>
      </c>
      <c r="N50" t="s">
        <v>1129</v>
      </c>
    </row>
    <row r="51" spans="1:14">
      <c r="A51" t="s">
        <v>849</v>
      </c>
      <c r="B51" t="s">
        <v>850</v>
      </c>
      <c r="C51" t="s">
        <v>809</v>
      </c>
      <c r="D51" t="s">
        <v>851</v>
      </c>
      <c r="E51" t="s">
        <v>1034</v>
      </c>
      <c r="F51" t="s">
        <v>852</v>
      </c>
      <c r="G51" t="s">
        <v>1044</v>
      </c>
      <c r="H51" t="str">
        <f t="shared" si="0"/>
        <v>Marie Muller</v>
      </c>
      <c r="M51" t="s">
        <v>1065</v>
      </c>
      <c r="N51" t="s">
        <v>1130</v>
      </c>
    </row>
    <row r="52" spans="1:14">
      <c r="A52" t="s">
        <v>839</v>
      </c>
      <c r="B52" t="s">
        <v>929</v>
      </c>
      <c r="C52" t="s">
        <v>904</v>
      </c>
      <c r="D52" t="s">
        <v>930</v>
      </c>
      <c r="E52" t="s">
        <v>1034</v>
      </c>
      <c r="F52" t="s">
        <v>931</v>
      </c>
      <c r="G52" t="s">
        <v>931</v>
      </c>
      <c r="H52" t="str">
        <f t="shared" si="0"/>
        <v>Bruno Huguenin</v>
      </c>
      <c r="M52" t="s">
        <v>1066</v>
      </c>
      <c r="N52" t="s">
        <v>1131</v>
      </c>
    </row>
    <row r="53" spans="1:14">
      <c r="A53" t="s">
        <v>839</v>
      </c>
      <c r="B53" t="s">
        <v>932</v>
      </c>
      <c r="C53" t="s">
        <v>623</v>
      </c>
      <c r="D53" t="s">
        <v>933</v>
      </c>
      <c r="E53" t="s">
        <v>1034</v>
      </c>
      <c r="F53" t="s">
        <v>934</v>
      </c>
      <c r="G53" t="s">
        <v>1062</v>
      </c>
      <c r="H53" t="str">
        <f t="shared" si="0"/>
        <v>Vincent Bourgeois</v>
      </c>
      <c r="M53" t="s">
        <v>950</v>
      </c>
      <c r="N53" t="s">
        <v>1132</v>
      </c>
    </row>
    <row r="54" spans="1:14">
      <c r="A54" t="s">
        <v>839</v>
      </c>
      <c r="B54" t="s">
        <v>935</v>
      </c>
      <c r="C54" t="s">
        <v>623</v>
      </c>
      <c r="D54" t="s">
        <v>936</v>
      </c>
      <c r="E54" t="s">
        <v>1034</v>
      </c>
      <c r="F54" t="s">
        <v>937</v>
      </c>
      <c r="G54" t="s">
        <v>937</v>
      </c>
      <c r="H54" t="str">
        <f t="shared" si="0"/>
        <v>Fabienne Watelle</v>
      </c>
      <c r="M54" t="s">
        <v>953</v>
      </c>
      <c r="N54" t="s">
        <v>1133</v>
      </c>
    </row>
    <row r="55" spans="1:14">
      <c r="A55" t="s">
        <v>938</v>
      </c>
      <c r="B55" t="s">
        <v>939</v>
      </c>
      <c r="C55" t="s">
        <v>904</v>
      </c>
      <c r="D55" t="s">
        <v>908</v>
      </c>
      <c r="E55" t="s">
        <v>1034</v>
      </c>
      <c r="F55" t="s">
        <v>940</v>
      </c>
      <c r="G55" t="s">
        <v>1063</v>
      </c>
      <c r="H55" t="str">
        <f t="shared" si="0"/>
        <v>Philippe Soyer</v>
      </c>
      <c r="M55" t="s">
        <v>956</v>
      </c>
      <c r="N55" t="s">
        <v>1134</v>
      </c>
    </row>
    <row r="56" spans="1:14">
      <c r="A56" t="s">
        <v>807</v>
      </c>
      <c r="B56" t="s">
        <v>885</v>
      </c>
      <c r="C56" t="s">
        <v>809</v>
      </c>
      <c r="D56" t="s">
        <v>886</v>
      </c>
      <c r="E56" t="s">
        <v>1034</v>
      </c>
      <c r="F56" t="s">
        <v>941</v>
      </c>
      <c r="G56" t="s">
        <v>1064</v>
      </c>
      <c r="H56" t="str">
        <f t="shared" si="0"/>
        <v>Frédéric di Fiore</v>
      </c>
      <c r="M56" t="s">
        <v>960</v>
      </c>
      <c r="N56" t="s">
        <v>1135</v>
      </c>
    </row>
    <row r="57" spans="1:14">
      <c r="A57" t="s">
        <v>803</v>
      </c>
      <c r="B57" t="s">
        <v>804</v>
      </c>
      <c r="C57" t="s">
        <v>623</v>
      </c>
      <c r="D57" t="s">
        <v>805</v>
      </c>
      <c r="E57" t="s">
        <v>1034</v>
      </c>
      <c r="F57" t="s">
        <v>806</v>
      </c>
      <c r="G57" t="s">
        <v>806</v>
      </c>
      <c r="H57" t="str">
        <f t="shared" si="0"/>
        <v>Franck Audemar</v>
      </c>
      <c r="M57" t="s">
        <v>1067</v>
      </c>
      <c r="N57" t="s">
        <v>1136</v>
      </c>
    </row>
    <row r="58" spans="1:14">
      <c r="A58" t="s">
        <v>803</v>
      </c>
      <c r="B58" t="s">
        <v>942</v>
      </c>
      <c r="C58" t="s">
        <v>814</v>
      </c>
      <c r="D58" t="s">
        <v>943</v>
      </c>
      <c r="E58" t="s">
        <v>1034</v>
      </c>
      <c r="F58" t="s">
        <v>944</v>
      </c>
      <c r="G58" t="s">
        <v>944</v>
      </c>
      <c r="H58" t="str">
        <f t="shared" si="0"/>
        <v>Simon Pernot</v>
      </c>
      <c r="M58" t="s">
        <v>1068</v>
      </c>
      <c r="N58" t="s">
        <v>1137</v>
      </c>
    </row>
    <row r="59" spans="1:14">
      <c r="A59" t="s">
        <v>803</v>
      </c>
      <c r="B59" t="s">
        <v>855</v>
      </c>
      <c r="C59" t="s">
        <v>809</v>
      </c>
      <c r="D59" t="s">
        <v>856</v>
      </c>
      <c r="E59" t="s">
        <v>1034</v>
      </c>
      <c r="F59" t="s">
        <v>945</v>
      </c>
      <c r="G59" t="s">
        <v>1065</v>
      </c>
      <c r="H59" t="str">
        <f t="shared" si="0"/>
        <v>Frédéric Thuillier</v>
      </c>
      <c r="M59" t="s">
        <v>1069</v>
      </c>
      <c r="N59" t="s">
        <v>1138</v>
      </c>
    </row>
    <row r="60" spans="1:14">
      <c r="A60" t="s">
        <v>803</v>
      </c>
      <c r="B60" t="s">
        <v>946</v>
      </c>
      <c r="C60" t="s">
        <v>623</v>
      </c>
      <c r="E60" t="s">
        <v>1034</v>
      </c>
      <c r="F60" t="s">
        <v>947</v>
      </c>
      <c r="G60" t="s">
        <v>1066</v>
      </c>
      <c r="H60" t="str">
        <f t="shared" si="0"/>
        <v>Albert Aleba</v>
      </c>
      <c r="M60" t="s">
        <v>1070</v>
      </c>
      <c r="N60" t="s">
        <v>1139</v>
      </c>
    </row>
    <row r="61" spans="1:14">
      <c r="A61" t="s">
        <v>803</v>
      </c>
      <c r="B61" t="s">
        <v>888</v>
      </c>
      <c r="C61" t="s">
        <v>809</v>
      </c>
      <c r="D61" t="s">
        <v>889</v>
      </c>
      <c r="E61" t="s">
        <v>1034</v>
      </c>
      <c r="F61" t="s">
        <v>890</v>
      </c>
      <c r="G61" t="s">
        <v>890</v>
      </c>
      <c r="H61" t="str">
        <f t="shared" si="0"/>
        <v>David Tougeron</v>
      </c>
      <c r="M61" t="s">
        <v>1071</v>
      </c>
      <c r="N61" t="s">
        <v>1140</v>
      </c>
    </row>
    <row r="62" spans="1:14">
      <c r="A62" t="s">
        <v>803</v>
      </c>
      <c r="B62" t="s">
        <v>948</v>
      </c>
      <c r="C62" t="s">
        <v>623</v>
      </c>
      <c r="D62" t="s">
        <v>949</v>
      </c>
      <c r="E62" t="s">
        <v>1034</v>
      </c>
      <c r="F62" t="s">
        <v>950</v>
      </c>
      <c r="G62" t="s">
        <v>950</v>
      </c>
      <c r="H62" t="str">
        <f t="shared" si="0"/>
        <v>Julien Vergniol</v>
      </c>
      <c r="M62" t="s">
        <v>1072</v>
      </c>
      <c r="N62" t="s">
        <v>1141</v>
      </c>
    </row>
    <row r="63" spans="1:14">
      <c r="A63" t="s">
        <v>832</v>
      </c>
      <c r="B63" t="s">
        <v>951</v>
      </c>
      <c r="C63" t="s">
        <v>904</v>
      </c>
      <c r="D63" t="s">
        <v>952</v>
      </c>
      <c r="E63" t="s">
        <v>1034</v>
      </c>
      <c r="F63" t="s">
        <v>953</v>
      </c>
      <c r="G63" t="s">
        <v>953</v>
      </c>
      <c r="H63" t="str">
        <f t="shared" si="0"/>
        <v>Laurent Alcaraz</v>
      </c>
      <c r="M63" t="s">
        <v>1073</v>
      </c>
      <c r="N63" t="s">
        <v>1142</v>
      </c>
    </row>
    <row r="64" spans="1:14">
      <c r="A64" t="s">
        <v>832</v>
      </c>
      <c r="B64" t="s">
        <v>954</v>
      </c>
      <c r="C64" t="s">
        <v>623</v>
      </c>
      <c r="D64" t="s">
        <v>955</v>
      </c>
      <c r="E64" t="s">
        <v>1034</v>
      </c>
      <c r="F64" t="s">
        <v>956</v>
      </c>
      <c r="G64" t="s">
        <v>956</v>
      </c>
      <c r="H64" t="str">
        <f t="shared" si="0"/>
        <v>Laurent Mosser</v>
      </c>
      <c r="M64" t="s">
        <v>1074</v>
      </c>
      <c r="N64" t="s">
        <v>1143</v>
      </c>
    </row>
    <row r="65" spans="1:14">
      <c r="A65" t="s">
        <v>957</v>
      </c>
      <c r="B65" t="s">
        <v>958</v>
      </c>
      <c r="C65" t="s">
        <v>809</v>
      </c>
      <c r="D65" t="s">
        <v>959</v>
      </c>
      <c r="E65" t="s">
        <v>1034</v>
      </c>
      <c r="F65" t="s">
        <v>960</v>
      </c>
      <c r="G65" t="s">
        <v>960</v>
      </c>
      <c r="H65" t="str">
        <f t="shared" si="0"/>
        <v>Carole Vitellius</v>
      </c>
      <c r="M65" t="s">
        <v>983</v>
      </c>
      <c r="N65" t="s">
        <v>1144</v>
      </c>
    </row>
    <row r="66" spans="1:14">
      <c r="A66" t="s">
        <v>957</v>
      </c>
      <c r="B66" t="s">
        <v>961</v>
      </c>
      <c r="C66" t="s">
        <v>623</v>
      </c>
      <c r="E66" t="s">
        <v>1034</v>
      </c>
      <c r="F66" t="s">
        <v>962</v>
      </c>
      <c r="G66" t="s">
        <v>1067</v>
      </c>
      <c r="H66" t="str">
        <f t="shared" si="0"/>
        <v>You Lam</v>
      </c>
      <c r="M66" t="s">
        <v>1075</v>
      </c>
      <c r="N66" t="s">
        <v>1145</v>
      </c>
    </row>
    <row r="67" spans="1:14">
      <c r="A67" t="s">
        <v>821</v>
      </c>
      <c r="B67" t="s">
        <v>822</v>
      </c>
      <c r="C67" t="s">
        <v>904</v>
      </c>
      <c r="D67" t="s">
        <v>963</v>
      </c>
      <c r="E67" t="s">
        <v>1034</v>
      </c>
      <c r="F67" t="s">
        <v>964</v>
      </c>
      <c r="G67" t="s">
        <v>1068</v>
      </c>
      <c r="H67" t="str">
        <f t="shared" si="0"/>
        <v>Hervé Perrier</v>
      </c>
      <c r="M67" t="s">
        <v>1076</v>
      </c>
      <c r="N67" t="s">
        <v>1146</v>
      </c>
    </row>
    <row r="68" spans="1:14">
      <c r="A68" t="s">
        <v>821</v>
      </c>
      <c r="B68" t="s">
        <v>822</v>
      </c>
      <c r="C68" t="s">
        <v>904</v>
      </c>
      <c r="D68" t="s">
        <v>965</v>
      </c>
      <c r="E68" t="s">
        <v>1034</v>
      </c>
      <c r="F68" t="s">
        <v>966</v>
      </c>
      <c r="G68" t="s">
        <v>1069</v>
      </c>
      <c r="H68" t="str">
        <f t="shared" si="0"/>
        <v>Yves Rinaldi</v>
      </c>
      <c r="M68" t="s">
        <v>991</v>
      </c>
      <c r="N68" t="s">
        <v>1147</v>
      </c>
    </row>
    <row r="69" spans="1:14">
      <c r="A69" t="s">
        <v>812</v>
      </c>
      <c r="B69" t="s">
        <v>967</v>
      </c>
      <c r="C69" t="s">
        <v>904</v>
      </c>
      <c r="D69" t="s">
        <v>968</v>
      </c>
      <c r="E69" t="s">
        <v>1034</v>
      </c>
      <c r="F69" t="s">
        <v>969</v>
      </c>
      <c r="G69" t="s">
        <v>1070</v>
      </c>
      <c r="H69" t="str">
        <f t="shared" ref="H69:H117" si="1">_xlfn.XLOOKUP(G69,$M:$M,$N:$N)</f>
        <v>Thirot</v>
      </c>
      <c r="M69" t="s">
        <v>993</v>
      </c>
      <c r="N69" t="s">
        <v>1148</v>
      </c>
    </row>
    <row r="70" spans="1:14">
      <c r="A70" t="s">
        <v>812</v>
      </c>
      <c r="B70" t="s">
        <v>970</v>
      </c>
      <c r="C70" t="s">
        <v>809</v>
      </c>
      <c r="D70" t="s">
        <v>971</v>
      </c>
      <c r="E70" t="s">
        <v>1034</v>
      </c>
      <c r="F70" t="s">
        <v>972</v>
      </c>
      <c r="G70" t="s">
        <v>1071</v>
      </c>
      <c r="H70" t="str">
        <f t="shared" si="1"/>
        <v>Florence Mary</v>
      </c>
      <c r="M70" t="s">
        <v>994</v>
      </c>
      <c r="N70" t="s">
        <v>445</v>
      </c>
    </row>
    <row r="71" spans="1:14">
      <c r="A71" t="s">
        <v>812</v>
      </c>
      <c r="B71" t="s">
        <v>973</v>
      </c>
      <c r="C71" t="s">
        <v>623</v>
      </c>
      <c r="D71" t="s">
        <v>974</v>
      </c>
      <c r="E71" t="s">
        <v>1034</v>
      </c>
      <c r="F71" t="s">
        <v>975</v>
      </c>
      <c r="G71" t="s">
        <v>1072</v>
      </c>
      <c r="H71" t="str">
        <f t="shared" si="1"/>
        <v>Samy Louafi</v>
      </c>
      <c r="M71" t="s">
        <v>1077</v>
      </c>
      <c r="N71" t="s">
        <v>1149</v>
      </c>
    </row>
    <row r="72" spans="1:14">
      <c r="A72" t="s">
        <v>812</v>
      </c>
      <c r="B72" t="s">
        <v>976</v>
      </c>
      <c r="C72" t="s">
        <v>623</v>
      </c>
      <c r="D72" t="s">
        <v>977</v>
      </c>
      <c r="E72" t="s">
        <v>1034</v>
      </c>
      <c r="F72" t="s">
        <v>975</v>
      </c>
      <c r="G72" t="s">
        <v>1072</v>
      </c>
      <c r="H72" t="str">
        <f t="shared" si="1"/>
        <v>Samy Louafi</v>
      </c>
      <c r="M72" t="s">
        <v>1078</v>
      </c>
      <c r="N72" t="s">
        <v>1150</v>
      </c>
    </row>
    <row r="73" spans="1:14">
      <c r="A73" t="s">
        <v>812</v>
      </c>
      <c r="B73" t="s">
        <v>978</v>
      </c>
      <c r="C73" t="s">
        <v>623</v>
      </c>
      <c r="D73" t="s">
        <v>979</v>
      </c>
      <c r="E73" t="s">
        <v>1034</v>
      </c>
      <c r="F73" t="s">
        <v>980</v>
      </c>
      <c r="G73" t="s">
        <v>1073</v>
      </c>
      <c r="H73" t="str">
        <f t="shared" si="1"/>
        <v>Christophe Locher</v>
      </c>
      <c r="M73" t="s">
        <v>1079</v>
      </c>
      <c r="N73" t="s">
        <v>1151</v>
      </c>
    </row>
    <row r="74" spans="1:14">
      <c r="A74" t="s">
        <v>812</v>
      </c>
      <c r="B74" t="s">
        <v>700</v>
      </c>
      <c r="C74" t="s">
        <v>809</v>
      </c>
      <c r="D74" t="s">
        <v>853</v>
      </c>
      <c r="E74" t="s">
        <v>1034</v>
      </c>
      <c r="F74" t="s">
        <v>981</v>
      </c>
      <c r="G74" t="s">
        <v>1074</v>
      </c>
      <c r="H74" t="str">
        <f t="shared" si="1"/>
        <v>Romain Coriat</v>
      </c>
      <c r="M74" t="s">
        <v>1080</v>
      </c>
      <c r="N74" t="s">
        <v>1152</v>
      </c>
    </row>
    <row r="75" spans="1:14">
      <c r="A75" t="s">
        <v>812</v>
      </c>
      <c r="B75" t="s">
        <v>700</v>
      </c>
      <c r="C75" t="s">
        <v>904</v>
      </c>
      <c r="D75" t="s">
        <v>982</v>
      </c>
      <c r="E75" t="s">
        <v>1034</v>
      </c>
      <c r="F75" t="s">
        <v>983</v>
      </c>
      <c r="G75" t="s">
        <v>983</v>
      </c>
      <c r="H75" t="str">
        <f t="shared" si="1"/>
        <v>Olivier Dubreuil</v>
      </c>
      <c r="M75" t="s">
        <v>1081</v>
      </c>
      <c r="N75" t="s">
        <v>1153</v>
      </c>
    </row>
    <row r="76" spans="1:14">
      <c r="A76" t="s">
        <v>812</v>
      </c>
      <c r="B76" t="s">
        <v>700</v>
      </c>
      <c r="C76" t="s">
        <v>809</v>
      </c>
      <c r="D76" t="s">
        <v>984</v>
      </c>
      <c r="E76" s="8" t="s">
        <v>1035</v>
      </c>
      <c r="F76" t="s">
        <v>985</v>
      </c>
      <c r="G76" t="s">
        <v>1075</v>
      </c>
      <c r="H76" t="str">
        <f t="shared" si="1"/>
        <v>Jean Bachet</v>
      </c>
      <c r="M76" t="s">
        <v>1005</v>
      </c>
      <c r="N76" t="s">
        <v>1154</v>
      </c>
    </row>
    <row r="77" spans="1:14">
      <c r="A77" t="s">
        <v>812</v>
      </c>
      <c r="B77" t="s">
        <v>700</v>
      </c>
      <c r="C77" t="s">
        <v>809</v>
      </c>
      <c r="D77" t="s">
        <v>986</v>
      </c>
      <c r="E77" s="8" t="s">
        <v>1035</v>
      </c>
      <c r="F77" t="s">
        <v>987</v>
      </c>
      <c r="G77" t="s">
        <v>1076</v>
      </c>
      <c r="H77" t="str">
        <f t="shared" si="1"/>
        <v>Julien Taieb</v>
      </c>
      <c r="M77" t="s">
        <v>1082</v>
      </c>
      <c r="N77" t="s">
        <v>1155</v>
      </c>
    </row>
    <row r="78" spans="1:14">
      <c r="M78" t="s">
        <v>1009</v>
      </c>
      <c r="N78" t="s">
        <v>476</v>
      </c>
    </row>
    <row r="79" spans="1:14">
      <c r="M79" t="s">
        <v>1083</v>
      </c>
      <c r="N79" t="s">
        <v>1156</v>
      </c>
    </row>
    <row r="80" spans="1:14">
      <c r="M80" t="s">
        <v>1084</v>
      </c>
      <c r="N80" t="s">
        <v>1157</v>
      </c>
    </row>
    <row r="81" spans="1:14">
      <c r="A81" s="8" t="s">
        <v>989</v>
      </c>
      <c r="M81" t="s">
        <v>1085</v>
      </c>
      <c r="N81" t="s">
        <v>1158</v>
      </c>
    </row>
    <row r="82" spans="1:14">
      <c r="A82" s="16" t="s">
        <v>990</v>
      </c>
      <c r="M82" t="s">
        <v>1086</v>
      </c>
      <c r="N82" t="s">
        <v>1159</v>
      </c>
    </row>
    <row r="83" spans="1:14">
      <c r="M83" t="s">
        <v>1087</v>
      </c>
      <c r="N83" t="s">
        <v>1160</v>
      </c>
    </row>
    <row r="84" spans="1:14">
      <c r="A84" t="s">
        <v>409</v>
      </c>
      <c r="B84" t="s">
        <v>8</v>
      </c>
      <c r="C84" t="s">
        <v>1032</v>
      </c>
      <c r="D84" t="s">
        <v>1033</v>
      </c>
      <c r="E84" t="s">
        <v>1036</v>
      </c>
      <c r="F84" t="s">
        <v>1034</v>
      </c>
      <c r="M84" t="s">
        <v>1088</v>
      </c>
      <c r="N84" t="s">
        <v>1161</v>
      </c>
    </row>
    <row r="85" spans="1:14">
      <c r="A85" t="s">
        <v>825</v>
      </c>
      <c r="B85" t="s">
        <v>896</v>
      </c>
      <c r="C85" t="s">
        <v>809</v>
      </c>
      <c r="D85" t="s">
        <v>897</v>
      </c>
      <c r="E85" t="s">
        <v>1034</v>
      </c>
      <c r="F85" t="s">
        <v>991</v>
      </c>
      <c r="G85" t="s">
        <v>991</v>
      </c>
      <c r="H85" t="str">
        <f t="shared" si="1"/>
        <v>Johan Gagniere</v>
      </c>
      <c r="M85" t="s">
        <v>1023</v>
      </c>
      <c r="N85" t="s">
        <v>1162</v>
      </c>
    </row>
    <row r="86" spans="1:14">
      <c r="A86" t="s">
        <v>825</v>
      </c>
      <c r="B86" t="s">
        <v>868</v>
      </c>
      <c r="C86" t="s">
        <v>809</v>
      </c>
      <c r="D86" t="s">
        <v>869</v>
      </c>
      <c r="E86" t="s">
        <v>1034</v>
      </c>
      <c r="F86" t="s">
        <v>870</v>
      </c>
      <c r="G86" t="s">
        <v>870</v>
      </c>
      <c r="H86" t="str">
        <f t="shared" si="1"/>
        <v>Gaël Roth</v>
      </c>
      <c r="M86" t="s">
        <v>1025</v>
      </c>
      <c r="N86" t="s">
        <v>1163</v>
      </c>
    </row>
    <row r="87" spans="1:14">
      <c r="A87" t="s">
        <v>825</v>
      </c>
      <c r="B87" t="s">
        <v>903</v>
      </c>
      <c r="C87" t="s">
        <v>814</v>
      </c>
      <c r="D87" t="s">
        <v>992</v>
      </c>
      <c r="E87" t="s">
        <v>1034</v>
      </c>
      <c r="F87" t="s">
        <v>993</v>
      </c>
      <c r="G87" t="s">
        <v>993</v>
      </c>
      <c r="H87" t="str">
        <f t="shared" si="1"/>
        <v>Aurélien Dupre</v>
      </c>
      <c r="M87" t="s">
        <v>1089</v>
      </c>
      <c r="N87" t="s">
        <v>1164</v>
      </c>
    </row>
    <row r="88" spans="1:14">
      <c r="A88" t="s">
        <v>825</v>
      </c>
      <c r="B88" t="s">
        <v>903</v>
      </c>
      <c r="C88" t="s">
        <v>904</v>
      </c>
      <c r="D88" t="s">
        <v>905</v>
      </c>
      <c r="E88" t="s">
        <v>1034</v>
      </c>
      <c r="F88" t="s">
        <v>994</v>
      </c>
      <c r="G88" t="s">
        <v>994</v>
      </c>
      <c r="H88" t="str">
        <f t="shared" si="1"/>
        <v>Pascal Artru</v>
      </c>
      <c r="M88" t="s">
        <v>1030</v>
      </c>
      <c r="N88" t="s">
        <v>1165</v>
      </c>
    </row>
    <row r="89" spans="1:14">
      <c r="A89" t="s">
        <v>825</v>
      </c>
      <c r="B89" t="s">
        <v>826</v>
      </c>
      <c r="C89" t="s">
        <v>809</v>
      </c>
      <c r="D89" t="s">
        <v>827</v>
      </c>
      <c r="E89" t="s">
        <v>1034</v>
      </c>
      <c r="F89" t="s">
        <v>828</v>
      </c>
      <c r="G89" t="s">
        <v>828</v>
      </c>
      <c r="H89" t="str">
        <f t="shared" si="1"/>
        <v>Marion Chauvenet</v>
      </c>
      <c r="M89" t="s">
        <v>1090</v>
      </c>
      <c r="N89" t="s">
        <v>1166</v>
      </c>
    </row>
    <row r="90" spans="1:14">
      <c r="A90" t="s">
        <v>825</v>
      </c>
      <c r="B90" t="s">
        <v>995</v>
      </c>
      <c r="C90" t="s">
        <v>904</v>
      </c>
      <c r="D90" t="s">
        <v>996</v>
      </c>
      <c r="E90" t="s">
        <v>1034</v>
      </c>
      <c r="F90" t="s">
        <v>997</v>
      </c>
      <c r="G90" t="s">
        <v>1077</v>
      </c>
      <c r="H90" t="str">
        <f t="shared" si="1"/>
        <v>Marie Guillaumot</v>
      </c>
    </row>
    <row r="91" spans="1:14">
      <c r="A91" t="s">
        <v>843</v>
      </c>
      <c r="B91" t="s">
        <v>874</v>
      </c>
      <c r="C91" t="s">
        <v>809</v>
      </c>
      <c r="D91" t="s">
        <v>875</v>
      </c>
      <c r="E91" t="s">
        <v>1034</v>
      </c>
      <c r="F91" t="s">
        <v>876</v>
      </c>
      <c r="G91" t="s">
        <v>876</v>
      </c>
      <c r="H91" t="str">
        <f t="shared" si="1"/>
        <v>Angélique Vienot</v>
      </c>
    </row>
    <row r="92" spans="1:14">
      <c r="A92" t="s">
        <v>843</v>
      </c>
      <c r="B92" t="s">
        <v>844</v>
      </c>
      <c r="C92" t="s">
        <v>814</v>
      </c>
      <c r="D92" t="s">
        <v>912</v>
      </c>
      <c r="E92" t="s">
        <v>1034</v>
      </c>
      <c r="F92" t="s">
        <v>998</v>
      </c>
      <c r="G92" t="s">
        <v>1078</v>
      </c>
      <c r="H92" t="str">
        <f t="shared" si="1"/>
        <v>François Ghiringhelli</v>
      </c>
    </row>
    <row r="93" spans="1:14">
      <c r="A93" t="s">
        <v>843</v>
      </c>
      <c r="B93" t="s">
        <v>844</v>
      </c>
      <c r="C93" t="s">
        <v>809</v>
      </c>
      <c r="D93" t="s">
        <v>845</v>
      </c>
      <c r="E93" t="s">
        <v>1034</v>
      </c>
      <c r="F93" t="s">
        <v>999</v>
      </c>
      <c r="G93" t="s">
        <v>1079</v>
      </c>
      <c r="H93" t="str">
        <f t="shared" si="1"/>
        <v>Jean Lequeu</v>
      </c>
    </row>
    <row r="94" spans="1:14">
      <c r="A94" t="s">
        <v>861</v>
      </c>
      <c r="B94" t="s">
        <v>1000</v>
      </c>
      <c r="C94" t="s">
        <v>904</v>
      </c>
      <c r="D94" t="s">
        <v>1001</v>
      </c>
      <c r="E94" t="s">
        <v>1034</v>
      </c>
      <c r="F94" t="s">
        <v>1002</v>
      </c>
      <c r="G94" t="s">
        <v>1080</v>
      </c>
      <c r="H94" t="str">
        <f t="shared" si="1"/>
        <v>Martin</v>
      </c>
    </row>
    <row r="95" spans="1:14">
      <c r="A95" t="s">
        <v>861</v>
      </c>
      <c r="B95" t="s">
        <v>1003</v>
      </c>
      <c r="C95" t="s">
        <v>623</v>
      </c>
      <c r="E95" t="s">
        <v>1034</v>
      </c>
      <c r="F95" t="s">
        <v>1004</v>
      </c>
      <c r="G95" t="s">
        <v>1081</v>
      </c>
      <c r="H95" t="str">
        <f t="shared" si="1"/>
        <v>Anaïs Bodere</v>
      </c>
    </row>
    <row r="96" spans="1:14">
      <c r="A96" t="s">
        <v>849</v>
      </c>
      <c r="B96" t="s">
        <v>880</v>
      </c>
      <c r="C96" t="s">
        <v>809</v>
      </c>
      <c r="D96" t="s">
        <v>881</v>
      </c>
      <c r="E96" t="s">
        <v>1034</v>
      </c>
      <c r="F96" t="s">
        <v>882</v>
      </c>
      <c r="G96" t="s">
        <v>1050</v>
      </c>
      <c r="H96" t="str">
        <f t="shared" si="1"/>
        <v>Olivier Bouché</v>
      </c>
    </row>
    <row r="97" spans="1:8">
      <c r="A97" t="s">
        <v>849</v>
      </c>
      <c r="B97" t="s">
        <v>850</v>
      </c>
      <c r="C97" t="s">
        <v>809</v>
      </c>
      <c r="D97" t="s">
        <v>851</v>
      </c>
      <c r="E97" t="s">
        <v>1034</v>
      </c>
      <c r="F97" t="s">
        <v>852</v>
      </c>
      <c r="G97" t="s">
        <v>1044</v>
      </c>
      <c r="H97" t="str">
        <f t="shared" si="1"/>
        <v>Marie Muller</v>
      </c>
    </row>
    <row r="98" spans="1:8">
      <c r="A98" t="s">
        <v>807</v>
      </c>
      <c r="B98" t="s">
        <v>808</v>
      </c>
      <c r="C98" t="s">
        <v>809</v>
      </c>
      <c r="D98" t="s">
        <v>810</v>
      </c>
      <c r="E98" t="s">
        <v>1034</v>
      </c>
      <c r="F98" t="s">
        <v>1005</v>
      </c>
      <c r="G98" t="s">
        <v>1005</v>
      </c>
      <c r="H98" t="str">
        <f t="shared" si="1"/>
        <v>Jean Lubrano</v>
      </c>
    </row>
    <row r="99" spans="1:8">
      <c r="A99" t="s">
        <v>807</v>
      </c>
      <c r="B99" t="s">
        <v>885</v>
      </c>
      <c r="C99" t="s">
        <v>809</v>
      </c>
      <c r="D99" t="s">
        <v>886</v>
      </c>
      <c r="E99" s="8" t="s">
        <v>1035</v>
      </c>
      <c r="F99" t="s">
        <v>887</v>
      </c>
      <c r="G99" t="s">
        <v>1052</v>
      </c>
      <c r="H99" t="str">
        <f t="shared" si="1"/>
        <v>Lilian Schwarz</v>
      </c>
    </row>
    <row r="100" spans="1:8">
      <c r="A100" t="s">
        <v>803</v>
      </c>
      <c r="B100" t="s">
        <v>855</v>
      </c>
      <c r="C100" t="s">
        <v>809</v>
      </c>
      <c r="D100" t="s">
        <v>856</v>
      </c>
      <c r="E100" t="s">
        <v>1034</v>
      </c>
      <c r="F100" t="s">
        <v>945</v>
      </c>
      <c r="G100" t="s">
        <v>1065</v>
      </c>
      <c r="H100" t="str">
        <f t="shared" si="1"/>
        <v>Frédéric Thuillier</v>
      </c>
    </row>
    <row r="101" spans="1:8">
      <c r="A101" t="s">
        <v>803</v>
      </c>
      <c r="B101" t="s">
        <v>1006</v>
      </c>
      <c r="C101" t="s">
        <v>623</v>
      </c>
      <c r="D101" t="s">
        <v>1006</v>
      </c>
      <c r="E101" t="s">
        <v>1034</v>
      </c>
      <c r="F101" t="s">
        <v>1007</v>
      </c>
      <c r="G101" t="s">
        <v>1082</v>
      </c>
      <c r="H101" t="str">
        <f t="shared" si="1"/>
        <v>Juliette Thaury</v>
      </c>
    </row>
    <row r="102" spans="1:8">
      <c r="A102" t="s">
        <v>832</v>
      </c>
      <c r="B102" t="s">
        <v>858</v>
      </c>
      <c r="C102" t="s">
        <v>814</v>
      </c>
      <c r="D102" t="s">
        <v>859</v>
      </c>
      <c r="E102" t="s">
        <v>1034</v>
      </c>
      <c r="F102" t="s">
        <v>860</v>
      </c>
      <c r="G102" t="s">
        <v>1047</v>
      </c>
      <c r="H102" t="str">
        <f t="shared" si="1"/>
        <v>Fabienne Portales</v>
      </c>
    </row>
    <row r="103" spans="1:8">
      <c r="A103" t="s">
        <v>832</v>
      </c>
      <c r="B103" t="s">
        <v>858</v>
      </c>
      <c r="C103" t="s">
        <v>809</v>
      </c>
      <c r="D103" t="s">
        <v>1008</v>
      </c>
      <c r="E103" t="s">
        <v>1034</v>
      </c>
      <c r="F103" t="s">
        <v>1009</v>
      </c>
      <c r="G103" t="s">
        <v>1009</v>
      </c>
      <c r="H103" t="str">
        <f t="shared" si="1"/>
        <v>Eric Assenat</v>
      </c>
    </row>
    <row r="104" spans="1:8">
      <c r="A104" t="s">
        <v>957</v>
      </c>
      <c r="B104" t="s">
        <v>958</v>
      </c>
      <c r="C104" t="s">
        <v>809</v>
      </c>
      <c r="D104" t="s">
        <v>959</v>
      </c>
      <c r="E104" t="s">
        <v>1034</v>
      </c>
      <c r="F104" t="s">
        <v>960</v>
      </c>
      <c r="G104" t="s">
        <v>960</v>
      </c>
      <c r="H104" t="str">
        <f t="shared" si="1"/>
        <v>Carole Vitellius</v>
      </c>
    </row>
    <row r="105" spans="1:8">
      <c r="A105" t="s">
        <v>821</v>
      </c>
      <c r="B105" t="s">
        <v>822</v>
      </c>
      <c r="C105" t="s">
        <v>904</v>
      </c>
      <c r="D105" t="s">
        <v>963</v>
      </c>
      <c r="E105" t="s">
        <v>1034</v>
      </c>
      <c r="F105" t="s">
        <v>1010</v>
      </c>
      <c r="G105" t="s">
        <v>1083</v>
      </c>
      <c r="H105" t="str">
        <f t="shared" si="1"/>
        <v>Olivier Msika</v>
      </c>
    </row>
    <row r="106" spans="1:8">
      <c r="A106" t="s">
        <v>821</v>
      </c>
      <c r="B106" t="s">
        <v>822</v>
      </c>
      <c r="C106" t="s">
        <v>904</v>
      </c>
      <c r="D106" t="s">
        <v>965</v>
      </c>
      <c r="E106" t="s">
        <v>1034</v>
      </c>
      <c r="F106" t="s">
        <v>1011</v>
      </c>
      <c r="G106" t="s">
        <v>1084</v>
      </c>
      <c r="H106" t="str">
        <f t="shared" si="1"/>
        <v>Nicolas Barriere</v>
      </c>
    </row>
    <row r="107" spans="1:8">
      <c r="A107" t="s">
        <v>821</v>
      </c>
      <c r="B107" t="s">
        <v>822</v>
      </c>
      <c r="C107" t="s">
        <v>809</v>
      </c>
      <c r="D107" t="s">
        <v>1012</v>
      </c>
      <c r="E107" t="s">
        <v>1034</v>
      </c>
      <c r="F107" t="s">
        <v>1013</v>
      </c>
      <c r="G107" t="s">
        <v>1085</v>
      </c>
      <c r="H107" t="str">
        <f t="shared" si="1"/>
        <v>David Birnbaum</v>
      </c>
    </row>
    <row r="108" spans="1:8">
      <c r="A108" t="s">
        <v>821</v>
      </c>
      <c r="B108" t="s">
        <v>822</v>
      </c>
      <c r="C108" t="s">
        <v>814</v>
      </c>
      <c r="D108" t="s">
        <v>823</v>
      </c>
      <c r="E108" t="s">
        <v>1034</v>
      </c>
      <c r="F108" t="s">
        <v>824</v>
      </c>
      <c r="G108" t="s">
        <v>1039</v>
      </c>
      <c r="H108" t="str">
        <f t="shared" si="1"/>
        <v>Brice Chanez</v>
      </c>
    </row>
    <row r="109" spans="1:8">
      <c r="A109" t="s">
        <v>812</v>
      </c>
      <c r="B109" t="s">
        <v>829</v>
      </c>
      <c r="C109" t="s">
        <v>809</v>
      </c>
      <c r="D109" t="s">
        <v>830</v>
      </c>
      <c r="E109" t="s">
        <v>1034</v>
      </c>
      <c r="F109" t="s">
        <v>1014</v>
      </c>
      <c r="G109" t="s">
        <v>1086</v>
      </c>
      <c r="H109" t="str">
        <f t="shared" si="1"/>
        <v>Anne Laure Vedie</v>
      </c>
    </row>
    <row r="110" spans="1:8">
      <c r="A110" t="s">
        <v>812</v>
      </c>
      <c r="B110" t="s">
        <v>1015</v>
      </c>
      <c r="C110" t="s">
        <v>809</v>
      </c>
      <c r="D110" t="s">
        <v>1016</v>
      </c>
      <c r="E110" t="s">
        <v>1034</v>
      </c>
      <c r="F110" t="s">
        <v>1017</v>
      </c>
      <c r="G110" t="s">
        <v>1087</v>
      </c>
      <c r="H110" t="str">
        <f t="shared" si="1"/>
        <v>Alexis Laurent</v>
      </c>
    </row>
    <row r="111" spans="1:8">
      <c r="A111" t="s">
        <v>812</v>
      </c>
      <c r="B111" t="s">
        <v>1018</v>
      </c>
      <c r="C111" t="s">
        <v>809</v>
      </c>
      <c r="D111" t="s">
        <v>1019</v>
      </c>
      <c r="E111" t="s">
        <v>1034</v>
      </c>
      <c r="F111" t="s">
        <v>1020</v>
      </c>
      <c r="G111" t="s">
        <v>1088</v>
      </c>
      <c r="H111" t="str">
        <f t="shared" si="1"/>
        <v>Stéphane Benoist</v>
      </c>
    </row>
    <row r="112" spans="1:8">
      <c r="A112" t="s">
        <v>812</v>
      </c>
      <c r="B112" t="s">
        <v>1021</v>
      </c>
      <c r="C112" t="s">
        <v>904</v>
      </c>
      <c r="D112" t="s">
        <v>1022</v>
      </c>
      <c r="E112" t="s">
        <v>1034</v>
      </c>
      <c r="F112" t="s">
        <v>1023</v>
      </c>
      <c r="G112" t="s">
        <v>1023</v>
      </c>
      <c r="H112" t="str">
        <f t="shared" si="1"/>
        <v>Benoist Chibaudel</v>
      </c>
    </row>
    <row r="113" spans="1:8">
      <c r="A113" t="s">
        <v>812</v>
      </c>
      <c r="B113" t="s">
        <v>700</v>
      </c>
      <c r="C113" t="s">
        <v>809</v>
      </c>
      <c r="D113" t="s">
        <v>1024</v>
      </c>
      <c r="E113" t="s">
        <v>1034</v>
      </c>
      <c r="F113" t="s">
        <v>1025</v>
      </c>
      <c r="G113" t="s">
        <v>1025</v>
      </c>
      <c r="H113" t="str">
        <f t="shared" si="1"/>
        <v>Diane Goere</v>
      </c>
    </row>
    <row r="114" spans="1:8">
      <c r="A114" t="s">
        <v>812</v>
      </c>
      <c r="B114" t="s">
        <v>700</v>
      </c>
      <c r="C114" t="s">
        <v>809</v>
      </c>
      <c r="D114" t="s">
        <v>984</v>
      </c>
      <c r="E114" t="s">
        <v>1034</v>
      </c>
      <c r="F114" t="s">
        <v>985</v>
      </c>
      <c r="G114" t="s">
        <v>1075</v>
      </c>
      <c r="H114" t="str">
        <f t="shared" si="1"/>
        <v>Jean Bachet</v>
      </c>
    </row>
    <row r="115" spans="1:8">
      <c r="A115" t="s">
        <v>812</v>
      </c>
      <c r="B115" t="s">
        <v>1026</v>
      </c>
      <c r="C115" t="s">
        <v>623</v>
      </c>
      <c r="D115" t="s">
        <v>1027</v>
      </c>
      <c r="E115" t="s">
        <v>1034</v>
      </c>
      <c r="F115" t="s">
        <v>1028</v>
      </c>
      <c r="G115" t="s">
        <v>1089</v>
      </c>
      <c r="H115" t="str">
        <f t="shared" si="1"/>
        <v>Julie Lavole</v>
      </c>
    </row>
    <row r="116" spans="1:8">
      <c r="A116" t="s">
        <v>812</v>
      </c>
      <c r="B116" t="s">
        <v>813</v>
      </c>
      <c r="C116" t="s">
        <v>809</v>
      </c>
      <c r="D116" t="s">
        <v>1029</v>
      </c>
      <c r="E116" t="s">
        <v>1034</v>
      </c>
      <c r="F116" t="s">
        <v>1030</v>
      </c>
      <c r="G116" t="s">
        <v>1030</v>
      </c>
      <c r="H116" t="str">
        <f t="shared" si="1"/>
        <v>Antonio Sa Cunha</v>
      </c>
    </row>
    <row r="117" spans="1:8">
      <c r="A117" t="s">
        <v>812</v>
      </c>
      <c r="B117" t="s">
        <v>813</v>
      </c>
      <c r="C117" t="s">
        <v>814</v>
      </c>
      <c r="D117" t="s">
        <v>815</v>
      </c>
      <c r="E117" t="s">
        <v>1034</v>
      </c>
      <c r="F117" t="s">
        <v>1031</v>
      </c>
      <c r="G117" t="s">
        <v>1090</v>
      </c>
      <c r="H117" t="str">
        <f t="shared" si="1"/>
        <v>Maximiliano Gelli</v>
      </c>
    </row>
  </sheetData>
  <conditionalFormatting sqref="G4:G29">
    <cfRule type="duplicateValues" dxfId="755" priority="6"/>
  </conditionalFormatting>
  <conditionalFormatting sqref="G85:G117">
    <cfRule type="duplicateValues" dxfId="754" priority="10"/>
  </conditionalFormatting>
  <conditionalFormatting sqref="I55">
    <cfRule type="duplicateValues" dxfId="753" priority="2"/>
  </conditionalFormatting>
  <hyperlinks>
    <hyperlink ref="F1" r:id="rId1" xr:uid="{99483C44-B106-4642-A17F-0ADE458AC67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E3389-DCF7-4F59-A835-F86177D91858}">
  <dimension ref="A1:D6"/>
  <sheetViews>
    <sheetView workbookViewId="0"/>
  </sheetViews>
  <sheetFormatPr defaultRowHeight="14.4"/>
  <cols>
    <col min="1" max="1" width="24.109375" customWidth="1"/>
    <col min="2" max="2" width="13.88671875" customWidth="1"/>
    <col min="3" max="3" width="21.44140625" customWidth="1"/>
    <col min="4" max="4" width="37.5546875" bestFit="1" customWidth="1"/>
  </cols>
  <sheetData>
    <row r="1" spans="1:4">
      <c r="A1" s="2" t="s">
        <v>5</v>
      </c>
      <c r="B1" s="4" t="s">
        <v>12</v>
      </c>
      <c r="C1" s="4" t="s">
        <v>13</v>
      </c>
      <c r="D1" s="4" t="s">
        <v>14</v>
      </c>
    </row>
    <row r="2" spans="1:4">
      <c r="A2" t="s">
        <v>29</v>
      </c>
      <c r="B2" t="s">
        <v>26</v>
      </c>
      <c r="C2" t="s">
        <v>27</v>
      </c>
      <c r="D2" t="s">
        <v>28</v>
      </c>
    </row>
    <row r="3" spans="1:4">
      <c r="A3" t="s">
        <v>30</v>
      </c>
      <c r="B3" t="s">
        <v>26</v>
      </c>
      <c r="C3" t="s">
        <v>27</v>
      </c>
      <c r="D3" t="s">
        <v>28</v>
      </c>
    </row>
    <row r="4" spans="1:4">
      <c r="A4" t="s">
        <v>31</v>
      </c>
      <c r="B4" t="s">
        <v>26</v>
      </c>
      <c r="C4" t="s">
        <v>27</v>
      </c>
      <c r="D4" t="s">
        <v>28</v>
      </c>
    </row>
    <row r="5" spans="1:4">
      <c r="A5" t="s">
        <v>32</v>
      </c>
      <c r="B5" t="s">
        <v>26</v>
      </c>
      <c r="C5" t="s">
        <v>27</v>
      </c>
      <c r="D5" t="s">
        <v>28</v>
      </c>
    </row>
    <row r="6" spans="1:4">
      <c r="A6" t="s">
        <v>33</v>
      </c>
      <c r="B6" t="s">
        <v>34</v>
      </c>
      <c r="C6" t="s">
        <v>27</v>
      </c>
      <c r="D6" t="s">
        <v>35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9AF38-56B6-4002-95AA-2AC6F8FCB4A3}">
  <sheetPr>
    <tabColor theme="5"/>
  </sheetPr>
  <dimension ref="A1:AA179"/>
  <sheetViews>
    <sheetView workbookViewId="0"/>
  </sheetViews>
  <sheetFormatPr defaultColWidth="9.109375" defaultRowHeight="16.8"/>
  <cols>
    <col min="1" max="1" width="27.109375" style="47" customWidth="1"/>
    <col min="2" max="3" width="33.109375" style="47" customWidth="1"/>
    <col min="4" max="4" width="27.109375" style="47" customWidth="1"/>
    <col min="5" max="5" width="8.88671875" style="47" customWidth="1"/>
    <col min="6" max="6" width="67.88671875" style="47" customWidth="1"/>
    <col min="7" max="7" width="7.109375" style="47" customWidth="1"/>
    <col min="8" max="8" width="12.5546875" style="47" customWidth="1"/>
    <col min="9" max="9" width="34.5546875" style="47" customWidth="1"/>
    <col min="10" max="10" width="7.109375" style="47" customWidth="1"/>
    <col min="11" max="18" width="27.109375" style="47" hidden="1" customWidth="1"/>
    <col min="19" max="19" width="46.44140625" style="47" customWidth="1"/>
    <col min="20" max="20" width="27.109375" style="47" customWidth="1"/>
    <col min="21" max="21" width="6.88671875" style="48" bestFit="1" customWidth="1"/>
    <col min="22" max="22" width="10.88671875" style="47" customWidth="1"/>
    <col min="23" max="23" width="16.109375" style="49" customWidth="1"/>
    <col min="24" max="24" width="15.88671875" style="49" customWidth="1"/>
    <col min="25" max="27" width="27.109375" style="47" customWidth="1"/>
    <col min="28" max="16384" width="9.109375" style="47"/>
  </cols>
  <sheetData>
    <row r="1" spans="1:26" s="41" customFormat="1" ht="61.5" customHeight="1">
      <c r="A1" s="41" t="s">
        <v>3134</v>
      </c>
      <c r="B1" s="41" t="s">
        <v>409</v>
      </c>
      <c r="E1" s="42" t="s">
        <v>3135</v>
      </c>
      <c r="F1" s="42" t="s">
        <v>3141</v>
      </c>
      <c r="G1" s="42" t="s">
        <v>1032</v>
      </c>
      <c r="H1" s="42" t="s">
        <v>3136</v>
      </c>
      <c r="I1" s="42" t="s">
        <v>3142</v>
      </c>
      <c r="J1" s="42" t="s">
        <v>1032</v>
      </c>
      <c r="K1" s="42" t="s">
        <v>3143</v>
      </c>
      <c r="L1" s="42" t="s">
        <v>3144</v>
      </c>
      <c r="M1" s="42" t="s">
        <v>3185</v>
      </c>
      <c r="N1" s="42" t="s">
        <v>3197</v>
      </c>
      <c r="O1" s="42" t="s">
        <v>3198</v>
      </c>
      <c r="P1" s="42" t="s">
        <v>3706</v>
      </c>
      <c r="Q1" s="42" t="s">
        <v>3707</v>
      </c>
      <c r="R1" s="42" t="s">
        <v>3708</v>
      </c>
      <c r="S1" s="42" t="s">
        <v>3710</v>
      </c>
      <c r="T1" s="42" t="s">
        <v>3705</v>
      </c>
      <c r="U1" s="43"/>
      <c r="V1" s="42"/>
      <c r="W1" s="42" t="s">
        <v>3866</v>
      </c>
      <c r="X1" s="42" t="s">
        <v>3862</v>
      </c>
      <c r="Y1" s="42" t="s">
        <v>3137</v>
      </c>
      <c r="Z1" s="42" t="s">
        <v>3138</v>
      </c>
    </row>
    <row r="2" spans="1:26" s="40" customFormat="1">
      <c r="A2" s="40" t="str">
        <f>E2&amp;"-"&amp;H2&amp;"-"&amp;SUBSTITUTE(Y2," ", "_")</f>
        <v>ID00001-TEST_ID0001-Main_Consultation</v>
      </c>
      <c r="B2" s="34" t="s">
        <v>3145</v>
      </c>
      <c r="C2" s="34"/>
      <c r="D2" s="40" t="s">
        <v>903</v>
      </c>
      <c r="E2" s="40" t="s">
        <v>3139</v>
      </c>
      <c r="F2" s="40" t="s">
        <v>3180</v>
      </c>
      <c r="G2" s="40" t="s">
        <v>3201</v>
      </c>
      <c r="H2" s="40" t="s">
        <v>3140</v>
      </c>
      <c r="K2" s="40" t="s">
        <v>3188</v>
      </c>
      <c r="L2" s="40" t="s">
        <v>3189</v>
      </c>
      <c r="M2" s="40" t="s">
        <v>3190</v>
      </c>
      <c r="T2" s="40" t="s">
        <v>3181</v>
      </c>
      <c r="U2" s="44">
        <v>69495</v>
      </c>
      <c r="V2" s="40" t="s">
        <v>3182</v>
      </c>
      <c r="W2" s="38" t="s">
        <v>3867</v>
      </c>
      <c r="X2" s="38"/>
      <c r="Y2" s="34" t="s">
        <v>3172</v>
      </c>
    </row>
    <row r="3" spans="1:26" s="40" customFormat="1">
      <c r="A3" s="40" t="str">
        <f>E3&amp;"-"&amp;H3&amp;"-"&amp;SUBSTITUTE(Y3," ", "_")</f>
        <v>ID00002--Main_Consultation</v>
      </c>
      <c r="B3" s="34" t="s">
        <v>3145</v>
      </c>
      <c r="C3" s="34"/>
      <c r="D3" s="40" t="s">
        <v>3167</v>
      </c>
      <c r="E3" s="40" t="s">
        <v>3735</v>
      </c>
      <c r="F3" s="40" t="s">
        <v>3165</v>
      </c>
      <c r="G3" s="40" t="s">
        <v>623</v>
      </c>
      <c r="K3" s="40" t="s">
        <v>3156</v>
      </c>
      <c r="L3" s="40" t="s">
        <v>3157</v>
      </c>
      <c r="T3" s="34" t="s">
        <v>3166</v>
      </c>
      <c r="U3" s="36">
        <v>73000</v>
      </c>
      <c r="V3" s="34" t="s">
        <v>3167</v>
      </c>
      <c r="W3" s="38" t="s">
        <v>3867</v>
      </c>
      <c r="X3" s="38"/>
      <c r="Y3" s="34" t="s">
        <v>3172</v>
      </c>
    </row>
    <row r="4" spans="1:26" s="40" customFormat="1">
      <c r="B4" s="34" t="s">
        <v>3145</v>
      </c>
      <c r="C4" s="34"/>
      <c r="D4" s="40" t="s">
        <v>1752</v>
      </c>
      <c r="E4" s="40" t="s">
        <v>3736</v>
      </c>
      <c r="F4" s="40" t="s">
        <v>3853</v>
      </c>
      <c r="G4" s="40" t="s">
        <v>625</v>
      </c>
      <c r="I4" s="40" t="s">
        <v>3163</v>
      </c>
      <c r="J4" s="40" t="s">
        <v>623</v>
      </c>
      <c r="K4" s="40" t="s">
        <v>3155</v>
      </c>
      <c r="T4" s="40" t="s">
        <v>3164</v>
      </c>
      <c r="U4" s="44">
        <v>15000</v>
      </c>
      <c r="V4" s="40" t="s">
        <v>1752</v>
      </c>
      <c r="W4" s="38" t="s">
        <v>3867</v>
      </c>
      <c r="X4" s="38"/>
      <c r="Y4" s="34" t="s">
        <v>3204</v>
      </c>
    </row>
    <row r="5" spans="1:26" s="40" customFormat="1">
      <c r="B5" s="34" t="s">
        <v>3145</v>
      </c>
      <c r="C5" s="34"/>
      <c r="D5" s="40" t="s">
        <v>900</v>
      </c>
      <c r="E5" s="40" t="s">
        <v>3736</v>
      </c>
      <c r="F5" s="40" t="s">
        <v>3853</v>
      </c>
      <c r="G5" s="40" t="s">
        <v>625</v>
      </c>
      <c r="I5" s="40" t="s">
        <v>3202</v>
      </c>
      <c r="J5" s="40" t="s">
        <v>623</v>
      </c>
      <c r="K5" s="34" t="s">
        <v>3155</v>
      </c>
      <c r="T5" s="40" t="s">
        <v>3205</v>
      </c>
      <c r="U5" s="44">
        <v>43000</v>
      </c>
      <c r="V5" s="40" t="s">
        <v>3206</v>
      </c>
      <c r="W5" s="38" t="s">
        <v>3867</v>
      </c>
      <c r="X5" s="38"/>
      <c r="Y5" s="34" t="s">
        <v>3204</v>
      </c>
    </row>
    <row r="6" spans="1:26" s="40" customFormat="1">
      <c r="B6" s="34" t="s">
        <v>3145</v>
      </c>
      <c r="C6" s="34"/>
      <c r="D6" s="40" t="s">
        <v>1873</v>
      </c>
      <c r="E6" s="40" t="s">
        <v>3736</v>
      </c>
      <c r="F6" s="40" t="s">
        <v>3853</v>
      </c>
      <c r="G6" s="40" t="s">
        <v>625</v>
      </c>
      <c r="I6" s="40" t="s">
        <v>3220</v>
      </c>
      <c r="J6" s="40" t="s">
        <v>623</v>
      </c>
      <c r="K6" s="40" t="s">
        <v>3158</v>
      </c>
      <c r="T6" s="40" t="s">
        <v>3221</v>
      </c>
      <c r="U6" s="44">
        <v>3200</v>
      </c>
      <c r="V6" s="40" t="s">
        <v>1873</v>
      </c>
      <c r="W6" s="38" t="s">
        <v>3867</v>
      </c>
      <c r="X6" s="38"/>
      <c r="Y6" s="34" t="s">
        <v>3203</v>
      </c>
    </row>
    <row r="7" spans="1:26" s="40" customFormat="1">
      <c r="A7" s="40" t="str">
        <f>E7&amp;"-"&amp;H7&amp;"-"&amp;SUBSTITUTE(Y7," ", "_")</f>
        <v>ID00003--Main_Consultation</v>
      </c>
      <c r="B7" s="34" t="s">
        <v>3145</v>
      </c>
      <c r="C7" s="34"/>
      <c r="D7" s="40" t="s">
        <v>3169</v>
      </c>
      <c r="E7" s="40" t="s">
        <v>3736</v>
      </c>
      <c r="F7" s="40" t="s">
        <v>3853</v>
      </c>
      <c r="G7" s="40" t="s">
        <v>625</v>
      </c>
      <c r="K7" s="40" t="s">
        <v>3158</v>
      </c>
      <c r="S7" s="40" t="s">
        <v>44</v>
      </c>
      <c r="T7" s="40" t="s">
        <v>3168</v>
      </c>
      <c r="U7" s="44">
        <v>63011</v>
      </c>
      <c r="V7" s="40" t="s">
        <v>3169</v>
      </c>
      <c r="W7" s="38" t="s">
        <v>3867</v>
      </c>
      <c r="X7" s="38" t="s">
        <v>414</v>
      </c>
      <c r="Y7" s="34" t="s">
        <v>3172</v>
      </c>
    </row>
    <row r="8" spans="1:26" s="40" customFormat="1">
      <c r="B8" s="34" t="s">
        <v>3145</v>
      </c>
      <c r="C8" s="34"/>
      <c r="D8" s="40" t="s">
        <v>1842</v>
      </c>
      <c r="E8" s="40" t="s">
        <v>3737</v>
      </c>
      <c r="F8" s="40" t="s">
        <v>3854</v>
      </c>
      <c r="G8" s="40" t="s">
        <v>625</v>
      </c>
      <c r="I8" s="40" t="s">
        <v>3216</v>
      </c>
      <c r="J8" s="40" t="s">
        <v>623</v>
      </c>
      <c r="K8" s="40" t="s">
        <v>3218</v>
      </c>
      <c r="L8" s="40" t="s">
        <v>3219</v>
      </c>
      <c r="T8" s="40" t="s">
        <v>3217</v>
      </c>
      <c r="U8" s="44">
        <v>26000</v>
      </c>
      <c r="V8" s="40" t="s">
        <v>1842</v>
      </c>
      <c r="W8" s="38" t="s">
        <v>3867</v>
      </c>
      <c r="X8" s="38"/>
      <c r="Y8" s="34" t="s">
        <v>3222</v>
      </c>
    </row>
    <row r="9" spans="1:26" s="40" customFormat="1">
      <c r="A9" s="40" t="str">
        <f>E9&amp;"-"&amp;H9&amp;"-"&amp;SUBSTITUTE(Y9," ", "_")</f>
        <v>ID00004--Main_Consultation</v>
      </c>
      <c r="B9" s="34" t="s">
        <v>3145</v>
      </c>
      <c r="C9" s="34"/>
      <c r="D9" s="40" t="s">
        <v>903</v>
      </c>
      <c r="E9" s="40" t="s">
        <v>3737</v>
      </c>
      <c r="F9" s="40" t="s">
        <v>3854</v>
      </c>
      <c r="G9" s="40" t="s">
        <v>625</v>
      </c>
      <c r="K9" s="40" t="s">
        <v>3192</v>
      </c>
      <c r="L9" s="40" t="s">
        <v>3193</v>
      </c>
      <c r="M9" s="40" t="s">
        <v>3194</v>
      </c>
      <c r="N9" s="40" t="s">
        <v>3195</v>
      </c>
      <c r="O9" s="40" t="s">
        <v>3196</v>
      </c>
      <c r="S9" s="40" t="s">
        <v>72</v>
      </c>
      <c r="T9" s="40" t="s">
        <v>3191</v>
      </c>
      <c r="U9" s="44">
        <v>69008</v>
      </c>
      <c r="V9" s="40" t="s">
        <v>903</v>
      </c>
      <c r="W9" s="38" t="s">
        <v>3867</v>
      </c>
      <c r="X9" s="45" t="s">
        <v>414</v>
      </c>
      <c r="Y9" s="34" t="s">
        <v>3172</v>
      </c>
    </row>
    <row r="10" spans="1:26" s="40" customFormat="1">
      <c r="A10" s="40" t="str">
        <f>E10&amp;"-"&amp;H10&amp;"-"&amp;SUBSTITUTE(Y10," ", "_")</f>
        <v>ID00005--Main_Consultation</v>
      </c>
      <c r="B10" s="34" t="s">
        <v>3145</v>
      </c>
      <c r="C10" s="34"/>
      <c r="D10" s="40" t="s">
        <v>3169</v>
      </c>
      <c r="E10" s="40" t="s">
        <v>3738</v>
      </c>
      <c r="F10" s="40" t="s">
        <v>3711</v>
      </c>
      <c r="G10" s="40" t="s">
        <v>3174</v>
      </c>
      <c r="K10" s="40" t="s">
        <v>3159</v>
      </c>
      <c r="S10" s="40" t="s">
        <v>3864</v>
      </c>
      <c r="T10" s="40" t="s">
        <v>3170</v>
      </c>
      <c r="U10" s="44">
        <v>63100</v>
      </c>
      <c r="V10" s="40" t="s">
        <v>3169</v>
      </c>
      <c r="W10" s="38" t="s">
        <v>3867</v>
      </c>
      <c r="X10" s="45" t="s">
        <v>414</v>
      </c>
      <c r="Y10" s="34" t="s">
        <v>3172</v>
      </c>
    </row>
    <row r="11" spans="1:26" s="40" customFormat="1">
      <c r="A11" s="40" t="str">
        <f>E11&amp;"-"&amp;H11&amp;"-"&amp;SUBSTITUTE(Y11," ", "_")</f>
        <v>ID00007--Main_Consultation</v>
      </c>
      <c r="B11" s="34" t="s">
        <v>3145</v>
      </c>
      <c r="C11" s="34"/>
      <c r="D11" s="40" t="s">
        <v>3211</v>
      </c>
      <c r="E11" s="40" t="s">
        <v>3739</v>
      </c>
      <c r="F11" s="40" t="s">
        <v>2987</v>
      </c>
      <c r="G11" s="40" t="s">
        <v>3174</v>
      </c>
      <c r="K11" s="40" t="s">
        <v>3210</v>
      </c>
      <c r="S11" s="40" t="s">
        <v>3865</v>
      </c>
      <c r="T11" s="34" t="s">
        <v>3208</v>
      </c>
      <c r="U11" s="36">
        <v>42270</v>
      </c>
      <c r="V11" s="40" t="s">
        <v>3209</v>
      </c>
      <c r="W11" s="38" t="s">
        <v>3867</v>
      </c>
      <c r="X11" s="45" t="s">
        <v>414</v>
      </c>
      <c r="Y11" s="34" t="s">
        <v>3172</v>
      </c>
    </row>
    <row r="12" spans="1:26" s="40" customFormat="1">
      <c r="A12" s="40" t="str">
        <f>E12&amp;"-"&amp;H12&amp;"-"&amp;SUBSTITUTE(Y12," ", "_")</f>
        <v>ID00008--Teleconsultation_of</v>
      </c>
      <c r="B12" s="34" t="s">
        <v>3145</v>
      </c>
      <c r="C12" s="34"/>
      <c r="D12" s="34" t="s">
        <v>3212</v>
      </c>
      <c r="E12" s="40" t="s">
        <v>3740</v>
      </c>
      <c r="F12" s="40" t="s">
        <v>3214</v>
      </c>
      <c r="G12" s="34" t="s">
        <v>3174</v>
      </c>
      <c r="I12" s="40" t="s">
        <v>3213</v>
      </c>
      <c r="J12" s="40" t="s">
        <v>623</v>
      </c>
      <c r="K12" s="40" t="s">
        <v>3149</v>
      </c>
      <c r="S12" s="40" t="s">
        <v>3241</v>
      </c>
      <c r="T12" s="40" t="s">
        <v>3242</v>
      </c>
      <c r="U12" s="44">
        <v>74200</v>
      </c>
      <c r="V12" s="34" t="s">
        <v>3212</v>
      </c>
      <c r="W12" s="38" t="s">
        <v>3867</v>
      </c>
      <c r="X12" s="38"/>
      <c r="Y12" s="34" t="s">
        <v>3204</v>
      </c>
    </row>
    <row r="13" spans="1:26" s="40" customFormat="1">
      <c r="A13" s="40" t="e">
        <f>#REF!&amp;"-"&amp;#REF!&amp;"-"&amp;SUBSTITUTE(Y13," ", "_")</f>
        <v>#REF!</v>
      </c>
      <c r="B13" s="34" t="s">
        <v>3145</v>
      </c>
      <c r="C13" s="34"/>
      <c r="D13" s="34" t="s">
        <v>2074</v>
      </c>
      <c r="E13" s="40" t="s">
        <v>3740</v>
      </c>
      <c r="F13" s="40" t="s">
        <v>1268</v>
      </c>
      <c r="G13" s="34" t="s">
        <v>3174</v>
      </c>
      <c r="I13" s="40" t="s">
        <v>3146</v>
      </c>
      <c r="J13" s="40" t="s">
        <v>623</v>
      </c>
      <c r="K13" s="34" t="s">
        <v>3149</v>
      </c>
      <c r="L13" s="34" t="s">
        <v>3150</v>
      </c>
      <c r="M13" s="34"/>
      <c r="N13" s="34"/>
      <c r="O13" s="34"/>
      <c r="P13" s="34"/>
      <c r="Q13" s="34"/>
      <c r="R13" s="34"/>
      <c r="S13" s="34"/>
      <c r="T13" s="34" t="s">
        <v>3147</v>
      </c>
      <c r="U13" s="36">
        <v>74370</v>
      </c>
      <c r="V13" s="34" t="s">
        <v>3148</v>
      </c>
      <c r="W13" s="38" t="s">
        <v>3867</v>
      </c>
      <c r="X13" s="38"/>
      <c r="Y13" s="34" t="s">
        <v>3203</v>
      </c>
    </row>
    <row r="14" spans="1:26" s="40" customFormat="1">
      <c r="B14" s="34" t="s">
        <v>3145</v>
      </c>
      <c r="C14" s="34"/>
      <c r="D14" s="40" t="s">
        <v>868</v>
      </c>
      <c r="E14" s="40" t="s">
        <v>3740</v>
      </c>
      <c r="F14" s="40" t="s">
        <v>3161</v>
      </c>
      <c r="G14" s="40" t="s">
        <v>3174</v>
      </c>
      <c r="K14" s="34" t="s">
        <v>3149</v>
      </c>
      <c r="L14" s="40" t="s">
        <v>3160</v>
      </c>
      <c r="T14" s="40" t="s">
        <v>3171</v>
      </c>
      <c r="U14" s="44">
        <v>38700</v>
      </c>
      <c r="V14" s="40" t="s">
        <v>2191</v>
      </c>
      <c r="W14" s="38" t="s">
        <v>3867</v>
      </c>
      <c r="X14" s="38"/>
      <c r="Y14" s="34" t="s">
        <v>3172</v>
      </c>
    </row>
    <row r="15" spans="1:26" s="40" customFormat="1">
      <c r="B15" s="34" t="s">
        <v>3145</v>
      </c>
      <c r="C15" s="34"/>
      <c r="D15" s="40" t="s">
        <v>903</v>
      </c>
      <c r="E15" s="40" t="s">
        <v>3741</v>
      </c>
      <c r="F15" s="40" t="s">
        <v>3186</v>
      </c>
      <c r="G15" s="40" t="s">
        <v>3201</v>
      </c>
      <c r="K15" s="40" t="s">
        <v>3183</v>
      </c>
      <c r="L15" s="40" t="s">
        <v>3184</v>
      </c>
      <c r="T15" s="40" t="s">
        <v>3187</v>
      </c>
      <c r="U15" s="44">
        <v>69500</v>
      </c>
      <c r="V15" s="40" t="s">
        <v>2169</v>
      </c>
      <c r="W15" s="38" t="s">
        <v>3867</v>
      </c>
      <c r="X15" s="38"/>
      <c r="Y15" s="34" t="s">
        <v>3172</v>
      </c>
    </row>
    <row r="16" spans="1:26" s="40" customFormat="1">
      <c r="B16" s="34" t="s">
        <v>3145</v>
      </c>
      <c r="C16" s="40" t="s">
        <v>59</v>
      </c>
      <c r="D16" s="40" t="s">
        <v>903</v>
      </c>
      <c r="E16" s="40" t="s">
        <v>3742</v>
      </c>
      <c r="F16" s="40" t="s">
        <v>3712</v>
      </c>
      <c r="G16" s="40" t="s">
        <v>3201</v>
      </c>
      <c r="I16" s="40" t="s">
        <v>2981</v>
      </c>
      <c r="J16" s="40" t="s">
        <v>3201</v>
      </c>
      <c r="K16" s="40" t="s">
        <v>63</v>
      </c>
      <c r="L16" s="40" t="s">
        <v>64</v>
      </c>
      <c r="S16" s="40" t="s">
        <v>61</v>
      </c>
      <c r="T16" s="40" t="s">
        <v>65</v>
      </c>
      <c r="U16" s="40">
        <v>69003</v>
      </c>
      <c r="V16" s="40" t="s">
        <v>66</v>
      </c>
      <c r="W16" s="50" t="s">
        <v>3867</v>
      </c>
      <c r="X16" s="50" t="s">
        <v>414</v>
      </c>
      <c r="Y16" s="34" t="s">
        <v>3172</v>
      </c>
    </row>
    <row r="17" spans="2:25" s="40" customFormat="1">
      <c r="B17" s="34" t="s">
        <v>3145</v>
      </c>
      <c r="C17" s="34"/>
      <c r="D17" s="40" t="s">
        <v>903</v>
      </c>
      <c r="E17" s="40" t="s">
        <v>3742</v>
      </c>
      <c r="F17" s="40" t="s">
        <v>3712</v>
      </c>
      <c r="G17" s="40" t="s">
        <v>3201</v>
      </c>
      <c r="K17" s="40" t="s">
        <v>3178</v>
      </c>
      <c r="L17" s="40" t="s">
        <v>3179</v>
      </c>
      <c r="S17" s="40" t="s">
        <v>3177</v>
      </c>
      <c r="T17" s="40" t="s">
        <v>3243</v>
      </c>
      <c r="U17" s="44">
        <v>69003</v>
      </c>
      <c r="V17" s="34" t="s">
        <v>903</v>
      </c>
      <c r="W17" s="38" t="s">
        <v>3867</v>
      </c>
      <c r="X17" s="50"/>
      <c r="Y17" s="34" t="s">
        <v>3172</v>
      </c>
    </row>
    <row r="18" spans="2:25" s="40" customFormat="1">
      <c r="B18" s="34" t="s">
        <v>3145</v>
      </c>
      <c r="C18" s="34"/>
      <c r="D18" s="40" t="s">
        <v>903</v>
      </c>
      <c r="E18" s="40" t="s">
        <v>3743</v>
      </c>
      <c r="F18" s="40" t="s">
        <v>3199</v>
      </c>
      <c r="G18" s="40" t="s">
        <v>3173</v>
      </c>
      <c r="K18" s="40" t="s">
        <v>3154</v>
      </c>
      <c r="T18" s="40" t="s">
        <v>3200</v>
      </c>
      <c r="U18" s="44">
        <v>69007</v>
      </c>
      <c r="V18" s="40" t="s">
        <v>903</v>
      </c>
      <c r="W18" s="38" t="s">
        <v>3867</v>
      </c>
      <c r="X18" s="38"/>
      <c r="Y18" s="34" t="s">
        <v>3172</v>
      </c>
    </row>
    <row r="19" spans="2:25" s="40" customFormat="1">
      <c r="B19" s="34" t="s">
        <v>3145</v>
      </c>
      <c r="C19" s="34"/>
      <c r="D19" s="34" t="s">
        <v>2345</v>
      </c>
      <c r="E19" s="40" t="s">
        <v>3744</v>
      </c>
      <c r="F19" s="34" t="s">
        <v>3822</v>
      </c>
      <c r="G19" s="40" t="s">
        <v>3173</v>
      </c>
      <c r="I19" s="40" t="s">
        <v>3152</v>
      </c>
      <c r="J19" s="40" t="s">
        <v>3173</v>
      </c>
      <c r="K19" s="40" t="s">
        <v>3154</v>
      </c>
      <c r="T19" s="40" t="s">
        <v>3153</v>
      </c>
      <c r="U19" s="44">
        <v>69400</v>
      </c>
      <c r="V19" s="40" t="s">
        <v>2345</v>
      </c>
      <c r="W19" s="38" t="s">
        <v>3867</v>
      </c>
      <c r="X19" s="38"/>
      <c r="Y19" s="34" t="s">
        <v>3203</v>
      </c>
    </row>
    <row r="20" spans="2:25" s="40" customFormat="1">
      <c r="B20" s="34" t="s">
        <v>3223</v>
      </c>
      <c r="C20" s="34"/>
      <c r="D20" s="34" t="s">
        <v>844</v>
      </c>
      <c r="E20" s="40" t="s">
        <v>3745</v>
      </c>
      <c r="F20" s="40" t="s">
        <v>3860</v>
      </c>
      <c r="G20" s="40" t="s">
        <v>625</v>
      </c>
      <c r="K20" s="40" t="s">
        <v>3226</v>
      </c>
      <c r="S20" s="40" t="s">
        <v>3868</v>
      </c>
      <c r="T20" s="40" t="s">
        <v>3238</v>
      </c>
      <c r="U20" s="44">
        <v>21000</v>
      </c>
      <c r="V20" s="40" t="s">
        <v>844</v>
      </c>
      <c r="W20" s="38" t="s">
        <v>3867</v>
      </c>
      <c r="X20" s="45" t="s">
        <v>414</v>
      </c>
      <c r="Y20" s="34" t="s">
        <v>3172</v>
      </c>
    </row>
    <row r="21" spans="2:25" s="40" customFormat="1">
      <c r="B21" s="34" t="s">
        <v>3223</v>
      </c>
      <c r="C21" s="34"/>
      <c r="D21" s="34" t="s">
        <v>3232</v>
      </c>
      <c r="E21" s="40" t="s">
        <v>3746</v>
      </c>
      <c r="F21" s="34" t="s">
        <v>3895</v>
      </c>
      <c r="G21" s="34" t="s">
        <v>3174</v>
      </c>
      <c r="I21" s="34"/>
      <c r="K21" s="34" t="s">
        <v>3230</v>
      </c>
      <c r="S21" s="40" t="s">
        <v>3228</v>
      </c>
      <c r="T21" s="40" t="s">
        <v>3231</v>
      </c>
      <c r="U21" s="44">
        <v>25030</v>
      </c>
      <c r="V21" s="40" t="s">
        <v>3232</v>
      </c>
      <c r="W21" s="38" t="s">
        <v>3867</v>
      </c>
      <c r="X21" s="38"/>
      <c r="Y21" s="34" t="s">
        <v>3172</v>
      </c>
    </row>
    <row r="22" spans="2:25" s="40" customFormat="1">
      <c r="B22" s="34" t="s">
        <v>3223</v>
      </c>
      <c r="C22" s="34"/>
      <c r="D22" s="40" t="s">
        <v>3247</v>
      </c>
      <c r="E22" s="40" t="s">
        <v>3747</v>
      </c>
      <c r="F22" s="40" t="s">
        <v>3248</v>
      </c>
      <c r="G22" s="34" t="s">
        <v>3174</v>
      </c>
      <c r="I22" s="40" t="s">
        <v>3249</v>
      </c>
      <c r="J22" s="40" t="s">
        <v>623</v>
      </c>
      <c r="K22" s="40" t="s">
        <v>3230</v>
      </c>
      <c r="S22" s="40" t="s">
        <v>3250</v>
      </c>
      <c r="T22" s="40" t="s">
        <v>3251</v>
      </c>
      <c r="U22" s="44">
        <v>25200</v>
      </c>
      <c r="V22" s="40" t="s">
        <v>3247</v>
      </c>
      <c r="W22" s="38" t="s">
        <v>3867</v>
      </c>
      <c r="X22" s="38"/>
      <c r="Y22" s="34" t="s">
        <v>3203</v>
      </c>
    </row>
    <row r="23" spans="2:25" s="40" customFormat="1">
      <c r="B23" s="34" t="s">
        <v>3223</v>
      </c>
      <c r="C23" s="34"/>
      <c r="D23" s="40" t="s">
        <v>1786</v>
      </c>
      <c r="E23" s="40" t="s">
        <v>3748</v>
      </c>
      <c r="F23" s="40" t="s">
        <v>3224</v>
      </c>
      <c r="I23" s="40" t="s">
        <v>3225</v>
      </c>
      <c r="J23" s="40" t="s">
        <v>623</v>
      </c>
      <c r="K23" s="40" t="s">
        <v>3226</v>
      </c>
      <c r="T23" s="40" t="s">
        <v>3227</v>
      </c>
      <c r="U23" s="44">
        <v>89000</v>
      </c>
      <c r="V23" s="40" t="s">
        <v>1786</v>
      </c>
      <c r="W23" s="38" t="s">
        <v>3867</v>
      </c>
      <c r="X23" s="38"/>
      <c r="Y23" s="34" t="s">
        <v>3203</v>
      </c>
    </row>
    <row r="24" spans="2:25" s="40" customFormat="1">
      <c r="B24" s="34" t="s">
        <v>3223</v>
      </c>
      <c r="C24" s="34"/>
      <c r="D24" s="34" t="s">
        <v>3244</v>
      </c>
      <c r="E24" s="40" t="s">
        <v>3748</v>
      </c>
      <c r="F24" s="40" t="s">
        <v>3224</v>
      </c>
      <c r="I24" s="34" t="s">
        <v>3245</v>
      </c>
      <c r="J24" s="40" t="s">
        <v>623</v>
      </c>
      <c r="K24" s="40" t="s">
        <v>3226</v>
      </c>
      <c r="T24" s="40" t="s">
        <v>3246</v>
      </c>
      <c r="U24" s="44">
        <v>71000</v>
      </c>
      <c r="V24" s="34" t="s">
        <v>3244</v>
      </c>
      <c r="W24" s="38" t="s">
        <v>3867</v>
      </c>
      <c r="X24" s="38"/>
      <c r="Y24" s="34" t="s">
        <v>3203</v>
      </c>
    </row>
    <row r="25" spans="2:25" s="40" customFormat="1">
      <c r="B25" s="34" t="s">
        <v>3223</v>
      </c>
      <c r="C25" s="34"/>
      <c r="D25" s="40" t="s">
        <v>3233</v>
      </c>
      <c r="E25" s="40" t="s">
        <v>3748</v>
      </c>
      <c r="F25" s="40" t="s">
        <v>3224</v>
      </c>
      <c r="I25" s="40" t="s">
        <v>3235</v>
      </c>
      <c r="J25" s="40" t="s">
        <v>623</v>
      </c>
      <c r="K25" s="40" t="s">
        <v>3226</v>
      </c>
      <c r="T25" s="40" t="s">
        <v>3234</v>
      </c>
      <c r="U25" s="44">
        <v>71321</v>
      </c>
      <c r="V25" s="40" t="s">
        <v>3233</v>
      </c>
      <c r="W25" s="38" t="s">
        <v>3867</v>
      </c>
      <c r="X25" s="38"/>
      <c r="Y25" s="34" t="s">
        <v>3203</v>
      </c>
    </row>
    <row r="26" spans="2:25" s="40" customFormat="1">
      <c r="B26" s="34" t="s">
        <v>3223</v>
      </c>
      <c r="C26" s="34"/>
      <c r="D26" s="34" t="s">
        <v>915</v>
      </c>
      <c r="E26" s="40" t="s">
        <v>3748</v>
      </c>
      <c r="F26" s="40" t="s">
        <v>3224</v>
      </c>
      <c r="I26" s="40" t="s">
        <v>3252</v>
      </c>
      <c r="J26" s="40" t="s">
        <v>623</v>
      </c>
      <c r="K26" s="40" t="s">
        <v>3226</v>
      </c>
      <c r="T26" s="40" t="s">
        <v>3253</v>
      </c>
      <c r="U26" s="44">
        <v>58000</v>
      </c>
      <c r="V26" s="40" t="s">
        <v>915</v>
      </c>
      <c r="W26" s="38" t="s">
        <v>3867</v>
      </c>
      <c r="X26" s="38"/>
      <c r="Y26" s="34" t="s">
        <v>3203</v>
      </c>
    </row>
    <row r="27" spans="2:25" s="40" customFormat="1">
      <c r="B27" s="34" t="s">
        <v>3223</v>
      </c>
      <c r="C27" s="34"/>
      <c r="D27" s="40" t="s">
        <v>844</v>
      </c>
      <c r="E27" s="40" t="s">
        <v>3749</v>
      </c>
      <c r="F27" s="40" t="s">
        <v>3236</v>
      </c>
      <c r="G27" s="40" t="s">
        <v>3174</v>
      </c>
      <c r="K27" s="40" t="s">
        <v>3226</v>
      </c>
      <c r="S27" s="40" t="s">
        <v>3237</v>
      </c>
      <c r="T27" s="34" t="s">
        <v>3239</v>
      </c>
      <c r="U27" s="44">
        <v>21000</v>
      </c>
      <c r="V27" s="40" t="s">
        <v>844</v>
      </c>
      <c r="W27" s="38" t="s">
        <v>3867</v>
      </c>
      <c r="X27" s="38"/>
      <c r="Y27" s="34" t="s">
        <v>3172</v>
      </c>
    </row>
    <row r="28" spans="2:25" s="40" customFormat="1">
      <c r="B28" s="34" t="s">
        <v>115</v>
      </c>
      <c r="C28" s="34"/>
      <c r="D28" s="34" t="s">
        <v>1702</v>
      </c>
      <c r="E28" s="40" t="s">
        <v>3750</v>
      </c>
      <c r="F28" s="34" t="s">
        <v>3861</v>
      </c>
      <c r="G28" s="34" t="s">
        <v>625</v>
      </c>
      <c r="K28" s="34" t="s">
        <v>3263</v>
      </c>
      <c r="L28" s="34" t="s">
        <v>3264</v>
      </c>
      <c r="M28" s="34" t="s">
        <v>3266</v>
      </c>
      <c r="N28" s="34" t="s">
        <v>3267</v>
      </c>
      <c r="T28" s="34" t="s">
        <v>2948</v>
      </c>
      <c r="U28" s="36">
        <v>35000</v>
      </c>
      <c r="V28" s="34" t="s">
        <v>1702</v>
      </c>
      <c r="W28" s="38" t="s">
        <v>3867</v>
      </c>
      <c r="X28" s="38"/>
      <c r="Y28" s="34" t="s">
        <v>3172</v>
      </c>
    </row>
    <row r="29" spans="2:25" s="40" customFormat="1">
      <c r="B29" s="34" t="s">
        <v>115</v>
      </c>
      <c r="C29" s="34"/>
      <c r="D29" s="34" t="s">
        <v>1945</v>
      </c>
      <c r="E29" s="40" t="s">
        <v>3751</v>
      </c>
      <c r="F29" s="34" t="s">
        <v>3272</v>
      </c>
      <c r="G29" s="34" t="s">
        <v>623</v>
      </c>
      <c r="K29" s="34" t="s">
        <v>3274</v>
      </c>
      <c r="T29" s="34" t="s">
        <v>3273</v>
      </c>
      <c r="U29" s="36">
        <v>56000</v>
      </c>
      <c r="V29" s="34" t="s">
        <v>1945</v>
      </c>
      <c r="W29" s="38" t="s">
        <v>3867</v>
      </c>
      <c r="X29" s="38"/>
      <c r="Y29" s="34" t="s">
        <v>3172</v>
      </c>
    </row>
    <row r="30" spans="2:25" s="40" customFormat="1">
      <c r="B30" s="34" t="s">
        <v>115</v>
      </c>
      <c r="C30" s="34"/>
      <c r="D30" s="34" t="s">
        <v>2128</v>
      </c>
      <c r="E30" s="40" t="s">
        <v>3752</v>
      </c>
      <c r="F30" s="34" t="s">
        <v>3256</v>
      </c>
      <c r="G30" s="34" t="s">
        <v>3174</v>
      </c>
      <c r="I30" s="34" t="s">
        <v>3257</v>
      </c>
      <c r="J30" s="40" t="s">
        <v>623</v>
      </c>
      <c r="K30" s="34" t="s">
        <v>3254</v>
      </c>
      <c r="T30" s="34" t="s">
        <v>3258</v>
      </c>
      <c r="U30" s="36">
        <v>56100</v>
      </c>
      <c r="V30" s="34" t="s">
        <v>2128</v>
      </c>
      <c r="W30" s="38" t="s">
        <v>3867</v>
      </c>
      <c r="X30" s="38"/>
      <c r="Y30" s="34" t="s">
        <v>3203</v>
      </c>
    </row>
    <row r="31" spans="2:25" s="40" customFormat="1">
      <c r="B31" s="34" t="s">
        <v>115</v>
      </c>
      <c r="C31" s="34"/>
      <c r="D31" s="34" t="s">
        <v>918</v>
      </c>
      <c r="E31" s="40" t="s">
        <v>3752</v>
      </c>
      <c r="F31" s="34" t="s">
        <v>3256</v>
      </c>
      <c r="G31" s="34" t="s">
        <v>3174</v>
      </c>
      <c r="I31" s="34" t="s">
        <v>3259</v>
      </c>
      <c r="J31" s="40" t="s">
        <v>623</v>
      </c>
      <c r="K31" s="34" t="s">
        <v>3255</v>
      </c>
      <c r="T31" s="34" t="s">
        <v>3260</v>
      </c>
      <c r="U31" s="36">
        <v>29107</v>
      </c>
      <c r="V31" s="34" t="s">
        <v>3261</v>
      </c>
      <c r="W31" s="38" t="s">
        <v>3867</v>
      </c>
      <c r="X31" s="38"/>
      <c r="Y31" s="34" t="s">
        <v>3203</v>
      </c>
    </row>
    <row r="32" spans="2:25" s="40" customFormat="1">
      <c r="B32" s="34" t="s">
        <v>115</v>
      </c>
      <c r="C32" s="40" t="s">
        <v>105</v>
      </c>
      <c r="E32" s="40" t="s">
        <v>3753</v>
      </c>
      <c r="F32" s="40" t="s">
        <v>3000</v>
      </c>
      <c r="G32" s="34" t="s">
        <v>3174</v>
      </c>
      <c r="J32" s="40" t="s">
        <v>3174</v>
      </c>
      <c r="K32" s="40" t="s">
        <v>110</v>
      </c>
      <c r="L32" s="40" t="s">
        <v>111</v>
      </c>
      <c r="M32" s="40" t="s">
        <v>112</v>
      </c>
      <c r="S32" s="40" t="s">
        <v>106</v>
      </c>
      <c r="T32" s="40" t="s">
        <v>108</v>
      </c>
      <c r="U32" s="36">
        <v>29200</v>
      </c>
      <c r="V32" s="40" t="s">
        <v>109</v>
      </c>
      <c r="W32" s="38" t="s">
        <v>3867</v>
      </c>
      <c r="X32" s="50" t="s">
        <v>414</v>
      </c>
      <c r="Y32" s="40" t="s">
        <v>3172</v>
      </c>
    </row>
    <row r="33" spans="2:25" s="40" customFormat="1">
      <c r="B33" s="34" t="s">
        <v>115</v>
      </c>
      <c r="C33" s="40" t="s">
        <v>105</v>
      </c>
      <c r="E33" s="40" t="s">
        <v>3753</v>
      </c>
      <c r="F33" s="40" t="s">
        <v>3000</v>
      </c>
      <c r="G33" s="34" t="s">
        <v>3174</v>
      </c>
      <c r="J33" s="40" t="s">
        <v>3174</v>
      </c>
      <c r="S33" s="40" t="s">
        <v>3869</v>
      </c>
      <c r="T33" s="40" t="s">
        <v>108</v>
      </c>
      <c r="U33" s="36">
        <v>29200</v>
      </c>
      <c r="V33" s="40" t="s">
        <v>109</v>
      </c>
      <c r="W33" s="38" t="s">
        <v>3867</v>
      </c>
      <c r="X33" s="50" t="s">
        <v>414</v>
      </c>
      <c r="Y33" s="40" t="s">
        <v>3172</v>
      </c>
    </row>
    <row r="34" spans="2:25" s="40" customFormat="1">
      <c r="B34" s="34" t="s">
        <v>115</v>
      </c>
      <c r="C34" s="34"/>
      <c r="D34" s="34" t="s">
        <v>1702</v>
      </c>
      <c r="E34" s="40" t="s">
        <v>3754</v>
      </c>
      <c r="F34" s="34" t="s">
        <v>120</v>
      </c>
      <c r="G34" s="34" t="s">
        <v>3174</v>
      </c>
      <c r="K34" s="34" t="s">
        <v>3263</v>
      </c>
      <c r="L34" s="34" t="s">
        <v>3264</v>
      </c>
      <c r="M34" s="34" t="s">
        <v>3265</v>
      </c>
      <c r="T34" s="34" t="s">
        <v>123</v>
      </c>
      <c r="U34" s="36">
        <v>35033</v>
      </c>
      <c r="V34" s="34" t="s">
        <v>3262</v>
      </c>
      <c r="W34" s="38" t="s">
        <v>3867</v>
      </c>
      <c r="X34" s="38"/>
      <c r="Y34" s="34" t="s">
        <v>3172</v>
      </c>
    </row>
    <row r="35" spans="2:25" s="40" customFormat="1">
      <c r="B35" s="34" t="s">
        <v>115</v>
      </c>
      <c r="C35" s="34"/>
      <c r="D35" s="34" t="s">
        <v>3268</v>
      </c>
      <c r="E35" s="40" t="s">
        <v>3755</v>
      </c>
      <c r="F35" s="34" t="s">
        <v>3269</v>
      </c>
      <c r="I35" s="34" t="s">
        <v>3270</v>
      </c>
      <c r="J35" s="40" t="s">
        <v>623</v>
      </c>
      <c r="K35" s="34" t="s">
        <v>3264</v>
      </c>
      <c r="T35" s="34" t="s">
        <v>3271</v>
      </c>
      <c r="U35" s="36">
        <v>22000</v>
      </c>
      <c r="V35" s="34" t="s">
        <v>3268</v>
      </c>
      <c r="W35" s="38" t="s">
        <v>3867</v>
      </c>
      <c r="X35" s="38"/>
      <c r="Y35" s="34" t="s">
        <v>3203</v>
      </c>
    </row>
    <row r="36" spans="2:25" s="40" customFormat="1">
      <c r="B36" s="34" t="s">
        <v>3275</v>
      </c>
      <c r="C36" s="34"/>
      <c r="D36" s="40" t="s">
        <v>1759</v>
      </c>
      <c r="E36" s="40" t="s">
        <v>3756</v>
      </c>
      <c r="F36" s="40" t="s">
        <v>3277</v>
      </c>
      <c r="G36" s="34" t="s">
        <v>3174</v>
      </c>
      <c r="I36" s="34" t="s">
        <v>3279</v>
      </c>
      <c r="J36" s="40" t="s">
        <v>623</v>
      </c>
      <c r="K36" s="34" t="s">
        <v>3280</v>
      </c>
      <c r="S36" s="34" t="s">
        <v>3283</v>
      </c>
      <c r="T36" s="34" t="s">
        <v>3282</v>
      </c>
      <c r="U36" s="36">
        <v>18000</v>
      </c>
      <c r="V36" s="34" t="s">
        <v>1759</v>
      </c>
      <c r="W36" s="38" t="s">
        <v>3867</v>
      </c>
      <c r="X36" s="38"/>
      <c r="Y36" s="34" t="s">
        <v>3203</v>
      </c>
    </row>
    <row r="37" spans="2:25" s="40" customFormat="1">
      <c r="B37" s="34" t="s">
        <v>3275</v>
      </c>
      <c r="C37" s="34"/>
      <c r="D37" s="34" t="s">
        <v>3276</v>
      </c>
      <c r="E37" s="40" t="s">
        <v>3756</v>
      </c>
      <c r="F37" s="34" t="s">
        <v>3277</v>
      </c>
      <c r="G37" s="34" t="s">
        <v>3174</v>
      </c>
      <c r="I37" s="34" t="s">
        <v>1250</v>
      </c>
      <c r="J37" s="40" t="s">
        <v>3174</v>
      </c>
      <c r="K37" s="34" t="s">
        <v>3281</v>
      </c>
      <c r="T37" s="34" t="s">
        <v>3284</v>
      </c>
      <c r="U37" s="36">
        <v>45100</v>
      </c>
      <c r="V37" s="34" t="s">
        <v>3276</v>
      </c>
      <c r="W37" s="38" t="s">
        <v>3867</v>
      </c>
      <c r="X37" s="38"/>
      <c r="Y37" s="34" t="s">
        <v>3203</v>
      </c>
    </row>
    <row r="38" spans="2:25" s="40" customFormat="1">
      <c r="B38" s="34" t="s">
        <v>3275</v>
      </c>
      <c r="C38" s="34"/>
      <c r="D38" s="34" t="s">
        <v>818</v>
      </c>
      <c r="E38" s="40" t="s">
        <v>3757</v>
      </c>
      <c r="F38" s="34" t="s">
        <v>3278</v>
      </c>
      <c r="G38" s="40" t="s">
        <v>3174</v>
      </c>
      <c r="K38" s="34" t="s">
        <v>3280</v>
      </c>
      <c r="L38" s="34" t="s">
        <v>3281</v>
      </c>
      <c r="S38" s="34" t="s">
        <v>3286</v>
      </c>
      <c r="T38" s="34" t="s">
        <v>3285</v>
      </c>
      <c r="U38" s="36">
        <v>37000</v>
      </c>
      <c r="V38" s="34" t="s">
        <v>818</v>
      </c>
      <c r="W38" s="38" t="s">
        <v>3867</v>
      </c>
      <c r="X38" s="38"/>
      <c r="Y38" s="34" t="s">
        <v>3172</v>
      </c>
    </row>
    <row r="39" spans="2:25" s="40" customFormat="1">
      <c r="B39" s="34" t="s">
        <v>3287</v>
      </c>
      <c r="C39" s="34"/>
      <c r="D39" s="34" t="s">
        <v>1733</v>
      </c>
      <c r="E39" s="40" t="s">
        <v>3758</v>
      </c>
      <c r="F39" s="34" t="s">
        <v>3328</v>
      </c>
      <c r="G39" s="34" t="s">
        <v>623</v>
      </c>
      <c r="K39" s="34" t="s">
        <v>3330</v>
      </c>
      <c r="T39" s="34" t="s">
        <v>3341</v>
      </c>
      <c r="U39" s="36">
        <v>10003</v>
      </c>
      <c r="V39" s="34" t="s">
        <v>1733</v>
      </c>
      <c r="W39" s="38" t="s">
        <v>3867</v>
      </c>
      <c r="X39" s="38"/>
      <c r="Y39" s="34" t="s">
        <v>3172</v>
      </c>
    </row>
    <row r="40" spans="2:25" s="40" customFormat="1">
      <c r="B40" s="34" t="s">
        <v>3287</v>
      </c>
      <c r="C40" s="34"/>
      <c r="D40" s="34" t="s">
        <v>1921</v>
      </c>
      <c r="E40" s="40" t="s">
        <v>3759</v>
      </c>
      <c r="F40" s="34" t="s">
        <v>3321</v>
      </c>
      <c r="G40" s="40" t="s">
        <v>623</v>
      </c>
      <c r="I40" s="34" t="s">
        <v>3323</v>
      </c>
      <c r="J40" s="40" t="s">
        <v>623</v>
      </c>
      <c r="K40" s="34" t="s">
        <v>3330</v>
      </c>
      <c r="T40" s="34" t="s">
        <v>3337</v>
      </c>
      <c r="U40" s="36">
        <v>89100</v>
      </c>
      <c r="V40" s="34" t="s">
        <v>3339</v>
      </c>
      <c r="W40" s="38" t="s">
        <v>3867</v>
      </c>
      <c r="X40" s="38"/>
      <c r="Y40" s="34" t="s">
        <v>3203</v>
      </c>
    </row>
    <row r="41" spans="2:25" s="40" customFormat="1">
      <c r="B41" s="34" t="s">
        <v>3287</v>
      </c>
      <c r="C41" s="34"/>
      <c r="D41" s="34" t="s">
        <v>1915</v>
      </c>
      <c r="E41" s="40" t="s">
        <v>3760</v>
      </c>
      <c r="F41" s="34" t="s">
        <v>3320</v>
      </c>
      <c r="G41" s="40" t="s">
        <v>3307</v>
      </c>
      <c r="I41" s="34" t="s">
        <v>3322</v>
      </c>
      <c r="J41" s="40" t="s">
        <v>623</v>
      </c>
      <c r="K41" s="34" t="s">
        <v>3291</v>
      </c>
      <c r="T41" s="34" t="s">
        <v>3336</v>
      </c>
      <c r="U41" s="36">
        <v>57400</v>
      </c>
      <c r="V41" s="34" t="s">
        <v>1915</v>
      </c>
      <c r="W41" s="38" t="s">
        <v>3867</v>
      </c>
      <c r="X41" s="38"/>
      <c r="Y41" s="34" t="s">
        <v>3203</v>
      </c>
    </row>
    <row r="42" spans="2:25" s="40" customFormat="1">
      <c r="B42" s="34" t="s">
        <v>3287</v>
      </c>
      <c r="C42" s="34"/>
      <c r="D42" s="34" t="s">
        <v>2149</v>
      </c>
      <c r="E42" s="40" t="s">
        <v>3760</v>
      </c>
      <c r="F42" s="34" t="s">
        <v>3320</v>
      </c>
      <c r="G42" s="40" t="s">
        <v>3307</v>
      </c>
      <c r="I42" s="34" t="s">
        <v>3327</v>
      </c>
      <c r="J42" s="40" t="s">
        <v>3307</v>
      </c>
      <c r="K42" s="34" t="s">
        <v>3291</v>
      </c>
      <c r="T42" s="34" t="s">
        <v>3340</v>
      </c>
      <c r="U42" s="36">
        <v>57100</v>
      </c>
      <c r="V42" s="34" t="s">
        <v>2149</v>
      </c>
      <c r="W42" s="38" t="s">
        <v>3867</v>
      </c>
      <c r="X42" s="38"/>
      <c r="Y42" s="34" t="s">
        <v>3203</v>
      </c>
    </row>
    <row r="43" spans="2:25" s="40" customFormat="1">
      <c r="B43" s="34" t="s">
        <v>3287</v>
      </c>
      <c r="C43" s="34"/>
      <c r="D43" s="34" t="s">
        <v>924</v>
      </c>
      <c r="E43" s="40" t="s">
        <v>3761</v>
      </c>
      <c r="F43" s="34" t="s">
        <v>3288</v>
      </c>
      <c r="G43" s="34" t="s">
        <v>3174</v>
      </c>
      <c r="I43" s="34" t="s">
        <v>3325</v>
      </c>
      <c r="J43" s="40" t="s">
        <v>623</v>
      </c>
      <c r="K43" s="34" t="s">
        <v>3289</v>
      </c>
      <c r="L43" s="34" t="s">
        <v>3290</v>
      </c>
      <c r="T43" s="34" t="s">
        <v>3309</v>
      </c>
      <c r="U43" s="36">
        <v>68024</v>
      </c>
      <c r="V43" s="34" t="s">
        <v>924</v>
      </c>
      <c r="W43" s="38" t="s">
        <v>3867</v>
      </c>
      <c r="X43" s="38"/>
      <c r="Y43" s="34" t="s">
        <v>3222</v>
      </c>
    </row>
    <row r="44" spans="2:25" s="40" customFormat="1">
      <c r="B44" s="34" t="s">
        <v>3287</v>
      </c>
      <c r="C44" s="34"/>
      <c r="D44" s="34" t="s">
        <v>1992</v>
      </c>
      <c r="E44" s="40" t="s">
        <v>3762</v>
      </c>
      <c r="F44" s="34" t="s">
        <v>3297</v>
      </c>
      <c r="G44" s="40" t="s">
        <v>3308</v>
      </c>
      <c r="K44" s="34" t="s">
        <v>3298</v>
      </c>
      <c r="L44" s="34" t="s">
        <v>3299</v>
      </c>
      <c r="M44" s="34" t="s">
        <v>3300</v>
      </c>
      <c r="N44" s="34" t="s">
        <v>3301</v>
      </c>
      <c r="S44" s="34" t="s">
        <v>3316</v>
      </c>
      <c r="T44" s="34" t="s">
        <v>3317</v>
      </c>
      <c r="U44" s="36">
        <v>54500</v>
      </c>
      <c r="V44" s="34" t="s">
        <v>3315</v>
      </c>
      <c r="W44" s="38" t="s">
        <v>3867</v>
      </c>
      <c r="X44" s="38"/>
      <c r="Y44" s="34" t="s">
        <v>3172</v>
      </c>
    </row>
    <row r="45" spans="2:25" s="40" customFormat="1">
      <c r="B45" s="34" t="s">
        <v>3287</v>
      </c>
      <c r="C45" s="34"/>
      <c r="D45" s="34" t="s">
        <v>2163</v>
      </c>
      <c r="E45" s="40" t="s">
        <v>3763</v>
      </c>
      <c r="F45" s="34" t="s">
        <v>3293</v>
      </c>
      <c r="G45" s="40" t="s">
        <v>623</v>
      </c>
      <c r="K45" s="34" t="s">
        <v>3294</v>
      </c>
      <c r="T45" s="34" t="s">
        <v>3313</v>
      </c>
      <c r="U45" s="36">
        <v>68100</v>
      </c>
      <c r="V45" s="34" t="s">
        <v>2163</v>
      </c>
      <c r="W45" s="38" t="s">
        <v>3867</v>
      </c>
      <c r="X45" s="38"/>
      <c r="Y45" s="34" t="s">
        <v>3172</v>
      </c>
    </row>
    <row r="46" spans="2:25" s="40" customFormat="1">
      <c r="B46" s="34" t="s">
        <v>3287</v>
      </c>
      <c r="C46" s="34"/>
      <c r="D46" s="34" t="s">
        <v>2271</v>
      </c>
      <c r="E46" s="40" t="s">
        <v>3764</v>
      </c>
      <c r="F46" s="34" t="s">
        <v>3292</v>
      </c>
      <c r="G46" s="40" t="s">
        <v>3307</v>
      </c>
      <c r="K46" s="34" t="s">
        <v>3291</v>
      </c>
      <c r="S46" s="34" t="s">
        <v>3310</v>
      </c>
      <c r="T46" s="34" t="s">
        <v>3311</v>
      </c>
      <c r="U46" s="36">
        <v>57245</v>
      </c>
      <c r="V46" s="34" t="s">
        <v>3312</v>
      </c>
      <c r="W46" s="38" t="s">
        <v>3867</v>
      </c>
      <c r="X46" s="38"/>
      <c r="Y46" s="34" t="s">
        <v>3172</v>
      </c>
    </row>
    <row r="47" spans="2:25" s="40" customFormat="1">
      <c r="B47" s="34" t="s">
        <v>3287</v>
      </c>
      <c r="C47" s="34"/>
      <c r="D47" s="34" t="s">
        <v>880</v>
      </c>
      <c r="E47" s="40" t="s">
        <v>3765</v>
      </c>
      <c r="F47" s="34" t="s">
        <v>3304</v>
      </c>
      <c r="G47" s="40" t="s">
        <v>3174</v>
      </c>
      <c r="K47" s="34" t="s">
        <v>3305</v>
      </c>
      <c r="L47" s="34" t="s">
        <v>3306</v>
      </c>
      <c r="T47" s="34" t="s">
        <v>146</v>
      </c>
      <c r="U47" s="36">
        <v>51100</v>
      </c>
      <c r="V47" s="34" t="s">
        <v>880</v>
      </c>
      <c r="W47" s="38" t="s">
        <v>3867</v>
      </c>
      <c r="X47" s="38"/>
      <c r="Y47" s="34" t="s">
        <v>3172</v>
      </c>
    </row>
    <row r="48" spans="2:25" s="40" customFormat="1">
      <c r="B48" s="34" t="s">
        <v>3287</v>
      </c>
      <c r="C48" s="34"/>
      <c r="D48" s="34" t="s">
        <v>2056</v>
      </c>
      <c r="E48" s="40" t="s">
        <v>3766</v>
      </c>
      <c r="F48" s="34" t="s">
        <v>3324</v>
      </c>
      <c r="G48" s="34" t="s">
        <v>3174</v>
      </c>
      <c r="K48" s="34" t="s">
        <v>3331</v>
      </c>
      <c r="L48" s="34" t="s">
        <v>3332</v>
      </c>
      <c r="M48" s="34" t="s">
        <v>3333</v>
      </c>
      <c r="T48" s="34" t="s">
        <v>3338</v>
      </c>
      <c r="U48" s="36">
        <v>67000</v>
      </c>
      <c r="V48" s="34" t="s">
        <v>2056</v>
      </c>
      <c r="W48" s="38" t="s">
        <v>3867</v>
      </c>
      <c r="X48" s="38"/>
      <c r="Y48" s="34" t="s">
        <v>3172</v>
      </c>
    </row>
    <row r="49" spans="2:25" s="40" customFormat="1">
      <c r="B49" s="34" t="s">
        <v>3287</v>
      </c>
      <c r="C49" s="34"/>
      <c r="D49" s="34" t="s">
        <v>1992</v>
      </c>
      <c r="E49" s="40" t="s">
        <v>3767</v>
      </c>
      <c r="F49" s="34" t="s">
        <v>3733</v>
      </c>
      <c r="G49" s="40" t="s">
        <v>625</v>
      </c>
      <c r="K49" s="34" t="s">
        <v>3295</v>
      </c>
      <c r="T49" s="34" t="s">
        <v>3314</v>
      </c>
      <c r="U49" s="36">
        <v>54519</v>
      </c>
      <c r="V49" s="34" t="s">
        <v>3315</v>
      </c>
      <c r="W49" s="38" t="s">
        <v>3867</v>
      </c>
      <c r="X49" s="38"/>
      <c r="Y49" s="34" t="s">
        <v>3172</v>
      </c>
    </row>
    <row r="50" spans="2:25" s="40" customFormat="1">
      <c r="B50" s="34" t="s">
        <v>3287</v>
      </c>
      <c r="C50" s="34"/>
      <c r="D50" s="34" t="s">
        <v>2056</v>
      </c>
      <c r="E50" s="40" t="s">
        <v>3768</v>
      </c>
      <c r="F50" s="34" t="s">
        <v>3734</v>
      </c>
      <c r="G50" s="34" t="s">
        <v>625</v>
      </c>
      <c r="K50" s="34" t="s">
        <v>3334</v>
      </c>
      <c r="T50" s="34" t="s">
        <v>2950</v>
      </c>
      <c r="U50" s="36">
        <v>67000</v>
      </c>
      <c r="V50" s="34" t="s">
        <v>2056</v>
      </c>
      <c r="W50" s="38" t="s">
        <v>3867</v>
      </c>
      <c r="X50" s="38"/>
      <c r="Y50" s="34" t="s">
        <v>3172</v>
      </c>
    </row>
    <row r="51" spans="2:25" s="40" customFormat="1">
      <c r="B51" s="34" t="s">
        <v>3287</v>
      </c>
      <c r="C51" s="34"/>
      <c r="D51" s="34" t="s">
        <v>880</v>
      </c>
      <c r="E51" s="40" t="s">
        <v>3769</v>
      </c>
      <c r="F51" s="34" t="s">
        <v>3302</v>
      </c>
      <c r="G51" s="40" t="s">
        <v>625</v>
      </c>
      <c r="K51" s="34" t="s">
        <v>3303</v>
      </c>
      <c r="S51" s="40" t="s">
        <v>152</v>
      </c>
      <c r="T51" s="34" t="s">
        <v>3318</v>
      </c>
      <c r="U51" s="36">
        <v>51100</v>
      </c>
      <c r="V51" s="34" t="s">
        <v>880</v>
      </c>
      <c r="W51" s="38" t="s">
        <v>3867</v>
      </c>
      <c r="X51" s="45" t="s">
        <v>414</v>
      </c>
      <c r="Y51" s="34" t="s">
        <v>3172</v>
      </c>
    </row>
    <row r="52" spans="2:25" s="40" customFormat="1">
      <c r="B52" s="34" t="s">
        <v>3287</v>
      </c>
      <c r="C52" s="34"/>
      <c r="D52" s="34" t="s">
        <v>880</v>
      </c>
      <c r="E52" s="40" t="s">
        <v>3770</v>
      </c>
      <c r="F52" s="34" t="s">
        <v>3319</v>
      </c>
      <c r="G52" s="40" t="s">
        <v>3173</v>
      </c>
      <c r="K52" s="34" t="s">
        <v>3329</v>
      </c>
      <c r="T52" s="34" t="s">
        <v>3335</v>
      </c>
      <c r="U52" s="36">
        <v>51100</v>
      </c>
      <c r="V52" s="34" t="s">
        <v>880</v>
      </c>
      <c r="W52" s="38" t="s">
        <v>3867</v>
      </c>
      <c r="X52" s="38"/>
      <c r="Y52" s="34" t="s">
        <v>3172</v>
      </c>
    </row>
    <row r="53" spans="2:25" s="40" customFormat="1">
      <c r="B53" s="34" t="s">
        <v>736</v>
      </c>
      <c r="C53" s="34"/>
      <c r="D53" s="34" t="s">
        <v>3683</v>
      </c>
      <c r="E53" s="40" t="s">
        <v>3771</v>
      </c>
      <c r="F53" s="34" t="s">
        <v>3682</v>
      </c>
      <c r="G53" s="34" t="s">
        <v>3174</v>
      </c>
      <c r="I53" s="34" t="s">
        <v>3692</v>
      </c>
      <c r="J53" s="40" t="s">
        <v>623</v>
      </c>
      <c r="K53" s="34" t="s">
        <v>3688</v>
      </c>
      <c r="T53" s="34" t="s">
        <v>3693</v>
      </c>
      <c r="U53" s="36">
        <v>97150</v>
      </c>
      <c r="V53" s="34" t="s">
        <v>3683</v>
      </c>
      <c r="W53" s="38" t="s">
        <v>3867</v>
      </c>
      <c r="X53" s="38"/>
      <c r="Y53" s="34" t="s">
        <v>3203</v>
      </c>
    </row>
    <row r="54" spans="2:25" s="40" customFormat="1">
      <c r="B54" s="34" t="s">
        <v>736</v>
      </c>
      <c r="C54" s="34"/>
      <c r="D54" s="34" t="s">
        <v>3681</v>
      </c>
      <c r="E54" s="40" t="s">
        <v>3771</v>
      </c>
      <c r="F54" s="34" t="s">
        <v>3682</v>
      </c>
      <c r="G54" s="34" t="s">
        <v>3174</v>
      </c>
      <c r="K54" s="34" t="s">
        <v>3688</v>
      </c>
      <c r="L54" s="34" t="s">
        <v>3689</v>
      </c>
      <c r="S54" s="40" t="s">
        <v>3691</v>
      </c>
      <c r="T54" s="34" t="s">
        <v>3690</v>
      </c>
      <c r="U54" s="36">
        <v>97159</v>
      </c>
      <c r="V54" s="34" t="s">
        <v>3681</v>
      </c>
      <c r="W54" s="38" t="s">
        <v>3867</v>
      </c>
      <c r="X54" s="38"/>
      <c r="Y54" s="34" t="s">
        <v>3172</v>
      </c>
    </row>
    <row r="55" spans="2:25" s="40" customFormat="1">
      <c r="B55" s="34" t="s">
        <v>3342</v>
      </c>
      <c r="C55" s="34"/>
      <c r="D55" s="34" t="s">
        <v>871</v>
      </c>
      <c r="E55" s="40" t="s">
        <v>3772</v>
      </c>
      <c r="F55" s="34" t="s">
        <v>3859</v>
      </c>
      <c r="G55" s="40" t="s">
        <v>625</v>
      </c>
      <c r="K55" s="34" t="s">
        <v>3376</v>
      </c>
      <c r="L55" s="34" t="s">
        <v>3360</v>
      </c>
      <c r="T55" s="34" t="s">
        <v>3371</v>
      </c>
      <c r="U55" s="36">
        <v>59000</v>
      </c>
      <c r="V55" s="34" t="s">
        <v>871</v>
      </c>
      <c r="W55" s="38" t="s">
        <v>3867</v>
      </c>
      <c r="X55" s="38"/>
      <c r="Y55" s="34" t="s">
        <v>3172</v>
      </c>
    </row>
    <row r="56" spans="2:25" s="40" customFormat="1">
      <c r="B56" s="34" t="s">
        <v>3342</v>
      </c>
      <c r="C56" s="34"/>
      <c r="D56" s="34" t="s">
        <v>840</v>
      </c>
      <c r="E56" s="40" t="s">
        <v>3773</v>
      </c>
      <c r="F56" s="34" t="s">
        <v>3343</v>
      </c>
      <c r="G56" s="34" t="s">
        <v>3174</v>
      </c>
      <c r="K56" s="34" t="s">
        <v>3365</v>
      </c>
      <c r="L56" s="34" t="s">
        <v>3366</v>
      </c>
      <c r="S56" s="34" t="s">
        <v>3361</v>
      </c>
      <c r="T56" s="34" t="s">
        <v>3362</v>
      </c>
      <c r="U56" s="36">
        <v>80054</v>
      </c>
      <c r="V56" s="34" t="s">
        <v>3363</v>
      </c>
      <c r="W56" s="38" t="s">
        <v>3867</v>
      </c>
      <c r="X56" s="38"/>
      <c r="Y56" s="34" t="s">
        <v>3172</v>
      </c>
    </row>
    <row r="57" spans="2:25" s="40" customFormat="1">
      <c r="B57" s="34" t="s">
        <v>3342</v>
      </c>
      <c r="C57" s="34"/>
      <c r="D57" s="34" t="s">
        <v>929</v>
      </c>
      <c r="E57" s="40" t="s">
        <v>3774</v>
      </c>
      <c r="F57" s="34" t="s">
        <v>3344</v>
      </c>
      <c r="G57" s="34" t="s">
        <v>3174</v>
      </c>
      <c r="I57" s="34" t="s">
        <v>3345</v>
      </c>
      <c r="J57" s="40" t="s">
        <v>623</v>
      </c>
      <c r="K57" s="34" t="s">
        <v>3360</v>
      </c>
      <c r="T57" s="34" t="s">
        <v>3364</v>
      </c>
      <c r="U57" s="36">
        <v>62000</v>
      </c>
      <c r="V57" s="34" t="s">
        <v>929</v>
      </c>
      <c r="W57" s="38" t="s">
        <v>3867</v>
      </c>
      <c r="X57" s="38"/>
      <c r="Y57" s="34" t="s">
        <v>3203</v>
      </c>
    </row>
    <row r="58" spans="2:25" s="40" customFormat="1">
      <c r="B58" s="34" t="s">
        <v>3342</v>
      </c>
      <c r="C58" s="34"/>
      <c r="D58" s="34" t="s">
        <v>3346</v>
      </c>
      <c r="E58" s="40" t="s">
        <v>3774</v>
      </c>
      <c r="F58" s="34" t="s">
        <v>3344</v>
      </c>
      <c r="G58" s="34" t="s">
        <v>3174</v>
      </c>
      <c r="I58" s="34" t="s">
        <v>3347</v>
      </c>
      <c r="J58" s="40" t="s">
        <v>623</v>
      </c>
      <c r="K58" s="34" t="s">
        <v>3360</v>
      </c>
      <c r="T58" s="34" t="s">
        <v>3367</v>
      </c>
      <c r="U58" s="36">
        <v>62200</v>
      </c>
      <c r="V58" s="34" t="s">
        <v>3346</v>
      </c>
      <c r="W58" s="38" t="s">
        <v>3867</v>
      </c>
      <c r="X58" s="38"/>
      <c r="Y58" s="34" t="s">
        <v>3203</v>
      </c>
    </row>
    <row r="59" spans="2:25" s="40" customFormat="1">
      <c r="B59" s="34" t="s">
        <v>3342</v>
      </c>
      <c r="C59" s="34"/>
      <c r="D59" s="34" t="s">
        <v>1857</v>
      </c>
      <c r="E59" s="40" t="s">
        <v>3774</v>
      </c>
      <c r="F59" s="34" t="s">
        <v>3344</v>
      </c>
      <c r="G59" s="34" t="s">
        <v>3174</v>
      </c>
      <c r="I59" s="34" t="s">
        <v>3348</v>
      </c>
      <c r="J59" s="40" t="s">
        <v>623</v>
      </c>
      <c r="K59" s="34" t="s">
        <v>3357</v>
      </c>
      <c r="T59" s="34" t="s">
        <v>3368</v>
      </c>
      <c r="U59" s="36">
        <v>59240</v>
      </c>
      <c r="V59" s="34" t="s">
        <v>1857</v>
      </c>
      <c r="W59" s="38" t="s">
        <v>3867</v>
      </c>
      <c r="X59" s="38"/>
      <c r="Y59" s="34" t="s">
        <v>3203</v>
      </c>
    </row>
    <row r="60" spans="2:25" s="40" customFormat="1">
      <c r="B60" s="34" t="s">
        <v>3342</v>
      </c>
      <c r="C60" s="34"/>
      <c r="D60" s="34" t="s">
        <v>3349</v>
      </c>
      <c r="E60" s="40" t="s">
        <v>3774</v>
      </c>
      <c r="F60" s="34" t="s">
        <v>3344</v>
      </c>
      <c r="G60" s="34" t="s">
        <v>3174</v>
      </c>
      <c r="I60" s="34" t="s">
        <v>3350</v>
      </c>
      <c r="J60" s="40" t="s">
        <v>623</v>
      </c>
      <c r="K60" s="34" t="s">
        <v>3357</v>
      </c>
      <c r="T60" s="34" t="s">
        <v>3369</v>
      </c>
      <c r="U60" s="36">
        <v>59610</v>
      </c>
      <c r="V60" s="34" t="s">
        <v>3349</v>
      </c>
      <c r="W60" s="38" t="s">
        <v>3867</v>
      </c>
      <c r="X60" s="38"/>
      <c r="Y60" s="34" t="s">
        <v>3204</v>
      </c>
    </row>
    <row r="61" spans="2:25" s="40" customFormat="1">
      <c r="B61" s="34" t="s">
        <v>3342</v>
      </c>
      <c r="C61" s="34"/>
      <c r="D61" s="34" t="s">
        <v>935</v>
      </c>
      <c r="E61" s="40" t="s">
        <v>3774</v>
      </c>
      <c r="F61" s="34" t="s">
        <v>3344</v>
      </c>
      <c r="G61" s="34" t="s">
        <v>3174</v>
      </c>
      <c r="I61" s="34" t="s">
        <v>3351</v>
      </c>
      <c r="J61" s="40" t="s">
        <v>623</v>
      </c>
      <c r="K61" s="34" t="s">
        <v>3360</v>
      </c>
      <c r="T61" s="34" t="s">
        <v>3370</v>
      </c>
      <c r="U61" s="36">
        <v>62300</v>
      </c>
      <c r="V61" s="34" t="s">
        <v>935</v>
      </c>
      <c r="W61" s="38" t="s">
        <v>3867</v>
      </c>
      <c r="X61" s="38"/>
      <c r="Y61" s="34" t="s">
        <v>3203</v>
      </c>
    </row>
    <row r="62" spans="2:25" s="40" customFormat="1">
      <c r="B62" s="34" t="s">
        <v>3342</v>
      </c>
      <c r="C62" s="34"/>
      <c r="D62" s="34" t="s">
        <v>1934</v>
      </c>
      <c r="E62" s="40" t="s">
        <v>3774</v>
      </c>
      <c r="F62" s="34" t="s">
        <v>3344</v>
      </c>
      <c r="G62" s="34" t="s">
        <v>3174</v>
      </c>
      <c r="I62" s="34" t="s">
        <v>3377</v>
      </c>
      <c r="J62" s="40" t="s">
        <v>623</v>
      </c>
      <c r="K62" s="34" t="s">
        <v>3357</v>
      </c>
      <c r="T62" s="34" t="s">
        <v>3378</v>
      </c>
      <c r="U62" s="36">
        <v>59322</v>
      </c>
      <c r="V62" s="34" t="s">
        <v>1934</v>
      </c>
      <c r="W62" s="38" t="s">
        <v>3867</v>
      </c>
      <c r="X62" s="38"/>
      <c r="Y62" s="34" t="s">
        <v>3203</v>
      </c>
    </row>
    <row r="63" spans="2:25" s="40" customFormat="1">
      <c r="B63" s="34" t="s">
        <v>3342</v>
      </c>
      <c r="C63" s="34"/>
      <c r="D63" s="34" t="s">
        <v>3352</v>
      </c>
      <c r="E63" s="40" t="s">
        <v>3775</v>
      </c>
      <c r="F63" s="34" t="s">
        <v>3906</v>
      </c>
      <c r="G63" s="40" t="s">
        <v>3174</v>
      </c>
      <c r="K63" s="34" t="s">
        <v>3357</v>
      </c>
      <c r="L63" s="34" t="s">
        <v>3358</v>
      </c>
      <c r="M63" s="34" t="s">
        <v>3359</v>
      </c>
      <c r="N63" s="34" t="s">
        <v>3360</v>
      </c>
      <c r="T63" s="34" t="s">
        <v>3373</v>
      </c>
      <c r="U63" s="36">
        <v>59000</v>
      </c>
      <c r="V63" s="34" t="s">
        <v>871</v>
      </c>
      <c r="W63" s="38" t="s">
        <v>3867</v>
      </c>
      <c r="X63" s="38"/>
      <c r="Y63" s="34" t="s">
        <v>3172</v>
      </c>
    </row>
    <row r="64" spans="2:25" s="40" customFormat="1">
      <c r="B64" s="34" t="s">
        <v>3342</v>
      </c>
      <c r="C64" s="34"/>
      <c r="D64" s="34" t="s">
        <v>3355</v>
      </c>
      <c r="E64" s="40" t="s">
        <v>3776</v>
      </c>
      <c r="F64" s="34" t="s">
        <v>3907</v>
      </c>
      <c r="G64" s="40" t="s">
        <v>3174</v>
      </c>
      <c r="K64" s="34" t="s">
        <v>3375</v>
      </c>
      <c r="T64" s="34" t="s">
        <v>3374</v>
      </c>
      <c r="U64" s="36">
        <v>59000</v>
      </c>
      <c r="V64" s="34" t="s">
        <v>871</v>
      </c>
      <c r="W64" s="38" t="s">
        <v>3908</v>
      </c>
      <c r="X64" s="38"/>
      <c r="Y64" s="34" t="s">
        <v>3172</v>
      </c>
    </row>
    <row r="65" spans="2:25" s="40" customFormat="1">
      <c r="B65" s="34" t="s">
        <v>3342</v>
      </c>
      <c r="C65" s="34"/>
      <c r="D65" s="34" t="s">
        <v>3352</v>
      </c>
      <c r="E65" s="40" t="s">
        <v>3777</v>
      </c>
      <c r="F65" s="34" t="s">
        <v>3905</v>
      </c>
      <c r="G65" s="40" t="s">
        <v>3174</v>
      </c>
      <c r="K65" s="34" t="s">
        <v>3357</v>
      </c>
      <c r="L65" s="34" t="s">
        <v>3358</v>
      </c>
      <c r="M65" s="34" t="s">
        <v>3359</v>
      </c>
      <c r="N65" s="34" t="s">
        <v>3360</v>
      </c>
      <c r="T65" s="34" t="s">
        <v>3372</v>
      </c>
      <c r="U65" s="36">
        <v>59000</v>
      </c>
      <c r="V65" s="34" t="s">
        <v>871</v>
      </c>
      <c r="W65" s="38" t="s">
        <v>3867</v>
      </c>
      <c r="X65" s="38"/>
      <c r="Y65" s="34" t="s">
        <v>3172</v>
      </c>
    </row>
    <row r="66" spans="2:25" s="40" customFormat="1">
      <c r="B66" s="34" t="s">
        <v>182</v>
      </c>
      <c r="C66" s="40" t="s">
        <v>183</v>
      </c>
      <c r="E66" s="40" t="s">
        <v>3778</v>
      </c>
      <c r="F66" s="34" t="s">
        <v>3723</v>
      </c>
      <c r="G66" s="40" t="s">
        <v>489</v>
      </c>
      <c r="K66" s="39" t="s">
        <v>253</v>
      </c>
      <c r="L66" s="39" t="s">
        <v>254</v>
      </c>
      <c r="M66" s="39"/>
      <c r="N66" s="39"/>
      <c r="O66" s="39"/>
      <c r="P66" s="39"/>
      <c r="Q66" s="39"/>
      <c r="R66" s="39"/>
      <c r="S66" s="40" t="s">
        <v>3877</v>
      </c>
      <c r="T66" s="40" t="s">
        <v>255</v>
      </c>
      <c r="U66" s="40">
        <v>75014</v>
      </c>
      <c r="V66" s="40" t="s">
        <v>256</v>
      </c>
      <c r="W66" s="50" t="s">
        <v>3709</v>
      </c>
      <c r="X66" s="50" t="s">
        <v>414</v>
      </c>
    </row>
    <row r="67" spans="2:25" s="40" customFormat="1">
      <c r="B67" s="34" t="s">
        <v>3379</v>
      </c>
      <c r="C67" s="34"/>
      <c r="D67" s="34" t="s">
        <v>700</v>
      </c>
      <c r="E67" s="40" t="s">
        <v>3778</v>
      </c>
      <c r="F67" s="34" t="s">
        <v>3723</v>
      </c>
      <c r="G67" s="34" t="s">
        <v>489</v>
      </c>
      <c r="K67" s="34" t="s">
        <v>3382</v>
      </c>
      <c r="S67" s="34" t="s">
        <v>3383</v>
      </c>
      <c r="T67" s="34" t="s">
        <v>3381</v>
      </c>
      <c r="U67" s="36">
        <v>75014</v>
      </c>
      <c r="V67" s="34" t="s">
        <v>700</v>
      </c>
      <c r="W67" s="38" t="s">
        <v>3867</v>
      </c>
      <c r="X67" s="38"/>
      <c r="Y67" s="34" t="s">
        <v>3172</v>
      </c>
    </row>
    <row r="68" spans="2:25" s="40" customFormat="1">
      <c r="B68" s="34" t="s">
        <v>3379</v>
      </c>
      <c r="C68" s="34"/>
      <c r="D68" s="34" t="s">
        <v>700</v>
      </c>
      <c r="E68" s="40" t="s">
        <v>3779</v>
      </c>
      <c r="F68" s="34" t="s">
        <v>3724</v>
      </c>
      <c r="G68" s="34" t="s">
        <v>489</v>
      </c>
      <c r="K68" s="34" t="s">
        <v>3387</v>
      </c>
      <c r="L68" s="34" t="s">
        <v>3388</v>
      </c>
      <c r="M68" s="34" t="s">
        <v>3389</v>
      </c>
      <c r="N68" s="34" t="s">
        <v>3390</v>
      </c>
      <c r="S68" s="34" t="s">
        <v>3385</v>
      </c>
      <c r="T68" s="34" t="s">
        <v>3386</v>
      </c>
      <c r="U68" s="36">
        <v>75014</v>
      </c>
      <c r="V68" s="34" t="s">
        <v>700</v>
      </c>
      <c r="W68" s="38" t="s">
        <v>3867</v>
      </c>
      <c r="X68" s="38"/>
      <c r="Y68" s="34" t="s">
        <v>3172</v>
      </c>
    </row>
    <row r="69" spans="2:25" s="40" customFormat="1">
      <c r="B69" s="34" t="s">
        <v>3379</v>
      </c>
      <c r="C69" s="34"/>
      <c r="D69" s="34" t="s">
        <v>700</v>
      </c>
      <c r="E69" s="40" t="s">
        <v>3779</v>
      </c>
      <c r="F69" s="34" t="s">
        <v>3724</v>
      </c>
      <c r="G69" s="34" t="s">
        <v>489</v>
      </c>
      <c r="K69" s="34" t="s">
        <v>3392</v>
      </c>
      <c r="L69" s="34" t="s">
        <v>3393</v>
      </c>
      <c r="M69" s="34" t="s">
        <v>3394</v>
      </c>
      <c r="N69" s="34" t="s">
        <v>3395</v>
      </c>
      <c r="S69" s="34" t="s">
        <v>3391</v>
      </c>
      <c r="T69" s="34" t="s">
        <v>3386</v>
      </c>
      <c r="U69" s="36">
        <v>75014</v>
      </c>
      <c r="V69" s="34" t="s">
        <v>700</v>
      </c>
      <c r="W69" s="38" t="s">
        <v>3867</v>
      </c>
      <c r="X69" s="38"/>
      <c r="Y69" s="34" t="s">
        <v>3172</v>
      </c>
    </row>
    <row r="70" spans="2:25" s="40" customFormat="1">
      <c r="B70" s="34" t="s">
        <v>3379</v>
      </c>
      <c r="C70" s="34"/>
      <c r="D70" s="34" t="s">
        <v>700</v>
      </c>
      <c r="E70" s="40" t="s">
        <v>3779</v>
      </c>
      <c r="F70" s="34" t="s">
        <v>3724</v>
      </c>
      <c r="G70" s="34" t="s">
        <v>489</v>
      </c>
      <c r="K70" s="34" t="s">
        <v>3397</v>
      </c>
      <c r="S70" s="34" t="s">
        <v>3396</v>
      </c>
      <c r="T70" s="34" t="s">
        <v>3386</v>
      </c>
      <c r="U70" s="36">
        <v>75014</v>
      </c>
      <c r="V70" s="34" t="s">
        <v>700</v>
      </c>
      <c r="W70" s="38" t="s">
        <v>3867</v>
      </c>
      <c r="X70" s="38"/>
      <c r="Y70" s="34" t="s">
        <v>3172</v>
      </c>
    </row>
    <row r="71" spans="2:25" s="40" customFormat="1">
      <c r="B71" s="34" t="s">
        <v>3379</v>
      </c>
      <c r="C71" s="34"/>
      <c r="D71" s="34" t="s">
        <v>700</v>
      </c>
      <c r="E71" s="40" t="s">
        <v>3780</v>
      </c>
      <c r="F71" s="34" t="s">
        <v>31</v>
      </c>
      <c r="G71" s="40" t="s">
        <v>625</v>
      </c>
      <c r="K71" s="34" t="s">
        <v>3129</v>
      </c>
      <c r="L71" s="34" t="s">
        <v>3406</v>
      </c>
      <c r="M71" s="34" t="s">
        <v>3407</v>
      </c>
      <c r="N71" s="34" t="s">
        <v>3408</v>
      </c>
      <c r="S71" s="34" t="s">
        <v>3870</v>
      </c>
      <c r="T71" s="34" t="s">
        <v>3405</v>
      </c>
      <c r="U71" s="36">
        <v>75005</v>
      </c>
      <c r="V71" s="34" t="s">
        <v>700</v>
      </c>
      <c r="W71" s="38" t="s">
        <v>3867</v>
      </c>
      <c r="X71" s="45" t="s">
        <v>414</v>
      </c>
      <c r="Y71" s="34" t="s">
        <v>3172</v>
      </c>
    </row>
    <row r="72" spans="2:25" s="40" customFormat="1">
      <c r="B72" s="34" t="s">
        <v>3479</v>
      </c>
      <c r="C72" s="34"/>
      <c r="D72" s="34" t="s">
        <v>2715</v>
      </c>
      <c r="E72" s="40" t="s">
        <v>3780</v>
      </c>
      <c r="F72" s="34" t="s">
        <v>31</v>
      </c>
      <c r="G72" s="40" t="s">
        <v>625</v>
      </c>
      <c r="I72" s="34" t="s">
        <v>3482</v>
      </c>
      <c r="J72" s="40" t="s">
        <v>3453</v>
      </c>
      <c r="K72" s="34" t="s">
        <v>3484</v>
      </c>
      <c r="L72" s="34" t="s">
        <v>3485</v>
      </c>
      <c r="M72" s="34" t="s">
        <v>3486</v>
      </c>
      <c r="T72" s="34" t="s">
        <v>3483</v>
      </c>
      <c r="U72" s="36">
        <v>78300</v>
      </c>
      <c r="V72" s="34" t="s">
        <v>2715</v>
      </c>
      <c r="W72" s="38" t="s">
        <v>3867</v>
      </c>
      <c r="X72" s="38"/>
      <c r="Y72" s="34" t="s">
        <v>3432</v>
      </c>
    </row>
    <row r="73" spans="2:25" s="40" customFormat="1">
      <c r="B73" s="34" t="s">
        <v>3450</v>
      </c>
      <c r="C73" s="34"/>
      <c r="D73" s="34" t="s">
        <v>700</v>
      </c>
      <c r="E73" s="40" t="s">
        <v>3781</v>
      </c>
      <c r="F73" s="34" t="s">
        <v>3726</v>
      </c>
      <c r="G73" s="40" t="s">
        <v>489</v>
      </c>
      <c r="K73" s="34" t="s">
        <v>3439</v>
      </c>
      <c r="L73" s="34" t="s">
        <v>3472</v>
      </c>
      <c r="M73" s="34" t="s">
        <v>3473</v>
      </c>
      <c r="S73" s="34" t="s">
        <v>3470</v>
      </c>
      <c r="T73" s="34" t="s">
        <v>3471</v>
      </c>
      <c r="U73" s="36">
        <v>75013</v>
      </c>
      <c r="V73" s="34" t="s">
        <v>700</v>
      </c>
      <c r="W73" s="38" t="s">
        <v>3867</v>
      </c>
      <c r="X73" s="38"/>
      <c r="Y73" s="34" t="s">
        <v>3172</v>
      </c>
    </row>
    <row r="74" spans="2:25" s="40" customFormat="1">
      <c r="B74" s="34" t="s">
        <v>3450</v>
      </c>
      <c r="C74" s="34"/>
      <c r="D74" s="34" t="s">
        <v>700</v>
      </c>
      <c r="E74" s="40" t="s">
        <v>3782</v>
      </c>
      <c r="F74" s="34" t="s">
        <v>3727</v>
      </c>
      <c r="G74" s="40" t="s">
        <v>489</v>
      </c>
      <c r="K74" s="34" t="s">
        <v>3476</v>
      </c>
      <c r="L74" s="34" t="s">
        <v>3439</v>
      </c>
      <c r="S74" s="34" t="s">
        <v>3474</v>
      </c>
      <c r="T74" s="34" t="s">
        <v>3475</v>
      </c>
      <c r="U74" s="36">
        <v>75012</v>
      </c>
      <c r="V74" s="34" t="s">
        <v>700</v>
      </c>
      <c r="W74" s="38" t="s">
        <v>3867</v>
      </c>
      <c r="X74" s="38"/>
      <c r="Y74" s="34" t="s">
        <v>3172</v>
      </c>
    </row>
    <row r="75" spans="2:25" s="40" customFormat="1">
      <c r="B75" s="34" t="s">
        <v>3450</v>
      </c>
      <c r="C75" s="34"/>
      <c r="D75" s="34" t="s">
        <v>700</v>
      </c>
      <c r="E75" s="40" t="s">
        <v>3783</v>
      </c>
      <c r="F75" s="34" t="s">
        <v>3717</v>
      </c>
      <c r="G75" s="40" t="s">
        <v>489</v>
      </c>
      <c r="K75" s="34" t="s">
        <v>3439</v>
      </c>
      <c r="L75" s="34" t="s">
        <v>3473</v>
      </c>
      <c r="S75" s="34" t="s">
        <v>3478</v>
      </c>
      <c r="T75" s="34" t="s">
        <v>3477</v>
      </c>
      <c r="U75" s="36">
        <v>75020</v>
      </c>
      <c r="V75" s="34" t="s">
        <v>700</v>
      </c>
      <c r="W75" s="38" t="s">
        <v>3867</v>
      </c>
      <c r="X75" s="38"/>
      <c r="Y75" s="34" t="s">
        <v>3172</v>
      </c>
    </row>
    <row r="76" spans="2:25" s="40" customFormat="1">
      <c r="B76" s="34" t="s">
        <v>3450</v>
      </c>
      <c r="C76" s="34"/>
      <c r="D76" s="34" t="s">
        <v>3451</v>
      </c>
      <c r="E76" s="40" t="s">
        <v>3784</v>
      </c>
      <c r="F76" s="34" t="s">
        <v>3456</v>
      </c>
      <c r="G76" s="40" t="s">
        <v>3453</v>
      </c>
      <c r="K76" s="34" t="s">
        <v>3460</v>
      </c>
      <c r="S76" s="34" t="s">
        <v>3463</v>
      </c>
      <c r="T76" s="34" t="s">
        <v>3464</v>
      </c>
      <c r="U76" s="36">
        <v>94010</v>
      </c>
      <c r="V76" s="34" t="s">
        <v>3451</v>
      </c>
      <c r="W76" s="38" t="s">
        <v>3867</v>
      </c>
      <c r="X76" s="38"/>
      <c r="Y76" s="34" t="s">
        <v>3172</v>
      </c>
    </row>
    <row r="77" spans="2:25" s="40" customFormat="1">
      <c r="B77" s="34" t="s">
        <v>182</v>
      </c>
      <c r="C77" s="40" t="s">
        <v>183</v>
      </c>
      <c r="E77" s="40" t="s">
        <v>3785</v>
      </c>
      <c r="F77" s="40" t="s">
        <v>3890</v>
      </c>
      <c r="G77" s="40" t="s">
        <v>489</v>
      </c>
      <c r="K77" s="39" t="s">
        <v>216</v>
      </c>
      <c r="L77" s="39" t="s">
        <v>217</v>
      </c>
      <c r="M77" s="39" t="s">
        <v>218</v>
      </c>
      <c r="N77" s="39" t="s">
        <v>219</v>
      </c>
      <c r="O77" s="39" t="s">
        <v>220</v>
      </c>
      <c r="P77" s="39" t="s">
        <v>221</v>
      </c>
      <c r="Q77" s="39" t="s">
        <v>222</v>
      </c>
      <c r="R77" s="39"/>
      <c r="S77" s="40" t="s">
        <v>3889</v>
      </c>
      <c r="T77" s="40" t="s">
        <v>214</v>
      </c>
      <c r="U77" s="40">
        <v>94000</v>
      </c>
      <c r="V77" s="34" t="s">
        <v>3451</v>
      </c>
      <c r="W77" s="50" t="s">
        <v>3867</v>
      </c>
      <c r="X77" s="50" t="s">
        <v>414</v>
      </c>
    </row>
    <row r="78" spans="2:25" s="40" customFormat="1">
      <c r="B78" s="34" t="s">
        <v>3450</v>
      </c>
      <c r="C78" s="34"/>
      <c r="D78" s="34" t="s">
        <v>3451</v>
      </c>
      <c r="E78" s="40" t="s">
        <v>3785</v>
      </c>
      <c r="F78" s="34" t="s">
        <v>3890</v>
      </c>
      <c r="G78" s="40" t="s">
        <v>489</v>
      </c>
      <c r="K78" s="34" t="s">
        <v>3460</v>
      </c>
      <c r="S78" s="34" t="s">
        <v>3888</v>
      </c>
      <c r="T78" s="34" t="s">
        <v>3462</v>
      </c>
      <c r="U78" s="36">
        <v>94000</v>
      </c>
      <c r="V78" s="34" t="s">
        <v>3451</v>
      </c>
      <c r="W78" s="38" t="s">
        <v>3867</v>
      </c>
      <c r="X78" s="38"/>
      <c r="Y78" s="34" t="s">
        <v>3172</v>
      </c>
    </row>
    <row r="79" spans="2:25" s="40" customFormat="1">
      <c r="B79" s="34" t="s">
        <v>182</v>
      </c>
      <c r="C79" s="40" t="s">
        <v>183</v>
      </c>
      <c r="E79" s="40" t="s">
        <v>3786</v>
      </c>
      <c r="F79" s="40" t="s">
        <v>3413</v>
      </c>
      <c r="G79" s="40" t="s">
        <v>489</v>
      </c>
      <c r="K79" s="39" t="s">
        <v>189</v>
      </c>
      <c r="L79" s="39" t="s">
        <v>188</v>
      </c>
      <c r="M79" s="39" t="s">
        <v>187</v>
      </c>
      <c r="N79" s="39"/>
      <c r="O79" s="39"/>
      <c r="P79" s="39"/>
      <c r="Q79" s="39"/>
      <c r="R79" s="39"/>
      <c r="S79" s="40" t="s">
        <v>186</v>
      </c>
      <c r="T79" s="40" t="s">
        <v>190</v>
      </c>
      <c r="U79" s="36">
        <v>93000</v>
      </c>
      <c r="V79" s="40" t="s">
        <v>191</v>
      </c>
      <c r="W79" s="50" t="s">
        <v>3867</v>
      </c>
      <c r="X79" s="50" t="s">
        <v>414</v>
      </c>
    </row>
    <row r="80" spans="2:25" s="40" customFormat="1">
      <c r="B80" s="34" t="s">
        <v>3409</v>
      </c>
      <c r="C80" s="34"/>
      <c r="D80" s="34" t="s">
        <v>970</v>
      </c>
      <c r="E80" s="40" t="s">
        <v>3786</v>
      </c>
      <c r="F80" s="34" t="s">
        <v>3413</v>
      </c>
      <c r="G80" s="40" t="s">
        <v>489</v>
      </c>
      <c r="K80" s="34" t="s">
        <v>3414</v>
      </c>
      <c r="L80" s="34" t="s">
        <v>3159</v>
      </c>
      <c r="S80" s="34" t="s">
        <v>3423</v>
      </c>
      <c r="T80" s="34" t="s">
        <v>190</v>
      </c>
      <c r="U80" s="36">
        <v>93000</v>
      </c>
      <c r="V80" s="34" t="s">
        <v>970</v>
      </c>
      <c r="W80" s="38" t="s">
        <v>3867</v>
      </c>
      <c r="X80" s="38"/>
      <c r="Y80" s="34" t="s">
        <v>3172</v>
      </c>
    </row>
    <row r="81" spans="2:25" s="40" customFormat="1">
      <c r="B81" s="34" t="s">
        <v>182</v>
      </c>
      <c r="C81" s="40" t="s">
        <v>183</v>
      </c>
      <c r="E81" s="40" t="s">
        <v>3787</v>
      </c>
      <c r="F81" s="40" t="s">
        <v>3716</v>
      </c>
      <c r="G81" s="40" t="s">
        <v>489</v>
      </c>
      <c r="K81" s="39" t="s">
        <v>205</v>
      </c>
      <c r="L81" s="39" t="s">
        <v>204</v>
      </c>
      <c r="M81" s="39" t="s">
        <v>203</v>
      </c>
      <c r="N81" s="39"/>
      <c r="O81" s="39"/>
      <c r="P81" s="39"/>
      <c r="Q81" s="39"/>
      <c r="R81" s="39"/>
      <c r="S81" s="40" t="s">
        <v>3879</v>
      </c>
      <c r="T81" s="40" t="s">
        <v>3420</v>
      </c>
      <c r="U81" s="40">
        <v>75010</v>
      </c>
      <c r="V81" s="40" t="s">
        <v>700</v>
      </c>
      <c r="W81" s="50" t="s">
        <v>3867</v>
      </c>
      <c r="X81" s="50" t="s">
        <v>414</v>
      </c>
    </row>
    <row r="82" spans="2:25" s="40" customFormat="1">
      <c r="B82" s="34" t="s">
        <v>182</v>
      </c>
      <c r="C82" s="40" t="s">
        <v>183</v>
      </c>
      <c r="E82" s="40" t="s">
        <v>3787</v>
      </c>
      <c r="F82" s="40" t="s">
        <v>3716</v>
      </c>
      <c r="G82" s="40" t="s">
        <v>489</v>
      </c>
      <c r="K82" s="39" t="s">
        <v>200</v>
      </c>
      <c r="L82" s="39"/>
      <c r="M82" s="39"/>
      <c r="N82" s="39"/>
      <c r="O82" s="39"/>
      <c r="P82" s="39"/>
      <c r="Q82" s="39"/>
      <c r="R82" s="39"/>
      <c r="S82" s="40" t="s">
        <v>3878</v>
      </c>
      <c r="T82" s="40" t="s">
        <v>3420</v>
      </c>
      <c r="U82" s="40">
        <v>75010</v>
      </c>
      <c r="V82" s="40" t="s">
        <v>700</v>
      </c>
      <c r="W82" s="50" t="s">
        <v>3867</v>
      </c>
      <c r="X82" s="50" t="s">
        <v>414</v>
      </c>
    </row>
    <row r="83" spans="2:25" s="40" customFormat="1">
      <c r="B83" s="34" t="s">
        <v>3409</v>
      </c>
      <c r="C83" s="34"/>
      <c r="D83" s="34" t="s">
        <v>700</v>
      </c>
      <c r="E83" s="40" t="s">
        <v>3787</v>
      </c>
      <c r="F83" s="34" t="s">
        <v>3716</v>
      </c>
      <c r="G83" s="40" t="s">
        <v>489</v>
      </c>
      <c r="K83" s="34" t="s">
        <v>3415</v>
      </c>
      <c r="L83" s="34" t="s">
        <v>3416</v>
      </c>
      <c r="M83" s="34" t="s">
        <v>3417</v>
      </c>
      <c r="N83" s="34" t="s">
        <v>3418</v>
      </c>
      <c r="S83" s="34" t="s">
        <v>3421</v>
      </c>
      <c r="T83" s="34" t="s">
        <v>3420</v>
      </c>
      <c r="U83" s="36">
        <v>75010</v>
      </c>
      <c r="V83" s="34" t="s">
        <v>700</v>
      </c>
      <c r="W83" s="38" t="s">
        <v>3867</v>
      </c>
      <c r="X83" s="38"/>
      <c r="Y83" s="34" t="s">
        <v>3172</v>
      </c>
    </row>
    <row r="84" spans="2:25" s="40" customFormat="1">
      <c r="B84" s="34" t="s">
        <v>3409</v>
      </c>
      <c r="C84" s="34"/>
      <c r="D84" s="34" t="s">
        <v>700</v>
      </c>
      <c r="E84" s="40" t="s">
        <v>3787</v>
      </c>
      <c r="F84" s="34" t="s">
        <v>3716</v>
      </c>
      <c r="G84" s="40" t="s">
        <v>489</v>
      </c>
      <c r="K84" s="34" t="s">
        <v>3419</v>
      </c>
      <c r="S84" s="34" t="s">
        <v>3422</v>
      </c>
      <c r="T84" s="34" t="s">
        <v>3420</v>
      </c>
      <c r="U84" s="36">
        <v>75010</v>
      </c>
      <c r="V84" s="34" t="s">
        <v>700</v>
      </c>
      <c r="W84" s="38" t="s">
        <v>3867</v>
      </c>
      <c r="X84" s="38"/>
      <c r="Y84" s="34" t="s">
        <v>3172</v>
      </c>
    </row>
    <row r="85" spans="2:25" s="40" customFormat="1">
      <c r="B85" s="34" t="s">
        <v>3409</v>
      </c>
      <c r="C85" s="34"/>
      <c r="D85" s="34" t="s">
        <v>700</v>
      </c>
      <c r="E85" s="40" t="s">
        <v>3788</v>
      </c>
      <c r="F85" s="34" t="s">
        <v>3886</v>
      </c>
      <c r="G85" s="40" t="s">
        <v>489</v>
      </c>
      <c r="I85" s="34" t="s">
        <v>3729</v>
      </c>
      <c r="J85" s="40" t="s">
        <v>489</v>
      </c>
      <c r="K85" s="34" t="s">
        <v>3414</v>
      </c>
      <c r="L85" s="34" t="s">
        <v>3159</v>
      </c>
      <c r="S85" s="34" t="s">
        <v>3424</v>
      </c>
      <c r="T85" s="34" t="s">
        <v>3425</v>
      </c>
      <c r="U85" s="36">
        <v>75475</v>
      </c>
      <c r="V85" s="34" t="s">
        <v>3426</v>
      </c>
      <c r="W85" s="38" t="s">
        <v>3867</v>
      </c>
      <c r="X85" s="38"/>
      <c r="Y85" s="34" t="s">
        <v>3203</v>
      </c>
    </row>
    <row r="86" spans="2:25" s="40" customFormat="1">
      <c r="B86" s="34" t="s">
        <v>3479</v>
      </c>
      <c r="C86" s="34"/>
      <c r="D86" s="34" t="s">
        <v>3480</v>
      </c>
      <c r="E86" s="40" t="s">
        <v>3789</v>
      </c>
      <c r="F86" s="34" t="s">
        <v>3487</v>
      </c>
      <c r="G86" s="34" t="s">
        <v>625</v>
      </c>
      <c r="K86" s="34" t="s">
        <v>3129</v>
      </c>
      <c r="L86" s="34" t="s">
        <v>3488</v>
      </c>
      <c r="M86" s="34" t="s">
        <v>3489</v>
      </c>
      <c r="T86" s="34" t="s">
        <v>3490</v>
      </c>
      <c r="U86" s="36">
        <v>92210</v>
      </c>
      <c r="V86" s="34" t="s">
        <v>3480</v>
      </c>
      <c r="W86" s="38" t="s">
        <v>3867</v>
      </c>
      <c r="X86" s="38"/>
      <c r="Y86" s="34" t="s">
        <v>3172</v>
      </c>
    </row>
    <row r="87" spans="2:25" s="40" customFormat="1">
      <c r="B87" s="34" t="s">
        <v>3450</v>
      </c>
      <c r="C87" s="34"/>
      <c r="D87" s="34" t="s">
        <v>2130</v>
      </c>
      <c r="E87" s="40" t="s">
        <v>3790</v>
      </c>
      <c r="F87" s="34" t="s">
        <v>3434</v>
      </c>
      <c r="G87" s="40" t="s">
        <v>489</v>
      </c>
      <c r="I87" s="34" t="s">
        <v>3454</v>
      </c>
      <c r="J87" s="40" t="s">
        <v>623</v>
      </c>
      <c r="K87" s="34" t="s">
        <v>3467</v>
      </c>
      <c r="L87" s="34" t="s">
        <v>3468</v>
      </c>
      <c r="M87" s="34" t="s">
        <v>3469</v>
      </c>
      <c r="N87" s="34" t="s">
        <v>3439</v>
      </c>
      <c r="S87" s="34" t="s">
        <v>3465</v>
      </c>
      <c r="T87" s="34" t="s">
        <v>3466</v>
      </c>
      <c r="U87" s="36">
        <v>77600</v>
      </c>
      <c r="V87" s="34" t="s">
        <v>2130</v>
      </c>
      <c r="W87" s="38" t="s">
        <v>3867</v>
      </c>
      <c r="X87" s="38"/>
      <c r="Y87" s="34" t="s">
        <v>3432</v>
      </c>
    </row>
    <row r="88" spans="2:25" s="40" customFormat="1">
      <c r="B88" s="34" t="s">
        <v>3427</v>
      </c>
      <c r="C88" s="34"/>
      <c r="D88" s="34" t="s">
        <v>973</v>
      </c>
      <c r="E88" s="40" t="s">
        <v>3790</v>
      </c>
      <c r="F88" s="34" t="s">
        <v>3434</v>
      </c>
      <c r="G88" s="40" t="s">
        <v>489</v>
      </c>
      <c r="I88" s="34" t="s">
        <v>3433</v>
      </c>
      <c r="J88" s="40" t="s">
        <v>623</v>
      </c>
      <c r="K88" s="34" t="s">
        <v>3437</v>
      </c>
      <c r="L88" s="34" t="s">
        <v>3438</v>
      </c>
      <c r="M88" s="34" t="s">
        <v>3439</v>
      </c>
      <c r="S88" s="34" t="s">
        <v>3435</v>
      </c>
      <c r="T88" s="34" t="s">
        <v>3436</v>
      </c>
      <c r="U88" s="36">
        <v>91106</v>
      </c>
      <c r="V88" s="34" t="s">
        <v>973</v>
      </c>
      <c r="W88" s="38" t="s">
        <v>3867</v>
      </c>
      <c r="X88" s="38"/>
      <c r="Y88" s="34" t="s">
        <v>3432</v>
      </c>
    </row>
    <row r="89" spans="2:25" s="40" customFormat="1">
      <c r="B89" s="34" t="s">
        <v>3479</v>
      </c>
      <c r="C89" s="34"/>
      <c r="D89" s="34" t="s">
        <v>2171</v>
      </c>
      <c r="E89" s="40" t="s">
        <v>3791</v>
      </c>
      <c r="F89" s="34" t="s">
        <v>268</v>
      </c>
      <c r="G89" s="34" t="s">
        <v>625</v>
      </c>
      <c r="I89" s="34" t="s">
        <v>3481</v>
      </c>
      <c r="J89" s="40" t="s">
        <v>3452</v>
      </c>
      <c r="K89" s="34" t="s">
        <v>3430</v>
      </c>
      <c r="L89" s="34" t="s">
        <v>3441</v>
      </c>
      <c r="T89" s="34" t="s">
        <v>3491</v>
      </c>
      <c r="U89" s="36">
        <v>92151</v>
      </c>
      <c r="V89" s="34" t="s">
        <v>3492</v>
      </c>
      <c r="W89" s="38" t="s">
        <v>3867</v>
      </c>
      <c r="X89" s="38"/>
      <c r="Y89" s="34" t="s">
        <v>3493</v>
      </c>
    </row>
    <row r="90" spans="2:25" s="40" customFormat="1">
      <c r="B90" s="34" t="s">
        <v>3427</v>
      </c>
      <c r="C90" s="34"/>
      <c r="D90" s="34" t="s">
        <v>3428</v>
      </c>
      <c r="E90" s="40" t="s">
        <v>3791</v>
      </c>
      <c r="F90" s="34" t="s">
        <v>268</v>
      </c>
      <c r="G90" s="34" t="s">
        <v>625</v>
      </c>
      <c r="I90" s="34" t="s">
        <v>3429</v>
      </c>
      <c r="J90" s="40" t="s">
        <v>3452</v>
      </c>
      <c r="K90" s="34" t="s">
        <v>3430</v>
      </c>
      <c r="T90" s="34" t="s">
        <v>3431</v>
      </c>
      <c r="U90" s="36">
        <v>91640</v>
      </c>
      <c r="V90" s="34" t="s">
        <v>3428</v>
      </c>
      <c r="W90" s="38" t="s">
        <v>3867</v>
      </c>
      <c r="X90" s="38"/>
      <c r="Y90" s="34" t="s">
        <v>3203</v>
      </c>
    </row>
    <row r="91" spans="2:25" s="40" customFormat="1">
      <c r="B91" s="34" t="s">
        <v>3427</v>
      </c>
      <c r="C91" s="34"/>
      <c r="D91" s="34" t="s">
        <v>813</v>
      </c>
      <c r="E91" s="40" t="s">
        <v>3791</v>
      </c>
      <c r="F91" s="34" t="s">
        <v>268</v>
      </c>
      <c r="G91" s="34" t="s">
        <v>625</v>
      </c>
      <c r="K91" s="34" t="s">
        <v>3430</v>
      </c>
      <c r="L91" s="34" t="s">
        <v>3441</v>
      </c>
      <c r="M91" s="34" t="s">
        <v>3442</v>
      </c>
      <c r="N91" s="34" t="s">
        <v>3443</v>
      </c>
      <c r="S91" s="40" t="s">
        <v>3871</v>
      </c>
      <c r="T91" s="34" t="s">
        <v>3440</v>
      </c>
      <c r="U91" s="36">
        <v>94805</v>
      </c>
      <c r="V91" s="34" t="s">
        <v>813</v>
      </c>
      <c r="W91" s="38" t="s">
        <v>3867</v>
      </c>
      <c r="X91" s="45" t="s">
        <v>414</v>
      </c>
      <c r="Y91" s="34" t="s">
        <v>3172</v>
      </c>
    </row>
    <row r="92" spans="2:25" s="40" customFormat="1">
      <c r="B92" s="34" t="s">
        <v>3427</v>
      </c>
      <c r="C92" s="34"/>
      <c r="D92" s="34" t="s">
        <v>813</v>
      </c>
      <c r="E92" s="40" t="s">
        <v>3792</v>
      </c>
      <c r="F92" s="34" t="s">
        <v>3444</v>
      </c>
      <c r="G92" s="34" t="s">
        <v>3174</v>
      </c>
      <c r="K92" s="34" t="s">
        <v>491</v>
      </c>
      <c r="L92" s="34" t="s">
        <v>3447</v>
      </c>
      <c r="M92" s="34" t="s">
        <v>3448</v>
      </c>
      <c r="N92" s="34" t="s">
        <v>3449</v>
      </c>
      <c r="S92" s="34" t="s">
        <v>3445</v>
      </c>
      <c r="T92" s="34" t="s">
        <v>3446</v>
      </c>
      <c r="U92" s="36">
        <v>94800</v>
      </c>
      <c r="V92" s="34" t="s">
        <v>813</v>
      </c>
      <c r="W92" s="38" t="s">
        <v>3867</v>
      </c>
      <c r="X92" s="38"/>
      <c r="Y92" s="34" t="s">
        <v>3172</v>
      </c>
    </row>
    <row r="93" spans="2:25" s="40" customFormat="1">
      <c r="B93" s="34" t="s">
        <v>3684</v>
      </c>
      <c r="C93" s="34"/>
      <c r="D93" s="34" t="s">
        <v>3685</v>
      </c>
      <c r="E93" s="40" t="s">
        <v>3793</v>
      </c>
      <c r="F93" s="34" t="s">
        <v>3697</v>
      </c>
      <c r="G93" s="34" t="s">
        <v>3174</v>
      </c>
      <c r="K93" s="34" t="s">
        <v>3698</v>
      </c>
      <c r="T93" s="34" t="s">
        <v>3699</v>
      </c>
      <c r="U93" s="36">
        <v>97448</v>
      </c>
      <c r="V93" s="34" t="s">
        <v>3700</v>
      </c>
      <c r="W93" s="38" t="s">
        <v>3867</v>
      </c>
      <c r="X93" s="38"/>
      <c r="Y93" s="34" t="s">
        <v>3172</v>
      </c>
    </row>
    <row r="94" spans="2:25" s="40" customFormat="1">
      <c r="B94" s="34" t="s">
        <v>3684</v>
      </c>
      <c r="C94" s="34"/>
      <c r="D94" s="34" t="s">
        <v>3686</v>
      </c>
      <c r="E94" s="40" t="s">
        <v>3794</v>
      </c>
      <c r="F94" s="34" t="s">
        <v>3694</v>
      </c>
      <c r="G94" s="34" t="s">
        <v>3174</v>
      </c>
      <c r="K94" s="34" t="s">
        <v>3696</v>
      </c>
      <c r="T94" s="34" t="s">
        <v>3695</v>
      </c>
      <c r="U94" s="36">
        <v>97400</v>
      </c>
      <c r="V94" s="34" t="s">
        <v>3686</v>
      </c>
      <c r="W94" s="38" t="s">
        <v>3867</v>
      </c>
      <c r="X94" s="38"/>
      <c r="Y94" s="34" t="s">
        <v>3172</v>
      </c>
    </row>
    <row r="95" spans="2:25" s="40" customFormat="1">
      <c r="B95" s="34" t="s">
        <v>784</v>
      </c>
      <c r="C95" s="34"/>
      <c r="D95" s="34" t="s">
        <v>3687</v>
      </c>
      <c r="E95" s="40" t="s">
        <v>3795</v>
      </c>
      <c r="F95" s="34" t="s">
        <v>3701</v>
      </c>
      <c r="G95" s="34" t="s">
        <v>3174</v>
      </c>
      <c r="K95" s="34" t="s">
        <v>3704</v>
      </c>
      <c r="T95" s="34" t="s">
        <v>3702</v>
      </c>
      <c r="U95" s="36">
        <v>97261</v>
      </c>
      <c r="V95" s="34" t="s">
        <v>3703</v>
      </c>
      <c r="W95" s="38" t="s">
        <v>3867</v>
      </c>
      <c r="X95" s="38"/>
      <c r="Y95" s="34" t="s">
        <v>3172</v>
      </c>
    </row>
    <row r="96" spans="2:25" s="40" customFormat="1">
      <c r="B96" s="34" t="s">
        <v>275</v>
      </c>
      <c r="C96" s="34"/>
      <c r="D96" s="34" t="s">
        <v>3494</v>
      </c>
      <c r="E96" s="40" t="s">
        <v>3796</v>
      </c>
      <c r="F96" s="34" t="s">
        <v>3857</v>
      </c>
      <c r="G96" s="40" t="s">
        <v>625</v>
      </c>
      <c r="I96" s="34" t="s">
        <v>3500</v>
      </c>
      <c r="J96" s="40" t="s">
        <v>623</v>
      </c>
      <c r="K96" s="34" t="s">
        <v>3127</v>
      </c>
      <c r="L96" s="34" t="s">
        <v>3495</v>
      </c>
      <c r="T96" s="34" t="s">
        <v>3501</v>
      </c>
      <c r="U96" s="36">
        <v>50100</v>
      </c>
      <c r="V96" s="34" t="s">
        <v>3502</v>
      </c>
      <c r="W96" s="38" t="s">
        <v>3867</v>
      </c>
      <c r="X96" s="38"/>
      <c r="Y96" s="34" t="s">
        <v>3203</v>
      </c>
    </row>
    <row r="97" spans="2:25" s="40" customFormat="1">
      <c r="B97" s="34" t="s">
        <v>275</v>
      </c>
      <c r="C97" s="34"/>
      <c r="D97" s="34" t="s">
        <v>808</v>
      </c>
      <c r="E97" s="40" t="s">
        <v>3796</v>
      </c>
      <c r="F97" s="34" t="s">
        <v>3857</v>
      </c>
      <c r="G97" s="34" t="s">
        <v>625</v>
      </c>
      <c r="K97" s="34" t="s">
        <v>3127</v>
      </c>
      <c r="L97" s="34" t="s">
        <v>3495</v>
      </c>
      <c r="M97" s="34" t="s">
        <v>3496</v>
      </c>
      <c r="N97" s="34" t="s">
        <v>3497</v>
      </c>
      <c r="S97" s="34" t="s">
        <v>3872</v>
      </c>
      <c r="T97" s="34" t="s">
        <v>285</v>
      </c>
      <c r="U97" s="36">
        <v>14000</v>
      </c>
      <c r="V97" s="34" t="s">
        <v>808</v>
      </c>
      <c r="W97" s="38" t="s">
        <v>3867</v>
      </c>
      <c r="X97" s="45" t="s">
        <v>414</v>
      </c>
      <c r="Y97" s="34" t="s">
        <v>3172</v>
      </c>
    </row>
    <row r="98" spans="2:25" s="40" customFormat="1">
      <c r="B98" s="34" t="s">
        <v>275</v>
      </c>
      <c r="C98" s="34"/>
      <c r="D98" s="34" t="s">
        <v>885</v>
      </c>
      <c r="E98" s="40" t="s">
        <v>3797</v>
      </c>
      <c r="F98" s="34" t="s">
        <v>3719</v>
      </c>
      <c r="G98" s="34" t="s">
        <v>3174</v>
      </c>
      <c r="K98" s="34" t="s">
        <v>3504</v>
      </c>
      <c r="L98" s="34" t="s">
        <v>3127</v>
      </c>
      <c r="M98" s="34" t="s">
        <v>3507</v>
      </c>
      <c r="N98" s="34" t="s">
        <v>3508</v>
      </c>
      <c r="S98" s="34" t="s">
        <v>3509</v>
      </c>
      <c r="T98" s="34" t="s">
        <v>292</v>
      </c>
      <c r="U98" s="36">
        <v>76000</v>
      </c>
      <c r="V98" s="34" t="s">
        <v>885</v>
      </c>
      <c r="W98" s="38" t="s">
        <v>3867</v>
      </c>
      <c r="X98" s="38"/>
      <c r="Y98" s="34" t="s">
        <v>3172</v>
      </c>
    </row>
    <row r="99" spans="2:25" s="40" customFormat="1">
      <c r="B99" s="34" t="s">
        <v>275</v>
      </c>
      <c r="C99" s="34"/>
      <c r="D99" s="34" t="s">
        <v>2078</v>
      </c>
      <c r="E99" s="40" t="s">
        <v>3798</v>
      </c>
      <c r="F99" s="34" t="s">
        <v>3503</v>
      </c>
      <c r="G99" s="34" t="s">
        <v>623</v>
      </c>
      <c r="K99" s="34" t="s">
        <v>3504</v>
      </c>
      <c r="L99" s="34" t="s">
        <v>3505</v>
      </c>
      <c r="T99" s="34" t="s">
        <v>3506</v>
      </c>
      <c r="U99" s="36">
        <v>76290</v>
      </c>
      <c r="V99" s="34" t="s">
        <v>2176</v>
      </c>
      <c r="W99" s="38" t="s">
        <v>3867</v>
      </c>
      <c r="X99" s="38"/>
      <c r="Y99" s="34" t="s">
        <v>3172</v>
      </c>
    </row>
    <row r="100" spans="2:25" s="40" customFormat="1">
      <c r="B100" s="34" t="s">
        <v>3510</v>
      </c>
      <c r="C100" s="34"/>
      <c r="D100" s="34" t="s">
        <v>946</v>
      </c>
      <c r="E100" s="40" t="s">
        <v>3799</v>
      </c>
      <c r="F100" s="34" t="s">
        <v>3524</v>
      </c>
      <c r="G100" s="40" t="s">
        <v>623</v>
      </c>
      <c r="K100" s="34" t="s">
        <v>3517</v>
      </c>
      <c r="L100" s="34" t="s">
        <v>3518</v>
      </c>
      <c r="S100" s="34" t="s">
        <v>3537</v>
      </c>
      <c r="T100" s="34" t="s">
        <v>3538</v>
      </c>
      <c r="U100" s="36">
        <v>79000</v>
      </c>
      <c r="V100" s="34" t="s">
        <v>946</v>
      </c>
      <c r="W100" s="38" t="s">
        <v>3867</v>
      </c>
      <c r="X100" s="38"/>
      <c r="Y100" s="34" t="s">
        <v>3172</v>
      </c>
    </row>
    <row r="101" spans="2:25" s="40" customFormat="1">
      <c r="B101" s="34" t="s">
        <v>3510</v>
      </c>
      <c r="C101" s="34"/>
      <c r="D101" s="34" t="s">
        <v>1713</v>
      </c>
      <c r="E101" s="40" t="s">
        <v>3800</v>
      </c>
      <c r="F101" s="34" t="s">
        <v>3512</v>
      </c>
      <c r="G101" s="40" t="s">
        <v>623</v>
      </c>
      <c r="I101" s="34" t="s">
        <v>3513</v>
      </c>
      <c r="J101" s="40" t="s">
        <v>623</v>
      </c>
      <c r="K101" s="34" t="s">
        <v>3517</v>
      </c>
      <c r="L101" s="34" t="s">
        <v>3518</v>
      </c>
      <c r="T101" s="34" t="s">
        <v>3527</v>
      </c>
      <c r="U101" s="36">
        <v>16959</v>
      </c>
      <c r="V101" s="34" t="s">
        <v>1713</v>
      </c>
      <c r="W101" s="38" t="s">
        <v>3867</v>
      </c>
      <c r="X101" s="38"/>
      <c r="Y101" s="34" t="s">
        <v>3203</v>
      </c>
    </row>
    <row r="102" spans="2:25" s="40" customFormat="1">
      <c r="B102" s="34" t="s">
        <v>3510</v>
      </c>
      <c r="C102" s="34"/>
      <c r="D102" s="34" t="s">
        <v>2264</v>
      </c>
      <c r="E102" s="40" t="s">
        <v>3800</v>
      </c>
      <c r="F102" s="34" t="s">
        <v>3512</v>
      </c>
      <c r="G102" s="40" t="s">
        <v>623</v>
      </c>
      <c r="I102" s="34" t="s">
        <v>3526</v>
      </c>
      <c r="J102" s="40" t="s">
        <v>623</v>
      </c>
      <c r="K102" s="34" t="s">
        <v>3517</v>
      </c>
      <c r="L102" s="34" t="s">
        <v>3518</v>
      </c>
      <c r="T102" s="34" t="s">
        <v>3534</v>
      </c>
      <c r="U102" s="36">
        <v>17000</v>
      </c>
      <c r="V102" s="34" t="s">
        <v>2264</v>
      </c>
      <c r="W102" s="38" t="s">
        <v>3867</v>
      </c>
      <c r="X102" s="38"/>
      <c r="Y102" s="34" t="s">
        <v>3203</v>
      </c>
    </row>
    <row r="103" spans="2:25" s="40" customFormat="1">
      <c r="B103" s="34" t="s">
        <v>3510</v>
      </c>
      <c r="C103" s="34"/>
      <c r="D103" s="40" t="s">
        <v>1840</v>
      </c>
      <c r="E103" s="40" t="s">
        <v>3800</v>
      </c>
      <c r="F103" s="34" t="s">
        <v>3512</v>
      </c>
      <c r="G103" s="40" t="s">
        <v>623</v>
      </c>
      <c r="I103" s="34" t="s">
        <v>3541</v>
      </c>
      <c r="J103" s="40" t="s">
        <v>3174</v>
      </c>
      <c r="K103" s="34" t="s">
        <v>3517</v>
      </c>
      <c r="L103" s="34" t="s">
        <v>3518</v>
      </c>
      <c r="T103" s="34" t="s">
        <v>3542</v>
      </c>
      <c r="U103" s="36">
        <v>17100</v>
      </c>
      <c r="V103" s="34" t="s">
        <v>1840</v>
      </c>
      <c r="W103" s="38" t="s">
        <v>3867</v>
      </c>
      <c r="X103" s="38"/>
      <c r="Y103" s="34" t="s">
        <v>3203</v>
      </c>
    </row>
    <row r="104" spans="2:25" s="40" customFormat="1">
      <c r="B104" s="34" t="s">
        <v>3510</v>
      </c>
      <c r="C104" s="34"/>
      <c r="D104" s="40" t="s">
        <v>888</v>
      </c>
      <c r="E104" s="40" t="s">
        <v>3800</v>
      </c>
      <c r="F104" s="34" t="s">
        <v>3512</v>
      </c>
      <c r="G104" s="40" t="s">
        <v>623</v>
      </c>
      <c r="I104" s="34" t="s">
        <v>317</v>
      </c>
      <c r="J104" s="40" t="s">
        <v>3174</v>
      </c>
      <c r="K104" s="34" t="s">
        <v>3517</v>
      </c>
      <c r="L104" s="34" t="s">
        <v>3518</v>
      </c>
      <c r="T104" s="34" t="s">
        <v>319</v>
      </c>
      <c r="U104" s="36">
        <v>86021</v>
      </c>
      <c r="V104" s="34" t="s">
        <v>888</v>
      </c>
      <c r="W104" s="38" t="s">
        <v>3867</v>
      </c>
      <c r="X104" s="38"/>
      <c r="Y104" s="34" t="s">
        <v>3203</v>
      </c>
    </row>
    <row r="105" spans="2:25" s="40" customFormat="1">
      <c r="B105" s="34" t="s">
        <v>3510</v>
      </c>
      <c r="C105" s="34"/>
      <c r="D105" s="34" t="s">
        <v>942</v>
      </c>
      <c r="E105" s="40" t="s">
        <v>3801</v>
      </c>
      <c r="F105" s="34" t="s">
        <v>295</v>
      </c>
      <c r="G105" s="40" t="s">
        <v>3174</v>
      </c>
      <c r="K105" s="34" t="s">
        <v>3520</v>
      </c>
      <c r="S105" s="34" t="s">
        <v>3530</v>
      </c>
      <c r="T105" s="34" t="s">
        <v>3531</v>
      </c>
      <c r="U105" s="36">
        <v>33076</v>
      </c>
      <c r="V105" s="34" t="s">
        <v>3532</v>
      </c>
      <c r="W105" s="38" t="s">
        <v>3867</v>
      </c>
      <c r="X105" s="38"/>
      <c r="Y105" s="34" t="s">
        <v>3172</v>
      </c>
    </row>
    <row r="106" spans="2:25" s="40" customFormat="1">
      <c r="B106" s="34" t="s">
        <v>3510</v>
      </c>
      <c r="C106" s="34"/>
      <c r="D106" s="34" t="s">
        <v>855</v>
      </c>
      <c r="E106" s="40" t="s">
        <v>3802</v>
      </c>
      <c r="F106" s="34" t="s">
        <v>3525</v>
      </c>
      <c r="G106" s="40" t="s">
        <v>3174</v>
      </c>
      <c r="K106" s="34" t="s">
        <v>3521</v>
      </c>
      <c r="L106" s="34" t="s">
        <v>3522</v>
      </c>
      <c r="M106" s="34" t="s">
        <v>3523</v>
      </c>
      <c r="S106" s="34" t="s">
        <v>3536</v>
      </c>
      <c r="T106" s="34" t="s">
        <v>3535</v>
      </c>
      <c r="U106" s="36">
        <v>87000</v>
      </c>
      <c r="V106" s="34" t="s">
        <v>855</v>
      </c>
      <c r="W106" s="38" t="s">
        <v>3867</v>
      </c>
      <c r="X106" s="38"/>
      <c r="Y106" s="34" t="s">
        <v>3172</v>
      </c>
    </row>
    <row r="107" spans="2:25" s="40" customFormat="1">
      <c r="B107" s="34" t="s">
        <v>3510</v>
      </c>
      <c r="C107" s="34"/>
      <c r="D107" s="34" t="s">
        <v>804</v>
      </c>
      <c r="E107" s="40" t="s">
        <v>3803</v>
      </c>
      <c r="F107" s="34" t="s">
        <v>3858</v>
      </c>
      <c r="G107" s="40" t="s">
        <v>625</v>
      </c>
      <c r="I107" s="34" t="s">
        <v>3514</v>
      </c>
      <c r="J107" s="40" t="s">
        <v>623</v>
      </c>
      <c r="K107" s="34" t="s">
        <v>3519</v>
      </c>
      <c r="T107" s="34" t="s">
        <v>3528</v>
      </c>
      <c r="U107" s="36">
        <v>64109</v>
      </c>
      <c r="V107" s="34" t="s">
        <v>3529</v>
      </c>
      <c r="W107" s="38" t="s">
        <v>3867</v>
      </c>
      <c r="X107" s="38"/>
      <c r="Y107" s="40" t="s">
        <v>3222</v>
      </c>
    </row>
    <row r="108" spans="2:25" s="40" customFormat="1">
      <c r="B108" s="34" t="s">
        <v>3510</v>
      </c>
      <c r="C108" s="34"/>
      <c r="D108" s="34" t="s">
        <v>942</v>
      </c>
      <c r="E108" s="40" t="s">
        <v>3803</v>
      </c>
      <c r="F108" s="34" t="s">
        <v>3858</v>
      </c>
      <c r="G108" s="40" t="s">
        <v>625</v>
      </c>
      <c r="K108" s="34" t="s">
        <v>3515</v>
      </c>
      <c r="L108" s="34" t="s">
        <v>3516</v>
      </c>
      <c r="S108" s="40" t="s">
        <v>303</v>
      </c>
      <c r="T108" s="34" t="s">
        <v>3533</v>
      </c>
      <c r="U108" s="36">
        <v>33000</v>
      </c>
      <c r="V108" s="34" t="s">
        <v>942</v>
      </c>
      <c r="W108" s="38" t="s">
        <v>3867</v>
      </c>
      <c r="X108" s="45" t="s">
        <v>414</v>
      </c>
      <c r="Y108" s="34" t="s">
        <v>3172</v>
      </c>
    </row>
    <row r="109" spans="2:25" s="40" customFormat="1">
      <c r="B109" s="34" t="s">
        <v>3510</v>
      </c>
      <c r="C109" s="34"/>
      <c r="D109" s="40" t="s">
        <v>888</v>
      </c>
      <c r="E109" s="40" t="s">
        <v>3804</v>
      </c>
      <c r="F109" s="34" t="s">
        <v>317</v>
      </c>
      <c r="G109" s="40" t="s">
        <v>3174</v>
      </c>
      <c r="K109" s="34" t="s">
        <v>3539</v>
      </c>
      <c r="L109" s="34" t="s">
        <v>3540</v>
      </c>
      <c r="S109" s="40" t="s">
        <v>3873</v>
      </c>
      <c r="T109" s="34" t="s">
        <v>319</v>
      </c>
      <c r="U109" s="36">
        <v>86021</v>
      </c>
      <c r="V109" s="34" t="s">
        <v>888</v>
      </c>
      <c r="W109" s="38" t="s">
        <v>3867</v>
      </c>
      <c r="X109" s="45" t="s">
        <v>414</v>
      </c>
      <c r="Y109" s="34" t="s">
        <v>3172</v>
      </c>
    </row>
    <row r="110" spans="2:25" s="40" customFormat="1">
      <c r="B110" s="34" t="s">
        <v>322</v>
      </c>
      <c r="C110" s="34"/>
      <c r="D110" s="34" t="s">
        <v>3543</v>
      </c>
      <c r="E110" s="40" t="s">
        <v>3805</v>
      </c>
      <c r="F110" s="40" t="s">
        <v>324</v>
      </c>
      <c r="G110" s="34" t="s">
        <v>3174</v>
      </c>
      <c r="I110" s="40" t="s">
        <v>3544</v>
      </c>
      <c r="J110" s="40" t="s">
        <v>623</v>
      </c>
      <c r="K110" s="34" t="s">
        <v>3547</v>
      </c>
      <c r="L110" s="34" t="s">
        <v>3548</v>
      </c>
      <c r="S110" s="34" t="s">
        <v>3545</v>
      </c>
      <c r="T110" s="34" t="s">
        <v>3546</v>
      </c>
      <c r="U110" s="36">
        <v>34500</v>
      </c>
      <c r="V110" s="34" t="s">
        <v>3543</v>
      </c>
      <c r="W110" s="38" t="s">
        <v>3867</v>
      </c>
      <c r="X110" s="38"/>
      <c r="Y110" s="34" t="s">
        <v>3204</v>
      </c>
    </row>
    <row r="111" spans="2:25" s="40" customFormat="1">
      <c r="B111" s="34" t="s">
        <v>322</v>
      </c>
      <c r="C111" s="34"/>
      <c r="D111" s="34" t="s">
        <v>3563</v>
      </c>
      <c r="E111" s="40" t="s">
        <v>3805</v>
      </c>
      <c r="F111" s="34" t="s">
        <v>324</v>
      </c>
      <c r="G111" s="34" t="s">
        <v>3174</v>
      </c>
      <c r="I111" s="34" t="s">
        <v>3564</v>
      </c>
      <c r="J111" s="40" t="s">
        <v>623</v>
      </c>
      <c r="K111" s="34" t="s">
        <v>3547</v>
      </c>
      <c r="L111" s="34" t="s">
        <v>3548</v>
      </c>
      <c r="T111" s="34" t="s">
        <v>3565</v>
      </c>
      <c r="U111" s="36">
        <v>66000</v>
      </c>
      <c r="V111" s="34" t="s">
        <v>3563</v>
      </c>
      <c r="W111" s="38" t="s">
        <v>3867</v>
      </c>
      <c r="X111" s="38"/>
      <c r="Y111" s="34" t="s">
        <v>3204</v>
      </c>
    </row>
    <row r="112" spans="2:25" s="40" customFormat="1">
      <c r="B112" s="34" t="s">
        <v>322</v>
      </c>
      <c r="C112" s="34"/>
      <c r="D112" s="34" t="s">
        <v>3563</v>
      </c>
      <c r="E112" s="40" t="s">
        <v>3805</v>
      </c>
      <c r="F112" s="34" t="s">
        <v>324</v>
      </c>
      <c r="G112" s="34" t="s">
        <v>3174</v>
      </c>
      <c r="I112" s="34" t="s">
        <v>3564</v>
      </c>
      <c r="J112" s="40" t="s">
        <v>623</v>
      </c>
      <c r="K112" s="34" t="s">
        <v>3566</v>
      </c>
      <c r="L112" s="34" t="s">
        <v>3567</v>
      </c>
      <c r="T112" s="34" t="s">
        <v>3565</v>
      </c>
      <c r="U112" s="36">
        <v>66000</v>
      </c>
      <c r="V112" s="34" t="s">
        <v>3563</v>
      </c>
      <c r="W112" s="38" t="s">
        <v>3867</v>
      </c>
      <c r="X112" s="38"/>
      <c r="Y112" s="34" t="s">
        <v>3432</v>
      </c>
    </row>
    <row r="113" spans="2:25" s="40" customFormat="1">
      <c r="B113" s="34" t="s">
        <v>322</v>
      </c>
      <c r="C113" s="34"/>
      <c r="D113" s="34" t="s">
        <v>3549</v>
      </c>
      <c r="E113" s="40" t="s">
        <v>3805</v>
      </c>
      <c r="F113" s="34" t="s">
        <v>324</v>
      </c>
      <c r="G113" s="34" t="s">
        <v>3174</v>
      </c>
      <c r="I113" s="34" t="s">
        <v>3552</v>
      </c>
      <c r="J113" s="40" t="s">
        <v>625</v>
      </c>
      <c r="K113" s="34" t="s">
        <v>3555</v>
      </c>
      <c r="S113" s="34" t="s">
        <v>3554</v>
      </c>
      <c r="T113" s="34" t="s">
        <v>3553</v>
      </c>
      <c r="U113" s="36">
        <v>34298</v>
      </c>
      <c r="V113" s="34" t="s">
        <v>3549</v>
      </c>
      <c r="W113" s="38" t="s">
        <v>3867</v>
      </c>
      <c r="X113" s="38"/>
      <c r="Y113" s="34" t="s">
        <v>3203</v>
      </c>
    </row>
    <row r="114" spans="2:25" s="40" customFormat="1">
      <c r="B114" s="34" t="s">
        <v>322</v>
      </c>
      <c r="C114" s="34"/>
      <c r="D114" s="34" t="s">
        <v>3549</v>
      </c>
      <c r="E114" s="40" t="s">
        <v>3806</v>
      </c>
      <c r="F114" s="34" t="s">
        <v>3917</v>
      </c>
      <c r="G114" s="40" t="s">
        <v>625</v>
      </c>
      <c r="I114" s="34" t="s">
        <v>3556</v>
      </c>
      <c r="J114" s="40" t="s">
        <v>3173</v>
      </c>
      <c r="K114" s="34" t="s">
        <v>3547</v>
      </c>
      <c r="S114" s="34" t="s">
        <v>3558</v>
      </c>
      <c r="T114" s="34" t="s">
        <v>3559</v>
      </c>
      <c r="U114" s="36">
        <v>34070</v>
      </c>
      <c r="V114" s="34" t="s">
        <v>3549</v>
      </c>
      <c r="W114" s="38" t="s">
        <v>3867</v>
      </c>
      <c r="X114" s="38"/>
      <c r="Y114" s="34" t="s">
        <v>3203</v>
      </c>
    </row>
    <row r="115" spans="2:25" s="40" customFormat="1">
      <c r="B115" s="34" t="s">
        <v>322</v>
      </c>
      <c r="C115" s="34"/>
      <c r="D115" s="34" t="s">
        <v>3549</v>
      </c>
      <c r="E115" s="40" t="s">
        <v>3807</v>
      </c>
      <c r="F115" s="34" t="s">
        <v>3550</v>
      </c>
      <c r="G115" s="34" t="s">
        <v>3174</v>
      </c>
      <c r="K115" s="34" t="s">
        <v>3547</v>
      </c>
      <c r="L115" s="34" t="s">
        <v>3548</v>
      </c>
      <c r="T115" s="34" t="s">
        <v>3551</v>
      </c>
      <c r="U115" s="36">
        <v>34090</v>
      </c>
      <c r="V115" s="34" t="s">
        <v>329</v>
      </c>
      <c r="W115" s="38" t="s">
        <v>3867</v>
      </c>
      <c r="X115" s="38"/>
      <c r="Y115" s="34" t="s">
        <v>3172</v>
      </c>
    </row>
    <row r="116" spans="2:25" s="40" customFormat="1">
      <c r="B116" s="34" t="s">
        <v>322</v>
      </c>
      <c r="C116" s="34"/>
      <c r="D116" s="34" t="s">
        <v>3560</v>
      </c>
      <c r="E116" s="40" t="s">
        <v>3808</v>
      </c>
      <c r="F116" s="34" t="s">
        <v>3916</v>
      </c>
      <c r="G116" s="34" t="s">
        <v>3174</v>
      </c>
      <c r="K116" s="34" t="s">
        <v>3562</v>
      </c>
      <c r="T116" s="34" t="s">
        <v>339</v>
      </c>
      <c r="U116" s="36">
        <v>30900</v>
      </c>
      <c r="V116" s="34" t="s">
        <v>3560</v>
      </c>
      <c r="W116" s="38" t="s">
        <v>3867</v>
      </c>
      <c r="X116" s="38"/>
      <c r="Y116" s="34" t="s">
        <v>3172</v>
      </c>
    </row>
    <row r="117" spans="2:25" s="40" customFormat="1">
      <c r="B117" s="34" t="s">
        <v>322</v>
      </c>
      <c r="C117" s="34"/>
      <c r="D117" s="34" t="s">
        <v>3574</v>
      </c>
      <c r="E117" s="40" t="s">
        <v>3809</v>
      </c>
      <c r="F117" s="34" t="s">
        <v>3575</v>
      </c>
      <c r="G117" s="34" t="s">
        <v>342</v>
      </c>
      <c r="K117" s="34" t="s">
        <v>3577</v>
      </c>
      <c r="L117" s="34" t="s">
        <v>426</v>
      </c>
      <c r="M117" s="34" t="s">
        <v>3578</v>
      </c>
      <c r="N117" s="34" t="s">
        <v>422</v>
      </c>
      <c r="O117" s="34" t="s">
        <v>3579</v>
      </c>
      <c r="P117" s="34"/>
      <c r="Q117" s="34"/>
      <c r="R117" s="34"/>
      <c r="T117" s="34" t="s">
        <v>3576</v>
      </c>
      <c r="U117" s="36">
        <v>31100</v>
      </c>
      <c r="V117" s="34" t="s">
        <v>3574</v>
      </c>
      <c r="W117" s="38" t="s">
        <v>3867</v>
      </c>
      <c r="X117" s="38"/>
      <c r="Y117" s="34" t="s">
        <v>3172</v>
      </c>
    </row>
    <row r="118" spans="2:25" s="40" customFormat="1">
      <c r="B118" s="34" t="s">
        <v>322</v>
      </c>
      <c r="C118" s="34"/>
      <c r="D118" s="34" t="s">
        <v>3568</v>
      </c>
      <c r="E118" s="40" t="s">
        <v>3810</v>
      </c>
      <c r="F118" s="34" t="s">
        <v>342</v>
      </c>
      <c r="G118" s="40" t="s">
        <v>342</v>
      </c>
      <c r="I118" s="34" t="s">
        <v>3569</v>
      </c>
      <c r="J118" s="40" t="s">
        <v>623</v>
      </c>
      <c r="K118" s="34" t="s">
        <v>422</v>
      </c>
      <c r="T118" s="34" t="s">
        <v>3570</v>
      </c>
      <c r="U118" s="36">
        <v>12000</v>
      </c>
      <c r="V118" s="34" t="s">
        <v>3568</v>
      </c>
      <c r="W118" s="38" t="s">
        <v>3867</v>
      </c>
      <c r="X118" s="38"/>
      <c r="Y118" s="34" t="s">
        <v>3203</v>
      </c>
    </row>
    <row r="119" spans="2:25" s="40" customFormat="1">
      <c r="B119" s="34" t="s">
        <v>322</v>
      </c>
      <c r="C119" s="34"/>
      <c r="D119" s="34" t="s">
        <v>3571</v>
      </c>
      <c r="E119" s="40" t="s">
        <v>3810</v>
      </c>
      <c r="F119" s="34" t="s">
        <v>342</v>
      </c>
      <c r="G119" s="40" t="s">
        <v>342</v>
      </c>
      <c r="I119" s="34" t="s">
        <v>3572</v>
      </c>
      <c r="J119" s="40" t="s">
        <v>3173</v>
      </c>
      <c r="K119" s="34" t="s">
        <v>422</v>
      </c>
      <c r="T119" s="34" t="s">
        <v>3573</v>
      </c>
      <c r="U119" s="36">
        <v>65000</v>
      </c>
      <c r="V119" s="34" t="s">
        <v>3571</v>
      </c>
      <c r="W119" s="38" t="s">
        <v>3867</v>
      </c>
      <c r="X119" s="38"/>
      <c r="Y119" s="34" t="s">
        <v>3203</v>
      </c>
    </row>
    <row r="120" spans="2:25" s="40" customFormat="1">
      <c r="B120" s="34" t="s">
        <v>322</v>
      </c>
      <c r="C120" s="40" t="s">
        <v>341</v>
      </c>
      <c r="E120" s="40" t="s">
        <v>3810</v>
      </c>
      <c r="F120" s="40" t="s">
        <v>342</v>
      </c>
      <c r="G120" s="40" t="s">
        <v>342</v>
      </c>
      <c r="K120" s="40" t="s">
        <v>347</v>
      </c>
      <c r="L120" s="40" t="s">
        <v>348</v>
      </c>
      <c r="M120" s="40" t="s">
        <v>349</v>
      </c>
      <c r="N120" s="40" t="s">
        <v>350</v>
      </c>
      <c r="O120" s="40" t="s">
        <v>351</v>
      </c>
      <c r="P120" s="40" t="s">
        <v>352</v>
      </c>
      <c r="Q120" s="40" t="s">
        <v>353</v>
      </c>
      <c r="S120" s="40" t="s">
        <v>3918</v>
      </c>
      <c r="T120" s="40" t="s">
        <v>345</v>
      </c>
      <c r="U120" s="40">
        <v>31059</v>
      </c>
      <c r="V120" s="40" t="s">
        <v>346</v>
      </c>
      <c r="W120" s="50" t="s">
        <v>3709</v>
      </c>
      <c r="X120" s="50" t="s">
        <v>414</v>
      </c>
    </row>
    <row r="121" spans="2:25" s="40" customFormat="1">
      <c r="B121" s="34" t="s">
        <v>355</v>
      </c>
      <c r="C121" s="34"/>
      <c r="D121" s="34" t="s">
        <v>3580</v>
      </c>
      <c r="E121" s="40" t="s">
        <v>3811</v>
      </c>
      <c r="F121" s="34" t="s">
        <v>3919</v>
      </c>
      <c r="G121" s="34" t="s">
        <v>3174</v>
      </c>
      <c r="K121" s="34" t="s">
        <v>3418</v>
      </c>
      <c r="S121" s="34" t="s">
        <v>3582</v>
      </c>
      <c r="T121" s="34" t="s">
        <v>364</v>
      </c>
      <c r="U121" s="36">
        <v>49100</v>
      </c>
      <c r="V121" s="34" t="s">
        <v>3580</v>
      </c>
      <c r="W121" s="38" t="s">
        <v>3867</v>
      </c>
      <c r="X121" s="38"/>
      <c r="Y121" s="34" t="s">
        <v>3172</v>
      </c>
    </row>
    <row r="122" spans="2:25" s="40" customFormat="1">
      <c r="B122" s="34" t="s">
        <v>355</v>
      </c>
      <c r="C122" s="34"/>
      <c r="D122" s="34" t="s">
        <v>3599</v>
      </c>
      <c r="E122" s="40" t="s">
        <v>3812</v>
      </c>
      <c r="F122" s="34" t="s">
        <v>3610</v>
      </c>
      <c r="G122" s="34" t="s">
        <v>3173</v>
      </c>
      <c r="I122" s="34" t="s">
        <v>3615</v>
      </c>
      <c r="J122" s="34" t="s">
        <v>3173</v>
      </c>
      <c r="K122" s="34" t="s">
        <v>3613</v>
      </c>
      <c r="T122" s="34" t="s">
        <v>3616</v>
      </c>
      <c r="U122" s="36">
        <v>44300</v>
      </c>
      <c r="V122" s="34" t="s">
        <v>3599</v>
      </c>
      <c r="W122" s="38" t="s">
        <v>3867</v>
      </c>
      <c r="X122" s="38"/>
      <c r="Y122" s="34" t="s">
        <v>3203</v>
      </c>
    </row>
    <row r="123" spans="2:25" s="40" customFormat="1">
      <c r="B123" s="34" t="s">
        <v>355</v>
      </c>
      <c r="C123" s="34"/>
      <c r="D123" s="34" t="s">
        <v>3599</v>
      </c>
      <c r="E123" s="40" t="s">
        <v>3812</v>
      </c>
      <c r="F123" s="34" t="s">
        <v>3610</v>
      </c>
      <c r="G123" s="34" t="s">
        <v>3173</v>
      </c>
      <c r="K123" s="34" t="s">
        <v>3612</v>
      </c>
      <c r="L123" s="34" t="s">
        <v>3613</v>
      </c>
      <c r="T123" s="34" t="s">
        <v>3611</v>
      </c>
      <c r="U123" s="36">
        <v>44200</v>
      </c>
      <c r="V123" s="34" t="s">
        <v>3599</v>
      </c>
      <c r="W123" s="38" t="s">
        <v>3867</v>
      </c>
      <c r="X123" s="38"/>
      <c r="Y123" s="34" t="s">
        <v>3172</v>
      </c>
    </row>
    <row r="124" spans="2:25" s="40" customFormat="1">
      <c r="B124" s="34" t="s">
        <v>355</v>
      </c>
      <c r="C124" s="34"/>
      <c r="D124" s="34" t="s">
        <v>3580</v>
      </c>
      <c r="E124" s="40" t="s">
        <v>3813</v>
      </c>
      <c r="F124" s="34" t="s">
        <v>3922</v>
      </c>
      <c r="G124" s="34" t="s">
        <v>625</v>
      </c>
      <c r="K124" s="34" t="s">
        <v>3585</v>
      </c>
      <c r="L124" s="37" t="s">
        <v>3586</v>
      </c>
      <c r="S124" s="39" t="s">
        <v>3920</v>
      </c>
      <c r="T124" s="34" t="s">
        <v>3584</v>
      </c>
      <c r="U124" s="36">
        <v>49100</v>
      </c>
      <c r="V124" s="34" t="s">
        <v>3580</v>
      </c>
      <c r="W124" s="38" t="s">
        <v>3867</v>
      </c>
      <c r="X124" s="38" t="s">
        <v>414</v>
      </c>
      <c r="Y124" s="34" t="s">
        <v>3172</v>
      </c>
    </row>
    <row r="125" spans="2:25" s="40" customFormat="1">
      <c r="B125" s="34" t="s">
        <v>3618</v>
      </c>
      <c r="C125" s="34"/>
      <c r="D125" s="34" t="s">
        <v>2964</v>
      </c>
      <c r="E125" s="40" t="s">
        <v>3814</v>
      </c>
      <c r="F125" s="34" t="s">
        <v>373</v>
      </c>
      <c r="G125" s="40" t="s">
        <v>3659</v>
      </c>
      <c r="I125" s="34" t="s">
        <v>3728</v>
      </c>
      <c r="J125" s="40" t="s">
        <v>3659</v>
      </c>
      <c r="K125" s="34" t="s">
        <v>3656</v>
      </c>
      <c r="T125" s="34" t="s">
        <v>3658</v>
      </c>
      <c r="U125" s="36">
        <v>13015</v>
      </c>
      <c r="V125" s="34" t="s">
        <v>2964</v>
      </c>
      <c r="W125" s="38" t="s">
        <v>3867</v>
      </c>
      <c r="X125" s="38"/>
      <c r="Y125" s="34" t="s">
        <v>3203</v>
      </c>
    </row>
    <row r="126" spans="2:25" s="40" customFormat="1">
      <c r="B126" s="34" t="s">
        <v>3618</v>
      </c>
      <c r="C126" s="34"/>
      <c r="D126" s="34" t="s">
        <v>2964</v>
      </c>
      <c r="E126" s="40" t="s">
        <v>3814</v>
      </c>
      <c r="F126" s="34" t="s">
        <v>373</v>
      </c>
      <c r="G126" s="40" t="s">
        <v>3659</v>
      </c>
      <c r="I126" s="34" t="s">
        <v>3664</v>
      </c>
      <c r="J126" s="40" t="s">
        <v>3173</v>
      </c>
      <c r="K126" s="34" t="s">
        <v>3656</v>
      </c>
      <c r="T126" s="34" t="s">
        <v>3665</v>
      </c>
      <c r="U126" s="36">
        <v>13012</v>
      </c>
      <c r="V126" s="34" t="s">
        <v>2964</v>
      </c>
      <c r="W126" s="38" t="s">
        <v>3867</v>
      </c>
      <c r="X126" s="38"/>
      <c r="Y126" s="34" t="s">
        <v>3203</v>
      </c>
    </row>
    <row r="127" spans="2:25" s="40" customFormat="1">
      <c r="B127" s="34" t="s">
        <v>3618</v>
      </c>
      <c r="C127" s="34"/>
      <c r="D127" s="34" t="s">
        <v>2964</v>
      </c>
      <c r="E127" s="40" t="s">
        <v>3814</v>
      </c>
      <c r="F127" s="34" t="s">
        <v>373</v>
      </c>
      <c r="G127" s="40" t="s">
        <v>3659</v>
      </c>
      <c r="I127" s="34" t="s">
        <v>3667</v>
      </c>
      <c r="J127" s="40" t="s">
        <v>623</v>
      </c>
      <c r="K127" s="34" t="s">
        <v>3656</v>
      </c>
      <c r="T127" s="34" t="s">
        <v>3666</v>
      </c>
      <c r="U127" s="36">
        <v>13008</v>
      </c>
      <c r="V127" s="34" t="s">
        <v>2964</v>
      </c>
      <c r="W127" s="38" t="s">
        <v>3867</v>
      </c>
      <c r="X127" s="38"/>
      <c r="Y127" s="34" t="s">
        <v>3203</v>
      </c>
    </row>
    <row r="128" spans="2:25" s="40" customFormat="1">
      <c r="B128" s="34" t="s">
        <v>3618</v>
      </c>
      <c r="C128" s="34"/>
      <c r="D128" s="34" t="s">
        <v>2964</v>
      </c>
      <c r="E128" s="40" t="s">
        <v>3815</v>
      </c>
      <c r="F128" s="34" t="s">
        <v>3722</v>
      </c>
      <c r="G128" s="40" t="s">
        <v>3659</v>
      </c>
      <c r="K128" s="34" t="s">
        <v>3656</v>
      </c>
      <c r="T128" s="34" t="s">
        <v>3655</v>
      </c>
      <c r="U128" s="36">
        <v>13005</v>
      </c>
      <c r="V128" s="34" t="s">
        <v>2964</v>
      </c>
      <c r="W128" s="38" t="s">
        <v>3867</v>
      </c>
      <c r="X128" s="38"/>
      <c r="Y128" s="34" t="s">
        <v>3172</v>
      </c>
    </row>
    <row r="129" spans="1:27" s="40" customFormat="1">
      <c r="B129" s="34" t="s">
        <v>3618</v>
      </c>
      <c r="C129" s="34"/>
      <c r="D129" s="34" t="s">
        <v>3671</v>
      </c>
      <c r="E129" s="40" t="s">
        <v>3816</v>
      </c>
      <c r="F129" s="34" t="s">
        <v>3856</v>
      </c>
      <c r="G129" s="40" t="s">
        <v>625</v>
      </c>
      <c r="I129" s="34" t="s">
        <v>3672</v>
      </c>
      <c r="J129" s="40" t="s">
        <v>3173</v>
      </c>
      <c r="K129" s="34" t="s">
        <v>3632</v>
      </c>
      <c r="T129" s="34" t="s">
        <v>3673</v>
      </c>
      <c r="U129" s="36">
        <v>6250</v>
      </c>
      <c r="V129" s="34" t="s">
        <v>3671</v>
      </c>
      <c r="W129" s="38" t="s">
        <v>3867</v>
      </c>
      <c r="X129" s="38"/>
      <c r="Y129" s="34" t="s">
        <v>3203</v>
      </c>
    </row>
    <row r="130" spans="1:27" s="40" customFormat="1">
      <c r="B130" s="34" t="s">
        <v>3618</v>
      </c>
      <c r="C130" s="34"/>
      <c r="D130" s="34" t="s">
        <v>3627</v>
      </c>
      <c r="E130" s="40" t="s">
        <v>3816</v>
      </c>
      <c r="F130" s="34" t="s">
        <v>3856</v>
      </c>
      <c r="G130" s="40" t="s">
        <v>625</v>
      </c>
      <c r="I130" s="34" t="s">
        <v>3629</v>
      </c>
      <c r="J130" s="40" t="s">
        <v>623</v>
      </c>
      <c r="K130" s="34" t="s">
        <v>3632</v>
      </c>
      <c r="T130" s="34" t="s">
        <v>3630</v>
      </c>
      <c r="U130" s="36">
        <v>6606</v>
      </c>
      <c r="V130" s="34" t="s">
        <v>3631</v>
      </c>
      <c r="W130" s="38" t="s">
        <v>3867</v>
      </c>
      <c r="X130" s="38"/>
      <c r="Y130" s="34" t="s">
        <v>3203</v>
      </c>
    </row>
    <row r="131" spans="1:27" s="39" customFormat="1">
      <c r="A131" s="40"/>
      <c r="B131" s="34" t="s">
        <v>3618</v>
      </c>
      <c r="C131" s="34"/>
      <c r="D131" s="34" t="s">
        <v>3652</v>
      </c>
      <c r="E131" s="40" t="s">
        <v>3816</v>
      </c>
      <c r="F131" s="34" t="s">
        <v>3856</v>
      </c>
      <c r="G131" s="40" t="s">
        <v>625</v>
      </c>
      <c r="H131" s="40"/>
      <c r="I131" s="34" t="s">
        <v>3653</v>
      </c>
      <c r="J131" s="40" t="s">
        <v>623</v>
      </c>
      <c r="K131" s="34" t="s">
        <v>3632</v>
      </c>
      <c r="L131" s="40"/>
      <c r="M131" s="40"/>
      <c r="N131" s="40"/>
      <c r="O131" s="40"/>
      <c r="P131" s="40"/>
      <c r="Q131" s="40"/>
      <c r="R131" s="40"/>
      <c r="S131" s="40"/>
      <c r="T131" s="34" t="s">
        <v>3654</v>
      </c>
      <c r="U131" s="36">
        <v>6130</v>
      </c>
      <c r="V131" s="34" t="s">
        <v>3652</v>
      </c>
      <c r="W131" s="38" t="s">
        <v>3867</v>
      </c>
      <c r="X131" s="38"/>
      <c r="Y131" s="34" t="s">
        <v>3203</v>
      </c>
      <c r="Z131" s="40"/>
      <c r="AA131" s="40"/>
    </row>
    <row r="132" spans="1:27" s="39" customFormat="1">
      <c r="A132" s="40"/>
      <c r="B132" s="34" t="s">
        <v>3618</v>
      </c>
      <c r="C132" s="34"/>
      <c r="D132" s="34" t="s">
        <v>3646</v>
      </c>
      <c r="E132" s="40" t="s">
        <v>3816</v>
      </c>
      <c r="F132" s="34" t="s">
        <v>3856</v>
      </c>
      <c r="G132" s="40" t="s">
        <v>625</v>
      </c>
      <c r="H132" s="40"/>
      <c r="I132" s="34" t="s">
        <v>3647</v>
      </c>
      <c r="J132" s="40" t="s">
        <v>3453</v>
      </c>
      <c r="K132" s="34" t="s">
        <v>3632</v>
      </c>
      <c r="L132" s="40"/>
      <c r="M132" s="40"/>
      <c r="N132" s="40"/>
      <c r="O132" s="40"/>
      <c r="P132" s="40"/>
      <c r="Q132" s="40"/>
      <c r="R132" s="40"/>
      <c r="S132" s="40"/>
      <c r="T132" s="34" t="s">
        <v>3648</v>
      </c>
      <c r="U132" s="36">
        <v>83600</v>
      </c>
      <c r="V132" s="34" t="s">
        <v>3646</v>
      </c>
      <c r="W132" s="38" t="s">
        <v>3867</v>
      </c>
      <c r="X132" s="38"/>
      <c r="Y132" s="34" t="s">
        <v>3203</v>
      </c>
      <c r="Z132" s="40"/>
      <c r="AA132" s="40"/>
    </row>
    <row r="133" spans="1:27" s="39" customFormat="1">
      <c r="A133" s="40"/>
      <c r="B133" s="34" t="s">
        <v>3618</v>
      </c>
      <c r="C133" s="34"/>
      <c r="D133" s="34" t="s">
        <v>3642</v>
      </c>
      <c r="E133" s="40" t="s">
        <v>3816</v>
      </c>
      <c r="F133" s="34" t="s">
        <v>3856</v>
      </c>
      <c r="G133" s="40" t="s">
        <v>625</v>
      </c>
      <c r="H133" s="40"/>
      <c r="I133" s="34" t="s">
        <v>3640</v>
      </c>
      <c r="J133" s="40" t="s">
        <v>623</v>
      </c>
      <c r="K133" s="34" t="s">
        <v>3632</v>
      </c>
      <c r="L133" s="40"/>
      <c r="M133" s="40"/>
      <c r="N133" s="40"/>
      <c r="O133" s="40"/>
      <c r="P133" s="40"/>
      <c r="Q133" s="40"/>
      <c r="R133" s="40"/>
      <c r="S133" s="40"/>
      <c r="T133" s="34" t="s">
        <v>3641</v>
      </c>
      <c r="U133" s="36">
        <v>6400</v>
      </c>
      <c r="V133" s="34" t="s">
        <v>3642</v>
      </c>
      <c r="W133" s="38" t="s">
        <v>3867</v>
      </c>
      <c r="X133" s="38"/>
      <c r="Y133" s="34" t="s">
        <v>3203</v>
      </c>
      <c r="Z133" s="40"/>
      <c r="AA133" s="40"/>
    </row>
    <row r="134" spans="1:27" s="39" customFormat="1">
      <c r="A134" s="40"/>
      <c r="B134" s="34" t="s">
        <v>3618</v>
      </c>
      <c r="C134" s="34"/>
      <c r="D134" s="34" t="s">
        <v>2956</v>
      </c>
      <c r="E134" s="40" t="s">
        <v>3816</v>
      </c>
      <c r="F134" s="34" t="s">
        <v>3856</v>
      </c>
      <c r="G134" s="40" t="s">
        <v>625</v>
      </c>
      <c r="H134" s="40"/>
      <c r="I134" s="34" t="s">
        <v>3674</v>
      </c>
      <c r="J134" s="40" t="s">
        <v>3174</v>
      </c>
      <c r="K134" s="34" t="s">
        <v>3632</v>
      </c>
      <c r="L134" s="40"/>
      <c r="M134" s="40"/>
      <c r="N134" s="40"/>
      <c r="O134" s="40"/>
      <c r="P134" s="40"/>
      <c r="Q134" s="40"/>
      <c r="R134" s="40"/>
      <c r="S134" s="40"/>
      <c r="T134" s="34" t="s">
        <v>3675</v>
      </c>
      <c r="U134" s="36">
        <v>6200</v>
      </c>
      <c r="V134" s="34" t="s">
        <v>2956</v>
      </c>
      <c r="W134" s="38" t="s">
        <v>3867</v>
      </c>
      <c r="X134" s="38"/>
      <c r="Y134" s="34" t="s">
        <v>3203</v>
      </c>
      <c r="Z134" s="40"/>
      <c r="AA134" s="40"/>
    </row>
    <row r="135" spans="1:27" s="39" customFormat="1">
      <c r="A135" s="40"/>
      <c r="B135" s="34" t="s">
        <v>3618</v>
      </c>
      <c r="C135" s="34"/>
      <c r="D135" s="34" t="s">
        <v>2956</v>
      </c>
      <c r="E135" s="40" t="s">
        <v>3816</v>
      </c>
      <c r="F135" s="34" t="s">
        <v>3856</v>
      </c>
      <c r="G135" s="40" t="s">
        <v>625</v>
      </c>
      <c r="H135" s="40"/>
      <c r="I135" s="40"/>
      <c r="J135" s="40"/>
      <c r="K135" s="34" t="s">
        <v>3632</v>
      </c>
      <c r="L135" s="40"/>
      <c r="M135" s="40"/>
      <c r="N135" s="40"/>
      <c r="O135" s="40"/>
      <c r="P135" s="40"/>
      <c r="Q135" s="40"/>
      <c r="R135" s="40"/>
      <c r="S135" s="40" t="s">
        <v>3874</v>
      </c>
      <c r="T135" s="34" t="s">
        <v>398</v>
      </c>
      <c r="U135" s="36">
        <v>6100</v>
      </c>
      <c r="V135" s="34" t="s">
        <v>2956</v>
      </c>
      <c r="W135" s="38" t="s">
        <v>3867</v>
      </c>
      <c r="X135" s="45" t="s">
        <v>414</v>
      </c>
      <c r="Y135" s="34" t="s">
        <v>3172</v>
      </c>
      <c r="Z135" s="40"/>
      <c r="AA135" s="40"/>
    </row>
    <row r="136" spans="1:27" s="40" customFormat="1">
      <c r="B136" s="34" t="s">
        <v>3618</v>
      </c>
      <c r="C136" s="34"/>
      <c r="D136" s="34" t="s">
        <v>3636</v>
      </c>
      <c r="E136" s="40" t="s">
        <v>3817</v>
      </c>
      <c r="F136" s="34" t="s">
        <v>3637</v>
      </c>
      <c r="G136" s="34" t="s">
        <v>623</v>
      </c>
      <c r="K136" s="34" t="s">
        <v>3625</v>
      </c>
      <c r="T136" s="34" t="s">
        <v>3638</v>
      </c>
      <c r="U136" s="36">
        <v>20604</v>
      </c>
      <c r="V136" s="34" t="s">
        <v>3639</v>
      </c>
      <c r="W136" s="38" t="s">
        <v>3867</v>
      </c>
      <c r="X136" s="38"/>
      <c r="Y136" s="34" t="s">
        <v>3172</v>
      </c>
    </row>
    <row r="137" spans="1:27" s="40" customFormat="1">
      <c r="B137" s="34" t="s">
        <v>3618</v>
      </c>
      <c r="C137" s="34"/>
      <c r="D137" s="34" t="s">
        <v>3643</v>
      </c>
      <c r="E137" s="40" t="s">
        <v>3818</v>
      </c>
      <c r="F137" s="34" t="s">
        <v>3626</v>
      </c>
      <c r="G137" s="40" t="s">
        <v>623</v>
      </c>
      <c r="I137" s="34" t="s">
        <v>3644</v>
      </c>
      <c r="J137" s="40" t="s">
        <v>623</v>
      </c>
      <c r="K137" s="34" t="s">
        <v>3625</v>
      </c>
      <c r="T137" s="34" t="s">
        <v>3645</v>
      </c>
      <c r="U137" s="36">
        <v>20250</v>
      </c>
      <c r="V137" s="34" t="s">
        <v>3643</v>
      </c>
      <c r="W137" s="38" t="s">
        <v>3867</v>
      </c>
      <c r="X137" s="38"/>
      <c r="Y137" s="34" t="s">
        <v>3203</v>
      </c>
    </row>
    <row r="138" spans="1:27" s="39" customFormat="1">
      <c r="A138" s="40"/>
      <c r="B138" s="34" t="s">
        <v>3618</v>
      </c>
      <c r="C138" s="34"/>
      <c r="D138" s="34" t="s">
        <v>3622</v>
      </c>
      <c r="E138" s="40" t="s">
        <v>3818</v>
      </c>
      <c r="F138" s="34" t="s">
        <v>3626</v>
      </c>
      <c r="G138" s="34" t="s">
        <v>623</v>
      </c>
      <c r="H138" s="40"/>
      <c r="I138" s="34" t="s">
        <v>3623</v>
      </c>
      <c r="J138" s="34" t="s">
        <v>623</v>
      </c>
      <c r="K138" s="34" t="s">
        <v>3625</v>
      </c>
      <c r="L138" s="40"/>
      <c r="M138" s="40"/>
      <c r="N138" s="40"/>
      <c r="O138" s="40"/>
      <c r="P138" s="40"/>
      <c r="Q138" s="40"/>
      <c r="R138" s="40"/>
      <c r="S138" s="40"/>
      <c r="T138" s="34" t="s">
        <v>3624</v>
      </c>
      <c r="U138" s="36">
        <v>20000</v>
      </c>
      <c r="V138" s="34" t="s">
        <v>3622</v>
      </c>
      <c r="W138" s="38" t="s">
        <v>3867</v>
      </c>
      <c r="X138" s="38"/>
      <c r="Y138" s="34" t="s">
        <v>3203</v>
      </c>
      <c r="Z138" s="40"/>
      <c r="AA138" s="40"/>
    </row>
    <row r="139" spans="1:27" s="39" customFormat="1">
      <c r="A139" s="40"/>
      <c r="B139" s="34" t="s">
        <v>3618</v>
      </c>
      <c r="C139" s="34"/>
      <c r="D139" s="34" t="s">
        <v>3668</v>
      </c>
      <c r="E139" s="40" t="s">
        <v>3819</v>
      </c>
      <c r="F139" s="34" t="s">
        <v>3855</v>
      </c>
      <c r="G139" s="40" t="s">
        <v>625</v>
      </c>
      <c r="H139" s="40"/>
      <c r="I139" s="34" t="s">
        <v>3669</v>
      </c>
      <c r="J139" s="40" t="s">
        <v>623</v>
      </c>
      <c r="K139" s="34" t="s">
        <v>3119</v>
      </c>
      <c r="L139" s="40"/>
      <c r="M139" s="40"/>
      <c r="N139" s="40"/>
      <c r="O139" s="40"/>
      <c r="P139" s="40"/>
      <c r="Q139" s="40"/>
      <c r="R139" s="40"/>
      <c r="S139" s="40"/>
      <c r="T139" s="34" t="s">
        <v>3670</v>
      </c>
      <c r="U139" s="36">
        <v>13500</v>
      </c>
      <c r="V139" s="34" t="s">
        <v>3668</v>
      </c>
      <c r="W139" s="38" t="s">
        <v>3867</v>
      </c>
      <c r="X139" s="38"/>
      <c r="Y139" s="34" t="s">
        <v>3203</v>
      </c>
      <c r="Z139" s="40"/>
      <c r="AA139" s="40"/>
    </row>
    <row r="140" spans="1:27" s="40" customFormat="1">
      <c r="B140" s="34" t="s">
        <v>3618</v>
      </c>
      <c r="C140" s="34"/>
      <c r="D140" s="34" t="s">
        <v>3617</v>
      </c>
      <c r="E140" s="40" t="s">
        <v>3819</v>
      </c>
      <c r="F140" s="34" t="s">
        <v>3855</v>
      </c>
      <c r="G140" s="40" t="s">
        <v>625</v>
      </c>
      <c r="I140" s="34" t="s">
        <v>3620</v>
      </c>
      <c r="J140" s="40" t="s">
        <v>623</v>
      </c>
      <c r="K140" s="34" t="s">
        <v>3119</v>
      </c>
      <c r="T140" s="34" t="s">
        <v>3621</v>
      </c>
      <c r="U140" s="36">
        <v>13116</v>
      </c>
      <c r="V140" s="34" t="s">
        <v>3617</v>
      </c>
      <c r="W140" s="38" t="s">
        <v>3867</v>
      </c>
      <c r="X140" s="38"/>
      <c r="Y140" s="34" t="s">
        <v>3203</v>
      </c>
    </row>
    <row r="141" spans="1:27" s="40" customFormat="1">
      <c r="B141" s="34" t="s">
        <v>3618</v>
      </c>
      <c r="C141" s="34"/>
      <c r="D141" s="34" t="s">
        <v>3649</v>
      </c>
      <c r="E141" s="40" t="s">
        <v>3819</v>
      </c>
      <c r="F141" s="34" t="s">
        <v>3855</v>
      </c>
      <c r="G141" s="40" t="s">
        <v>625</v>
      </c>
      <c r="I141" s="34" t="s">
        <v>3650</v>
      </c>
      <c r="J141" s="40" t="s">
        <v>623</v>
      </c>
      <c r="K141" s="34" t="s">
        <v>3119</v>
      </c>
      <c r="T141" s="34" t="s">
        <v>3651</v>
      </c>
      <c r="U141" s="36">
        <v>5000</v>
      </c>
      <c r="V141" s="34" t="s">
        <v>3649</v>
      </c>
      <c r="W141" s="38" t="s">
        <v>3867</v>
      </c>
      <c r="X141" s="38"/>
      <c r="Y141" s="34" t="s">
        <v>3203</v>
      </c>
    </row>
    <row r="142" spans="1:27" s="40" customFormat="1">
      <c r="B142" s="34" t="s">
        <v>3618</v>
      </c>
      <c r="C142" s="34"/>
      <c r="D142" s="34" t="s">
        <v>2964</v>
      </c>
      <c r="E142" s="40" t="s">
        <v>3819</v>
      </c>
      <c r="F142" s="34" t="s">
        <v>3855</v>
      </c>
      <c r="G142" s="40" t="s">
        <v>625</v>
      </c>
      <c r="K142" s="34" t="s">
        <v>3123</v>
      </c>
      <c r="L142" s="34" t="s">
        <v>3119</v>
      </c>
      <c r="M142" s="34" t="s">
        <v>3120</v>
      </c>
      <c r="N142" s="34" t="s">
        <v>3662</v>
      </c>
      <c r="O142" s="34" t="s">
        <v>3663</v>
      </c>
      <c r="P142" s="34"/>
      <c r="Q142" s="34"/>
      <c r="R142" s="34"/>
      <c r="S142" s="40" t="s">
        <v>3875</v>
      </c>
      <c r="T142" s="34" t="s">
        <v>3661</v>
      </c>
      <c r="U142" s="36">
        <v>13009</v>
      </c>
      <c r="V142" s="34" t="s">
        <v>2964</v>
      </c>
      <c r="W142" s="38" t="s">
        <v>3867</v>
      </c>
      <c r="X142" s="45" t="s">
        <v>414</v>
      </c>
      <c r="Y142" s="34" t="s">
        <v>3172</v>
      </c>
    </row>
    <row r="143" spans="1:27" s="40" customFormat="1">
      <c r="B143" s="34" t="s">
        <v>3618</v>
      </c>
      <c r="C143" s="34"/>
      <c r="D143" s="34" t="s">
        <v>3676</v>
      </c>
      <c r="E143" s="40" t="s">
        <v>3820</v>
      </c>
      <c r="F143" s="34" t="s">
        <v>3677</v>
      </c>
      <c r="G143" s="40" t="s">
        <v>3453</v>
      </c>
      <c r="K143" s="34" t="s">
        <v>3678</v>
      </c>
      <c r="L143" s="34" t="s">
        <v>3679</v>
      </c>
      <c r="T143" s="34" t="s">
        <v>3680</v>
      </c>
      <c r="U143" s="36">
        <v>83100</v>
      </c>
      <c r="V143" s="34" t="s">
        <v>3676</v>
      </c>
      <c r="W143" s="38" t="s">
        <v>3867</v>
      </c>
      <c r="X143" s="38"/>
      <c r="Y143" s="34" t="s">
        <v>3172</v>
      </c>
    </row>
    <row r="144" spans="1:27" s="39" customFormat="1">
      <c r="A144" s="40"/>
      <c r="B144" s="34" t="s">
        <v>3618</v>
      </c>
      <c r="C144" s="34"/>
      <c r="D144" s="34" t="s">
        <v>2968</v>
      </c>
      <c r="E144" s="40" t="s">
        <v>3821</v>
      </c>
      <c r="F144" s="34" t="s">
        <v>3633</v>
      </c>
      <c r="G144" s="34" t="s">
        <v>3452</v>
      </c>
      <c r="H144" s="40"/>
      <c r="I144" s="40"/>
      <c r="J144" s="40"/>
      <c r="K144" s="34" t="s">
        <v>3160</v>
      </c>
      <c r="L144" s="40"/>
      <c r="M144" s="40"/>
      <c r="N144" s="40"/>
      <c r="O144" s="40"/>
      <c r="P144" s="40"/>
      <c r="Q144" s="40"/>
      <c r="R144" s="40"/>
      <c r="S144" s="40"/>
      <c r="T144" s="34" t="s">
        <v>3634</v>
      </c>
      <c r="U144" s="36">
        <v>84918</v>
      </c>
      <c r="V144" s="34" t="s">
        <v>3635</v>
      </c>
      <c r="W144" s="38" t="s">
        <v>3867</v>
      </c>
      <c r="X144" s="38"/>
      <c r="Y144" s="34" t="s">
        <v>3172</v>
      </c>
      <c r="Z144" s="40"/>
      <c r="AA144" s="40"/>
    </row>
    <row r="145" spans="1:27" s="40" customFormat="1" ht="19.2">
      <c r="B145" s="40" t="s">
        <v>374</v>
      </c>
      <c r="C145" s="40" t="s">
        <v>375</v>
      </c>
      <c r="E145" s="40" t="s">
        <v>3823</v>
      </c>
      <c r="F145" s="40" t="s">
        <v>3721</v>
      </c>
      <c r="G145" s="40" t="s">
        <v>3659</v>
      </c>
      <c r="J145" s="40" t="s">
        <v>3659</v>
      </c>
      <c r="K145" s="39" t="s">
        <v>3108</v>
      </c>
      <c r="L145" s="39" t="s">
        <v>3111</v>
      </c>
      <c r="M145" s="39" t="s">
        <v>3106</v>
      </c>
      <c r="N145" s="46" t="s">
        <v>3110</v>
      </c>
      <c r="O145" s="39"/>
      <c r="P145" s="39"/>
      <c r="Q145" s="39"/>
      <c r="R145" s="39"/>
      <c r="S145" s="40" t="s">
        <v>3876</v>
      </c>
      <c r="T145" s="40" t="s">
        <v>377</v>
      </c>
      <c r="U145" s="40">
        <v>13916</v>
      </c>
      <c r="V145" s="40" t="s">
        <v>378</v>
      </c>
      <c r="W145" s="50" t="s">
        <v>3867</v>
      </c>
      <c r="X145" s="50" t="s">
        <v>414</v>
      </c>
    </row>
    <row r="146" spans="1:27" s="40" customFormat="1">
      <c r="B146" s="34" t="s">
        <v>182</v>
      </c>
      <c r="E146" s="40" t="s">
        <v>3824</v>
      </c>
      <c r="F146" s="40" t="s">
        <v>3725</v>
      </c>
      <c r="G146" s="40" t="s">
        <v>489</v>
      </c>
      <c r="K146" s="39" t="s">
        <v>248</v>
      </c>
      <c r="L146" s="39" t="s">
        <v>249</v>
      </c>
      <c r="M146" s="39" t="s">
        <v>250</v>
      </c>
      <c r="N146" s="39"/>
      <c r="O146" s="39"/>
      <c r="P146" s="39"/>
      <c r="Q146" s="39"/>
      <c r="R146" s="39"/>
      <c r="S146" s="40" t="s">
        <v>3887</v>
      </c>
      <c r="T146" s="40" t="s">
        <v>246</v>
      </c>
      <c r="U146" s="40">
        <v>75015</v>
      </c>
      <c r="V146" s="40" t="s">
        <v>700</v>
      </c>
      <c r="W146" s="50" t="s">
        <v>3867</v>
      </c>
      <c r="X146" s="50" t="s">
        <v>414</v>
      </c>
      <c r="Y146" s="40" t="s">
        <v>3172</v>
      </c>
    </row>
    <row r="147" spans="1:27" s="40" customFormat="1">
      <c r="B147" s="34" t="s">
        <v>182</v>
      </c>
      <c r="C147" s="40" t="s">
        <v>183</v>
      </c>
      <c r="E147" s="40" t="s">
        <v>3825</v>
      </c>
      <c r="F147" s="40" t="s">
        <v>3730</v>
      </c>
      <c r="G147" s="40" t="s">
        <v>489</v>
      </c>
      <c r="K147" s="39" t="s">
        <v>195</v>
      </c>
      <c r="L147" s="39" t="s">
        <v>196</v>
      </c>
      <c r="M147" s="39" t="s">
        <v>197</v>
      </c>
      <c r="N147" s="39"/>
      <c r="O147" s="39"/>
      <c r="P147" s="39"/>
      <c r="Q147" s="39"/>
      <c r="R147" s="39"/>
      <c r="S147" s="40" t="s">
        <v>194</v>
      </c>
      <c r="W147" s="50" t="s">
        <v>3867</v>
      </c>
      <c r="X147" s="50" t="s">
        <v>414</v>
      </c>
    </row>
    <row r="148" spans="1:27" s="39" customFormat="1">
      <c r="A148" s="40"/>
      <c r="B148" s="34" t="s">
        <v>182</v>
      </c>
      <c r="C148" s="40" t="s">
        <v>183</v>
      </c>
      <c r="D148" s="40"/>
      <c r="E148" s="40" t="s">
        <v>3826</v>
      </c>
      <c r="F148" s="40" t="s">
        <v>3884</v>
      </c>
      <c r="G148" s="40" t="s">
        <v>489</v>
      </c>
      <c r="H148" s="40"/>
      <c r="I148" s="40"/>
      <c r="J148" s="40" t="s">
        <v>489</v>
      </c>
      <c r="K148" s="39" t="s">
        <v>226</v>
      </c>
      <c r="L148" s="39" t="s">
        <v>227</v>
      </c>
      <c r="M148" s="39" t="s">
        <v>225</v>
      </c>
      <c r="S148" s="40" t="s">
        <v>3883</v>
      </c>
      <c r="T148" s="40" t="s">
        <v>228</v>
      </c>
      <c r="U148" s="40">
        <v>75651</v>
      </c>
      <c r="V148" s="40" t="s">
        <v>229</v>
      </c>
      <c r="W148" s="50" t="s">
        <v>3867</v>
      </c>
      <c r="X148" s="50" t="s">
        <v>414</v>
      </c>
      <c r="Y148" s="40"/>
      <c r="Z148" s="40"/>
      <c r="AA148" s="40"/>
    </row>
    <row r="149" spans="1:27" s="39" customFormat="1">
      <c r="A149" s="40"/>
      <c r="B149" s="34" t="s">
        <v>182</v>
      </c>
      <c r="C149" s="40" t="s">
        <v>183</v>
      </c>
      <c r="D149" s="40"/>
      <c r="E149" s="40" t="s">
        <v>3827</v>
      </c>
      <c r="F149" s="40" t="s">
        <v>3880</v>
      </c>
      <c r="G149" s="40" t="s">
        <v>489</v>
      </c>
      <c r="H149" s="40"/>
      <c r="I149" s="40"/>
      <c r="J149" s="40" t="s">
        <v>489</v>
      </c>
      <c r="K149" s="39" t="s">
        <v>235</v>
      </c>
      <c r="L149" s="39" t="s">
        <v>233</v>
      </c>
      <c r="S149" s="40" t="s">
        <v>3882</v>
      </c>
      <c r="T149" s="40" t="s">
        <v>236</v>
      </c>
      <c r="U149" s="40">
        <v>75571</v>
      </c>
      <c r="V149" s="40" t="s">
        <v>237</v>
      </c>
      <c r="W149" s="50" t="s">
        <v>3867</v>
      </c>
      <c r="X149" s="50" t="s">
        <v>414</v>
      </c>
      <c r="Y149" s="40"/>
      <c r="Z149" s="40"/>
      <c r="AA149" s="40"/>
    </row>
    <row r="150" spans="1:27" s="40" customFormat="1">
      <c r="B150" s="34" t="s">
        <v>182</v>
      </c>
      <c r="C150" s="40" t="s">
        <v>183</v>
      </c>
      <c r="E150" s="40" t="s">
        <v>3827</v>
      </c>
      <c r="F150" s="40" t="s">
        <v>3880</v>
      </c>
      <c r="G150" s="40" t="s">
        <v>489</v>
      </c>
      <c r="J150" s="40" t="s">
        <v>489</v>
      </c>
      <c r="K150" s="39" t="s">
        <v>233</v>
      </c>
      <c r="L150" s="39" t="s">
        <v>234</v>
      </c>
      <c r="M150" s="39"/>
      <c r="N150" s="39"/>
      <c r="O150" s="39"/>
      <c r="P150" s="39"/>
      <c r="Q150" s="39"/>
      <c r="R150" s="39"/>
      <c r="S150" s="40" t="s">
        <v>3881</v>
      </c>
      <c r="T150" s="40" t="s">
        <v>236</v>
      </c>
      <c r="U150" s="40">
        <v>75571</v>
      </c>
      <c r="V150" s="40" t="s">
        <v>237</v>
      </c>
      <c r="W150" s="50" t="s">
        <v>3867</v>
      </c>
      <c r="X150" s="50" t="s">
        <v>414</v>
      </c>
    </row>
    <row r="151" spans="1:27" s="40" customFormat="1">
      <c r="B151" s="34" t="s">
        <v>182</v>
      </c>
      <c r="C151" s="40" t="s">
        <v>183</v>
      </c>
      <c r="E151" s="40" t="s">
        <v>3828</v>
      </c>
      <c r="F151" s="40" t="s">
        <v>3731</v>
      </c>
      <c r="G151" s="40" t="s">
        <v>489</v>
      </c>
      <c r="J151" s="40" t="s">
        <v>489</v>
      </c>
      <c r="K151" s="39" t="s">
        <v>241</v>
      </c>
      <c r="L151" s="39"/>
      <c r="M151" s="39"/>
      <c r="N151" s="39"/>
      <c r="O151" s="39"/>
      <c r="P151" s="39"/>
      <c r="Q151" s="39"/>
      <c r="R151" s="39"/>
      <c r="S151" s="40" t="s">
        <v>239</v>
      </c>
      <c r="T151" s="40" t="s">
        <v>3885</v>
      </c>
      <c r="U151" s="40">
        <v>75020</v>
      </c>
      <c r="V151" s="40" t="s">
        <v>242</v>
      </c>
      <c r="W151" s="50" t="s">
        <v>3867</v>
      </c>
      <c r="X151" s="50" t="s">
        <v>414</v>
      </c>
    </row>
    <row r="152" spans="1:27" s="39" customFormat="1">
      <c r="A152" s="40"/>
      <c r="B152" s="34" t="s">
        <v>182</v>
      </c>
      <c r="C152" s="40" t="s">
        <v>183</v>
      </c>
      <c r="D152" s="40"/>
      <c r="E152" s="40" t="s">
        <v>3829</v>
      </c>
      <c r="F152" s="40" t="s">
        <v>3893</v>
      </c>
      <c r="G152" s="40" t="s">
        <v>489</v>
      </c>
      <c r="H152" s="40"/>
      <c r="I152" s="40" t="s">
        <v>3891</v>
      </c>
      <c r="J152" s="40" t="s">
        <v>489</v>
      </c>
      <c r="K152" s="39" t="s">
        <v>208</v>
      </c>
      <c r="L152" s="39" t="s">
        <v>210</v>
      </c>
      <c r="M152" s="39" t="s">
        <v>211</v>
      </c>
      <c r="S152" s="40" t="s">
        <v>3892</v>
      </c>
      <c r="T152" s="40"/>
      <c r="U152" s="40"/>
      <c r="V152" s="40"/>
      <c r="W152" s="50" t="s">
        <v>3709</v>
      </c>
      <c r="X152" s="50" t="s">
        <v>414</v>
      </c>
      <c r="Y152" s="40"/>
      <c r="Z152" s="40"/>
      <c r="AA152" s="40"/>
    </row>
    <row r="153" spans="1:27" s="39" customFormat="1">
      <c r="A153" s="40"/>
      <c r="B153" s="34" t="s">
        <v>3287</v>
      </c>
      <c r="C153" s="40" t="s">
        <v>159</v>
      </c>
      <c r="D153" s="40"/>
      <c r="E153" s="40" t="s">
        <v>3830</v>
      </c>
      <c r="F153" s="40" t="s">
        <v>3016</v>
      </c>
      <c r="G153" s="40" t="s">
        <v>623</v>
      </c>
      <c r="H153" s="40"/>
      <c r="I153" s="40"/>
      <c r="J153" s="40" t="s">
        <v>623</v>
      </c>
      <c r="K153" s="40" t="s">
        <v>161</v>
      </c>
      <c r="L153" s="40"/>
      <c r="M153" s="40"/>
      <c r="N153" s="40"/>
      <c r="O153" s="40"/>
      <c r="P153" s="40"/>
      <c r="Q153" s="40"/>
      <c r="R153" s="40"/>
      <c r="S153" s="40" t="s">
        <v>102</v>
      </c>
      <c r="T153" s="40" t="s">
        <v>163</v>
      </c>
      <c r="U153" s="40">
        <v>68024</v>
      </c>
      <c r="V153" s="40" t="s">
        <v>162</v>
      </c>
      <c r="W153" s="50" t="s">
        <v>3715</v>
      </c>
      <c r="X153" s="50" t="s">
        <v>3863</v>
      </c>
      <c r="Y153" s="40"/>
      <c r="Z153" s="40"/>
      <c r="AA153" s="40"/>
    </row>
    <row r="154" spans="1:27" s="39" customFormat="1">
      <c r="A154" s="40"/>
      <c r="B154" s="34" t="s">
        <v>3275</v>
      </c>
      <c r="C154" s="40" t="s">
        <v>126</v>
      </c>
      <c r="D154" s="40"/>
      <c r="E154" s="40" t="s">
        <v>3831</v>
      </c>
      <c r="F154" s="40" t="s">
        <v>3007</v>
      </c>
      <c r="G154" s="40" t="s">
        <v>3307</v>
      </c>
      <c r="H154" s="40"/>
      <c r="I154" s="40"/>
      <c r="J154" s="40"/>
      <c r="K154" s="40" t="s">
        <v>134</v>
      </c>
      <c r="L154" s="40"/>
      <c r="M154" s="40"/>
      <c r="N154" s="40"/>
      <c r="O154" s="40"/>
      <c r="P154" s="40"/>
      <c r="Q154" s="40"/>
      <c r="R154" s="40"/>
      <c r="S154" s="40" t="s">
        <v>3901</v>
      </c>
      <c r="T154" s="40"/>
      <c r="U154" s="40"/>
      <c r="V154" s="40"/>
      <c r="W154" s="50" t="s">
        <v>3709</v>
      </c>
      <c r="X154" s="50" t="s">
        <v>414</v>
      </c>
      <c r="Y154" s="40"/>
      <c r="Z154" s="40"/>
      <c r="AA154" s="40"/>
    </row>
    <row r="155" spans="1:27" s="39" customFormat="1">
      <c r="A155" s="40"/>
      <c r="B155" s="34" t="s">
        <v>3342</v>
      </c>
      <c r="C155" s="40" t="s">
        <v>173</v>
      </c>
      <c r="D155" s="40"/>
      <c r="E155" s="40" t="s">
        <v>3832</v>
      </c>
      <c r="F155" s="40" t="s">
        <v>174</v>
      </c>
      <c r="G155" s="40" t="s">
        <v>3308</v>
      </c>
      <c r="H155" s="40"/>
      <c r="I155" s="40"/>
      <c r="J155" s="40"/>
      <c r="K155" s="40" t="s">
        <v>177</v>
      </c>
      <c r="L155" s="40" t="s">
        <v>178</v>
      </c>
      <c r="M155" s="40" t="s">
        <v>179</v>
      </c>
      <c r="N155" s="40"/>
      <c r="O155" s="40"/>
      <c r="P155" s="40"/>
      <c r="Q155" s="40"/>
      <c r="R155" s="40"/>
      <c r="S155" s="40" t="s">
        <v>3909</v>
      </c>
      <c r="T155" s="40" t="s">
        <v>180</v>
      </c>
      <c r="U155" s="40">
        <v>59037</v>
      </c>
      <c r="V155" s="40" t="s">
        <v>181</v>
      </c>
      <c r="W155" s="50" t="s">
        <v>3709</v>
      </c>
      <c r="X155" s="50" t="s">
        <v>414</v>
      </c>
      <c r="Y155" s="40"/>
      <c r="Z155" s="40"/>
      <c r="AA155" s="40"/>
    </row>
    <row r="156" spans="1:27" s="39" customFormat="1">
      <c r="A156" s="40"/>
      <c r="B156" s="34" t="s">
        <v>3342</v>
      </c>
      <c r="C156" s="40" t="s">
        <v>166</v>
      </c>
      <c r="D156" s="40"/>
      <c r="E156" s="40" t="s">
        <v>3833</v>
      </c>
      <c r="F156" s="40" t="s">
        <v>3910</v>
      </c>
      <c r="G156" s="34" t="s">
        <v>3174</v>
      </c>
      <c r="H156" s="40"/>
      <c r="I156" s="40"/>
      <c r="J156" s="40" t="s">
        <v>3174</v>
      </c>
      <c r="K156" s="40" t="s">
        <v>171</v>
      </c>
      <c r="L156" s="40" t="s">
        <v>172</v>
      </c>
      <c r="M156" s="40"/>
      <c r="N156" s="40"/>
      <c r="O156" s="40"/>
      <c r="P156" s="40"/>
      <c r="Q156" s="40"/>
      <c r="R156" s="40"/>
      <c r="S156" s="40" t="s">
        <v>169</v>
      </c>
      <c r="T156" s="40"/>
      <c r="U156" s="40">
        <v>80054</v>
      </c>
      <c r="V156" s="40" t="s">
        <v>170</v>
      </c>
      <c r="W156" s="50" t="s">
        <v>3709</v>
      </c>
      <c r="X156" s="50" t="s">
        <v>414</v>
      </c>
      <c r="Y156" s="40" t="s">
        <v>3172</v>
      </c>
      <c r="Z156" s="40"/>
      <c r="AA156" s="40"/>
    </row>
    <row r="157" spans="1:27" s="39" customFormat="1">
      <c r="A157" s="40"/>
      <c r="B157" s="34" t="s">
        <v>355</v>
      </c>
      <c r="C157" s="40" t="s">
        <v>354</v>
      </c>
      <c r="D157" s="40"/>
      <c r="E157" s="40" t="s">
        <v>3834</v>
      </c>
      <c r="F157" s="40" t="s">
        <v>362</v>
      </c>
      <c r="G157" s="34" t="s">
        <v>3174</v>
      </c>
      <c r="H157" s="40"/>
      <c r="I157" s="40"/>
      <c r="J157" s="40"/>
      <c r="K157" s="40" t="s">
        <v>366</v>
      </c>
      <c r="L157" s="40"/>
      <c r="M157" s="40"/>
      <c r="N157" s="40"/>
      <c r="O157" s="40"/>
      <c r="P157" s="40"/>
      <c r="Q157" s="40"/>
      <c r="R157" s="40"/>
      <c r="S157" s="40" t="s">
        <v>363</v>
      </c>
      <c r="T157" s="40" t="s">
        <v>364</v>
      </c>
      <c r="U157" s="40">
        <v>49933</v>
      </c>
      <c r="V157" s="40" t="s">
        <v>365</v>
      </c>
      <c r="W157" s="50" t="s">
        <v>3709</v>
      </c>
      <c r="X157" s="50" t="s">
        <v>414</v>
      </c>
      <c r="Y157" s="40"/>
      <c r="Z157" s="40"/>
      <c r="AA157" s="40"/>
    </row>
    <row r="158" spans="1:27" s="39" customFormat="1">
      <c r="A158" s="40"/>
      <c r="B158" s="34" t="s">
        <v>3223</v>
      </c>
      <c r="C158" s="40" t="s">
        <v>84</v>
      </c>
      <c r="D158" s="40"/>
      <c r="E158" s="40" t="s">
        <v>3835</v>
      </c>
      <c r="F158" s="40" t="s">
        <v>3896</v>
      </c>
      <c r="G158" s="34" t="s">
        <v>3174</v>
      </c>
      <c r="H158" s="40"/>
      <c r="I158" s="40"/>
      <c r="J158" s="40" t="s">
        <v>3174</v>
      </c>
      <c r="K158" s="40" t="s">
        <v>90</v>
      </c>
      <c r="L158" s="40" t="s">
        <v>91</v>
      </c>
      <c r="M158" s="40" t="s">
        <v>92</v>
      </c>
      <c r="N158" s="40"/>
      <c r="O158" s="40"/>
      <c r="P158" s="40"/>
      <c r="Q158" s="40"/>
      <c r="R158" s="40"/>
      <c r="S158" s="40" t="s">
        <v>87</v>
      </c>
      <c r="T158" s="40" t="s">
        <v>88</v>
      </c>
      <c r="U158" s="40">
        <v>25000</v>
      </c>
      <c r="V158" s="40" t="s">
        <v>89</v>
      </c>
      <c r="W158" s="50" t="s">
        <v>3709</v>
      </c>
      <c r="X158" s="50" t="s">
        <v>414</v>
      </c>
      <c r="Y158" s="40"/>
      <c r="Z158" s="40"/>
      <c r="AA158" s="40"/>
    </row>
    <row r="159" spans="1:27" s="39" customFormat="1">
      <c r="A159" s="40"/>
      <c r="B159" s="34" t="s">
        <v>275</v>
      </c>
      <c r="C159" s="40" t="s">
        <v>294</v>
      </c>
      <c r="D159" s="40"/>
      <c r="E159" s="40" t="s">
        <v>3836</v>
      </c>
      <c r="F159" s="40" t="s">
        <v>3074</v>
      </c>
      <c r="G159" s="34" t="s">
        <v>3174</v>
      </c>
      <c r="H159" s="40"/>
      <c r="I159" s="40" t="s">
        <v>3911</v>
      </c>
      <c r="J159" s="40" t="s">
        <v>3174</v>
      </c>
      <c r="K159" s="40" t="s">
        <v>297</v>
      </c>
      <c r="L159" s="40"/>
      <c r="M159" s="40"/>
      <c r="N159" s="40"/>
      <c r="O159" s="40"/>
      <c r="P159" s="40"/>
      <c r="Q159" s="40"/>
      <c r="R159" s="40"/>
      <c r="S159" s="40" t="s">
        <v>298</v>
      </c>
      <c r="T159" s="40" t="s">
        <v>299</v>
      </c>
      <c r="U159" s="40">
        <v>33604</v>
      </c>
      <c r="V159" s="40" t="s">
        <v>300</v>
      </c>
      <c r="W159" s="50" t="s">
        <v>3709</v>
      </c>
      <c r="X159" s="50" t="s">
        <v>414</v>
      </c>
      <c r="Y159" s="40"/>
      <c r="Z159" s="40"/>
      <c r="AA159" s="40"/>
    </row>
    <row r="160" spans="1:27" s="39" customFormat="1">
      <c r="A160" s="40"/>
      <c r="B160" s="34" t="s">
        <v>275</v>
      </c>
      <c r="C160" s="40" t="s">
        <v>276</v>
      </c>
      <c r="D160" s="40"/>
      <c r="E160" s="40" t="s">
        <v>3837</v>
      </c>
      <c r="F160" s="40" t="s">
        <v>3718</v>
      </c>
      <c r="G160" s="34" t="s">
        <v>3174</v>
      </c>
      <c r="H160" s="40"/>
      <c r="I160" s="40"/>
      <c r="J160" s="40" t="s">
        <v>3174</v>
      </c>
      <c r="K160" s="40" t="s">
        <v>278</v>
      </c>
      <c r="L160" s="40"/>
      <c r="M160" s="40"/>
      <c r="N160" s="40"/>
      <c r="O160" s="40"/>
      <c r="P160" s="40"/>
      <c r="Q160" s="40"/>
      <c r="R160" s="40"/>
      <c r="S160" s="40" t="s">
        <v>3912</v>
      </c>
      <c r="T160" s="40" t="s">
        <v>279</v>
      </c>
      <c r="U160" s="40">
        <v>14033</v>
      </c>
      <c r="V160" s="40" t="s">
        <v>808</v>
      </c>
      <c r="W160" s="50" t="s">
        <v>3709</v>
      </c>
      <c r="X160" s="50" t="s">
        <v>414</v>
      </c>
      <c r="Y160" s="40" t="s">
        <v>3172</v>
      </c>
      <c r="Z160" s="40"/>
      <c r="AA160" s="40"/>
    </row>
    <row r="161" spans="1:27" s="39" customFormat="1">
      <c r="A161" s="40"/>
      <c r="B161" s="34" t="s">
        <v>3223</v>
      </c>
      <c r="C161" s="40" t="s">
        <v>93</v>
      </c>
      <c r="D161" s="40"/>
      <c r="E161" s="40" t="s">
        <v>3838</v>
      </c>
      <c r="F161" s="40" t="s">
        <v>3897</v>
      </c>
      <c r="G161" s="34" t="s">
        <v>3174</v>
      </c>
      <c r="H161" s="40"/>
      <c r="I161" s="40" t="s">
        <v>3898</v>
      </c>
      <c r="J161" s="40" t="s">
        <v>3174</v>
      </c>
      <c r="K161" s="40" t="s">
        <v>97</v>
      </c>
      <c r="L161" s="40" t="s">
        <v>98</v>
      </c>
      <c r="M161" s="40"/>
      <c r="N161" s="40"/>
      <c r="O161" s="40"/>
      <c r="P161" s="40"/>
      <c r="Q161" s="40"/>
      <c r="R161" s="40"/>
      <c r="S161" s="40" t="s">
        <v>3899</v>
      </c>
      <c r="T161" s="40" t="s">
        <v>99</v>
      </c>
      <c r="U161" s="40">
        <v>37013</v>
      </c>
      <c r="V161" s="40" t="s">
        <v>100</v>
      </c>
      <c r="W161" s="50" t="s">
        <v>3709</v>
      </c>
      <c r="X161" s="50" t="s">
        <v>414</v>
      </c>
      <c r="Y161" s="40"/>
      <c r="Z161" s="40"/>
      <c r="AA161" s="40"/>
    </row>
    <row r="162" spans="1:27" s="39" customFormat="1">
      <c r="A162" s="40" t="str">
        <f>E162&amp;"-"&amp;H162&amp;"-"&amp;SUBSTITUTE(Y162," ", "_")</f>
        <v>ID00164--Main_Consultation</v>
      </c>
      <c r="B162" s="34" t="s">
        <v>3145</v>
      </c>
      <c r="C162" s="40" t="s">
        <v>51</v>
      </c>
      <c r="D162" s="40"/>
      <c r="E162" s="40" t="s">
        <v>3839</v>
      </c>
      <c r="F162" s="40" t="s">
        <v>3894</v>
      </c>
      <c r="G162" s="34" t="s">
        <v>3174</v>
      </c>
      <c r="H162" s="40"/>
      <c r="I162" s="40"/>
      <c r="J162" s="40" t="s">
        <v>3174</v>
      </c>
      <c r="K162" s="40" t="s">
        <v>57</v>
      </c>
      <c r="L162" s="40" t="s">
        <v>58</v>
      </c>
      <c r="M162" s="40"/>
      <c r="N162" s="40"/>
      <c r="O162" s="40"/>
      <c r="P162" s="40"/>
      <c r="Q162" s="40"/>
      <c r="R162" s="40"/>
      <c r="S162" s="40" t="s">
        <v>53</v>
      </c>
      <c r="T162" s="40" t="s">
        <v>54</v>
      </c>
      <c r="U162" s="40">
        <v>38043</v>
      </c>
      <c r="V162" s="40" t="s">
        <v>55</v>
      </c>
      <c r="W162" s="50" t="s">
        <v>3709</v>
      </c>
      <c r="X162" s="50" t="s">
        <v>414</v>
      </c>
      <c r="Y162" s="40" t="s">
        <v>3172</v>
      </c>
      <c r="Z162" s="40"/>
      <c r="AA162" s="40"/>
    </row>
    <row r="163" spans="1:27" s="39" customFormat="1">
      <c r="A163" s="40"/>
      <c r="B163" s="34" t="s">
        <v>3510</v>
      </c>
      <c r="C163" s="40" t="s">
        <v>308</v>
      </c>
      <c r="D163" s="40" t="s">
        <v>315</v>
      </c>
      <c r="E163" s="40" t="s">
        <v>3840</v>
      </c>
      <c r="F163" s="40" t="s">
        <v>3720</v>
      </c>
      <c r="G163" s="34" t="s">
        <v>3174</v>
      </c>
      <c r="H163" s="40"/>
      <c r="I163" s="40"/>
      <c r="J163" s="40" t="s">
        <v>3174</v>
      </c>
      <c r="K163" s="40" t="s">
        <v>312</v>
      </c>
      <c r="L163" s="40" t="s">
        <v>313</v>
      </c>
      <c r="M163" s="40"/>
      <c r="N163" s="40"/>
      <c r="O163" s="40"/>
      <c r="P163" s="40"/>
      <c r="Q163" s="40"/>
      <c r="R163" s="40"/>
      <c r="S163" s="40" t="s">
        <v>3914</v>
      </c>
      <c r="T163" s="40" t="s">
        <v>314</v>
      </c>
      <c r="U163" s="40">
        <v>87042</v>
      </c>
      <c r="V163" s="40" t="s">
        <v>315</v>
      </c>
      <c r="W163" s="50" t="s">
        <v>3709</v>
      </c>
      <c r="X163" s="50" t="s">
        <v>414</v>
      </c>
      <c r="Y163" s="40"/>
      <c r="Z163" s="40"/>
      <c r="AA163" s="40"/>
    </row>
    <row r="164" spans="1:27" s="39" customFormat="1">
      <c r="A164" s="40"/>
      <c r="B164" s="34" t="s">
        <v>322</v>
      </c>
      <c r="C164" s="40" t="s">
        <v>323</v>
      </c>
      <c r="D164" s="40"/>
      <c r="E164" s="40" t="s">
        <v>3841</v>
      </c>
      <c r="F164" s="40" t="s">
        <v>3080</v>
      </c>
      <c r="G164" s="34" t="s">
        <v>3174</v>
      </c>
      <c r="H164" s="40"/>
      <c r="I164" s="40"/>
      <c r="J164" s="40" t="s">
        <v>3174</v>
      </c>
      <c r="K164" s="40" t="s">
        <v>327</v>
      </c>
      <c r="L164" s="40"/>
      <c r="M164" s="40"/>
      <c r="N164" s="40"/>
      <c r="O164" s="40"/>
      <c r="P164" s="40"/>
      <c r="Q164" s="40"/>
      <c r="R164" s="40"/>
      <c r="S164" s="40" t="s">
        <v>325</v>
      </c>
      <c r="T164" s="40" t="s">
        <v>328</v>
      </c>
      <c r="U164" s="40">
        <v>34295</v>
      </c>
      <c r="V164" s="40" t="s">
        <v>329</v>
      </c>
      <c r="W164" s="50" t="s">
        <v>3709</v>
      </c>
      <c r="X164" s="50" t="s">
        <v>414</v>
      </c>
      <c r="Y164" s="40"/>
      <c r="Z164" s="40"/>
      <c r="AA164" s="40"/>
    </row>
    <row r="165" spans="1:27" s="39" customFormat="1">
      <c r="A165" s="40"/>
      <c r="B165" s="34" t="s">
        <v>355</v>
      </c>
      <c r="C165" s="40" t="s">
        <v>368</v>
      </c>
      <c r="D165" s="40"/>
      <c r="E165" s="40" t="s">
        <v>3842</v>
      </c>
      <c r="F165" s="40" t="s">
        <v>3097</v>
      </c>
      <c r="G165" s="34" t="s">
        <v>3174</v>
      </c>
      <c r="H165" s="40"/>
      <c r="I165" s="40"/>
      <c r="J165" s="40"/>
      <c r="K165" s="40" t="s">
        <v>370</v>
      </c>
      <c r="L165" s="40" t="s">
        <v>372</v>
      </c>
      <c r="M165" s="40"/>
      <c r="N165" s="40"/>
      <c r="O165" s="40"/>
      <c r="P165" s="40"/>
      <c r="Q165" s="40"/>
      <c r="R165" s="40"/>
      <c r="S165" s="40" t="s">
        <v>244</v>
      </c>
      <c r="T165" s="40"/>
      <c r="U165" s="40">
        <v>44093</v>
      </c>
      <c r="V165" s="40" t="s">
        <v>371</v>
      </c>
      <c r="W165" s="50" t="s">
        <v>3709</v>
      </c>
      <c r="X165" s="50" t="s">
        <v>414</v>
      </c>
      <c r="Y165" s="40"/>
      <c r="Z165" s="40"/>
      <c r="AA165" s="40"/>
    </row>
    <row r="166" spans="1:27" s="39" customFormat="1">
      <c r="A166" s="40"/>
      <c r="B166" s="34" t="s">
        <v>355</v>
      </c>
      <c r="C166" s="34"/>
      <c r="D166" s="34" t="s">
        <v>3599</v>
      </c>
      <c r="E166" s="40" t="s">
        <v>3842</v>
      </c>
      <c r="F166" s="34" t="s">
        <v>3097</v>
      </c>
      <c r="G166" s="34" t="s">
        <v>3174</v>
      </c>
      <c r="H166" s="40"/>
      <c r="I166" s="40"/>
      <c r="J166" s="40"/>
      <c r="K166" s="34" t="s">
        <v>3604</v>
      </c>
      <c r="L166" s="40"/>
      <c r="M166" s="40"/>
      <c r="N166" s="40"/>
      <c r="O166" s="40"/>
      <c r="P166" s="40"/>
      <c r="Q166" s="40"/>
      <c r="R166" s="40"/>
      <c r="S166" s="34" t="s">
        <v>3601</v>
      </c>
      <c r="T166" s="34" t="s">
        <v>3602</v>
      </c>
      <c r="U166" s="36">
        <v>44093</v>
      </c>
      <c r="V166" s="34" t="s">
        <v>3603</v>
      </c>
      <c r="W166" s="38" t="s">
        <v>3867</v>
      </c>
      <c r="X166" s="38"/>
      <c r="Y166" s="34" t="s">
        <v>3172</v>
      </c>
      <c r="Z166" s="40"/>
      <c r="AA166" s="40"/>
    </row>
    <row r="167" spans="1:27" s="39" customFormat="1">
      <c r="A167" s="40"/>
      <c r="B167" s="40" t="s">
        <v>374</v>
      </c>
      <c r="C167" s="40" t="s">
        <v>385</v>
      </c>
      <c r="D167" s="40"/>
      <c r="E167" s="40" t="s">
        <v>3843</v>
      </c>
      <c r="F167" s="40" t="s">
        <v>3102</v>
      </c>
      <c r="G167" s="34" t="s">
        <v>3174</v>
      </c>
      <c r="H167" s="40"/>
      <c r="I167" s="40"/>
      <c r="J167" s="40" t="s">
        <v>3174</v>
      </c>
      <c r="K167" s="40" t="s">
        <v>388</v>
      </c>
      <c r="L167" s="40"/>
      <c r="M167" s="40"/>
      <c r="N167" s="40"/>
      <c r="O167" s="40"/>
      <c r="P167" s="40"/>
      <c r="Q167" s="40"/>
      <c r="R167" s="40"/>
      <c r="S167" s="40" t="s">
        <v>3923</v>
      </c>
      <c r="T167" s="40" t="s">
        <v>389</v>
      </c>
      <c r="U167" s="40">
        <v>6107</v>
      </c>
      <c r="V167" s="40" t="s">
        <v>390</v>
      </c>
      <c r="W167" s="50" t="s">
        <v>3709</v>
      </c>
      <c r="X167" s="50" t="s">
        <v>414</v>
      </c>
      <c r="Y167" s="40"/>
      <c r="Z167" s="40"/>
      <c r="AA167" s="40"/>
    </row>
    <row r="168" spans="1:27" s="39" customFormat="1">
      <c r="A168" s="40"/>
      <c r="B168" s="40" t="s">
        <v>374</v>
      </c>
      <c r="C168" s="40" t="s">
        <v>385</v>
      </c>
      <c r="D168" s="40"/>
      <c r="E168" s="40" t="s">
        <v>3844</v>
      </c>
      <c r="F168" s="40" t="s">
        <v>3103</v>
      </c>
      <c r="G168" s="34" t="s">
        <v>3174</v>
      </c>
      <c r="H168" s="40"/>
      <c r="I168" s="40"/>
      <c r="J168" s="40" t="s">
        <v>3174</v>
      </c>
      <c r="K168" s="40" t="s">
        <v>394</v>
      </c>
      <c r="L168" s="40"/>
      <c r="M168" s="40"/>
      <c r="N168" s="40"/>
      <c r="O168" s="40"/>
      <c r="P168" s="40"/>
      <c r="Q168" s="40"/>
      <c r="R168" s="40"/>
      <c r="S168" s="40" t="s">
        <v>396</v>
      </c>
      <c r="T168" s="40" t="s">
        <v>393</v>
      </c>
      <c r="U168" s="40">
        <v>6002</v>
      </c>
      <c r="V168" s="40" t="s">
        <v>392</v>
      </c>
      <c r="W168" s="50" t="s">
        <v>3709</v>
      </c>
      <c r="X168" s="50" t="s">
        <v>414</v>
      </c>
      <c r="Y168" s="40"/>
      <c r="Z168" s="40"/>
      <c r="AA168" s="40"/>
    </row>
    <row r="169" spans="1:27" s="39" customFormat="1">
      <c r="A169" s="40"/>
      <c r="B169" s="34" t="s">
        <v>322</v>
      </c>
      <c r="C169" s="40" t="s">
        <v>323</v>
      </c>
      <c r="D169" s="40"/>
      <c r="E169" s="40" t="s">
        <v>3845</v>
      </c>
      <c r="F169" s="40" t="s">
        <v>3085</v>
      </c>
      <c r="G169" s="34" t="s">
        <v>3174</v>
      </c>
      <c r="H169" s="40"/>
      <c r="I169" s="40"/>
      <c r="J169" s="40" t="s">
        <v>3174</v>
      </c>
      <c r="K169" s="40" t="s">
        <v>336</v>
      </c>
      <c r="L169" s="40" t="s">
        <v>337</v>
      </c>
      <c r="M169" s="40" t="s">
        <v>338</v>
      </c>
      <c r="N169" s="40"/>
      <c r="O169" s="40"/>
      <c r="P169" s="40"/>
      <c r="Q169" s="40"/>
      <c r="R169" s="40"/>
      <c r="S169" s="40" t="s">
        <v>334</v>
      </c>
      <c r="T169" s="40" t="s">
        <v>339</v>
      </c>
      <c r="U169" s="40">
        <v>30029</v>
      </c>
      <c r="V169" s="40" t="s">
        <v>340</v>
      </c>
      <c r="W169" s="50" t="s">
        <v>3709</v>
      </c>
      <c r="X169" s="50" t="s">
        <v>414</v>
      </c>
      <c r="Y169" s="40"/>
      <c r="Z169" s="40"/>
      <c r="AA169" s="40"/>
    </row>
    <row r="170" spans="1:27" s="39" customFormat="1">
      <c r="A170" s="40"/>
      <c r="B170" s="34" t="s">
        <v>3287</v>
      </c>
      <c r="C170" s="40" t="s">
        <v>158</v>
      </c>
      <c r="D170" s="40"/>
      <c r="E170" s="40" t="s">
        <v>3846</v>
      </c>
      <c r="F170" s="40" t="s">
        <v>3012</v>
      </c>
      <c r="G170" s="34" t="s">
        <v>3174</v>
      </c>
      <c r="H170" s="40"/>
      <c r="I170" s="40"/>
      <c r="J170" s="40" t="s">
        <v>3174</v>
      </c>
      <c r="K170" s="40" t="s">
        <v>149</v>
      </c>
      <c r="L170" s="40" t="s">
        <v>148</v>
      </c>
      <c r="M170" s="40"/>
      <c r="N170" s="40"/>
      <c r="O170" s="40"/>
      <c r="P170" s="40"/>
      <c r="Q170" s="40"/>
      <c r="R170" s="40"/>
      <c r="S170" s="40" t="s">
        <v>3903</v>
      </c>
      <c r="T170" s="40" t="s">
        <v>146</v>
      </c>
      <c r="U170" s="40">
        <v>51092</v>
      </c>
      <c r="V170" s="40" t="s">
        <v>147</v>
      </c>
      <c r="W170" s="50" t="s">
        <v>3709</v>
      </c>
      <c r="X170" s="50" t="s">
        <v>414</v>
      </c>
      <c r="Y170" s="40"/>
      <c r="Z170" s="40"/>
      <c r="AA170" s="40"/>
    </row>
    <row r="171" spans="1:27" s="39" customFormat="1">
      <c r="A171" s="40"/>
      <c r="B171" s="34" t="s">
        <v>115</v>
      </c>
      <c r="C171" s="40" t="s">
        <v>119</v>
      </c>
      <c r="D171" s="40"/>
      <c r="E171" s="40" t="s">
        <v>3847</v>
      </c>
      <c r="F171" s="40" t="s">
        <v>3002</v>
      </c>
      <c r="G171" s="34" t="s">
        <v>3174</v>
      </c>
      <c r="H171" s="40"/>
      <c r="I171" s="40"/>
      <c r="J171" s="40" t="s">
        <v>3174</v>
      </c>
      <c r="K171" s="40" t="s">
        <v>122</v>
      </c>
      <c r="L171" s="40"/>
      <c r="M171" s="40"/>
      <c r="N171" s="40"/>
      <c r="O171" s="40"/>
      <c r="P171" s="40"/>
      <c r="Q171" s="40"/>
      <c r="R171" s="40"/>
      <c r="S171" s="40" t="s">
        <v>3900</v>
      </c>
      <c r="T171" s="40" t="s">
        <v>123</v>
      </c>
      <c r="U171" s="40">
        <v>35033</v>
      </c>
      <c r="V171" s="40" t="s">
        <v>124</v>
      </c>
      <c r="W171" s="50" t="s">
        <v>3709</v>
      </c>
      <c r="X171" s="50" t="s">
        <v>414</v>
      </c>
      <c r="Y171" s="40" t="s">
        <v>3172</v>
      </c>
      <c r="Z171" s="40"/>
      <c r="AA171" s="40"/>
    </row>
    <row r="172" spans="1:27" s="39" customFormat="1">
      <c r="A172" s="40"/>
      <c r="B172" s="34" t="s">
        <v>275</v>
      </c>
      <c r="C172" s="40" t="s">
        <v>287</v>
      </c>
      <c r="D172" s="40"/>
      <c r="E172" s="40" t="s">
        <v>3848</v>
      </c>
      <c r="F172" s="40" t="s">
        <v>291</v>
      </c>
      <c r="G172" s="34" t="s">
        <v>3174</v>
      </c>
      <c r="H172" s="40"/>
      <c r="I172" s="40"/>
      <c r="J172" s="40" t="s">
        <v>3174</v>
      </c>
      <c r="K172" s="40" t="s">
        <v>289</v>
      </c>
      <c r="L172" s="40" t="s">
        <v>290</v>
      </c>
      <c r="M172" s="40"/>
      <c r="N172" s="40"/>
      <c r="O172" s="40"/>
      <c r="P172" s="40"/>
      <c r="Q172" s="40"/>
      <c r="R172" s="40"/>
      <c r="S172" s="40" t="s">
        <v>3913</v>
      </c>
      <c r="T172" s="40" t="s">
        <v>292</v>
      </c>
      <c r="U172" s="40">
        <v>76031</v>
      </c>
      <c r="V172" s="40" t="s">
        <v>293</v>
      </c>
      <c r="W172" s="50" t="s">
        <v>3709</v>
      </c>
      <c r="X172" s="50" t="s">
        <v>414</v>
      </c>
      <c r="Y172" s="40"/>
      <c r="Z172" s="40"/>
      <c r="AA172" s="40"/>
    </row>
    <row r="173" spans="1:27" s="39" customFormat="1">
      <c r="A173" s="40"/>
      <c r="B173" s="34" t="s">
        <v>3275</v>
      </c>
      <c r="C173" s="40" t="s">
        <v>126</v>
      </c>
      <c r="D173" s="40"/>
      <c r="E173" s="40" t="s">
        <v>3849</v>
      </c>
      <c r="F173" s="40" t="s">
        <v>3713</v>
      </c>
      <c r="G173" s="34" t="s">
        <v>3174</v>
      </c>
      <c r="H173" s="40"/>
      <c r="I173" s="40"/>
      <c r="J173" s="40"/>
      <c r="K173" s="40" t="s">
        <v>129</v>
      </c>
      <c r="L173" s="40" t="s">
        <v>130</v>
      </c>
      <c r="M173" s="40"/>
      <c r="N173" s="40"/>
      <c r="O173" s="40"/>
      <c r="P173" s="40"/>
      <c r="Q173" s="40"/>
      <c r="R173" s="40"/>
      <c r="S173" s="40" t="s">
        <v>3902</v>
      </c>
      <c r="T173" s="40" t="s">
        <v>132</v>
      </c>
      <c r="U173" s="40">
        <v>31170</v>
      </c>
      <c r="V173" s="40" t="s">
        <v>131</v>
      </c>
      <c r="W173" s="50" t="s">
        <v>3709</v>
      </c>
      <c r="X173" s="50" t="s">
        <v>414</v>
      </c>
      <c r="Y173" s="40"/>
      <c r="Z173" s="40"/>
      <c r="AA173" s="40"/>
    </row>
    <row r="174" spans="1:27" s="39" customFormat="1">
      <c r="A174" s="40"/>
      <c r="B174" s="34" t="s">
        <v>3287</v>
      </c>
      <c r="C174" s="40" t="s">
        <v>136</v>
      </c>
      <c r="D174" s="40"/>
      <c r="E174" s="40" t="s">
        <v>3850</v>
      </c>
      <c r="F174" s="40" t="s">
        <v>3714</v>
      </c>
      <c r="G174" s="40" t="s">
        <v>625</v>
      </c>
      <c r="H174" s="40"/>
      <c r="I174" s="40"/>
      <c r="J174" s="40"/>
      <c r="K174" s="40" t="s">
        <v>142</v>
      </c>
      <c r="L174" s="40"/>
      <c r="M174" s="40"/>
      <c r="N174" s="40"/>
      <c r="O174" s="40"/>
      <c r="P174" s="40"/>
      <c r="Q174" s="40"/>
      <c r="R174" s="40"/>
      <c r="S174" s="40" t="s">
        <v>3904</v>
      </c>
      <c r="T174" s="40" t="s">
        <v>140</v>
      </c>
      <c r="U174" s="40">
        <v>54519</v>
      </c>
      <c r="V174" s="40" t="s">
        <v>141</v>
      </c>
      <c r="W174" s="50" t="s">
        <v>3709</v>
      </c>
      <c r="X174" s="50" t="s">
        <v>414</v>
      </c>
      <c r="Y174" s="40" t="s">
        <v>3172</v>
      </c>
      <c r="Z174" s="40"/>
      <c r="AA174" s="40"/>
    </row>
    <row r="175" spans="1:27" s="39" customFormat="1">
      <c r="A175" s="40"/>
      <c r="B175" s="34" t="s">
        <v>355</v>
      </c>
      <c r="C175" s="34"/>
      <c r="D175" s="34" t="s">
        <v>3599</v>
      </c>
      <c r="E175" s="40" t="s">
        <v>3851</v>
      </c>
      <c r="F175" s="34" t="s">
        <v>3921</v>
      </c>
      <c r="G175" s="34" t="s">
        <v>625</v>
      </c>
      <c r="H175" s="40"/>
      <c r="I175" s="40"/>
      <c r="J175" s="40"/>
      <c r="K175" s="34" t="s">
        <v>3607</v>
      </c>
      <c r="L175" s="34" t="s">
        <v>3608</v>
      </c>
      <c r="M175" s="34" t="s">
        <v>3609</v>
      </c>
      <c r="N175" s="34" t="s">
        <v>3590</v>
      </c>
      <c r="O175" s="40"/>
      <c r="P175" s="40"/>
      <c r="Q175" s="40"/>
      <c r="R175" s="40"/>
      <c r="S175" s="40"/>
      <c r="T175" s="34" t="s">
        <v>3605</v>
      </c>
      <c r="U175" s="36">
        <v>44805</v>
      </c>
      <c r="V175" s="34" t="s">
        <v>3606</v>
      </c>
      <c r="W175" s="38" t="s">
        <v>3867</v>
      </c>
      <c r="X175" s="38"/>
      <c r="Y175" s="34" t="s">
        <v>3172</v>
      </c>
      <c r="Z175" s="40"/>
      <c r="AA175" s="40"/>
    </row>
    <row r="176" spans="1:27" s="39" customFormat="1">
      <c r="A176" s="40"/>
      <c r="B176" s="34" t="s">
        <v>322</v>
      </c>
      <c r="C176" s="40"/>
      <c r="D176" s="40"/>
      <c r="E176" s="40" t="s">
        <v>3852</v>
      </c>
      <c r="F176" s="40" t="s">
        <v>3552</v>
      </c>
      <c r="G176" s="40" t="s">
        <v>625</v>
      </c>
      <c r="H176" s="40"/>
      <c r="I176" s="40"/>
      <c r="J176" s="40"/>
      <c r="K176" s="40" t="s">
        <v>331</v>
      </c>
      <c r="L176" s="40"/>
      <c r="M176" s="40"/>
      <c r="N176" s="40"/>
      <c r="O176" s="40"/>
      <c r="P176" s="40"/>
      <c r="Q176" s="40"/>
      <c r="R176" s="40"/>
      <c r="S176" s="40" t="s">
        <v>3915</v>
      </c>
      <c r="T176" s="40" t="s">
        <v>332</v>
      </c>
      <c r="U176" s="40">
        <v>34298</v>
      </c>
      <c r="V176" s="40" t="s">
        <v>329</v>
      </c>
      <c r="W176" s="50" t="s">
        <v>3709</v>
      </c>
      <c r="X176" s="50" t="s">
        <v>414</v>
      </c>
      <c r="Y176" s="40"/>
      <c r="Z176" s="40"/>
      <c r="AA176" s="40"/>
    </row>
    <row r="177" spans="1:27" s="39" customFormat="1">
      <c r="A177" s="40"/>
      <c r="B177" s="34" t="s">
        <v>355</v>
      </c>
      <c r="C177" s="34"/>
      <c r="D177" s="34" t="s">
        <v>3596</v>
      </c>
      <c r="E177" s="40" t="s">
        <v>3924</v>
      </c>
      <c r="F177" s="34" t="s">
        <v>3732</v>
      </c>
      <c r="G177" s="34" t="s">
        <v>625</v>
      </c>
      <c r="H177" s="40"/>
      <c r="I177" s="34" t="s">
        <v>3597</v>
      </c>
      <c r="J177" s="40" t="s">
        <v>625</v>
      </c>
      <c r="K177" s="34" t="s">
        <v>3586</v>
      </c>
      <c r="L177" s="40"/>
      <c r="M177" s="40"/>
      <c r="N177" s="40"/>
      <c r="O177" s="40"/>
      <c r="P177" s="40"/>
      <c r="Q177" s="40"/>
      <c r="R177" s="40"/>
      <c r="S177" s="40"/>
      <c r="T177" s="34" t="s">
        <v>3598</v>
      </c>
      <c r="U177" s="36">
        <v>72000</v>
      </c>
      <c r="V177" s="34" t="s">
        <v>3596</v>
      </c>
      <c r="W177" s="38" t="s">
        <v>3867</v>
      </c>
      <c r="X177" s="38"/>
      <c r="Y177" s="34" t="s">
        <v>3203</v>
      </c>
      <c r="Z177" s="40"/>
      <c r="AA177" s="40"/>
    </row>
    <row r="178" spans="1:27" s="40" customFormat="1">
      <c r="B178" s="34" t="s">
        <v>355</v>
      </c>
      <c r="C178" s="34"/>
      <c r="D178" s="34" t="s">
        <v>3587</v>
      </c>
      <c r="E178" s="40" t="s">
        <v>3924</v>
      </c>
      <c r="F178" s="34" t="s">
        <v>3732</v>
      </c>
      <c r="G178" s="34" t="s">
        <v>625</v>
      </c>
      <c r="I178" s="34" t="s">
        <v>3588</v>
      </c>
      <c r="J178" s="40" t="s">
        <v>623</v>
      </c>
      <c r="K178" s="34" t="s">
        <v>3590</v>
      </c>
      <c r="T178" s="34" t="s">
        <v>3589</v>
      </c>
      <c r="U178" s="36">
        <v>49300</v>
      </c>
      <c r="V178" s="34" t="s">
        <v>3587</v>
      </c>
      <c r="W178" s="38" t="s">
        <v>3867</v>
      </c>
      <c r="X178" s="38"/>
      <c r="Y178" s="34" t="s">
        <v>3203</v>
      </c>
    </row>
    <row r="179" spans="1:27" s="40" customFormat="1">
      <c r="B179" s="34" t="s">
        <v>355</v>
      </c>
      <c r="C179" s="34"/>
      <c r="D179" s="34" t="s">
        <v>3591</v>
      </c>
      <c r="E179" s="40" t="s">
        <v>3924</v>
      </c>
      <c r="F179" s="34" t="s">
        <v>3732</v>
      </c>
      <c r="G179" s="34" t="s">
        <v>625</v>
      </c>
      <c r="I179" s="34" t="s">
        <v>3592</v>
      </c>
      <c r="J179" s="40" t="s">
        <v>623</v>
      </c>
      <c r="K179" s="34" t="s">
        <v>3594</v>
      </c>
      <c r="L179" s="34" t="s">
        <v>3595</v>
      </c>
      <c r="T179" s="34" t="s">
        <v>3593</v>
      </c>
      <c r="U179" s="36">
        <v>85925</v>
      </c>
      <c r="V179" s="34" t="s">
        <v>3591</v>
      </c>
      <c r="W179" s="38" t="s">
        <v>3867</v>
      </c>
      <c r="X179" s="38"/>
      <c r="Y179" s="40" t="s">
        <v>3222</v>
      </c>
    </row>
  </sheetData>
  <autoFilter ref="A1:AA179" xr:uid="{8DF9AF38-56B6-4002-95AA-2AC6F8FCB4A3}">
    <sortState xmlns:xlrd2="http://schemas.microsoft.com/office/spreadsheetml/2017/richdata2" ref="A2:AA179">
      <sortCondition ref="E1:E179"/>
    </sortState>
  </autoFilter>
  <phoneticPr fontId="6" type="noConversion"/>
  <conditionalFormatting sqref="A1:D1">
    <cfRule type="duplicateValues" dxfId="752" priority="1"/>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0F9F-969A-48F9-812B-436BE2526101}">
  <sheetPr>
    <tabColor theme="5" tint="0.79998168889431442"/>
  </sheetPr>
  <dimension ref="A1:T142"/>
  <sheetViews>
    <sheetView workbookViewId="0">
      <selection activeCell="I21" sqref="I21:J22"/>
    </sheetView>
  </sheetViews>
  <sheetFormatPr defaultRowHeight="14.4"/>
  <cols>
    <col min="1" max="3" width="24.109375" customWidth="1"/>
    <col min="4" max="4" width="24.109375" hidden="1" customWidth="1"/>
    <col min="5" max="5" width="22.44140625" customWidth="1"/>
    <col min="6" max="6" width="10" customWidth="1"/>
    <col min="7" max="7" width="15.44140625" hidden="1" customWidth="1"/>
    <col min="8" max="8" width="24.109375" customWidth="1"/>
    <col min="9" max="9" width="7.88671875" customWidth="1"/>
    <col min="10" max="10" width="17" customWidth="1"/>
    <col min="11" max="11" width="14.44140625" customWidth="1"/>
    <col min="12" max="12" width="11.5546875" customWidth="1"/>
    <col min="13" max="13" width="11.88671875" customWidth="1"/>
    <col min="14" max="14" width="24.109375" customWidth="1"/>
    <col min="15" max="15" width="7.88671875" customWidth="1"/>
    <col min="16" max="16" width="24.109375" customWidth="1"/>
    <col min="17" max="17" width="13.5546875" style="33" customWidth="1"/>
    <col min="18" max="20" width="24.109375" customWidth="1"/>
  </cols>
  <sheetData>
    <row r="1" spans="1:20" ht="28.8">
      <c r="A1" t="s">
        <v>3134</v>
      </c>
      <c r="B1" t="s">
        <v>409</v>
      </c>
      <c r="D1" s="29" t="s">
        <v>3135</v>
      </c>
      <c r="E1" s="29" t="s">
        <v>3141</v>
      </c>
      <c r="F1" s="29" t="s">
        <v>1032</v>
      </c>
      <c r="G1" s="29" t="s">
        <v>3136</v>
      </c>
      <c r="H1" s="29" t="s">
        <v>3142</v>
      </c>
      <c r="I1" s="29" t="s">
        <v>1032</v>
      </c>
      <c r="J1" s="29" t="s">
        <v>3143</v>
      </c>
      <c r="K1" s="29" t="s">
        <v>3144</v>
      </c>
      <c r="L1" s="29" t="s">
        <v>3185</v>
      </c>
      <c r="M1" s="29" t="s">
        <v>3197</v>
      </c>
      <c r="N1" s="29" t="s">
        <v>3198</v>
      </c>
      <c r="O1" s="29"/>
      <c r="P1" s="29" t="s">
        <v>3176</v>
      </c>
      <c r="Q1" s="31"/>
      <c r="R1" s="29"/>
      <c r="S1" s="29" t="s">
        <v>3137</v>
      </c>
      <c r="T1" s="29" t="s">
        <v>3138</v>
      </c>
    </row>
    <row r="2" spans="1:20" ht="16.8">
      <c r="A2" t="str">
        <f>D2&amp;"-"&amp;G2&amp;"-"&amp;SUBSTITUTE(S2," ", "_")</f>
        <v>ID00001-TEST_ID0001-Advanced_Consultation_of</v>
      </c>
      <c r="B2" s="34" t="s">
        <v>3145</v>
      </c>
      <c r="C2" s="30" t="s">
        <v>2074</v>
      </c>
      <c r="D2" t="s">
        <v>3139</v>
      </c>
      <c r="E2" t="s">
        <v>1268</v>
      </c>
      <c r="G2" t="s">
        <v>3140</v>
      </c>
      <c r="H2" t="s">
        <v>3146</v>
      </c>
      <c r="I2" t="s">
        <v>623</v>
      </c>
      <c r="J2" s="30" t="s">
        <v>3149</v>
      </c>
      <c r="K2" s="30" t="s">
        <v>3150</v>
      </c>
      <c r="L2" s="30"/>
      <c r="M2" s="30"/>
      <c r="N2" s="30"/>
      <c r="O2" s="30"/>
      <c r="P2" s="30" t="s">
        <v>3147</v>
      </c>
      <c r="Q2" s="32">
        <v>74370</v>
      </c>
      <c r="R2" s="30" t="s">
        <v>3148</v>
      </c>
      <c r="S2" s="30" t="s">
        <v>3203</v>
      </c>
    </row>
    <row r="3" spans="1:20" ht="16.8">
      <c r="B3" s="34" t="s">
        <v>3145</v>
      </c>
      <c r="C3" s="30" t="s">
        <v>2345</v>
      </c>
      <c r="E3" s="30" t="s">
        <v>3151</v>
      </c>
      <c r="H3" t="s">
        <v>3152</v>
      </c>
      <c r="I3" t="s">
        <v>3173</v>
      </c>
      <c r="J3" t="s">
        <v>3154</v>
      </c>
      <c r="P3" t="s">
        <v>3153</v>
      </c>
      <c r="Q3" s="33">
        <v>69400</v>
      </c>
      <c r="R3" t="s">
        <v>2345</v>
      </c>
      <c r="S3" s="30" t="s">
        <v>3203</v>
      </c>
    </row>
    <row r="4" spans="1:20" ht="16.8">
      <c r="B4" s="34" t="s">
        <v>3145</v>
      </c>
      <c r="C4" t="s">
        <v>1752</v>
      </c>
      <c r="E4" t="s">
        <v>3162</v>
      </c>
      <c r="H4" t="s">
        <v>3163</v>
      </c>
      <c r="I4" t="s">
        <v>623</v>
      </c>
      <c r="J4" t="s">
        <v>3155</v>
      </c>
      <c r="P4" t="s">
        <v>3164</v>
      </c>
      <c r="Q4" s="33">
        <v>15000</v>
      </c>
      <c r="R4" t="s">
        <v>1752</v>
      </c>
      <c r="S4" s="30" t="s">
        <v>3204</v>
      </c>
    </row>
    <row r="5" spans="1:20" ht="16.8">
      <c r="B5" s="34" t="s">
        <v>3145</v>
      </c>
      <c r="C5" t="s">
        <v>3167</v>
      </c>
      <c r="E5" t="s">
        <v>3165</v>
      </c>
      <c r="F5" t="s">
        <v>623</v>
      </c>
      <c r="J5" t="s">
        <v>3156</v>
      </c>
      <c r="K5" t="s">
        <v>3157</v>
      </c>
      <c r="P5" s="30" t="s">
        <v>3166</v>
      </c>
      <c r="Q5" s="32">
        <v>73000</v>
      </c>
      <c r="R5" s="30" t="s">
        <v>3167</v>
      </c>
      <c r="S5" s="30" t="s">
        <v>3172</v>
      </c>
    </row>
    <row r="6" spans="1:20" ht="16.8">
      <c r="B6" s="34" t="s">
        <v>3145</v>
      </c>
      <c r="C6" t="s">
        <v>3169</v>
      </c>
      <c r="E6" s="30" t="s">
        <v>42</v>
      </c>
      <c r="F6" t="s">
        <v>625</v>
      </c>
      <c r="J6" t="s">
        <v>3158</v>
      </c>
      <c r="P6" t="s">
        <v>3168</v>
      </c>
      <c r="Q6" s="33">
        <v>63011</v>
      </c>
      <c r="R6" t="s">
        <v>3169</v>
      </c>
      <c r="S6" s="30" t="s">
        <v>3172</v>
      </c>
    </row>
    <row r="7" spans="1:20" ht="16.8">
      <c r="B7" s="34" t="s">
        <v>3145</v>
      </c>
      <c r="C7" t="s">
        <v>3169</v>
      </c>
      <c r="E7" t="s">
        <v>37</v>
      </c>
      <c r="F7" t="s">
        <v>3174</v>
      </c>
      <c r="J7" t="s">
        <v>3159</v>
      </c>
      <c r="P7" t="s">
        <v>3170</v>
      </c>
      <c r="Q7" s="33">
        <v>63100</v>
      </c>
      <c r="R7" t="s">
        <v>3169</v>
      </c>
      <c r="S7" s="30" t="s">
        <v>3172</v>
      </c>
    </row>
    <row r="8" spans="1:20" ht="16.8">
      <c r="B8" s="34" t="s">
        <v>3145</v>
      </c>
      <c r="C8" t="s">
        <v>868</v>
      </c>
      <c r="E8" t="s">
        <v>3161</v>
      </c>
      <c r="F8" t="s">
        <v>3174</v>
      </c>
      <c r="J8" s="30" t="s">
        <v>3149</v>
      </c>
      <c r="K8" t="s">
        <v>3160</v>
      </c>
      <c r="P8" t="s">
        <v>3171</v>
      </c>
      <c r="Q8" s="33">
        <v>38700</v>
      </c>
      <c r="R8" t="s">
        <v>2191</v>
      </c>
      <c r="S8" s="30" t="s">
        <v>3172</v>
      </c>
    </row>
    <row r="9" spans="1:20" ht="16.8">
      <c r="B9" s="34" t="s">
        <v>3145</v>
      </c>
      <c r="C9" t="s">
        <v>903</v>
      </c>
      <c r="E9" t="s">
        <v>3175</v>
      </c>
      <c r="F9" t="s">
        <v>3201</v>
      </c>
      <c r="J9" t="s">
        <v>3178</v>
      </c>
      <c r="K9" t="s">
        <v>3179</v>
      </c>
      <c r="O9" t="s">
        <v>3177</v>
      </c>
      <c r="P9" t="s">
        <v>3243</v>
      </c>
      <c r="Q9" s="33">
        <v>69003</v>
      </c>
      <c r="R9" s="30" t="s">
        <v>903</v>
      </c>
      <c r="S9" s="30" t="s">
        <v>3172</v>
      </c>
    </row>
    <row r="10" spans="1:20" ht="16.8">
      <c r="B10" s="34" t="s">
        <v>3145</v>
      </c>
      <c r="C10" t="s">
        <v>903</v>
      </c>
      <c r="E10" t="s">
        <v>3180</v>
      </c>
      <c r="F10" t="s">
        <v>3201</v>
      </c>
      <c r="J10" t="s">
        <v>3188</v>
      </c>
      <c r="K10" t="s">
        <v>3189</v>
      </c>
      <c r="L10" t="s">
        <v>3190</v>
      </c>
      <c r="P10" t="s">
        <v>3181</v>
      </c>
      <c r="Q10" s="33">
        <v>69495</v>
      </c>
      <c r="R10" t="s">
        <v>3182</v>
      </c>
      <c r="S10" s="30" t="s">
        <v>3172</v>
      </c>
    </row>
    <row r="11" spans="1:20" ht="16.8">
      <c r="B11" s="34" t="s">
        <v>3145</v>
      </c>
      <c r="C11" t="s">
        <v>903</v>
      </c>
      <c r="E11" t="s">
        <v>3186</v>
      </c>
      <c r="F11" t="s">
        <v>3201</v>
      </c>
      <c r="J11" t="s">
        <v>3183</v>
      </c>
      <c r="K11" t="s">
        <v>3184</v>
      </c>
      <c r="P11" t="s">
        <v>3187</v>
      </c>
      <c r="Q11" s="33">
        <v>69500</v>
      </c>
      <c r="R11" t="s">
        <v>2169</v>
      </c>
      <c r="S11" s="30" t="s">
        <v>3172</v>
      </c>
    </row>
    <row r="12" spans="1:20" ht="16.8">
      <c r="B12" s="34" t="s">
        <v>3145</v>
      </c>
      <c r="C12" t="s">
        <v>903</v>
      </c>
      <c r="E12" t="s">
        <v>68</v>
      </c>
      <c r="F12" t="s">
        <v>625</v>
      </c>
      <c r="J12" t="s">
        <v>3192</v>
      </c>
      <c r="K12" t="s">
        <v>3193</v>
      </c>
      <c r="L12" t="s">
        <v>3194</v>
      </c>
      <c r="M12" t="s">
        <v>3195</v>
      </c>
      <c r="N12" t="s">
        <v>3196</v>
      </c>
      <c r="P12" t="s">
        <v>3191</v>
      </c>
      <c r="Q12" s="33">
        <v>69008</v>
      </c>
      <c r="R12" t="s">
        <v>903</v>
      </c>
      <c r="S12" s="30" t="s">
        <v>3172</v>
      </c>
    </row>
    <row r="13" spans="1:20" ht="16.8">
      <c r="B13" s="34" t="s">
        <v>3145</v>
      </c>
      <c r="C13" t="s">
        <v>903</v>
      </c>
      <c r="E13" t="s">
        <v>3199</v>
      </c>
      <c r="F13" t="s">
        <v>3173</v>
      </c>
      <c r="J13" t="s">
        <v>3154</v>
      </c>
      <c r="P13" t="s">
        <v>3200</v>
      </c>
      <c r="Q13" s="33">
        <v>69007</v>
      </c>
      <c r="R13" t="s">
        <v>903</v>
      </c>
      <c r="S13" s="30" t="s">
        <v>3172</v>
      </c>
    </row>
    <row r="14" spans="1:20" ht="16.8">
      <c r="B14" s="34" t="s">
        <v>3145</v>
      </c>
      <c r="C14" t="s">
        <v>900</v>
      </c>
      <c r="E14" t="s">
        <v>3162</v>
      </c>
      <c r="H14" t="s">
        <v>3202</v>
      </c>
      <c r="I14" t="s">
        <v>623</v>
      </c>
      <c r="J14" s="30" t="s">
        <v>3155</v>
      </c>
      <c r="P14" t="s">
        <v>3205</v>
      </c>
      <c r="Q14" s="33">
        <v>43000</v>
      </c>
      <c r="R14" t="s">
        <v>3206</v>
      </c>
      <c r="S14" s="30" t="s">
        <v>3204</v>
      </c>
    </row>
    <row r="15" spans="1:20" ht="16.8">
      <c r="B15" s="34" t="s">
        <v>3145</v>
      </c>
      <c r="C15" t="s">
        <v>3211</v>
      </c>
      <c r="E15" t="s">
        <v>3207</v>
      </c>
      <c r="F15" t="s">
        <v>3174</v>
      </c>
      <c r="J15" t="s">
        <v>3210</v>
      </c>
      <c r="P15" s="30" t="s">
        <v>3208</v>
      </c>
      <c r="Q15" s="32">
        <v>42270</v>
      </c>
      <c r="R15" t="s">
        <v>3209</v>
      </c>
      <c r="S15" s="30" t="s">
        <v>3172</v>
      </c>
    </row>
    <row r="16" spans="1:20" ht="16.8">
      <c r="B16" s="34" t="s">
        <v>3145</v>
      </c>
      <c r="C16" s="30" t="s">
        <v>3212</v>
      </c>
      <c r="E16" t="s">
        <v>3214</v>
      </c>
      <c r="H16" t="s">
        <v>3213</v>
      </c>
      <c r="I16" t="s">
        <v>623</v>
      </c>
      <c r="J16" t="s">
        <v>3149</v>
      </c>
      <c r="O16" t="s">
        <v>3241</v>
      </c>
      <c r="P16" t="s">
        <v>3242</v>
      </c>
      <c r="Q16" s="33">
        <v>74200</v>
      </c>
      <c r="R16" s="30" t="s">
        <v>3212</v>
      </c>
      <c r="S16" s="30" t="s">
        <v>3204</v>
      </c>
    </row>
    <row r="17" spans="2:19" ht="16.8">
      <c r="B17" s="34" t="s">
        <v>3145</v>
      </c>
      <c r="C17" t="s">
        <v>1842</v>
      </c>
      <c r="E17" t="s">
        <v>3215</v>
      </c>
      <c r="H17" t="s">
        <v>3216</v>
      </c>
      <c r="I17" t="s">
        <v>623</v>
      </c>
      <c r="J17" t="s">
        <v>3218</v>
      </c>
      <c r="K17" t="s">
        <v>3219</v>
      </c>
      <c r="P17" t="s">
        <v>3217</v>
      </c>
      <c r="Q17" s="33">
        <v>26000</v>
      </c>
      <c r="R17" t="s">
        <v>1842</v>
      </c>
      <c r="S17" s="30" t="s">
        <v>3222</v>
      </c>
    </row>
    <row r="18" spans="2:19" ht="16.8">
      <c r="B18" s="34" t="s">
        <v>3145</v>
      </c>
      <c r="C18" t="s">
        <v>1873</v>
      </c>
      <c r="E18" t="s">
        <v>3162</v>
      </c>
      <c r="F18" t="s">
        <v>623</v>
      </c>
      <c r="H18" t="s">
        <v>3220</v>
      </c>
      <c r="I18" t="s">
        <v>623</v>
      </c>
      <c r="J18" t="s">
        <v>3158</v>
      </c>
      <c r="P18" t="s">
        <v>3221</v>
      </c>
      <c r="Q18" s="33">
        <v>3200</v>
      </c>
      <c r="R18" t="s">
        <v>1873</v>
      </c>
      <c r="S18" s="30" t="s">
        <v>3203</v>
      </c>
    </row>
    <row r="19" spans="2:19" ht="16.8">
      <c r="B19" s="30" t="s">
        <v>3223</v>
      </c>
      <c r="C19" t="s">
        <v>1786</v>
      </c>
      <c r="E19" t="s">
        <v>3224</v>
      </c>
      <c r="H19" t="s">
        <v>3225</v>
      </c>
      <c r="I19" t="s">
        <v>623</v>
      </c>
      <c r="J19" t="s">
        <v>3226</v>
      </c>
      <c r="P19" t="s">
        <v>3227</v>
      </c>
      <c r="Q19" s="33">
        <v>89000</v>
      </c>
      <c r="R19" t="s">
        <v>1786</v>
      </c>
      <c r="S19" s="30" t="s">
        <v>3203</v>
      </c>
    </row>
    <row r="20" spans="2:19" ht="16.8">
      <c r="B20" s="30" t="s">
        <v>3223</v>
      </c>
      <c r="C20" s="30" t="s">
        <v>3232</v>
      </c>
      <c r="E20" s="30" t="s">
        <v>3229</v>
      </c>
      <c r="F20" s="30" t="s">
        <v>3174</v>
      </c>
      <c r="H20" s="30"/>
      <c r="J20" s="30" t="s">
        <v>3230</v>
      </c>
      <c r="O20" t="s">
        <v>3228</v>
      </c>
      <c r="P20" t="s">
        <v>3231</v>
      </c>
      <c r="Q20" s="33">
        <v>25030</v>
      </c>
      <c r="R20" t="s">
        <v>3232</v>
      </c>
      <c r="S20" s="30" t="s">
        <v>3172</v>
      </c>
    </row>
    <row r="21" spans="2:19" ht="16.8">
      <c r="B21" s="30" t="s">
        <v>3223</v>
      </c>
      <c r="C21" t="s">
        <v>3233</v>
      </c>
      <c r="E21" t="s">
        <v>3224</v>
      </c>
      <c r="H21" t="s">
        <v>3235</v>
      </c>
      <c r="I21" t="s">
        <v>623</v>
      </c>
      <c r="J21" t="s">
        <v>3226</v>
      </c>
      <c r="P21" t="s">
        <v>3234</v>
      </c>
      <c r="Q21" s="33">
        <v>71321</v>
      </c>
      <c r="R21" t="s">
        <v>3233</v>
      </c>
      <c r="S21" s="30" t="s">
        <v>3203</v>
      </c>
    </row>
    <row r="22" spans="2:19" ht="16.8">
      <c r="B22" s="30" t="s">
        <v>3223</v>
      </c>
      <c r="C22" t="s">
        <v>844</v>
      </c>
      <c r="E22" t="s">
        <v>3236</v>
      </c>
      <c r="F22" t="s">
        <v>3174</v>
      </c>
      <c r="J22" t="s">
        <v>3226</v>
      </c>
      <c r="O22" t="s">
        <v>3237</v>
      </c>
      <c r="P22" s="30" t="s">
        <v>3239</v>
      </c>
      <c r="Q22" s="33">
        <v>21000</v>
      </c>
      <c r="R22" t="s">
        <v>844</v>
      </c>
      <c r="S22" s="30" t="s">
        <v>3172</v>
      </c>
    </row>
    <row r="23" spans="2:19" ht="16.8">
      <c r="B23" s="30" t="s">
        <v>3223</v>
      </c>
      <c r="C23" s="30" t="s">
        <v>844</v>
      </c>
      <c r="E23" t="s">
        <v>1289</v>
      </c>
      <c r="F23" t="s">
        <v>625</v>
      </c>
      <c r="J23" t="s">
        <v>3226</v>
      </c>
      <c r="O23" t="s">
        <v>3240</v>
      </c>
      <c r="P23" t="s">
        <v>3238</v>
      </c>
      <c r="Q23" s="33">
        <v>21000</v>
      </c>
      <c r="R23" t="s">
        <v>844</v>
      </c>
      <c r="S23" s="30" t="s">
        <v>3172</v>
      </c>
    </row>
    <row r="24" spans="2:19" ht="16.8">
      <c r="B24" s="30" t="s">
        <v>3223</v>
      </c>
      <c r="C24" s="30" t="s">
        <v>3244</v>
      </c>
      <c r="E24" t="s">
        <v>3224</v>
      </c>
      <c r="H24" s="30" t="s">
        <v>3245</v>
      </c>
      <c r="I24" t="s">
        <v>623</v>
      </c>
      <c r="J24" t="s">
        <v>3226</v>
      </c>
      <c r="P24" t="s">
        <v>3246</v>
      </c>
      <c r="Q24" s="33">
        <v>71000</v>
      </c>
      <c r="R24" s="30" t="s">
        <v>3244</v>
      </c>
      <c r="S24" s="30" t="s">
        <v>3203</v>
      </c>
    </row>
    <row r="25" spans="2:19" ht="16.8">
      <c r="B25" s="30" t="s">
        <v>3223</v>
      </c>
      <c r="C25" t="s">
        <v>3247</v>
      </c>
      <c r="E25" t="s">
        <v>3248</v>
      </c>
      <c r="H25" t="s">
        <v>3249</v>
      </c>
      <c r="I25" t="s">
        <v>623</v>
      </c>
      <c r="J25" t="s">
        <v>3230</v>
      </c>
      <c r="O25" t="s">
        <v>3250</v>
      </c>
      <c r="P25" t="s">
        <v>3251</v>
      </c>
      <c r="Q25" s="33">
        <v>25200</v>
      </c>
      <c r="R25" t="s">
        <v>3247</v>
      </c>
      <c r="S25" s="30" t="s">
        <v>3203</v>
      </c>
    </row>
    <row r="26" spans="2:19" ht="16.8">
      <c r="B26" s="30" t="s">
        <v>3223</v>
      </c>
      <c r="C26" s="30" t="s">
        <v>915</v>
      </c>
      <c r="E26" t="s">
        <v>3224</v>
      </c>
      <c r="H26" t="s">
        <v>3252</v>
      </c>
      <c r="I26" t="s">
        <v>623</v>
      </c>
      <c r="J26" t="s">
        <v>3226</v>
      </c>
      <c r="P26" t="s">
        <v>3253</v>
      </c>
      <c r="Q26" s="33">
        <v>58000</v>
      </c>
      <c r="R26" t="s">
        <v>915</v>
      </c>
      <c r="S26" s="30" t="s">
        <v>3203</v>
      </c>
    </row>
    <row r="27" spans="2:19" ht="16.8">
      <c r="B27" s="30" t="s">
        <v>115</v>
      </c>
      <c r="C27" t="s">
        <v>862</v>
      </c>
      <c r="E27" t="s">
        <v>107</v>
      </c>
      <c r="F27" t="s">
        <v>3174</v>
      </c>
      <c r="J27" s="30" t="s">
        <v>3254</v>
      </c>
      <c r="K27" s="30" t="s">
        <v>3255</v>
      </c>
      <c r="P27" s="30" t="s">
        <v>108</v>
      </c>
      <c r="Q27" s="30">
        <v>29200</v>
      </c>
      <c r="R27" s="30" t="s">
        <v>862</v>
      </c>
      <c r="S27" s="30" t="s">
        <v>3172</v>
      </c>
    </row>
    <row r="28" spans="2:19" ht="16.8">
      <c r="B28" s="30" t="s">
        <v>115</v>
      </c>
      <c r="C28" s="30" t="s">
        <v>2128</v>
      </c>
      <c r="E28" s="30" t="s">
        <v>3256</v>
      </c>
      <c r="H28" s="30" t="s">
        <v>3257</v>
      </c>
      <c r="I28" t="s">
        <v>623</v>
      </c>
      <c r="J28" s="30" t="s">
        <v>3254</v>
      </c>
      <c r="P28" s="30" t="s">
        <v>3258</v>
      </c>
      <c r="Q28" s="30">
        <v>56100</v>
      </c>
      <c r="R28" s="30" t="s">
        <v>2128</v>
      </c>
      <c r="S28" s="30" t="s">
        <v>3203</v>
      </c>
    </row>
    <row r="29" spans="2:19" ht="16.8">
      <c r="B29" s="30" t="s">
        <v>115</v>
      </c>
      <c r="C29" s="30" t="s">
        <v>918</v>
      </c>
      <c r="E29" s="30" t="s">
        <v>3256</v>
      </c>
      <c r="H29" s="30" t="s">
        <v>3259</v>
      </c>
      <c r="I29" t="s">
        <v>623</v>
      </c>
      <c r="J29" s="30" t="s">
        <v>3255</v>
      </c>
      <c r="P29" s="30" t="s">
        <v>3260</v>
      </c>
      <c r="Q29" s="30">
        <v>29107</v>
      </c>
      <c r="R29" s="30" t="s">
        <v>3261</v>
      </c>
      <c r="S29" s="30" t="s">
        <v>3203</v>
      </c>
    </row>
    <row r="30" spans="2:19" ht="16.8">
      <c r="B30" s="30" t="s">
        <v>115</v>
      </c>
      <c r="C30" s="30" t="s">
        <v>1702</v>
      </c>
      <c r="E30" s="30" t="s">
        <v>120</v>
      </c>
      <c r="F30" s="30" t="s">
        <v>3174</v>
      </c>
      <c r="J30" s="30" t="s">
        <v>3263</v>
      </c>
      <c r="K30" s="30" t="s">
        <v>3264</v>
      </c>
      <c r="L30" s="30" t="s">
        <v>3265</v>
      </c>
      <c r="P30" s="30" t="s">
        <v>123</v>
      </c>
      <c r="Q30" s="30">
        <v>35033</v>
      </c>
      <c r="R30" s="30" t="s">
        <v>3262</v>
      </c>
      <c r="S30" s="30" t="s">
        <v>3172</v>
      </c>
    </row>
    <row r="31" spans="2:19" ht="16.8">
      <c r="B31" s="30" t="s">
        <v>115</v>
      </c>
      <c r="C31" s="30" t="s">
        <v>1702</v>
      </c>
      <c r="E31" s="30" t="s">
        <v>1288</v>
      </c>
      <c r="F31" s="30" t="s">
        <v>625</v>
      </c>
      <c r="J31" s="30" t="s">
        <v>3263</v>
      </c>
      <c r="K31" s="30" t="s">
        <v>3264</v>
      </c>
      <c r="L31" s="30" t="s">
        <v>3266</v>
      </c>
      <c r="M31" s="30" t="s">
        <v>3267</v>
      </c>
      <c r="P31" s="30" t="s">
        <v>2948</v>
      </c>
      <c r="Q31" s="30">
        <v>35000</v>
      </c>
      <c r="R31" s="30" t="s">
        <v>1702</v>
      </c>
      <c r="S31" s="30" t="s">
        <v>3172</v>
      </c>
    </row>
    <row r="32" spans="2:19" ht="16.8">
      <c r="B32" s="30" t="s">
        <v>115</v>
      </c>
      <c r="C32" s="30" t="s">
        <v>3268</v>
      </c>
      <c r="E32" s="30" t="s">
        <v>3269</v>
      </c>
      <c r="H32" s="30" t="s">
        <v>3270</v>
      </c>
      <c r="I32" t="s">
        <v>623</v>
      </c>
      <c r="J32" s="30" t="s">
        <v>3264</v>
      </c>
      <c r="P32" s="30" t="s">
        <v>3271</v>
      </c>
      <c r="Q32" s="30">
        <v>22000</v>
      </c>
      <c r="R32" s="30" t="s">
        <v>3268</v>
      </c>
      <c r="S32" s="30" t="s">
        <v>3203</v>
      </c>
    </row>
    <row r="33" spans="2:19" ht="16.8">
      <c r="B33" s="30" t="s">
        <v>115</v>
      </c>
      <c r="C33" s="30" t="s">
        <v>1945</v>
      </c>
      <c r="E33" s="30" t="s">
        <v>3272</v>
      </c>
      <c r="F33" s="30" t="s">
        <v>623</v>
      </c>
      <c r="J33" s="30" t="s">
        <v>3274</v>
      </c>
      <c r="P33" s="30" t="s">
        <v>3273</v>
      </c>
      <c r="Q33" s="30">
        <v>56000</v>
      </c>
      <c r="R33" s="30" t="s">
        <v>1945</v>
      </c>
      <c r="S33" s="30" t="s">
        <v>3172</v>
      </c>
    </row>
    <row r="34" spans="2:19" ht="16.8">
      <c r="B34" s="30" t="s">
        <v>3275</v>
      </c>
      <c r="C34" t="s">
        <v>1759</v>
      </c>
      <c r="E34" t="s">
        <v>3277</v>
      </c>
      <c r="H34" s="30" t="s">
        <v>3279</v>
      </c>
      <c r="I34" t="s">
        <v>623</v>
      </c>
      <c r="J34" s="30" t="s">
        <v>3280</v>
      </c>
      <c r="O34" s="30" t="s">
        <v>3283</v>
      </c>
      <c r="P34" s="30" t="s">
        <v>3282</v>
      </c>
      <c r="Q34" s="30">
        <v>18000</v>
      </c>
      <c r="R34" s="30" t="s">
        <v>1759</v>
      </c>
      <c r="S34" s="30" t="s">
        <v>3203</v>
      </c>
    </row>
    <row r="35" spans="2:19" ht="16.8">
      <c r="B35" s="30" t="s">
        <v>3275</v>
      </c>
      <c r="C35" s="30" t="s">
        <v>3276</v>
      </c>
      <c r="E35" s="30" t="s">
        <v>3277</v>
      </c>
      <c r="H35" s="30" t="s">
        <v>1250</v>
      </c>
      <c r="I35" t="s">
        <v>3174</v>
      </c>
      <c r="J35" s="30" t="s">
        <v>3281</v>
      </c>
      <c r="P35" s="30" t="s">
        <v>3284</v>
      </c>
      <c r="Q35" s="30">
        <v>45100</v>
      </c>
      <c r="R35" s="30" t="s">
        <v>3276</v>
      </c>
      <c r="S35" s="30" t="s">
        <v>3203</v>
      </c>
    </row>
    <row r="36" spans="2:19" ht="16.8">
      <c r="B36" s="30" t="s">
        <v>3275</v>
      </c>
      <c r="C36" s="30" t="s">
        <v>818</v>
      </c>
      <c r="E36" s="30" t="s">
        <v>3278</v>
      </c>
      <c r="F36" t="s">
        <v>3174</v>
      </c>
      <c r="J36" s="30" t="s">
        <v>3280</v>
      </c>
      <c r="K36" s="30" t="s">
        <v>3281</v>
      </c>
      <c r="O36" s="30" t="s">
        <v>3286</v>
      </c>
      <c r="P36" s="30" t="s">
        <v>3285</v>
      </c>
      <c r="Q36" s="30">
        <v>37000</v>
      </c>
      <c r="R36" s="30" t="s">
        <v>818</v>
      </c>
      <c r="S36" s="30" t="s">
        <v>3172</v>
      </c>
    </row>
    <row r="37" spans="2:19" ht="16.8">
      <c r="B37" s="30" t="s">
        <v>3287</v>
      </c>
      <c r="C37" s="30" t="s">
        <v>924</v>
      </c>
      <c r="E37" s="30" t="s">
        <v>3288</v>
      </c>
      <c r="H37" s="30" t="s">
        <v>3325</v>
      </c>
      <c r="I37" t="s">
        <v>623</v>
      </c>
      <c r="J37" s="30" t="s">
        <v>3289</v>
      </c>
      <c r="K37" s="30" t="s">
        <v>3290</v>
      </c>
      <c r="P37" s="30" t="s">
        <v>3309</v>
      </c>
      <c r="Q37" s="30">
        <v>68024</v>
      </c>
      <c r="R37" s="30" t="s">
        <v>924</v>
      </c>
      <c r="S37" s="30" t="s">
        <v>3222</v>
      </c>
    </row>
    <row r="38" spans="2:19" ht="16.8">
      <c r="B38" s="30" t="s">
        <v>3287</v>
      </c>
      <c r="C38" s="30" t="s">
        <v>2271</v>
      </c>
      <c r="E38" s="30" t="s">
        <v>3292</v>
      </c>
      <c r="F38" t="s">
        <v>3307</v>
      </c>
      <c r="J38" s="30" t="s">
        <v>3291</v>
      </c>
      <c r="O38" s="30" t="s">
        <v>3310</v>
      </c>
      <c r="P38" s="30" t="s">
        <v>3311</v>
      </c>
      <c r="Q38" s="30">
        <v>57245</v>
      </c>
      <c r="R38" s="30" t="s">
        <v>3312</v>
      </c>
      <c r="S38" s="30" t="s">
        <v>3172</v>
      </c>
    </row>
    <row r="39" spans="2:19" ht="16.8">
      <c r="B39" s="30" t="s">
        <v>3287</v>
      </c>
      <c r="C39" s="30" t="s">
        <v>2163</v>
      </c>
      <c r="E39" s="30" t="s">
        <v>3293</v>
      </c>
      <c r="F39" t="s">
        <v>623</v>
      </c>
      <c r="J39" s="30" t="s">
        <v>3294</v>
      </c>
      <c r="P39" s="30" t="s">
        <v>3313</v>
      </c>
      <c r="Q39" s="30">
        <v>68100</v>
      </c>
      <c r="R39" s="30" t="s">
        <v>2163</v>
      </c>
      <c r="S39" s="30" t="s">
        <v>3172</v>
      </c>
    </row>
    <row r="40" spans="2:19" ht="16.8">
      <c r="B40" s="30" t="s">
        <v>3287</v>
      </c>
      <c r="C40" s="30" t="s">
        <v>1992</v>
      </c>
      <c r="E40" s="30" t="s">
        <v>3296</v>
      </c>
      <c r="F40" t="s">
        <v>625</v>
      </c>
      <c r="J40" s="30" t="s">
        <v>3295</v>
      </c>
      <c r="P40" s="30" t="s">
        <v>3314</v>
      </c>
      <c r="Q40" s="30">
        <v>54519</v>
      </c>
      <c r="R40" s="30" t="s">
        <v>3315</v>
      </c>
      <c r="S40" s="30" t="s">
        <v>3172</v>
      </c>
    </row>
    <row r="41" spans="2:19" ht="16.8">
      <c r="B41" s="30" t="s">
        <v>3287</v>
      </c>
      <c r="C41" s="30" t="s">
        <v>1992</v>
      </c>
      <c r="E41" s="30" t="s">
        <v>3297</v>
      </c>
      <c r="F41" t="s">
        <v>3308</v>
      </c>
      <c r="J41" s="30" t="s">
        <v>3298</v>
      </c>
      <c r="K41" s="30" t="s">
        <v>3299</v>
      </c>
      <c r="L41" s="30" t="s">
        <v>3300</v>
      </c>
      <c r="M41" s="30" t="s">
        <v>3301</v>
      </c>
      <c r="O41" s="30" t="s">
        <v>3316</v>
      </c>
      <c r="P41" s="30" t="s">
        <v>3317</v>
      </c>
      <c r="Q41" s="30">
        <v>54500</v>
      </c>
      <c r="R41" s="30" t="s">
        <v>3315</v>
      </c>
      <c r="S41" s="30" t="s">
        <v>3172</v>
      </c>
    </row>
    <row r="42" spans="2:19" ht="16.8">
      <c r="B42" s="30" t="s">
        <v>3287</v>
      </c>
      <c r="C42" s="30" t="s">
        <v>880</v>
      </c>
      <c r="E42" s="30" t="s">
        <v>3302</v>
      </c>
      <c r="F42" t="s">
        <v>625</v>
      </c>
      <c r="J42" s="30" t="s">
        <v>3303</v>
      </c>
      <c r="P42" s="30" t="s">
        <v>3318</v>
      </c>
      <c r="Q42" s="30">
        <v>51100</v>
      </c>
      <c r="R42" s="30" t="s">
        <v>880</v>
      </c>
      <c r="S42" s="30" t="s">
        <v>3172</v>
      </c>
    </row>
    <row r="43" spans="2:19" ht="16.8">
      <c r="B43" s="30" t="s">
        <v>3287</v>
      </c>
      <c r="C43" s="30" t="s">
        <v>880</v>
      </c>
      <c r="E43" s="30" t="s">
        <v>3304</v>
      </c>
      <c r="F43" t="s">
        <v>3174</v>
      </c>
      <c r="J43" s="30" t="s">
        <v>3305</v>
      </c>
      <c r="K43" s="30" t="s">
        <v>3306</v>
      </c>
      <c r="P43" s="30" t="s">
        <v>146</v>
      </c>
      <c r="Q43" s="30">
        <v>51100</v>
      </c>
      <c r="R43" s="30" t="s">
        <v>880</v>
      </c>
      <c r="S43" s="30" t="s">
        <v>3172</v>
      </c>
    </row>
    <row r="44" spans="2:19" ht="16.8">
      <c r="B44" s="30" t="s">
        <v>3287</v>
      </c>
      <c r="C44" s="30" t="s">
        <v>880</v>
      </c>
      <c r="E44" s="30" t="s">
        <v>3319</v>
      </c>
      <c r="F44" t="s">
        <v>3173</v>
      </c>
      <c r="J44" s="30" t="s">
        <v>3329</v>
      </c>
      <c r="P44" s="30" t="s">
        <v>3335</v>
      </c>
      <c r="Q44" s="30">
        <v>51100</v>
      </c>
      <c r="R44" s="30" t="s">
        <v>880</v>
      </c>
      <c r="S44" s="30" t="s">
        <v>3172</v>
      </c>
    </row>
    <row r="45" spans="2:19" ht="16.8">
      <c r="B45" s="30" t="s">
        <v>3287</v>
      </c>
      <c r="C45" s="30" t="s">
        <v>1915</v>
      </c>
      <c r="E45" s="30" t="s">
        <v>3320</v>
      </c>
      <c r="H45" s="30" t="s">
        <v>3322</v>
      </c>
      <c r="I45" t="s">
        <v>623</v>
      </c>
      <c r="J45" s="30" t="s">
        <v>3291</v>
      </c>
      <c r="P45" s="30" t="s">
        <v>3336</v>
      </c>
      <c r="Q45" s="30">
        <v>57400</v>
      </c>
      <c r="R45" s="30" t="s">
        <v>1915</v>
      </c>
      <c r="S45" s="30" t="s">
        <v>3203</v>
      </c>
    </row>
    <row r="46" spans="2:19" ht="16.8">
      <c r="B46" s="30" t="s">
        <v>3287</v>
      </c>
      <c r="C46" s="30" t="s">
        <v>1921</v>
      </c>
      <c r="E46" s="30" t="s">
        <v>3321</v>
      </c>
      <c r="H46" s="30" t="s">
        <v>3323</v>
      </c>
      <c r="I46" t="s">
        <v>623</v>
      </c>
      <c r="J46" s="30" t="s">
        <v>3330</v>
      </c>
      <c r="P46" s="30" t="s">
        <v>3337</v>
      </c>
      <c r="Q46" s="30">
        <v>89100</v>
      </c>
      <c r="R46" s="30" t="s">
        <v>3339</v>
      </c>
      <c r="S46" s="30" t="s">
        <v>3203</v>
      </c>
    </row>
    <row r="47" spans="2:19" ht="16.8">
      <c r="B47" s="30" t="s">
        <v>3287</v>
      </c>
      <c r="C47" s="30" t="s">
        <v>2056</v>
      </c>
      <c r="E47" s="30" t="s">
        <v>3324</v>
      </c>
      <c r="F47" s="30" t="s">
        <v>3174</v>
      </c>
      <c r="J47" s="30" t="s">
        <v>3331</v>
      </c>
      <c r="K47" s="30" t="s">
        <v>3332</v>
      </c>
      <c r="L47" s="30" t="s">
        <v>3333</v>
      </c>
      <c r="P47" s="30" t="s">
        <v>3338</v>
      </c>
      <c r="Q47" s="30">
        <v>67000</v>
      </c>
      <c r="R47" s="30" t="s">
        <v>2056</v>
      </c>
      <c r="S47" s="30" t="s">
        <v>3172</v>
      </c>
    </row>
    <row r="48" spans="2:19" ht="16.8">
      <c r="B48" s="30" t="s">
        <v>3287</v>
      </c>
      <c r="C48" s="30" t="s">
        <v>2056</v>
      </c>
      <c r="E48" s="30" t="s">
        <v>3326</v>
      </c>
      <c r="F48" s="30" t="s">
        <v>625</v>
      </c>
      <c r="J48" s="30" t="s">
        <v>3334</v>
      </c>
      <c r="P48" s="30" t="s">
        <v>2950</v>
      </c>
      <c r="Q48" s="30">
        <v>67000</v>
      </c>
      <c r="R48" s="30" t="s">
        <v>2056</v>
      </c>
      <c r="S48" s="30" t="s">
        <v>3172</v>
      </c>
    </row>
    <row r="49" spans="2:19" ht="16.8">
      <c r="B49" s="30" t="s">
        <v>3287</v>
      </c>
      <c r="C49" s="30" t="s">
        <v>2149</v>
      </c>
      <c r="E49" s="30" t="s">
        <v>3320</v>
      </c>
      <c r="H49" s="30" t="s">
        <v>3327</v>
      </c>
      <c r="I49" t="s">
        <v>3307</v>
      </c>
      <c r="J49" s="30" t="s">
        <v>3291</v>
      </c>
      <c r="P49" s="30" t="s">
        <v>3340</v>
      </c>
      <c r="Q49" s="30">
        <v>57100</v>
      </c>
      <c r="R49" s="30" t="s">
        <v>2149</v>
      </c>
      <c r="S49" s="30" t="s">
        <v>3203</v>
      </c>
    </row>
    <row r="50" spans="2:19" ht="16.8">
      <c r="B50" s="30" t="s">
        <v>3287</v>
      </c>
      <c r="C50" s="30" t="s">
        <v>1733</v>
      </c>
      <c r="E50" s="30" t="s">
        <v>3328</v>
      </c>
      <c r="F50" s="30" t="s">
        <v>623</v>
      </c>
      <c r="J50" s="30" t="s">
        <v>3330</v>
      </c>
      <c r="P50" s="30" t="s">
        <v>3341</v>
      </c>
      <c r="Q50" s="30">
        <v>10003</v>
      </c>
      <c r="R50" s="30" t="s">
        <v>1733</v>
      </c>
      <c r="S50" s="30" t="s">
        <v>3172</v>
      </c>
    </row>
    <row r="51" spans="2:19" ht="16.8">
      <c r="B51" s="30" t="s">
        <v>3342</v>
      </c>
      <c r="C51" s="30" t="s">
        <v>840</v>
      </c>
      <c r="E51" s="30" t="s">
        <v>3343</v>
      </c>
      <c r="F51" s="30" t="s">
        <v>3174</v>
      </c>
      <c r="J51" s="30" t="s">
        <v>3365</v>
      </c>
      <c r="K51" s="30" t="s">
        <v>3366</v>
      </c>
      <c r="O51" s="30" t="s">
        <v>3361</v>
      </c>
      <c r="P51" s="30" t="s">
        <v>3362</v>
      </c>
      <c r="Q51" s="30">
        <v>80054</v>
      </c>
      <c r="R51" s="30" t="s">
        <v>3363</v>
      </c>
      <c r="S51" s="30" t="s">
        <v>3172</v>
      </c>
    </row>
    <row r="52" spans="2:19" ht="16.8">
      <c r="B52" s="30" t="s">
        <v>3342</v>
      </c>
      <c r="C52" s="30" t="s">
        <v>929</v>
      </c>
      <c r="E52" s="30" t="s">
        <v>3344</v>
      </c>
      <c r="H52" s="30" t="s">
        <v>3345</v>
      </c>
      <c r="I52" t="s">
        <v>623</v>
      </c>
      <c r="J52" s="30" t="s">
        <v>3360</v>
      </c>
      <c r="P52" s="30" t="s">
        <v>3364</v>
      </c>
      <c r="Q52" s="30">
        <v>62000</v>
      </c>
      <c r="R52" s="30" t="s">
        <v>929</v>
      </c>
      <c r="S52" s="30" t="s">
        <v>3203</v>
      </c>
    </row>
    <row r="53" spans="2:19" ht="16.8">
      <c r="B53" s="30" t="s">
        <v>3342</v>
      </c>
      <c r="C53" s="30" t="s">
        <v>3346</v>
      </c>
      <c r="E53" s="30" t="s">
        <v>3344</v>
      </c>
      <c r="H53" s="30" t="s">
        <v>3347</v>
      </c>
      <c r="I53" t="s">
        <v>623</v>
      </c>
      <c r="J53" s="30" t="s">
        <v>3360</v>
      </c>
      <c r="P53" s="30" t="s">
        <v>3367</v>
      </c>
      <c r="Q53" s="30">
        <v>62200</v>
      </c>
      <c r="R53" s="30" t="s">
        <v>3346</v>
      </c>
      <c r="S53" s="30" t="s">
        <v>3203</v>
      </c>
    </row>
    <row r="54" spans="2:19" ht="16.8">
      <c r="B54" s="30" t="s">
        <v>3342</v>
      </c>
      <c r="C54" s="30" t="s">
        <v>1857</v>
      </c>
      <c r="E54" s="30" t="s">
        <v>3344</v>
      </c>
      <c r="H54" s="30" t="s">
        <v>3348</v>
      </c>
      <c r="I54" t="s">
        <v>623</v>
      </c>
      <c r="J54" s="30" t="s">
        <v>3357</v>
      </c>
      <c r="P54" s="30" t="s">
        <v>3368</v>
      </c>
      <c r="Q54" s="30">
        <v>59240</v>
      </c>
      <c r="R54" s="30" t="s">
        <v>1857</v>
      </c>
      <c r="S54" s="30" t="s">
        <v>3203</v>
      </c>
    </row>
    <row r="55" spans="2:19" ht="16.8">
      <c r="B55" s="30" t="s">
        <v>3342</v>
      </c>
      <c r="C55" s="30" t="s">
        <v>3349</v>
      </c>
      <c r="E55" s="30" t="s">
        <v>3344</v>
      </c>
      <c r="H55" s="30" t="s">
        <v>3350</v>
      </c>
      <c r="I55" t="s">
        <v>623</v>
      </c>
      <c r="J55" s="30" t="s">
        <v>3357</v>
      </c>
      <c r="P55" s="30" t="s">
        <v>3369</v>
      </c>
      <c r="Q55" s="30">
        <v>59610</v>
      </c>
      <c r="R55" s="30" t="s">
        <v>3349</v>
      </c>
      <c r="S55" s="30" t="s">
        <v>3204</v>
      </c>
    </row>
    <row r="56" spans="2:19" ht="16.8">
      <c r="B56" s="30" t="s">
        <v>3342</v>
      </c>
      <c r="C56" s="30" t="s">
        <v>935</v>
      </c>
      <c r="E56" s="30" t="s">
        <v>3344</v>
      </c>
      <c r="H56" s="30" t="s">
        <v>3351</v>
      </c>
      <c r="I56" t="s">
        <v>623</v>
      </c>
      <c r="J56" s="30" t="s">
        <v>3360</v>
      </c>
      <c r="P56" s="30" t="s">
        <v>3370</v>
      </c>
      <c r="Q56" s="30">
        <v>62300</v>
      </c>
      <c r="R56" s="30" t="s">
        <v>935</v>
      </c>
      <c r="S56" s="30" t="s">
        <v>3203</v>
      </c>
    </row>
    <row r="57" spans="2:19" ht="16.8">
      <c r="B57" s="30" t="s">
        <v>3342</v>
      </c>
      <c r="C57" s="30" t="s">
        <v>871</v>
      </c>
      <c r="E57" s="30" t="s">
        <v>1291</v>
      </c>
      <c r="F57" t="s">
        <v>625</v>
      </c>
      <c r="J57" s="30" t="s">
        <v>3376</v>
      </c>
      <c r="K57" s="30" t="s">
        <v>3360</v>
      </c>
      <c r="P57" s="30" t="s">
        <v>3371</v>
      </c>
      <c r="Q57" s="30">
        <v>59000</v>
      </c>
      <c r="R57" s="30" t="s">
        <v>871</v>
      </c>
      <c r="S57" s="30" t="s">
        <v>3172</v>
      </c>
    </row>
    <row r="58" spans="2:19" ht="16.8">
      <c r="B58" s="30" t="s">
        <v>3342</v>
      </c>
      <c r="C58" s="30" t="s">
        <v>3352</v>
      </c>
      <c r="E58" s="30" t="s">
        <v>3353</v>
      </c>
      <c r="F58" t="s">
        <v>3174</v>
      </c>
      <c r="J58" s="30" t="s">
        <v>3357</v>
      </c>
      <c r="K58" s="30" t="s">
        <v>3358</v>
      </c>
      <c r="L58" s="30" t="s">
        <v>3359</v>
      </c>
      <c r="M58" s="30" t="s">
        <v>3360</v>
      </c>
      <c r="P58" s="30" t="s">
        <v>3372</v>
      </c>
      <c r="Q58" s="30">
        <v>59000</v>
      </c>
      <c r="R58" s="30" t="s">
        <v>871</v>
      </c>
      <c r="S58" s="30" t="s">
        <v>3172</v>
      </c>
    </row>
    <row r="59" spans="2:19" ht="16.8">
      <c r="B59" s="30" t="s">
        <v>3342</v>
      </c>
      <c r="C59" s="30" t="s">
        <v>3352</v>
      </c>
      <c r="E59" s="30" t="s">
        <v>3354</v>
      </c>
      <c r="F59" t="s">
        <v>3174</v>
      </c>
      <c r="J59" s="30" t="s">
        <v>3357</v>
      </c>
      <c r="K59" s="30" t="s">
        <v>3358</v>
      </c>
      <c r="L59" s="30" t="s">
        <v>3359</v>
      </c>
      <c r="M59" s="30" t="s">
        <v>3360</v>
      </c>
      <c r="P59" s="30" t="s">
        <v>3373</v>
      </c>
      <c r="Q59" s="30">
        <v>59000</v>
      </c>
      <c r="R59" s="30" t="s">
        <v>871</v>
      </c>
      <c r="S59" s="30" t="s">
        <v>3172</v>
      </c>
    </row>
    <row r="60" spans="2:19" ht="16.8">
      <c r="B60" s="30" t="s">
        <v>3342</v>
      </c>
      <c r="C60" s="30" t="s">
        <v>3355</v>
      </c>
      <c r="E60" s="30" t="s">
        <v>3356</v>
      </c>
      <c r="F60" t="s">
        <v>3174</v>
      </c>
      <c r="J60" s="30" t="s">
        <v>3375</v>
      </c>
      <c r="P60" s="30" t="s">
        <v>3374</v>
      </c>
      <c r="Q60" s="30">
        <v>59000</v>
      </c>
      <c r="R60" s="30" t="s">
        <v>871</v>
      </c>
      <c r="S60" s="30" t="s">
        <v>3172</v>
      </c>
    </row>
    <row r="61" spans="2:19" ht="16.8">
      <c r="B61" s="30" t="s">
        <v>3342</v>
      </c>
      <c r="C61" s="30" t="s">
        <v>1934</v>
      </c>
      <c r="E61" s="30" t="s">
        <v>3344</v>
      </c>
      <c r="H61" s="30" t="s">
        <v>3377</v>
      </c>
      <c r="I61" t="s">
        <v>623</v>
      </c>
      <c r="J61" s="30" t="s">
        <v>3357</v>
      </c>
      <c r="P61" s="30" t="s">
        <v>3378</v>
      </c>
      <c r="Q61" s="30">
        <v>59322</v>
      </c>
      <c r="R61" s="30" t="s">
        <v>1934</v>
      </c>
      <c r="S61" s="30" t="s">
        <v>3203</v>
      </c>
    </row>
    <row r="62" spans="2:19" ht="16.8">
      <c r="B62" s="30" t="s">
        <v>3379</v>
      </c>
      <c r="C62" s="30" t="s">
        <v>700</v>
      </c>
      <c r="E62" s="30" t="s">
        <v>3380</v>
      </c>
      <c r="F62" s="30" t="s">
        <v>489</v>
      </c>
      <c r="J62" s="30" t="s">
        <v>3382</v>
      </c>
      <c r="O62" s="30" t="s">
        <v>3383</v>
      </c>
      <c r="P62" s="30" t="s">
        <v>3381</v>
      </c>
      <c r="Q62" s="30">
        <v>75014</v>
      </c>
      <c r="R62" s="30" t="s">
        <v>700</v>
      </c>
      <c r="S62" s="30" t="s">
        <v>3172</v>
      </c>
    </row>
    <row r="63" spans="2:19" ht="16.8">
      <c r="B63" s="30" t="s">
        <v>3379</v>
      </c>
      <c r="C63" s="30" t="s">
        <v>700</v>
      </c>
      <c r="E63" s="30" t="s">
        <v>3384</v>
      </c>
      <c r="F63" s="30" t="s">
        <v>489</v>
      </c>
      <c r="J63" s="30" t="s">
        <v>3387</v>
      </c>
      <c r="K63" s="30" t="s">
        <v>3388</v>
      </c>
      <c r="L63" s="30" t="s">
        <v>3389</v>
      </c>
      <c r="M63" s="30" t="s">
        <v>3390</v>
      </c>
      <c r="O63" s="30" t="s">
        <v>3385</v>
      </c>
      <c r="P63" s="30" t="s">
        <v>3386</v>
      </c>
      <c r="Q63" s="30">
        <v>75014</v>
      </c>
      <c r="R63" s="30" t="s">
        <v>700</v>
      </c>
      <c r="S63" s="30" t="s">
        <v>3172</v>
      </c>
    </row>
    <row r="64" spans="2:19" ht="16.8">
      <c r="B64" s="30" t="s">
        <v>3379</v>
      </c>
      <c r="C64" s="30" t="s">
        <v>700</v>
      </c>
      <c r="E64" s="30" t="s">
        <v>3384</v>
      </c>
      <c r="F64" s="30" t="s">
        <v>489</v>
      </c>
      <c r="J64" s="30" t="s">
        <v>3392</v>
      </c>
      <c r="K64" s="30" t="s">
        <v>3393</v>
      </c>
      <c r="L64" s="30" t="s">
        <v>3394</v>
      </c>
      <c r="M64" s="30" t="s">
        <v>3395</v>
      </c>
      <c r="O64" s="30" t="s">
        <v>3391</v>
      </c>
      <c r="P64" s="30" t="s">
        <v>3386</v>
      </c>
      <c r="Q64" s="30">
        <v>75014</v>
      </c>
      <c r="R64" s="30" t="s">
        <v>700</v>
      </c>
      <c r="S64" s="30" t="s">
        <v>3172</v>
      </c>
    </row>
    <row r="65" spans="2:19" ht="16.8">
      <c r="B65" s="30" t="s">
        <v>3379</v>
      </c>
      <c r="C65" s="30" t="s">
        <v>700</v>
      </c>
      <c r="E65" s="30" t="s">
        <v>3384</v>
      </c>
      <c r="F65" s="30" t="s">
        <v>489</v>
      </c>
      <c r="J65" s="30" t="s">
        <v>3397</v>
      </c>
      <c r="O65" s="30" t="s">
        <v>3396</v>
      </c>
      <c r="P65" s="30" t="s">
        <v>3386</v>
      </c>
      <c r="Q65" s="30">
        <v>75014</v>
      </c>
      <c r="R65" s="30" t="s">
        <v>700</v>
      </c>
      <c r="S65" s="30" t="s">
        <v>3172</v>
      </c>
    </row>
    <row r="66" spans="2:19" ht="16.8">
      <c r="B66" s="30" t="s">
        <v>3379</v>
      </c>
      <c r="C66" s="30" t="s">
        <v>700</v>
      </c>
      <c r="E66" s="30" t="s">
        <v>3398</v>
      </c>
      <c r="F66" s="30" t="s">
        <v>489</v>
      </c>
      <c r="J66" s="30" t="s">
        <v>3400</v>
      </c>
      <c r="K66" s="30" t="s">
        <v>3401</v>
      </c>
      <c r="L66" s="30" t="s">
        <v>3402</v>
      </c>
      <c r="M66" s="30" t="s">
        <v>3403</v>
      </c>
      <c r="O66" s="30" t="s">
        <v>3399</v>
      </c>
      <c r="P66" s="30" t="s">
        <v>246</v>
      </c>
      <c r="Q66" s="30">
        <v>75015</v>
      </c>
      <c r="R66" s="30" t="s">
        <v>700</v>
      </c>
      <c r="S66" s="30" t="s">
        <v>3172</v>
      </c>
    </row>
    <row r="67" spans="2:19" ht="16.8">
      <c r="B67" s="30" t="s">
        <v>3379</v>
      </c>
      <c r="C67" s="30" t="s">
        <v>700</v>
      </c>
      <c r="E67" s="30" t="s">
        <v>31</v>
      </c>
      <c r="F67" t="s">
        <v>625</v>
      </c>
      <c r="J67" s="30" t="s">
        <v>3129</v>
      </c>
      <c r="K67" s="30" t="s">
        <v>3406</v>
      </c>
      <c r="L67" s="30" t="s">
        <v>3407</v>
      </c>
      <c r="M67" s="30" t="s">
        <v>3408</v>
      </c>
      <c r="O67" s="30" t="s">
        <v>3404</v>
      </c>
      <c r="P67" s="30" t="s">
        <v>3405</v>
      </c>
      <c r="Q67" s="30">
        <v>75005</v>
      </c>
      <c r="R67" s="30" t="s">
        <v>700</v>
      </c>
      <c r="S67" s="30" t="s">
        <v>3172</v>
      </c>
    </row>
    <row r="68" spans="2:19" ht="16.8">
      <c r="B68" s="30" t="s">
        <v>3409</v>
      </c>
      <c r="C68" s="30" t="s">
        <v>970</v>
      </c>
      <c r="E68" s="30" t="s">
        <v>3413</v>
      </c>
      <c r="F68" t="s">
        <v>489</v>
      </c>
      <c r="J68" s="30" t="s">
        <v>3414</v>
      </c>
      <c r="K68" s="30" t="s">
        <v>3159</v>
      </c>
      <c r="O68" s="30" t="s">
        <v>3423</v>
      </c>
      <c r="P68" s="30" t="s">
        <v>190</v>
      </c>
      <c r="Q68" s="30">
        <v>93000</v>
      </c>
      <c r="R68" s="30" t="s">
        <v>970</v>
      </c>
      <c r="S68" s="30" t="s">
        <v>3172</v>
      </c>
    </row>
    <row r="69" spans="2:19" ht="16.8">
      <c r="B69" s="30" t="s">
        <v>3409</v>
      </c>
      <c r="C69" s="30" t="s">
        <v>700</v>
      </c>
      <c r="E69" s="30" t="s">
        <v>3411</v>
      </c>
      <c r="H69" s="30" t="s">
        <v>3410</v>
      </c>
      <c r="I69" t="s">
        <v>489</v>
      </c>
      <c r="J69" s="30" t="s">
        <v>3414</v>
      </c>
      <c r="K69" s="30" t="s">
        <v>3159</v>
      </c>
      <c r="O69" s="30" t="s">
        <v>3424</v>
      </c>
      <c r="P69" s="30" t="s">
        <v>3425</v>
      </c>
      <c r="Q69" s="30">
        <v>75475</v>
      </c>
      <c r="R69" s="30" t="s">
        <v>3426</v>
      </c>
      <c r="S69" s="30" t="s">
        <v>3203</v>
      </c>
    </row>
    <row r="70" spans="2:19" ht="16.8">
      <c r="B70" s="30" t="s">
        <v>3409</v>
      </c>
      <c r="C70" s="30" t="s">
        <v>700</v>
      </c>
      <c r="E70" s="30" t="s">
        <v>3412</v>
      </c>
      <c r="F70" t="s">
        <v>489</v>
      </c>
      <c r="J70" s="30" t="s">
        <v>3415</v>
      </c>
      <c r="K70" s="30" t="s">
        <v>3416</v>
      </c>
      <c r="L70" s="30" t="s">
        <v>3417</v>
      </c>
      <c r="M70" s="30" t="s">
        <v>3418</v>
      </c>
      <c r="O70" s="30" t="s">
        <v>3421</v>
      </c>
      <c r="P70" s="30" t="s">
        <v>3420</v>
      </c>
      <c r="Q70" s="30">
        <v>75010</v>
      </c>
      <c r="R70" s="30" t="s">
        <v>700</v>
      </c>
      <c r="S70" s="30" t="s">
        <v>3172</v>
      </c>
    </row>
    <row r="71" spans="2:19" ht="16.8">
      <c r="B71" s="30" t="s">
        <v>3409</v>
      </c>
      <c r="C71" s="30" t="s">
        <v>700</v>
      </c>
      <c r="E71" s="30" t="s">
        <v>3412</v>
      </c>
      <c r="F71" t="s">
        <v>489</v>
      </c>
      <c r="J71" s="30" t="s">
        <v>3419</v>
      </c>
      <c r="O71" s="30" t="s">
        <v>3422</v>
      </c>
      <c r="P71" s="30" t="s">
        <v>3420</v>
      </c>
      <c r="Q71" s="30">
        <v>75010</v>
      </c>
      <c r="R71" s="30" t="s">
        <v>700</v>
      </c>
      <c r="S71" s="30" t="s">
        <v>3172</v>
      </c>
    </row>
    <row r="72" spans="2:19" ht="16.8">
      <c r="B72" s="30" t="s">
        <v>3427</v>
      </c>
      <c r="C72" s="30" t="s">
        <v>3428</v>
      </c>
      <c r="E72" s="30" t="s">
        <v>268</v>
      </c>
      <c r="H72" s="30" t="s">
        <v>3429</v>
      </c>
      <c r="I72" t="s">
        <v>3452</v>
      </c>
      <c r="J72" s="30" t="s">
        <v>3430</v>
      </c>
      <c r="P72" s="30" t="s">
        <v>3431</v>
      </c>
      <c r="Q72" s="30">
        <v>91640</v>
      </c>
      <c r="R72" s="30" t="s">
        <v>3428</v>
      </c>
      <c r="S72" s="30" t="s">
        <v>3203</v>
      </c>
    </row>
    <row r="73" spans="2:19" ht="16.8">
      <c r="B73" s="30" t="s">
        <v>3427</v>
      </c>
      <c r="C73" s="30" t="s">
        <v>973</v>
      </c>
      <c r="E73" s="30" t="s">
        <v>3434</v>
      </c>
      <c r="H73" s="30" t="s">
        <v>3433</v>
      </c>
      <c r="I73" t="s">
        <v>623</v>
      </c>
      <c r="J73" s="30" t="s">
        <v>3437</v>
      </c>
      <c r="K73" s="30" t="s">
        <v>3438</v>
      </c>
      <c r="L73" s="30" t="s">
        <v>3439</v>
      </c>
      <c r="O73" s="30" t="s">
        <v>3435</v>
      </c>
      <c r="P73" s="30" t="s">
        <v>3436</v>
      </c>
      <c r="Q73" s="30">
        <v>91106</v>
      </c>
      <c r="R73" s="30" t="s">
        <v>973</v>
      </c>
      <c r="S73" s="30" t="s">
        <v>3432</v>
      </c>
    </row>
    <row r="74" spans="2:19" ht="16.8">
      <c r="B74" s="30" t="s">
        <v>3427</v>
      </c>
      <c r="C74" s="30" t="s">
        <v>813</v>
      </c>
      <c r="E74" s="30" t="s">
        <v>268</v>
      </c>
      <c r="F74" s="30" t="s">
        <v>625</v>
      </c>
      <c r="J74" s="30" t="s">
        <v>3430</v>
      </c>
      <c r="K74" s="30" t="s">
        <v>3441</v>
      </c>
      <c r="L74" s="30" t="s">
        <v>3442</v>
      </c>
      <c r="M74" s="30" t="s">
        <v>3443</v>
      </c>
      <c r="P74" s="30" t="s">
        <v>3440</v>
      </c>
      <c r="Q74" s="30">
        <v>94805</v>
      </c>
      <c r="R74" s="30" t="s">
        <v>813</v>
      </c>
      <c r="S74" s="30" t="s">
        <v>3172</v>
      </c>
    </row>
    <row r="75" spans="2:19" ht="16.8">
      <c r="B75" s="30" t="s">
        <v>3427</v>
      </c>
      <c r="C75" s="30" t="s">
        <v>813</v>
      </c>
      <c r="E75" s="30" t="s">
        <v>3444</v>
      </c>
      <c r="F75" s="30" t="s">
        <v>3174</v>
      </c>
      <c r="J75" s="30" t="s">
        <v>491</v>
      </c>
      <c r="K75" s="30" t="s">
        <v>3447</v>
      </c>
      <c r="L75" s="30" t="s">
        <v>3448</v>
      </c>
      <c r="M75" s="30" t="s">
        <v>3449</v>
      </c>
      <c r="O75" s="30" t="s">
        <v>3445</v>
      </c>
      <c r="P75" s="30" t="s">
        <v>3446</v>
      </c>
      <c r="Q75" s="30">
        <v>94800</v>
      </c>
      <c r="R75" s="30" t="s">
        <v>813</v>
      </c>
      <c r="S75" s="30" t="s">
        <v>3172</v>
      </c>
    </row>
    <row r="76" spans="2:19" ht="16.8">
      <c r="B76" s="30" t="s">
        <v>3450</v>
      </c>
      <c r="C76" s="30" t="s">
        <v>3451</v>
      </c>
      <c r="E76" s="30" t="s">
        <v>3455</v>
      </c>
      <c r="F76" t="s">
        <v>489</v>
      </c>
      <c r="J76" s="30" t="s">
        <v>3460</v>
      </c>
      <c r="O76" s="30" t="s">
        <v>3461</v>
      </c>
      <c r="P76" s="30" t="s">
        <v>3462</v>
      </c>
      <c r="Q76" s="30">
        <v>94000</v>
      </c>
      <c r="R76" s="30" t="s">
        <v>3451</v>
      </c>
      <c r="S76" s="30" t="s">
        <v>3172</v>
      </c>
    </row>
    <row r="77" spans="2:19" ht="16.8">
      <c r="B77" s="30" t="s">
        <v>3450</v>
      </c>
      <c r="C77" s="30" t="s">
        <v>3451</v>
      </c>
      <c r="E77" s="30" t="s">
        <v>3456</v>
      </c>
      <c r="F77" t="s">
        <v>3453</v>
      </c>
      <c r="J77" s="30" t="s">
        <v>3460</v>
      </c>
      <c r="O77" s="30" t="s">
        <v>3463</v>
      </c>
      <c r="P77" s="30" t="s">
        <v>3464</v>
      </c>
      <c r="Q77" s="30">
        <v>94010</v>
      </c>
      <c r="R77" s="30" t="s">
        <v>3451</v>
      </c>
      <c r="S77" s="30" t="s">
        <v>3172</v>
      </c>
    </row>
    <row r="78" spans="2:19" ht="16.8">
      <c r="B78" s="30" t="s">
        <v>3450</v>
      </c>
      <c r="C78" s="30" t="s">
        <v>2130</v>
      </c>
      <c r="E78" s="30" t="s">
        <v>3434</v>
      </c>
      <c r="H78" s="30" t="s">
        <v>3454</v>
      </c>
      <c r="I78" t="s">
        <v>623</v>
      </c>
      <c r="J78" s="30" t="s">
        <v>3467</v>
      </c>
      <c r="K78" s="30" t="s">
        <v>3468</v>
      </c>
      <c r="L78" s="30" t="s">
        <v>3469</v>
      </c>
      <c r="M78" s="30" t="s">
        <v>3439</v>
      </c>
      <c r="O78" s="30" t="s">
        <v>3465</v>
      </c>
      <c r="P78" s="30" t="s">
        <v>3466</v>
      </c>
      <c r="Q78" s="30">
        <v>77600</v>
      </c>
      <c r="R78" s="30" t="s">
        <v>2130</v>
      </c>
      <c r="S78" s="30" t="s">
        <v>3432</v>
      </c>
    </row>
    <row r="79" spans="2:19" ht="16.8">
      <c r="B79" s="30" t="s">
        <v>3450</v>
      </c>
      <c r="C79" s="30" t="s">
        <v>700</v>
      </c>
      <c r="E79" s="30" t="s">
        <v>3457</v>
      </c>
      <c r="F79" t="s">
        <v>489</v>
      </c>
      <c r="J79" s="30" t="s">
        <v>3439</v>
      </c>
      <c r="K79" s="30" t="s">
        <v>3472</v>
      </c>
      <c r="L79" s="30" t="s">
        <v>3473</v>
      </c>
      <c r="O79" s="30" t="s">
        <v>3470</v>
      </c>
      <c r="P79" s="30" t="s">
        <v>3471</v>
      </c>
      <c r="Q79" s="30">
        <v>75013</v>
      </c>
      <c r="R79" s="30" t="s">
        <v>700</v>
      </c>
      <c r="S79" s="30" t="s">
        <v>3172</v>
      </c>
    </row>
    <row r="80" spans="2:19" ht="16.8">
      <c r="B80" s="30" t="s">
        <v>3450</v>
      </c>
      <c r="C80" s="30" t="s">
        <v>700</v>
      </c>
      <c r="E80" s="30" t="s">
        <v>3458</v>
      </c>
      <c r="F80" t="s">
        <v>489</v>
      </c>
      <c r="J80" s="30" t="s">
        <v>3476</v>
      </c>
      <c r="K80" s="30" t="s">
        <v>3439</v>
      </c>
      <c r="O80" s="30" t="s">
        <v>3474</v>
      </c>
      <c r="P80" s="30" t="s">
        <v>3475</v>
      </c>
      <c r="Q80" s="30">
        <v>75012</v>
      </c>
      <c r="R80" s="30" t="s">
        <v>700</v>
      </c>
      <c r="S80" s="30" t="s">
        <v>3172</v>
      </c>
    </row>
    <row r="81" spans="2:19" ht="16.8">
      <c r="B81" s="30" t="s">
        <v>3450</v>
      </c>
      <c r="C81" s="30" t="s">
        <v>700</v>
      </c>
      <c r="E81" s="30" t="s">
        <v>3459</v>
      </c>
      <c r="F81" t="s">
        <v>489</v>
      </c>
      <c r="J81" s="30" t="s">
        <v>3439</v>
      </c>
      <c r="K81" s="30" t="s">
        <v>3473</v>
      </c>
      <c r="O81" s="30" t="s">
        <v>3478</v>
      </c>
      <c r="P81" s="30" t="s">
        <v>3477</v>
      </c>
      <c r="Q81" s="30">
        <v>75020</v>
      </c>
      <c r="R81" s="30" t="s">
        <v>700</v>
      </c>
      <c r="S81" s="30" t="s">
        <v>3172</v>
      </c>
    </row>
    <row r="82" spans="2:19" ht="16.8">
      <c r="B82" s="30" t="s">
        <v>3479</v>
      </c>
      <c r="C82" s="30" t="s">
        <v>2715</v>
      </c>
      <c r="E82" s="30" t="s">
        <v>31</v>
      </c>
      <c r="H82" s="30" t="s">
        <v>3482</v>
      </c>
      <c r="I82" t="s">
        <v>3453</v>
      </c>
      <c r="J82" s="30" t="s">
        <v>3484</v>
      </c>
      <c r="K82" s="30" t="s">
        <v>3485</v>
      </c>
      <c r="L82" s="30" t="s">
        <v>3486</v>
      </c>
      <c r="P82" s="30" t="s">
        <v>3483</v>
      </c>
      <c r="Q82" s="30">
        <v>78300</v>
      </c>
      <c r="R82" s="30" t="s">
        <v>2715</v>
      </c>
      <c r="S82" s="30" t="s">
        <v>3432</v>
      </c>
    </row>
    <row r="83" spans="2:19" ht="16.8">
      <c r="B83" s="30" t="s">
        <v>3479</v>
      </c>
      <c r="C83" s="30" t="s">
        <v>3480</v>
      </c>
      <c r="E83" s="30" t="s">
        <v>3487</v>
      </c>
      <c r="F83" s="30" t="s">
        <v>625</v>
      </c>
      <c r="J83" s="30" t="s">
        <v>3129</v>
      </c>
      <c r="K83" s="30" t="s">
        <v>3488</v>
      </c>
      <c r="L83" s="30" t="s">
        <v>3489</v>
      </c>
      <c r="P83" s="30" t="s">
        <v>3490</v>
      </c>
      <c r="Q83" s="30">
        <v>92210</v>
      </c>
      <c r="R83" s="30" t="s">
        <v>3480</v>
      </c>
      <c r="S83" s="30" t="s">
        <v>3172</v>
      </c>
    </row>
    <row r="84" spans="2:19" ht="16.8">
      <c r="B84" s="30" t="s">
        <v>3479</v>
      </c>
      <c r="C84" s="30" t="s">
        <v>2171</v>
      </c>
      <c r="E84" s="30" t="s">
        <v>268</v>
      </c>
      <c r="H84" s="30" t="s">
        <v>3481</v>
      </c>
      <c r="I84" t="s">
        <v>3452</v>
      </c>
      <c r="J84" s="30" t="s">
        <v>3430</v>
      </c>
      <c r="K84" s="30" t="s">
        <v>3441</v>
      </c>
      <c r="P84" s="30" t="s">
        <v>3491</v>
      </c>
      <c r="Q84" s="30">
        <v>92151</v>
      </c>
      <c r="R84" s="30" t="s">
        <v>3492</v>
      </c>
      <c r="S84" s="30" t="s">
        <v>3493</v>
      </c>
    </row>
    <row r="85" spans="2:19" ht="16.8">
      <c r="B85" s="30" t="s">
        <v>275</v>
      </c>
      <c r="C85" s="30" t="s">
        <v>808</v>
      </c>
      <c r="E85" s="30" t="s">
        <v>280</v>
      </c>
      <c r="F85" s="30" t="s">
        <v>625</v>
      </c>
      <c r="J85" s="30" t="s">
        <v>3127</v>
      </c>
      <c r="K85" s="30" t="s">
        <v>3495</v>
      </c>
      <c r="L85" s="30" t="s">
        <v>3496</v>
      </c>
      <c r="M85" s="30" t="s">
        <v>3497</v>
      </c>
      <c r="O85" s="30" t="s">
        <v>3498</v>
      </c>
      <c r="P85" s="30" t="s">
        <v>285</v>
      </c>
      <c r="Q85" s="30">
        <v>14000</v>
      </c>
      <c r="R85" s="30" t="s">
        <v>808</v>
      </c>
      <c r="S85" s="30" t="s">
        <v>3172</v>
      </c>
    </row>
    <row r="86" spans="2:19" ht="16.8">
      <c r="B86" s="30" t="s">
        <v>275</v>
      </c>
      <c r="C86" s="30" t="s">
        <v>3494</v>
      </c>
      <c r="E86" s="30" t="s">
        <v>3499</v>
      </c>
      <c r="H86" s="30" t="s">
        <v>3500</v>
      </c>
      <c r="I86" t="s">
        <v>623</v>
      </c>
      <c r="J86" s="30" t="s">
        <v>3127</v>
      </c>
      <c r="K86" s="30" t="s">
        <v>3495</v>
      </c>
      <c r="P86" s="30" t="s">
        <v>3501</v>
      </c>
      <c r="Q86" s="30">
        <v>50100</v>
      </c>
      <c r="R86" s="30" t="s">
        <v>3502</v>
      </c>
      <c r="S86" s="30" t="s">
        <v>3203</v>
      </c>
    </row>
    <row r="87" spans="2:19" ht="16.8">
      <c r="B87" s="30" t="s">
        <v>275</v>
      </c>
      <c r="C87" s="30" t="s">
        <v>2078</v>
      </c>
      <c r="E87" s="30" t="s">
        <v>3503</v>
      </c>
      <c r="F87" s="30" t="s">
        <v>623</v>
      </c>
      <c r="J87" s="30" t="s">
        <v>3504</v>
      </c>
      <c r="K87" s="30" t="s">
        <v>3505</v>
      </c>
      <c r="P87" s="30" t="s">
        <v>3506</v>
      </c>
      <c r="Q87" s="30">
        <v>76290</v>
      </c>
      <c r="R87" s="30" t="s">
        <v>2176</v>
      </c>
      <c r="S87" s="30" t="s">
        <v>3172</v>
      </c>
    </row>
    <row r="88" spans="2:19" ht="16.8">
      <c r="B88" s="30" t="s">
        <v>275</v>
      </c>
      <c r="C88" s="30" t="s">
        <v>885</v>
      </c>
      <c r="E88" s="30" t="s">
        <v>1243</v>
      </c>
      <c r="F88" s="30" t="s">
        <v>3174</v>
      </c>
      <c r="J88" s="30" t="s">
        <v>3504</v>
      </c>
      <c r="K88" s="30" t="s">
        <v>3127</v>
      </c>
      <c r="L88" s="30" t="s">
        <v>3507</v>
      </c>
      <c r="M88" s="30" t="s">
        <v>3508</v>
      </c>
      <c r="O88" s="30" t="s">
        <v>3509</v>
      </c>
      <c r="P88" s="30" t="s">
        <v>292</v>
      </c>
      <c r="Q88" s="30">
        <v>76000</v>
      </c>
      <c r="R88" s="30" t="s">
        <v>885</v>
      </c>
      <c r="S88" s="30" t="s">
        <v>3172</v>
      </c>
    </row>
    <row r="89" spans="2:19" ht="16.8">
      <c r="B89" s="30" t="s">
        <v>3510</v>
      </c>
      <c r="C89" s="30" t="s">
        <v>1713</v>
      </c>
      <c r="E89" s="30" t="s">
        <v>3512</v>
      </c>
      <c r="H89" s="30" t="s">
        <v>3513</v>
      </c>
      <c r="I89" t="s">
        <v>623</v>
      </c>
      <c r="J89" s="30" t="s">
        <v>3517</v>
      </c>
      <c r="K89" s="30" t="s">
        <v>3518</v>
      </c>
      <c r="P89" s="30" t="s">
        <v>3527</v>
      </c>
      <c r="Q89" s="30">
        <v>16959</v>
      </c>
      <c r="R89" s="30" t="s">
        <v>1713</v>
      </c>
      <c r="S89" s="30" t="s">
        <v>3203</v>
      </c>
    </row>
    <row r="90" spans="2:19" ht="16.8">
      <c r="B90" s="30" t="s">
        <v>3510</v>
      </c>
      <c r="C90" s="30" t="s">
        <v>804</v>
      </c>
      <c r="E90" s="30" t="s">
        <v>3511</v>
      </c>
      <c r="H90" s="30" t="s">
        <v>3514</v>
      </c>
      <c r="I90" t="s">
        <v>623</v>
      </c>
      <c r="J90" s="30" t="s">
        <v>3519</v>
      </c>
      <c r="P90" s="30" t="s">
        <v>3528</v>
      </c>
      <c r="Q90" s="30">
        <v>64109</v>
      </c>
      <c r="R90" s="30" t="s">
        <v>3529</v>
      </c>
      <c r="S90" t="s">
        <v>3222</v>
      </c>
    </row>
    <row r="91" spans="2:19" ht="16.8">
      <c r="B91" s="30" t="s">
        <v>3510</v>
      </c>
      <c r="C91" s="30" t="s">
        <v>942</v>
      </c>
      <c r="E91" s="30" t="s">
        <v>295</v>
      </c>
      <c r="F91" t="s">
        <v>3174</v>
      </c>
      <c r="J91" s="30" t="s">
        <v>3520</v>
      </c>
      <c r="O91" s="30" t="s">
        <v>3530</v>
      </c>
      <c r="P91" s="30" t="s">
        <v>3531</v>
      </c>
      <c r="Q91" s="30">
        <v>33076</v>
      </c>
      <c r="R91" s="30" t="s">
        <v>3532</v>
      </c>
      <c r="S91" s="30" t="s">
        <v>3172</v>
      </c>
    </row>
    <row r="92" spans="2:19" ht="16.8">
      <c r="B92" s="30" t="s">
        <v>3510</v>
      </c>
      <c r="C92" s="30" t="s">
        <v>942</v>
      </c>
      <c r="E92" s="30" t="s">
        <v>301</v>
      </c>
      <c r="F92" t="s">
        <v>625</v>
      </c>
      <c r="J92" s="30" t="s">
        <v>3515</v>
      </c>
      <c r="K92" s="30" t="s">
        <v>3516</v>
      </c>
      <c r="P92" s="30" t="s">
        <v>3533</v>
      </c>
      <c r="Q92" s="30">
        <v>33000</v>
      </c>
      <c r="R92" s="30" t="s">
        <v>942</v>
      </c>
      <c r="S92" s="30" t="s">
        <v>3172</v>
      </c>
    </row>
    <row r="93" spans="2:19" ht="16.8">
      <c r="B93" s="30" t="s">
        <v>3510</v>
      </c>
      <c r="C93" s="30" t="s">
        <v>2264</v>
      </c>
      <c r="E93" s="30" t="s">
        <v>3512</v>
      </c>
      <c r="H93" s="30" t="s">
        <v>3526</v>
      </c>
      <c r="I93" t="s">
        <v>623</v>
      </c>
      <c r="J93" s="30" t="s">
        <v>3517</v>
      </c>
      <c r="K93" s="30" t="s">
        <v>3518</v>
      </c>
      <c r="P93" s="30" t="s">
        <v>3534</v>
      </c>
      <c r="Q93" s="30">
        <v>17000</v>
      </c>
      <c r="R93" s="30" t="s">
        <v>2264</v>
      </c>
      <c r="S93" s="30" t="s">
        <v>3203</v>
      </c>
    </row>
    <row r="94" spans="2:19" ht="16.8">
      <c r="B94" s="30" t="s">
        <v>3510</v>
      </c>
      <c r="C94" s="30" t="s">
        <v>855</v>
      </c>
      <c r="E94" s="30" t="s">
        <v>3525</v>
      </c>
      <c r="F94" t="s">
        <v>3174</v>
      </c>
      <c r="J94" s="30" t="s">
        <v>3521</v>
      </c>
      <c r="K94" s="30" t="s">
        <v>3522</v>
      </c>
      <c r="L94" s="30" t="s">
        <v>3523</v>
      </c>
      <c r="O94" s="30" t="s">
        <v>3536</v>
      </c>
      <c r="P94" s="30" t="s">
        <v>3535</v>
      </c>
      <c r="Q94" s="30">
        <v>87000</v>
      </c>
      <c r="R94" s="30" t="s">
        <v>855</v>
      </c>
      <c r="S94" s="30" t="s">
        <v>3172</v>
      </c>
    </row>
    <row r="95" spans="2:19" ht="16.8">
      <c r="B95" s="30" t="s">
        <v>3510</v>
      </c>
      <c r="C95" s="30" t="s">
        <v>946</v>
      </c>
      <c r="E95" s="30" t="s">
        <v>3524</v>
      </c>
      <c r="F95" t="s">
        <v>623</v>
      </c>
      <c r="J95" s="30" t="s">
        <v>3517</v>
      </c>
      <c r="K95" s="30" t="s">
        <v>3518</v>
      </c>
      <c r="O95" s="30" t="s">
        <v>3537</v>
      </c>
      <c r="P95" s="30" t="s">
        <v>3538</v>
      </c>
      <c r="Q95" s="30">
        <v>79000</v>
      </c>
      <c r="R95" s="30" t="s">
        <v>946</v>
      </c>
      <c r="S95" s="30" t="s">
        <v>3172</v>
      </c>
    </row>
    <row r="96" spans="2:19" ht="16.8">
      <c r="B96" s="30" t="s">
        <v>3510</v>
      </c>
      <c r="C96" s="30" t="s">
        <v>317</v>
      </c>
      <c r="F96" t="s">
        <v>3174</v>
      </c>
      <c r="J96" s="30" t="s">
        <v>3539</v>
      </c>
      <c r="K96" s="30" t="s">
        <v>3540</v>
      </c>
      <c r="P96" s="30" t="s">
        <v>319</v>
      </c>
      <c r="Q96" s="30">
        <v>86021</v>
      </c>
      <c r="R96" s="30" t="s">
        <v>888</v>
      </c>
      <c r="S96" s="30" t="s">
        <v>3172</v>
      </c>
    </row>
    <row r="97" spans="2:19" ht="16.8">
      <c r="B97" s="30" t="s">
        <v>3510</v>
      </c>
      <c r="C97" s="30" t="s">
        <v>3512</v>
      </c>
      <c r="H97" s="30" t="s">
        <v>317</v>
      </c>
      <c r="I97" t="s">
        <v>3174</v>
      </c>
      <c r="J97" s="30" t="s">
        <v>3517</v>
      </c>
      <c r="K97" s="30" t="s">
        <v>3518</v>
      </c>
      <c r="P97" s="30" t="s">
        <v>319</v>
      </c>
      <c r="Q97" s="30">
        <v>86021</v>
      </c>
      <c r="R97" s="30" t="s">
        <v>888</v>
      </c>
      <c r="S97" s="30" t="s">
        <v>3203</v>
      </c>
    </row>
    <row r="98" spans="2:19" ht="16.8">
      <c r="B98" s="30" t="s">
        <v>3510</v>
      </c>
      <c r="C98" s="30" t="s">
        <v>3512</v>
      </c>
      <c r="H98" s="30" t="s">
        <v>3541</v>
      </c>
      <c r="I98" t="s">
        <v>3174</v>
      </c>
      <c r="J98" s="30" t="s">
        <v>3517</v>
      </c>
      <c r="K98" s="30" t="s">
        <v>3518</v>
      </c>
      <c r="P98" s="30" t="s">
        <v>3542</v>
      </c>
      <c r="Q98" s="30">
        <v>17100</v>
      </c>
      <c r="R98" s="30" t="s">
        <v>1840</v>
      </c>
      <c r="S98" s="30" t="s">
        <v>3203</v>
      </c>
    </row>
    <row r="99" spans="2:19" ht="16.8">
      <c r="B99" s="30" t="s">
        <v>322</v>
      </c>
      <c r="C99" s="30" t="s">
        <v>3543</v>
      </c>
      <c r="E99" t="s">
        <v>324</v>
      </c>
      <c r="H99" t="s">
        <v>3544</v>
      </c>
      <c r="I99" t="s">
        <v>623</v>
      </c>
      <c r="J99" s="30" t="s">
        <v>3547</v>
      </c>
      <c r="K99" s="30" t="s">
        <v>3548</v>
      </c>
      <c r="O99" s="30" t="s">
        <v>3545</v>
      </c>
      <c r="P99" s="30" t="s">
        <v>3546</v>
      </c>
      <c r="Q99" s="30">
        <v>34500</v>
      </c>
      <c r="R99" s="30" t="s">
        <v>3543</v>
      </c>
      <c r="S99" s="30" t="s">
        <v>3204</v>
      </c>
    </row>
    <row r="100" spans="2:19" ht="16.8">
      <c r="B100" s="30" t="s">
        <v>322</v>
      </c>
      <c r="C100" s="30" t="s">
        <v>3549</v>
      </c>
      <c r="E100" s="30" t="s">
        <v>3550</v>
      </c>
      <c r="F100" s="30" t="s">
        <v>3174</v>
      </c>
      <c r="J100" s="30" t="s">
        <v>3547</v>
      </c>
      <c r="K100" s="30" t="s">
        <v>3548</v>
      </c>
      <c r="P100" s="30" t="s">
        <v>3551</v>
      </c>
      <c r="Q100" s="30">
        <v>34090</v>
      </c>
      <c r="R100" s="30" t="s">
        <v>329</v>
      </c>
      <c r="S100" s="30" t="s">
        <v>3172</v>
      </c>
    </row>
    <row r="101" spans="2:19" ht="16.8">
      <c r="B101" s="30" t="s">
        <v>322</v>
      </c>
      <c r="C101" s="30" t="s">
        <v>3549</v>
      </c>
      <c r="E101" s="30" t="s">
        <v>324</v>
      </c>
      <c r="H101" s="30" t="s">
        <v>3552</v>
      </c>
      <c r="I101" t="s">
        <v>625</v>
      </c>
      <c r="J101" s="30" t="s">
        <v>3555</v>
      </c>
      <c r="O101" s="30" t="s">
        <v>3554</v>
      </c>
      <c r="P101" s="30" t="s">
        <v>3553</v>
      </c>
      <c r="Q101" s="30">
        <v>34298</v>
      </c>
      <c r="R101" s="30" t="s">
        <v>3549</v>
      </c>
      <c r="S101" s="30" t="s">
        <v>3203</v>
      </c>
    </row>
    <row r="102" spans="2:19" ht="16.8">
      <c r="B102" s="30" t="s">
        <v>322</v>
      </c>
      <c r="C102" s="30" t="s">
        <v>3549</v>
      </c>
      <c r="E102" s="30" t="s">
        <v>3557</v>
      </c>
      <c r="H102" s="30" t="s">
        <v>3556</v>
      </c>
      <c r="I102" t="s">
        <v>3173</v>
      </c>
      <c r="J102" s="30" t="s">
        <v>3547</v>
      </c>
      <c r="O102" s="30" t="s">
        <v>3558</v>
      </c>
      <c r="P102" s="30" t="s">
        <v>3559</v>
      </c>
      <c r="Q102" s="30">
        <v>34070</v>
      </c>
      <c r="R102" s="30" t="s">
        <v>3549</v>
      </c>
      <c r="S102" s="30" t="s">
        <v>3203</v>
      </c>
    </row>
    <row r="103" spans="2:19" ht="16.8">
      <c r="B103" s="30" t="s">
        <v>322</v>
      </c>
      <c r="C103" s="30" t="s">
        <v>3560</v>
      </c>
      <c r="E103" s="30" t="s">
        <v>3561</v>
      </c>
      <c r="F103" s="30" t="s">
        <v>3174</v>
      </c>
      <c r="J103" s="30" t="s">
        <v>3562</v>
      </c>
      <c r="P103" s="30" t="s">
        <v>339</v>
      </c>
      <c r="Q103" s="30">
        <v>30900</v>
      </c>
      <c r="R103" s="30" t="s">
        <v>3560</v>
      </c>
      <c r="S103" s="30" t="s">
        <v>3172</v>
      </c>
    </row>
    <row r="104" spans="2:19" ht="16.8">
      <c r="B104" s="30" t="s">
        <v>322</v>
      </c>
      <c r="C104" s="30" t="s">
        <v>3563</v>
      </c>
      <c r="E104" s="30" t="s">
        <v>324</v>
      </c>
      <c r="H104" s="30" t="s">
        <v>3564</v>
      </c>
      <c r="I104" t="s">
        <v>623</v>
      </c>
      <c r="J104" s="30" t="s">
        <v>3547</v>
      </c>
      <c r="K104" s="30" t="s">
        <v>3548</v>
      </c>
      <c r="P104" s="30" t="s">
        <v>3565</v>
      </c>
      <c r="Q104" s="30">
        <v>66000</v>
      </c>
      <c r="R104" s="30" t="s">
        <v>3563</v>
      </c>
      <c r="S104" s="30" t="s">
        <v>3204</v>
      </c>
    </row>
    <row r="105" spans="2:19" ht="16.8">
      <c r="B105" s="30" t="s">
        <v>322</v>
      </c>
      <c r="C105" s="30" t="s">
        <v>3563</v>
      </c>
      <c r="E105" s="30" t="s">
        <v>324</v>
      </c>
      <c r="H105" s="30" t="s">
        <v>3564</v>
      </c>
      <c r="I105" t="s">
        <v>623</v>
      </c>
      <c r="J105" s="30" t="s">
        <v>3566</v>
      </c>
      <c r="K105" s="30" t="s">
        <v>3567</v>
      </c>
      <c r="P105" s="30" t="s">
        <v>3565</v>
      </c>
      <c r="Q105" s="30">
        <v>66000</v>
      </c>
      <c r="R105" s="30" t="s">
        <v>3563</v>
      </c>
      <c r="S105" s="30" t="s">
        <v>3432</v>
      </c>
    </row>
    <row r="106" spans="2:19" ht="16.8">
      <c r="B106" s="30" t="s">
        <v>322</v>
      </c>
      <c r="C106" s="30" t="s">
        <v>3568</v>
      </c>
      <c r="E106" s="30" t="s">
        <v>342</v>
      </c>
      <c r="H106" s="30" t="s">
        <v>3569</v>
      </c>
      <c r="I106" t="s">
        <v>623</v>
      </c>
      <c r="J106" s="30" t="s">
        <v>422</v>
      </c>
      <c r="P106" s="30" t="s">
        <v>3570</v>
      </c>
      <c r="Q106" s="30">
        <v>12000</v>
      </c>
      <c r="R106" s="30" t="s">
        <v>3568</v>
      </c>
      <c r="S106" s="30" t="s">
        <v>3203</v>
      </c>
    </row>
    <row r="107" spans="2:19" ht="16.8">
      <c r="B107" s="30" t="s">
        <v>322</v>
      </c>
      <c r="C107" s="30" t="s">
        <v>3571</v>
      </c>
      <c r="E107" s="30" t="s">
        <v>342</v>
      </c>
      <c r="H107" s="30" t="s">
        <v>3572</v>
      </c>
      <c r="I107" t="s">
        <v>3173</v>
      </c>
      <c r="J107" s="30" t="s">
        <v>422</v>
      </c>
      <c r="P107" s="30" t="s">
        <v>3573</v>
      </c>
      <c r="Q107" s="30">
        <v>65000</v>
      </c>
      <c r="R107" s="30" t="s">
        <v>3571</v>
      </c>
      <c r="S107" s="30" t="s">
        <v>3203</v>
      </c>
    </row>
    <row r="108" spans="2:19" ht="16.8">
      <c r="B108" s="30" t="s">
        <v>322</v>
      </c>
      <c r="C108" s="30" t="s">
        <v>3574</v>
      </c>
      <c r="E108" s="30" t="s">
        <v>3575</v>
      </c>
      <c r="F108" s="30" t="s">
        <v>342</v>
      </c>
      <c r="J108" s="30" t="s">
        <v>3577</v>
      </c>
      <c r="K108" s="30" t="s">
        <v>426</v>
      </c>
      <c r="L108" s="30" t="s">
        <v>3578</v>
      </c>
      <c r="M108" s="30" t="s">
        <v>422</v>
      </c>
      <c r="N108" s="30" t="s">
        <v>3579</v>
      </c>
      <c r="P108" s="30" t="s">
        <v>3576</v>
      </c>
      <c r="Q108" s="30">
        <v>31100</v>
      </c>
      <c r="R108" s="30" t="s">
        <v>3574</v>
      </c>
      <c r="S108" s="30" t="s">
        <v>3172</v>
      </c>
    </row>
    <row r="109" spans="2:19" ht="16.8">
      <c r="B109" s="30" t="s">
        <v>355</v>
      </c>
      <c r="C109" s="30" t="s">
        <v>3580</v>
      </c>
      <c r="E109" s="30" t="s">
        <v>3581</v>
      </c>
      <c r="F109" s="30" t="s">
        <v>3174</v>
      </c>
      <c r="J109" s="30" t="s">
        <v>3418</v>
      </c>
      <c r="O109" s="30" t="s">
        <v>3582</v>
      </c>
      <c r="P109" s="30" t="s">
        <v>364</v>
      </c>
      <c r="Q109" s="30">
        <v>49100</v>
      </c>
      <c r="R109" s="30" t="s">
        <v>3580</v>
      </c>
      <c r="S109" s="30" t="s">
        <v>3172</v>
      </c>
    </row>
    <row r="110" spans="2:19" ht="16.8">
      <c r="B110" s="30" t="s">
        <v>355</v>
      </c>
      <c r="C110" s="30" t="s">
        <v>3580</v>
      </c>
      <c r="E110" s="30" t="s">
        <v>3583</v>
      </c>
      <c r="F110" s="30" t="s">
        <v>625</v>
      </c>
      <c r="J110" s="30" t="s">
        <v>3585</v>
      </c>
      <c r="K110" s="35" t="s">
        <v>3586</v>
      </c>
      <c r="P110" s="30" t="s">
        <v>3584</v>
      </c>
      <c r="Q110" s="30">
        <v>49100</v>
      </c>
      <c r="R110" s="30" t="s">
        <v>3580</v>
      </c>
      <c r="S110" s="30" t="s">
        <v>3172</v>
      </c>
    </row>
    <row r="111" spans="2:19" ht="16.8">
      <c r="B111" s="30" t="s">
        <v>355</v>
      </c>
      <c r="C111" s="30" t="s">
        <v>3587</v>
      </c>
      <c r="E111" s="30" t="s">
        <v>3583</v>
      </c>
      <c r="H111" s="30" t="s">
        <v>3588</v>
      </c>
      <c r="I111" t="s">
        <v>623</v>
      </c>
      <c r="J111" s="30" t="s">
        <v>3590</v>
      </c>
      <c r="P111" s="30" t="s">
        <v>3589</v>
      </c>
      <c r="Q111" s="30">
        <v>49300</v>
      </c>
      <c r="R111" s="30" t="s">
        <v>3587</v>
      </c>
      <c r="S111" s="30" t="s">
        <v>3203</v>
      </c>
    </row>
    <row r="112" spans="2:19" ht="16.8">
      <c r="B112" s="30" t="s">
        <v>355</v>
      </c>
      <c r="C112" s="30" t="s">
        <v>3591</v>
      </c>
      <c r="E112" s="30" t="s">
        <v>3583</v>
      </c>
      <c r="F112" s="30"/>
      <c r="H112" s="30" t="s">
        <v>3592</v>
      </c>
      <c r="I112" t="s">
        <v>623</v>
      </c>
      <c r="J112" s="30" t="s">
        <v>3594</v>
      </c>
      <c r="K112" s="30" t="s">
        <v>3595</v>
      </c>
      <c r="P112" s="30" t="s">
        <v>3593</v>
      </c>
      <c r="Q112" s="30">
        <v>85925</v>
      </c>
      <c r="R112" s="30" t="s">
        <v>3591</v>
      </c>
      <c r="S112" t="s">
        <v>3222</v>
      </c>
    </row>
    <row r="113" spans="2:19" ht="16.8">
      <c r="B113" s="30" t="s">
        <v>355</v>
      </c>
      <c r="C113" s="30" t="s">
        <v>3596</v>
      </c>
      <c r="E113" s="30" t="s">
        <v>3583</v>
      </c>
      <c r="H113" s="30" t="s">
        <v>3597</v>
      </c>
      <c r="I113" t="s">
        <v>625</v>
      </c>
      <c r="J113" s="30" t="s">
        <v>3586</v>
      </c>
      <c r="P113" s="30" t="s">
        <v>3598</v>
      </c>
      <c r="Q113" s="30">
        <v>72000</v>
      </c>
      <c r="R113" s="30" t="s">
        <v>3596</v>
      </c>
      <c r="S113" s="30" t="s">
        <v>3203</v>
      </c>
    </row>
    <row r="114" spans="2:19" ht="16.8">
      <c r="B114" s="30" t="s">
        <v>355</v>
      </c>
      <c r="C114" s="30" t="s">
        <v>3599</v>
      </c>
      <c r="E114" s="30" t="s">
        <v>3600</v>
      </c>
      <c r="F114" s="30" t="s">
        <v>3174</v>
      </c>
      <c r="J114" s="30" t="s">
        <v>3604</v>
      </c>
      <c r="O114" s="30" t="s">
        <v>3601</v>
      </c>
      <c r="P114" s="30" t="s">
        <v>3602</v>
      </c>
      <c r="Q114" s="30">
        <v>44093</v>
      </c>
      <c r="R114" s="30" t="s">
        <v>3603</v>
      </c>
      <c r="S114" s="30" t="s">
        <v>3172</v>
      </c>
    </row>
    <row r="115" spans="2:19" ht="16.8">
      <c r="B115" s="30" t="s">
        <v>355</v>
      </c>
      <c r="C115" s="30" t="s">
        <v>3599</v>
      </c>
      <c r="E115" s="30" t="s">
        <v>3583</v>
      </c>
      <c r="F115" s="30" t="s">
        <v>625</v>
      </c>
      <c r="J115" s="30" t="s">
        <v>3607</v>
      </c>
      <c r="K115" s="30" t="s">
        <v>3608</v>
      </c>
      <c r="L115" s="30" t="s">
        <v>3609</v>
      </c>
      <c r="M115" s="30" t="s">
        <v>3590</v>
      </c>
      <c r="P115" s="30" t="s">
        <v>3605</v>
      </c>
      <c r="Q115" s="30">
        <v>44805</v>
      </c>
      <c r="R115" s="30" t="s">
        <v>3606</v>
      </c>
      <c r="S115" s="30" t="s">
        <v>3172</v>
      </c>
    </row>
    <row r="116" spans="2:19" ht="16.8">
      <c r="B116" s="30" t="s">
        <v>355</v>
      </c>
      <c r="C116" s="30" t="s">
        <v>3599</v>
      </c>
      <c r="E116" s="30" t="s">
        <v>3610</v>
      </c>
      <c r="F116" s="30" t="s">
        <v>3173</v>
      </c>
      <c r="J116" s="30" t="s">
        <v>3612</v>
      </c>
      <c r="K116" s="30" t="s">
        <v>3613</v>
      </c>
      <c r="P116" s="30" t="s">
        <v>3611</v>
      </c>
      <c r="Q116" s="30">
        <v>44200</v>
      </c>
      <c r="R116" s="30" t="s">
        <v>3599</v>
      </c>
      <c r="S116" s="30" t="s">
        <v>3172</v>
      </c>
    </row>
    <row r="117" spans="2:19" ht="16.8">
      <c r="B117" s="30" t="s">
        <v>355</v>
      </c>
      <c r="C117" s="30" t="s">
        <v>3599</v>
      </c>
      <c r="E117" s="30" t="s">
        <v>3610</v>
      </c>
      <c r="F117" s="30" t="s">
        <v>3173</v>
      </c>
      <c r="H117" s="30" t="s">
        <v>3615</v>
      </c>
      <c r="I117" s="30" t="s">
        <v>3173</v>
      </c>
      <c r="J117" s="30" t="s">
        <v>3613</v>
      </c>
      <c r="P117" s="30" t="s">
        <v>3616</v>
      </c>
      <c r="Q117" s="30">
        <v>44300</v>
      </c>
      <c r="R117" s="30" t="s">
        <v>3599</v>
      </c>
      <c r="S117" s="30" t="s">
        <v>3203</v>
      </c>
    </row>
    <row r="118" spans="2:19" ht="16.8">
      <c r="B118" s="30" t="s">
        <v>3618</v>
      </c>
      <c r="C118" s="30" t="s">
        <v>3617</v>
      </c>
      <c r="E118" s="30" t="s">
        <v>3619</v>
      </c>
      <c r="H118" s="30" t="s">
        <v>3620</v>
      </c>
      <c r="I118" t="s">
        <v>623</v>
      </c>
      <c r="J118" s="30" t="s">
        <v>3119</v>
      </c>
      <c r="P118" s="30" t="s">
        <v>3621</v>
      </c>
      <c r="Q118" s="30">
        <v>13116</v>
      </c>
      <c r="R118" s="30" t="s">
        <v>3617</v>
      </c>
      <c r="S118" s="30" t="s">
        <v>3203</v>
      </c>
    </row>
    <row r="119" spans="2:19" ht="16.8">
      <c r="B119" s="30" t="s">
        <v>3618</v>
      </c>
      <c r="C119" s="30" t="s">
        <v>3622</v>
      </c>
      <c r="E119" s="30" t="s">
        <v>3626</v>
      </c>
      <c r="F119" s="30" t="s">
        <v>623</v>
      </c>
      <c r="H119" s="30" t="s">
        <v>3623</v>
      </c>
      <c r="I119" s="30" t="s">
        <v>623</v>
      </c>
      <c r="J119" s="30" t="s">
        <v>3625</v>
      </c>
      <c r="P119" s="30" t="s">
        <v>3624</v>
      </c>
      <c r="Q119" s="30">
        <v>20000</v>
      </c>
      <c r="R119" s="30" t="s">
        <v>3622</v>
      </c>
      <c r="S119" s="30" t="s">
        <v>3203</v>
      </c>
    </row>
    <row r="120" spans="2:19" ht="16.8">
      <c r="B120" s="30" t="s">
        <v>3618</v>
      </c>
      <c r="C120" s="30" t="s">
        <v>3627</v>
      </c>
      <c r="E120" s="30" t="s">
        <v>3628</v>
      </c>
      <c r="H120" s="30" t="s">
        <v>3629</v>
      </c>
      <c r="I120" t="s">
        <v>623</v>
      </c>
      <c r="J120" s="30" t="s">
        <v>3632</v>
      </c>
      <c r="P120" s="30" t="s">
        <v>3630</v>
      </c>
      <c r="Q120" s="30">
        <v>6606</v>
      </c>
      <c r="R120" s="30" t="s">
        <v>3631</v>
      </c>
      <c r="S120" s="30" t="s">
        <v>3203</v>
      </c>
    </row>
    <row r="121" spans="2:19" ht="16.8">
      <c r="B121" s="30" t="s">
        <v>3618</v>
      </c>
      <c r="C121" s="30" t="s">
        <v>2968</v>
      </c>
      <c r="E121" s="30" t="s">
        <v>3633</v>
      </c>
      <c r="F121" s="30" t="s">
        <v>3452</v>
      </c>
      <c r="J121" s="30" t="s">
        <v>3160</v>
      </c>
      <c r="P121" s="30" t="s">
        <v>3634</v>
      </c>
      <c r="Q121" s="30">
        <v>84918</v>
      </c>
      <c r="R121" s="30" t="s">
        <v>3635</v>
      </c>
      <c r="S121" s="30" t="s">
        <v>3172</v>
      </c>
    </row>
    <row r="122" spans="2:19" ht="16.8">
      <c r="B122" s="30" t="s">
        <v>3618</v>
      </c>
      <c r="C122" s="30" t="s">
        <v>3636</v>
      </c>
      <c r="E122" s="30" t="s">
        <v>3637</v>
      </c>
      <c r="F122" s="30" t="s">
        <v>623</v>
      </c>
      <c r="J122" s="30" t="s">
        <v>3625</v>
      </c>
      <c r="P122" s="30" t="s">
        <v>3638</v>
      </c>
      <c r="Q122" s="30">
        <v>20604</v>
      </c>
      <c r="R122" s="30" t="s">
        <v>3639</v>
      </c>
      <c r="S122" s="30" t="s">
        <v>3172</v>
      </c>
    </row>
    <row r="123" spans="2:19" ht="16.8">
      <c r="B123" s="30" t="s">
        <v>3618</v>
      </c>
      <c r="C123" s="30" t="s">
        <v>3642</v>
      </c>
      <c r="E123" s="30" t="s">
        <v>3628</v>
      </c>
      <c r="H123" s="30" t="s">
        <v>3640</v>
      </c>
      <c r="I123" t="s">
        <v>623</v>
      </c>
      <c r="J123" s="30" t="s">
        <v>3632</v>
      </c>
      <c r="P123" s="30" t="s">
        <v>3641</v>
      </c>
      <c r="Q123" s="30">
        <v>6400</v>
      </c>
      <c r="R123" s="30" t="s">
        <v>3642</v>
      </c>
      <c r="S123" s="30" t="s">
        <v>3203</v>
      </c>
    </row>
    <row r="124" spans="2:19" ht="16.8">
      <c r="B124" s="30" t="s">
        <v>3618</v>
      </c>
      <c r="C124" s="30" t="s">
        <v>3643</v>
      </c>
      <c r="E124" s="30" t="s">
        <v>3626</v>
      </c>
      <c r="H124" s="30" t="s">
        <v>3644</v>
      </c>
      <c r="I124" t="s">
        <v>623</v>
      </c>
      <c r="J124" s="30" t="s">
        <v>3625</v>
      </c>
      <c r="P124" s="30" t="s">
        <v>3645</v>
      </c>
      <c r="Q124" s="30">
        <v>20250</v>
      </c>
      <c r="R124" s="30" t="s">
        <v>3643</v>
      </c>
      <c r="S124" s="30" t="s">
        <v>3203</v>
      </c>
    </row>
    <row r="125" spans="2:19" ht="16.8">
      <c r="B125" s="30" t="s">
        <v>3618</v>
      </c>
      <c r="C125" s="30" t="s">
        <v>3646</v>
      </c>
      <c r="E125" s="30" t="s">
        <v>3628</v>
      </c>
      <c r="H125" s="30" t="s">
        <v>3647</v>
      </c>
      <c r="I125" t="s">
        <v>3453</v>
      </c>
      <c r="J125" s="30" t="s">
        <v>3632</v>
      </c>
      <c r="P125" s="30" t="s">
        <v>3648</v>
      </c>
      <c r="Q125" s="30">
        <v>83600</v>
      </c>
      <c r="R125" s="30" t="s">
        <v>3646</v>
      </c>
      <c r="S125" s="30" t="s">
        <v>3203</v>
      </c>
    </row>
    <row r="126" spans="2:19" ht="16.8">
      <c r="B126" s="30" t="s">
        <v>3618</v>
      </c>
      <c r="C126" s="30" t="s">
        <v>3649</v>
      </c>
      <c r="E126" s="30" t="s">
        <v>3619</v>
      </c>
      <c r="H126" s="30" t="s">
        <v>3650</v>
      </c>
      <c r="I126" t="s">
        <v>623</v>
      </c>
      <c r="J126" s="30" t="s">
        <v>3119</v>
      </c>
      <c r="P126" s="30" t="s">
        <v>3651</v>
      </c>
      <c r="Q126" s="30">
        <v>5000</v>
      </c>
      <c r="R126" s="30" t="s">
        <v>3649</v>
      </c>
      <c r="S126" s="30" t="s">
        <v>3203</v>
      </c>
    </row>
    <row r="127" spans="2:19" ht="16.8">
      <c r="B127" s="30" t="s">
        <v>3618</v>
      </c>
      <c r="C127" s="30" t="s">
        <v>3652</v>
      </c>
      <c r="E127" s="30" t="s">
        <v>3628</v>
      </c>
      <c r="H127" s="30" t="s">
        <v>3653</v>
      </c>
      <c r="I127" t="s">
        <v>623</v>
      </c>
      <c r="J127" s="30" t="s">
        <v>3632</v>
      </c>
      <c r="P127" s="30" t="s">
        <v>3654</v>
      </c>
      <c r="Q127" s="30">
        <v>6130</v>
      </c>
      <c r="R127" s="30" t="s">
        <v>3652</v>
      </c>
      <c r="S127" s="30" t="s">
        <v>3203</v>
      </c>
    </row>
    <row r="128" spans="2:19" ht="16.8">
      <c r="B128" s="30" t="s">
        <v>3618</v>
      </c>
      <c r="C128" s="30" t="s">
        <v>2964</v>
      </c>
      <c r="E128" s="30" t="s">
        <v>3660</v>
      </c>
      <c r="F128" t="s">
        <v>373</v>
      </c>
      <c r="J128" s="30" t="s">
        <v>3656</v>
      </c>
      <c r="P128" s="30" t="s">
        <v>3655</v>
      </c>
      <c r="Q128" s="30">
        <v>13005</v>
      </c>
      <c r="R128" s="30" t="s">
        <v>2964</v>
      </c>
      <c r="S128" s="30" t="s">
        <v>3172</v>
      </c>
    </row>
    <row r="129" spans="2:19" ht="16.8">
      <c r="B129" s="30" t="s">
        <v>3618</v>
      </c>
      <c r="C129" s="30" t="s">
        <v>2964</v>
      </c>
      <c r="E129" s="30" t="s">
        <v>3659</v>
      </c>
      <c r="H129" s="30" t="s">
        <v>3657</v>
      </c>
      <c r="I129" t="s">
        <v>373</v>
      </c>
      <c r="J129" s="30" t="s">
        <v>3656</v>
      </c>
      <c r="P129" s="30" t="s">
        <v>3658</v>
      </c>
      <c r="Q129" s="30">
        <v>13015</v>
      </c>
      <c r="R129" s="30" t="s">
        <v>2964</v>
      </c>
      <c r="S129" s="30" t="s">
        <v>3203</v>
      </c>
    </row>
    <row r="130" spans="2:19" ht="16.8">
      <c r="B130" s="30" t="s">
        <v>3618</v>
      </c>
      <c r="C130" s="30" t="s">
        <v>2964</v>
      </c>
      <c r="E130" s="30" t="s">
        <v>1309</v>
      </c>
      <c r="F130" t="s">
        <v>625</v>
      </c>
      <c r="J130" s="30" t="s">
        <v>3123</v>
      </c>
      <c r="K130" s="30" t="s">
        <v>3119</v>
      </c>
      <c r="L130" s="30" t="s">
        <v>3120</v>
      </c>
      <c r="M130" s="30" t="s">
        <v>3662</v>
      </c>
      <c r="N130" s="30" t="s">
        <v>3663</v>
      </c>
      <c r="P130" s="30" t="s">
        <v>3661</v>
      </c>
      <c r="Q130" s="30">
        <v>13009</v>
      </c>
      <c r="R130" s="30" t="s">
        <v>2964</v>
      </c>
      <c r="S130" s="30" t="s">
        <v>3172</v>
      </c>
    </row>
    <row r="131" spans="2:19" ht="16.8">
      <c r="B131" s="30" t="s">
        <v>3618</v>
      </c>
      <c r="C131" s="30" t="s">
        <v>2964</v>
      </c>
      <c r="E131" s="30" t="s">
        <v>3659</v>
      </c>
      <c r="H131" s="30" t="s">
        <v>3664</v>
      </c>
      <c r="I131" t="s">
        <v>3173</v>
      </c>
      <c r="J131" s="30" t="s">
        <v>3656</v>
      </c>
      <c r="P131" s="30" t="s">
        <v>3665</v>
      </c>
      <c r="Q131" s="30">
        <v>13012</v>
      </c>
      <c r="R131" s="30" t="s">
        <v>2964</v>
      </c>
      <c r="S131" s="30" t="s">
        <v>3203</v>
      </c>
    </row>
    <row r="132" spans="2:19" ht="16.8">
      <c r="B132" s="30" t="s">
        <v>3618</v>
      </c>
      <c r="C132" s="30" t="s">
        <v>2964</v>
      </c>
      <c r="E132" s="30" t="s">
        <v>3659</v>
      </c>
      <c r="H132" s="30" t="s">
        <v>3667</v>
      </c>
      <c r="I132" t="s">
        <v>623</v>
      </c>
      <c r="J132" s="30" t="s">
        <v>3656</v>
      </c>
      <c r="P132" s="30" t="s">
        <v>3666</v>
      </c>
      <c r="Q132" s="30">
        <v>13008</v>
      </c>
      <c r="R132" s="30" t="s">
        <v>2964</v>
      </c>
      <c r="S132" s="30" t="s">
        <v>3203</v>
      </c>
    </row>
    <row r="133" spans="2:19" ht="16.8">
      <c r="B133" s="30" t="s">
        <v>3618</v>
      </c>
      <c r="C133" s="30" t="s">
        <v>3668</v>
      </c>
      <c r="E133" s="30" t="s">
        <v>3619</v>
      </c>
      <c r="H133" s="30" t="s">
        <v>3669</v>
      </c>
      <c r="I133" t="s">
        <v>623</v>
      </c>
      <c r="J133" s="30" t="s">
        <v>3119</v>
      </c>
      <c r="P133" s="30" t="s">
        <v>3670</v>
      </c>
      <c r="Q133" s="30">
        <v>13500</v>
      </c>
      <c r="R133" s="30" t="s">
        <v>3668</v>
      </c>
      <c r="S133" s="30" t="s">
        <v>3203</v>
      </c>
    </row>
    <row r="134" spans="2:19" ht="16.8">
      <c r="B134" s="30" t="s">
        <v>3618</v>
      </c>
      <c r="C134" s="30" t="s">
        <v>3671</v>
      </c>
      <c r="E134" s="30" t="s">
        <v>3628</v>
      </c>
      <c r="H134" s="30" t="s">
        <v>3672</v>
      </c>
      <c r="I134" t="s">
        <v>3173</v>
      </c>
      <c r="J134" s="30" t="s">
        <v>3632</v>
      </c>
      <c r="P134" s="30" t="s">
        <v>3673</v>
      </c>
      <c r="Q134" s="30">
        <v>6250</v>
      </c>
      <c r="R134" s="30" t="s">
        <v>3671</v>
      </c>
      <c r="S134" s="30" t="s">
        <v>3203</v>
      </c>
    </row>
    <row r="135" spans="2:19" ht="16.8">
      <c r="B135" s="30" t="s">
        <v>3618</v>
      </c>
      <c r="C135" s="30" t="s">
        <v>2956</v>
      </c>
      <c r="E135" s="30" t="s">
        <v>3628</v>
      </c>
      <c r="H135" s="30" t="s">
        <v>3674</v>
      </c>
      <c r="I135" t="s">
        <v>3174</v>
      </c>
      <c r="J135" s="30" t="s">
        <v>3632</v>
      </c>
      <c r="P135" s="30" t="s">
        <v>3675</v>
      </c>
      <c r="Q135" s="30">
        <v>6200</v>
      </c>
      <c r="R135" s="30" t="s">
        <v>2956</v>
      </c>
      <c r="S135" s="30" t="s">
        <v>3203</v>
      </c>
    </row>
    <row r="136" spans="2:19" ht="16.8">
      <c r="B136" s="30" t="s">
        <v>3618</v>
      </c>
      <c r="C136" s="30" t="s">
        <v>2956</v>
      </c>
      <c r="E136" s="30" t="s">
        <v>395</v>
      </c>
      <c r="F136" t="s">
        <v>625</v>
      </c>
      <c r="J136" s="30" t="s">
        <v>3632</v>
      </c>
      <c r="P136" s="30" t="s">
        <v>398</v>
      </c>
      <c r="Q136" s="30">
        <v>6100</v>
      </c>
      <c r="R136" s="30" t="s">
        <v>2956</v>
      </c>
      <c r="S136" s="30" t="s">
        <v>3172</v>
      </c>
    </row>
    <row r="137" spans="2:19" ht="16.8">
      <c r="B137" s="30" t="s">
        <v>3618</v>
      </c>
      <c r="C137" s="30" t="s">
        <v>3676</v>
      </c>
      <c r="E137" s="30" t="s">
        <v>3677</v>
      </c>
      <c r="F137" t="s">
        <v>3453</v>
      </c>
      <c r="J137" s="30" t="s">
        <v>3678</v>
      </c>
      <c r="K137" s="30" t="s">
        <v>3679</v>
      </c>
      <c r="P137" s="30" t="s">
        <v>3680</v>
      </c>
      <c r="Q137" s="30">
        <v>83100</v>
      </c>
      <c r="R137" s="30" t="s">
        <v>3676</v>
      </c>
      <c r="S137" s="30" t="s">
        <v>3172</v>
      </c>
    </row>
    <row r="138" spans="2:19" ht="16.8">
      <c r="B138" s="30" t="s">
        <v>736</v>
      </c>
      <c r="C138" s="30" t="s">
        <v>3681</v>
      </c>
      <c r="E138" s="30" t="s">
        <v>3682</v>
      </c>
      <c r="F138" s="30" t="s">
        <v>3174</v>
      </c>
      <c r="J138" s="30" t="s">
        <v>3688</v>
      </c>
      <c r="K138" s="30" t="s">
        <v>3689</v>
      </c>
      <c r="O138" t="s">
        <v>3691</v>
      </c>
      <c r="P138" s="30" t="s">
        <v>3690</v>
      </c>
      <c r="Q138" s="30">
        <v>97159</v>
      </c>
      <c r="R138" s="30" t="s">
        <v>3681</v>
      </c>
      <c r="S138" s="30" t="s">
        <v>3172</v>
      </c>
    </row>
    <row r="139" spans="2:19" ht="16.8">
      <c r="B139" s="30" t="s">
        <v>736</v>
      </c>
      <c r="C139" s="30" t="s">
        <v>3683</v>
      </c>
      <c r="E139" s="30" t="s">
        <v>3682</v>
      </c>
      <c r="H139" s="30" t="s">
        <v>3692</v>
      </c>
      <c r="I139" t="s">
        <v>623</v>
      </c>
      <c r="J139" s="30" t="s">
        <v>3688</v>
      </c>
      <c r="P139" s="30" t="s">
        <v>3693</v>
      </c>
      <c r="Q139" s="30">
        <v>97150</v>
      </c>
      <c r="R139" s="30" t="s">
        <v>3683</v>
      </c>
      <c r="S139" s="30" t="s">
        <v>3203</v>
      </c>
    </row>
    <row r="140" spans="2:19" ht="16.8">
      <c r="B140" s="30" t="s">
        <v>3684</v>
      </c>
      <c r="C140" s="30" t="s">
        <v>3686</v>
      </c>
      <c r="E140" s="30" t="s">
        <v>3694</v>
      </c>
      <c r="F140" s="30" t="s">
        <v>3174</v>
      </c>
      <c r="J140" s="30" t="s">
        <v>3696</v>
      </c>
      <c r="P140" s="30" t="s">
        <v>3695</v>
      </c>
      <c r="Q140" s="30">
        <v>97400</v>
      </c>
      <c r="R140" s="30" t="s">
        <v>3686</v>
      </c>
      <c r="S140" s="30" t="s">
        <v>3172</v>
      </c>
    </row>
    <row r="141" spans="2:19" ht="16.8">
      <c r="B141" s="30" t="s">
        <v>3684</v>
      </c>
      <c r="C141" s="30" t="s">
        <v>3685</v>
      </c>
      <c r="E141" s="30" t="s">
        <v>3697</v>
      </c>
      <c r="F141" s="30" t="s">
        <v>3174</v>
      </c>
      <c r="J141" s="30" t="s">
        <v>3698</v>
      </c>
      <c r="P141" s="30" t="s">
        <v>3699</v>
      </c>
      <c r="Q141" s="30">
        <v>97448</v>
      </c>
      <c r="R141" s="30" t="s">
        <v>3700</v>
      </c>
      <c r="S141" s="30" t="s">
        <v>3172</v>
      </c>
    </row>
    <row r="142" spans="2:19" ht="16.8">
      <c r="B142" s="30" t="s">
        <v>784</v>
      </c>
      <c r="C142" s="30" t="s">
        <v>3687</v>
      </c>
      <c r="E142" s="30" t="s">
        <v>3701</v>
      </c>
      <c r="F142" s="30" t="s">
        <v>3174</v>
      </c>
      <c r="J142" s="30" t="s">
        <v>3704</v>
      </c>
      <c r="P142" s="30" t="s">
        <v>3702</v>
      </c>
      <c r="Q142" s="30">
        <v>97261</v>
      </c>
      <c r="R142" s="30" t="s">
        <v>3703</v>
      </c>
      <c r="S142" s="30" t="s">
        <v>3172</v>
      </c>
    </row>
  </sheetData>
  <phoneticPr fontId="6" type="noConversion"/>
  <conditionalFormatting sqref="A1:C1">
    <cfRule type="duplicateValues" dxfId="751"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4CA9-2BAB-4A61-A962-677EB348338F}">
  <sheetPr>
    <tabColor theme="5" tint="0.59999389629810485"/>
  </sheetPr>
  <dimension ref="A1:S77"/>
  <sheetViews>
    <sheetView workbookViewId="0"/>
  </sheetViews>
  <sheetFormatPr defaultRowHeight="14.4"/>
  <cols>
    <col min="1" max="1" width="22.5546875" bestFit="1" customWidth="1"/>
    <col min="2" max="3" width="38.88671875" customWidth="1"/>
    <col min="4" max="4" width="14.109375" customWidth="1"/>
    <col min="5" max="5" width="3.109375" customWidth="1"/>
    <col min="6" max="6" width="41.109375" customWidth="1"/>
    <col min="7" max="7" width="43.5546875" customWidth="1"/>
    <col min="8" max="8" width="41.44140625" customWidth="1"/>
    <col min="9" max="9" width="29.44140625" customWidth="1"/>
    <col min="10" max="10" width="19" customWidth="1"/>
  </cols>
  <sheetData>
    <row r="1" spans="1:19">
      <c r="A1" s="8" t="s">
        <v>67</v>
      </c>
      <c r="H1" s="13" t="s">
        <v>3114</v>
      </c>
      <c r="I1" s="14" t="s">
        <v>3107</v>
      </c>
      <c r="J1" t="s">
        <v>3112</v>
      </c>
    </row>
    <row r="2" spans="1:19" s="8" customFormat="1">
      <c r="A2" s="8" t="s">
        <v>409</v>
      </c>
      <c r="B2" s="8" t="s">
        <v>411</v>
      </c>
      <c r="C2" s="8" t="s">
        <v>1227</v>
      </c>
      <c r="D2" s="8" t="s">
        <v>410</v>
      </c>
      <c r="F2" s="8" t="s">
        <v>1228</v>
      </c>
      <c r="G2" s="8" t="s">
        <v>1229</v>
      </c>
      <c r="H2" s="8" t="s">
        <v>1230</v>
      </c>
      <c r="I2" s="8" t="s">
        <v>402</v>
      </c>
      <c r="J2" s="8" t="s">
        <v>403</v>
      </c>
      <c r="K2" s="8" t="s">
        <v>404</v>
      </c>
      <c r="L2" s="8" t="s">
        <v>405</v>
      </c>
      <c r="M2" s="8" t="s">
        <v>406</v>
      </c>
      <c r="N2" s="8" t="s">
        <v>407</v>
      </c>
      <c r="O2" s="8" t="s">
        <v>408</v>
      </c>
      <c r="P2" s="8" t="s">
        <v>6</v>
      </c>
      <c r="R2" s="8" t="s">
        <v>401</v>
      </c>
      <c r="S2" s="8" t="s">
        <v>8</v>
      </c>
    </row>
    <row r="3" spans="1:19">
      <c r="A3" t="s">
        <v>41</v>
      </c>
      <c r="B3" t="s">
        <v>43</v>
      </c>
      <c r="C3" t="s">
        <v>36</v>
      </c>
      <c r="D3" t="s">
        <v>37</v>
      </c>
      <c r="F3" t="s">
        <v>36</v>
      </c>
      <c r="G3" t="s">
        <v>37</v>
      </c>
      <c r="H3" t="s">
        <v>38</v>
      </c>
      <c r="I3" t="s">
        <v>39</v>
      </c>
      <c r="J3" t="s">
        <v>40</v>
      </c>
      <c r="P3" t="s">
        <v>48</v>
      </c>
    </row>
    <row r="4" spans="1:19">
      <c r="A4" t="s">
        <v>41</v>
      </c>
      <c r="B4" t="s">
        <v>43</v>
      </c>
      <c r="C4" t="s">
        <v>42</v>
      </c>
      <c r="F4" t="s">
        <v>42</v>
      </c>
      <c r="G4" t="s">
        <v>42</v>
      </c>
      <c r="H4" t="s">
        <v>44</v>
      </c>
      <c r="I4" t="s">
        <v>45</v>
      </c>
      <c r="J4" t="s">
        <v>47</v>
      </c>
      <c r="K4" t="s">
        <v>46</v>
      </c>
      <c r="P4" t="s">
        <v>50</v>
      </c>
      <c r="Q4" t="s">
        <v>49</v>
      </c>
      <c r="R4">
        <v>63011</v>
      </c>
      <c r="S4" t="s">
        <v>56</v>
      </c>
    </row>
    <row r="5" spans="1:19">
      <c r="A5" t="s">
        <v>41</v>
      </c>
      <c r="B5" t="s">
        <v>51</v>
      </c>
      <c r="C5" t="s">
        <v>52</v>
      </c>
      <c r="D5" t="s">
        <v>1245</v>
      </c>
      <c r="F5" t="s">
        <v>52</v>
      </c>
      <c r="G5" t="s">
        <v>1245</v>
      </c>
      <c r="H5" t="s">
        <v>53</v>
      </c>
      <c r="I5" t="s">
        <v>57</v>
      </c>
      <c r="J5" t="s">
        <v>58</v>
      </c>
      <c r="P5" t="s">
        <v>54</v>
      </c>
      <c r="R5">
        <v>38043</v>
      </c>
      <c r="S5" t="s">
        <v>55</v>
      </c>
    </row>
    <row r="6" spans="1:19">
      <c r="A6" t="s">
        <v>41</v>
      </c>
      <c r="B6" t="s">
        <v>59</v>
      </c>
      <c r="C6" t="s">
        <v>60</v>
      </c>
      <c r="D6" t="s">
        <v>62</v>
      </c>
      <c r="F6" t="s">
        <v>60</v>
      </c>
      <c r="G6" t="s">
        <v>62</v>
      </c>
      <c r="H6" t="s">
        <v>61</v>
      </c>
      <c r="I6" t="s">
        <v>63</v>
      </c>
      <c r="J6" t="s">
        <v>64</v>
      </c>
      <c r="P6" t="s">
        <v>65</v>
      </c>
      <c r="R6">
        <v>69437</v>
      </c>
      <c r="S6" t="s">
        <v>66</v>
      </c>
    </row>
    <row r="7" spans="1:19">
      <c r="A7" t="s">
        <v>41</v>
      </c>
      <c r="B7" t="s">
        <v>59</v>
      </c>
      <c r="C7" t="s">
        <v>68</v>
      </c>
      <c r="F7" t="s">
        <v>68</v>
      </c>
      <c r="G7" t="s">
        <v>73</v>
      </c>
      <c r="H7" t="s">
        <v>72</v>
      </c>
      <c r="I7" t="s">
        <v>70</v>
      </c>
      <c r="J7" t="s">
        <v>69</v>
      </c>
      <c r="K7" t="s">
        <v>71</v>
      </c>
      <c r="P7" t="s">
        <v>74</v>
      </c>
      <c r="R7">
        <v>69373</v>
      </c>
      <c r="S7" t="s">
        <v>75</v>
      </c>
    </row>
    <row r="8" spans="1:19">
      <c r="A8" t="s">
        <v>41</v>
      </c>
      <c r="B8" t="s">
        <v>76</v>
      </c>
      <c r="C8" t="s">
        <v>77</v>
      </c>
      <c r="D8" t="s">
        <v>1246</v>
      </c>
      <c r="F8" t="s">
        <v>77</v>
      </c>
      <c r="G8" t="s">
        <v>81</v>
      </c>
      <c r="H8" t="s">
        <v>78</v>
      </c>
      <c r="I8" t="s">
        <v>82</v>
      </c>
      <c r="P8" t="s">
        <v>79</v>
      </c>
      <c r="R8">
        <v>42055</v>
      </c>
      <c r="S8" t="s">
        <v>80</v>
      </c>
    </row>
    <row r="9" spans="1:19">
      <c r="A9" t="s">
        <v>83</v>
      </c>
      <c r="B9" t="s">
        <v>84</v>
      </c>
      <c r="C9" t="s">
        <v>85</v>
      </c>
      <c r="D9" t="s">
        <v>1246</v>
      </c>
      <c r="F9" t="s">
        <v>85</v>
      </c>
      <c r="G9" t="s">
        <v>86</v>
      </c>
      <c r="H9" t="s">
        <v>87</v>
      </c>
      <c r="I9" t="s">
        <v>90</v>
      </c>
      <c r="J9" t="s">
        <v>91</v>
      </c>
      <c r="K9" t="s">
        <v>92</v>
      </c>
      <c r="P9" t="s">
        <v>88</v>
      </c>
      <c r="R9">
        <v>25000</v>
      </c>
      <c r="S9" t="s">
        <v>89</v>
      </c>
    </row>
    <row r="10" spans="1:19">
      <c r="A10" t="s">
        <v>83</v>
      </c>
      <c r="B10" t="s">
        <v>93</v>
      </c>
      <c r="C10" t="s">
        <v>94</v>
      </c>
      <c r="D10" t="s">
        <v>1247</v>
      </c>
      <c r="F10" t="s">
        <v>94</v>
      </c>
      <c r="G10" t="s">
        <v>96</v>
      </c>
      <c r="H10" t="s">
        <v>95</v>
      </c>
      <c r="I10" t="s">
        <v>97</v>
      </c>
      <c r="J10" t="s">
        <v>98</v>
      </c>
      <c r="P10" t="s">
        <v>99</v>
      </c>
      <c r="R10">
        <v>37013</v>
      </c>
      <c r="S10" t="s">
        <v>100</v>
      </c>
    </row>
    <row r="11" spans="1:19">
      <c r="A11" t="s">
        <v>83</v>
      </c>
      <c r="B11" t="s">
        <v>93</v>
      </c>
      <c r="C11" t="s">
        <v>101</v>
      </c>
      <c r="F11" t="s">
        <v>101</v>
      </c>
      <c r="G11" t="s">
        <v>103</v>
      </c>
      <c r="H11" t="s">
        <v>102</v>
      </c>
      <c r="I11" t="s">
        <v>104</v>
      </c>
      <c r="P11" t="s">
        <v>118</v>
      </c>
      <c r="R11">
        <v>27079</v>
      </c>
      <c r="S11" t="s">
        <v>117</v>
      </c>
    </row>
    <row r="12" spans="1:19">
      <c r="A12" t="s">
        <v>115</v>
      </c>
      <c r="B12" t="s">
        <v>105</v>
      </c>
      <c r="C12" t="s">
        <v>114</v>
      </c>
      <c r="D12" t="s">
        <v>107</v>
      </c>
      <c r="F12" t="s">
        <v>114</v>
      </c>
      <c r="G12" t="s">
        <v>107</v>
      </c>
      <c r="H12" t="s">
        <v>106</v>
      </c>
      <c r="I12" t="s">
        <v>110</v>
      </c>
      <c r="J12" t="s">
        <v>111</v>
      </c>
      <c r="K12" t="s">
        <v>112</v>
      </c>
      <c r="P12" t="s">
        <v>108</v>
      </c>
      <c r="R12">
        <v>29609</v>
      </c>
      <c r="S12" t="s">
        <v>109</v>
      </c>
    </row>
    <row r="13" spans="1:19">
      <c r="A13" t="s">
        <v>115</v>
      </c>
      <c r="B13" t="s">
        <v>105</v>
      </c>
      <c r="C13" t="s">
        <v>114</v>
      </c>
      <c r="D13" t="s">
        <v>107</v>
      </c>
      <c r="F13" t="s">
        <v>114</v>
      </c>
      <c r="G13" t="s">
        <v>113</v>
      </c>
      <c r="H13" t="s">
        <v>116</v>
      </c>
      <c r="P13" t="s">
        <v>108</v>
      </c>
      <c r="R13">
        <v>29609</v>
      </c>
      <c r="S13" t="s">
        <v>109</v>
      </c>
    </row>
    <row r="14" spans="1:19">
      <c r="A14" t="s">
        <v>115</v>
      </c>
      <c r="B14" t="s">
        <v>119</v>
      </c>
      <c r="C14" t="s">
        <v>120</v>
      </c>
      <c r="D14" t="s">
        <v>1248</v>
      </c>
      <c r="F14" t="s">
        <v>120</v>
      </c>
      <c r="G14" t="s">
        <v>121</v>
      </c>
      <c r="H14" t="s">
        <v>102</v>
      </c>
      <c r="I14" t="s">
        <v>122</v>
      </c>
      <c r="P14" t="s">
        <v>123</v>
      </c>
      <c r="R14">
        <v>35033</v>
      </c>
      <c r="S14" t="s">
        <v>124</v>
      </c>
    </row>
    <row r="15" spans="1:19">
      <c r="A15" t="s">
        <v>125</v>
      </c>
      <c r="B15" t="s">
        <v>126</v>
      </c>
      <c r="C15" t="s">
        <v>127</v>
      </c>
      <c r="D15" t="s">
        <v>1249</v>
      </c>
      <c r="F15" t="s">
        <v>127</v>
      </c>
      <c r="G15" t="s">
        <v>128</v>
      </c>
      <c r="H15" t="s">
        <v>102</v>
      </c>
      <c r="I15" t="s">
        <v>129</v>
      </c>
      <c r="J15" t="s">
        <v>130</v>
      </c>
      <c r="P15" t="s">
        <v>132</v>
      </c>
      <c r="R15">
        <v>31170</v>
      </c>
      <c r="S15" t="s">
        <v>131</v>
      </c>
    </row>
    <row r="16" spans="1:19">
      <c r="A16" t="s">
        <v>125</v>
      </c>
      <c r="B16" t="s">
        <v>126</v>
      </c>
      <c r="C16" t="s">
        <v>133</v>
      </c>
      <c r="D16" t="s">
        <v>1250</v>
      </c>
      <c r="F16" t="s">
        <v>133</v>
      </c>
      <c r="G16" t="s">
        <v>135</v>
      </c>
      <c r="H16" t="s">
        <v>102</v>
      </c>
      <c r="I16" t="s">
        <v>134</v>
      </c>
    </row>
    <row r="17" spans="1:19">
      <c r="A17" t="s">
        <v>143</v>
      </c>
      <c r="B17" t="s">
        <v>136</v>
      </c>
      <c r="C17" t="s">
        <v>1251</v>
      </c>
      <c r="D17" t="s">
        <v>486</v>
      </c>
      <c r="F17" t="s">
        <v>138</v>
      </c>
      <c r="G17" t="s">
        <v>139</v>
      </c>
      <c r="H17" t="s">
        <v>137</v>
      </c>
      <c r="I17" t="s">
        <v>142</v>
      </c>
      <c r="P17" t="s">
        <v>140</v>
      </c>
      <c r="R17">
        <v>54519</v>
      </c>
      <c r="S17" t="s">
        <v>141</v>
      </c>
    </row>
    <row r="18" spans="1:19">
      <c r="A18" t="s">
        <v>143</v>
      </c>
      <c r="B18" t="s">
        <v>158</v>
      </c>
      <c r="C18" t="s">
        <v>144</v>
      </c>
      <c r="D18" t="s">
        <v>1252</v>
      </c>
      <c r="F18" t="s">
        <v>144</v>
      </c>
      <c r="G18" t="s">
        <v>150</v>
      </c>
      <c r="H18" t="s">
        <v>145</v>
      </c>
      <c r="I18" t="s">
        <v>149</v>
      </c>
      <c r="J18" t="s">
        <v>148</v>
      </c>
      <c r="P18" t="s">
        <v>146</v>
      </c>
      <c r="R18">
        <v>51092</v>
      </c>
      <c r="S18" t="s">
        <v>147</v>
      </c>
    </row>
    <row r="19" spans="1:19">
      <c r="A19" t="s">
        <v>143</v>
      </c>
      <c r="B19" t="s">
        <v>158</v>
      </c>
      <c r="C19" t="s">
        <v>151</v>
      </c>
      <c r="F19" t="s">
        <v>151</v>
      </c>
      <c r="H19" t="s">
        <v>152</v>
      </c>
      <c r="I19" t="s">
        <v>153</v>
      </c>
      <c r="J19" t="s">
        <v>154</v>
      </c>
      <c r="K19" t="s">
        <v>155</v>
      </c>
      <c r="P19" t="s">
        <v>156</v>
      </c>
      <c r="R19">
        <v>51056</v>
      </c>
      <c r="S19" t="s">
        <v>157</v>
      </c>
    </row>
    <row r="20" spans="1:19">
      <c r="A20" t="s">
        <v>143</v>
      </c>
      <c r="B20" t="s">
        <v>159</v>
      </c>
      <c r="C20" t="s">
        <v>164</v>
      </c>
      <c r="D20" t="s">
        <v>160</v>
      </c>
      <c r="F20" t="s">
        <v>164</v>
      </c>
      <c r="G20" t="s">
        <v>160</v>
      </c>
      <c r="H20" t="s">
        <v>102</v>
      </c>
      <c r="I20" t="s">
        <v>161</v>
      </c>
      <c r="P20" t="s">
        <v>163</v>
      </c>
      <c r="R20">
        <v>68024</v>
      </c>
      <c r="S20" t="s">
        <v>162</v>
      </c>
    </row>
    <row r="21" spans="1:19">
      <c r="A21" t="s">
        <v>165</v>
      </c>
      <c r="B21" t="s">
        <v>166</v>
      </c>
      <c r="C21" t="s">
        <v>167</v>
      </c>
      <c r="D21" t="s">
        <v>168</v>
      </c>
      <c r="F21" t="s">
        <v>167</v>
      </c>
      <c r="G21" t="s">
        <v>168</v>
      </c>
      <c r="H21" t="s">
        <v>169</v>
      </c>
      <c r="I21" t="s">
        <v>171</v>
      </c>
      <c r="J21" t="s">
        <v>172</v>
      </c>
      <c r="R21">
        <v>80054</v>
      </c>
      <c r="S21" t="s">
        <v>170</v>
      </c>
    </row>
    <row r="22" spans="1:19">
      <c r="A22" t="s">
        <v>165</v>
      </c>
      <c r="B22" t="s">
        <v>173</v>
      </c>
      <c r="C22" t="s">
        <v>174</v>
      </c>
      <c r="F22" t="s">
        <v>174</v>
      </c>
      <c r="G22" t="s">
        <v>175</v>
      </c>
      <c r="H22" t="s">
        <v>176</v>
      </c>
      <c r="I22" t="s">
        <v>177</v>
      </c>
      <c r="J22" t="s">
        <v>178</v>
      </c>
      <c r="K22" t="s">
        <v>179</v>
      </c>
      <c r="P22" t="s">
        <v>180</v>
      </c>
      <c r="R22">
        <v>59037</v>
      </c>
      <c r="S22" t="s">
        <v>181</v>
      </c>
    </row>
    <row r="23" spans="1:19">
      <c r="A23" t="s">
        <v>182</v>
      </c>
      <c r="B23" t="s">
        <v>183</v>
      </c>
      <c r="C23" t="s">
        <v>489</v>
      </c>
      <c r="D23" t="s">
        <v>1232</v>
      </c>
      <c r="F23" t="s">
        <v>184</v>
      </c>
      <c r="G23" t="s">
        <v>185</v>
      </c>
      <c r="H23" t="s">
        <v>186</v>
      </c>
      <c r="I23" t="s">
        <v>189</v>
      </c>
      <c r="J23" t="s">
        <v>188</v>
      </c>
      <c r="K23" t="s">
        <v>187</v>
      </c>
      <c r="P23" t="s">
        <v>190</v>
      </c>
      <c r="R23">
        <v>93009</v>
      </c>
      <c r="S23" t="s">
        <v>191</v>
      </c>
    </row>
    <row r="24" spans="1:19">
      <c r="A24" t="s">
        <v>182</v>
      </c>
      <c r="B24" t="s">
        <v>183</v>
      </c>
      <c r="C24" t="s">
        <v>489</v>
      </c>
      <c r="D24" t="s">
        <v>1233</v>
      </c>
      <c r="F24" t="s">
        <v>192</v>
      </c>
      <c r="G24" t="s">
        <v>193</v>
      </c>
      <c r="H24" t="s">
        <v>194</v>
      </c>
      <c r="I24" t="s">
        <v>195</v>
      </c>
      <c r="J24" t="s">
        <v>196</v>
      </c>
      <c r="K24" t="s">
        <v>197</v>
      </c>
    </row>
    <row r="25" spans="1:19">
      <c r="A25" t="s">
        <v>182</v>
      </c>
      <c r="B25" t="s">
        <v>183</v>
      </c>
      <c r="C25" t="s">
        <v>489</v>
      </c>
      <c r="D25" t="s">
        <v>1234</v>
      </c>
      <c r="F25" t="s">
        <v>198</v>
      </c>
      <c r="G25" t="s">
        <v>199</v>
      </c>
      <c r="H25" t="s">
        <v>102</v>
      </c>
      <c r="I25" t="s">
        <v>200</v>
      </c>
    </row>
    <row r="26" spans="1:19">
      <c r="A26" t="s">
        <v>182</v>
      </c>
      <c r="B26" t="s">
        <v>183</v>
      </c>
      <c r="C26" t="s">
        <v>489</v>
      </c>
      <c r="D26" t="s">
        <v>1234</v>
      </c>
      <c r="F26" t="s">
        <v>198</v>
      </c>
      <c r="G26" t="s">
        <v>201</v>
      </c>
      <c r="H26" t="s">
        <v>202</v>
      </c>
      <c r="I26" t="s">
        <v>205</v>
      </c>
      <c r="J26" t="s">
        <v>204</v>
      </c>
      <c r="K26" t="s">
        <v>203</v>
      </c>
    </row>
    <row r="27" spans="1:19">
      <c r="A27" t="s">
        <v>182</v>
      </c>
      <c r="B27" t="s">
        <v>183</v>
      </c>
      <c r="C27" t="s">
        <v>489</v>
      </c>
      <c r="D27" t="s">
        <v>1235</v>
      </c>
      <c r="F27" t="s">
        <v>206</v>
      </c>
      <c r="G27" t="s">
        <v>207</v>
      </c>
      <c r="H27" t="s">
        <v>209</v>
      </c>
      <c r="I27" t="s">
        <v>208</v>
      </c>
      <c r="J27" t="s">
        <v>210</v>
      </c>
      <c r="K27" t="s">
        <v>211</v>
      </c>
    </row>
    <row r="28" spans="1:19">
      <c r="A28" t="s">
        <v>182</v>
      </c>
      <c r="B28" t="s">
        <v>183</v>
      </c>
      <c r="C28" t="s">
        <v>489</v>
      </c>
      <c r="D28" t="s">
        <v>1236</v>
      </c>
      <c r="F28" t="s">
        <v>212</v>
      </c>
      <c r="G28" t="s">
        <v>213</v>
      </c>
      <c r="H28" t="s">
        <v>95</v>
      </c>
      <c r="I28" t="s">
        <v>216</v>
      </c>
      <c r="J28" t="s">
        <v>217</v>
      </c>
      <c r="K28" t="s">
        <v>218</v>
      </c>
      <c r="L28" t="s">
        <v>219</v>
      </c>
      <c r="M28" t="s">
        <v>220</v>
      </c>
      <c r="N28" t="s">
        <v>221</v>
      </c>
      <c r="O28" t="s">
        <v>222</v>
      </c>
      <c r="P28" t="s">
        <v>214</v>
      </c>
      <c r="R28">
        <v>94010</v>
      </c>
      <c r="S28" t="s">
        <v>215</v>
      </c>
    </row>
    <row r="29" spans="1:19">
      <c r="A29" t="s">
        <v>182</v>
      </c>
      <c r="B29" t="s">
        <v>183</v>
      </c>
      <c r="C29" t="s">
        <v>1231</v>
      </c>
      <c r="D29" t="s">
        <v>1237</v>
      </c>
      <c r="F29" t="s">
        <v>223</v>
      </c>
      <c r="G29" t="s">
        <v>224</v>
      </c>
      <c r="H29" t="s">
        <v>102</v>
      </c>
      <c r="I29" t="s">
        <v>226</v>
      </c>
      <c r="J29" t="s">
        <v>227</v>
      </c>
      <c r="K29" t="s">
        <v>225</v>
      </c>
      <c r="P29" t="s">
        <v>228</v>
      </c>
      <c r="R29">
        <v>75651</v>
      </c>
      <c r="S29" t="s">
        <v>229</v>
      </c>
    </row>
    <row r="30" spans="1:19">
      <c r="A30" t="s">
        <v>182</v>
      </c>
      <c r="B30" t="s">
        <v>183</v>
      </c>
      <c r="C30" t="s">
        <v>1231</v>
      </c>
      <c r="D30" t="s">
        <v>1238</v>
      </c>
      <c r="F30" t="s">
        <v>230</v>
      </c>
      <c r="G30" t="s">
        <v>232</v>
      </c>
      <c r="H30" t="s">
        <v>106</v>
      </c>
      <c r="I30" t="s">
        <v>233</v>
      </c>
      <c r="J30" t="s">
        <v>234</v>
      </c>
      <c r="P30" t="s">
        <v>236</v>
      </c>
      <c r="R30">
        <v>75571</v>
      </c>
      <c r="S30" t="s">
        <v>237</v>
      </c>
    </row>
    <row r="31" spans="1:19">
      <c r="A31" t="s">
        <v>182</v>
      </c>
      <c r="B31" t="s">
        <v>183</v>
      </c>
      <c r="C31" t="s">
        <v>1231</v>
      </c>
      <c r="D31" t="s">
        <v>1238</v>
      </c>
      <c r="F31" t="s">
        <v>230</v>
      </c>
      <c r="G31" t="s">
        <v>231</v>
      </c>
      <c r="H31" t="s">
        <v>102</v>
      </c>
      <c r="I31" t="s">
        <v>235</v>
      </c>
      <c r="J31" t="s">
        <v>233</v>
      </c>
      <c r="P31" t="s">
        <v>236</v>
      </c>
      <c r="R31">
        <v>75571</v>
      </c>
      <c r="S31" t="s">
        <v>237</v>
      </c>
    </row>
    <row r="32" spans="1:19">
      <c r="A32" t="s">
        <v>182</v>
      </c>
      <c r="B32" t="s">
        <v>183</v>
      </c>
      <c r="C32" t="s">
        <v>1231</v>
      </c>
      <c r="D32" t="s">
        <v>1239</v>
      </c>
      <c r="F32" t="s">
        <v>238</v>
      </c>
      <c r="G32" t="s">
        <v>240</v>
      </c>
      <c r="H32" t="s">
        <v>239</v>
      </c>
      <c r="I32" t="s">
        <v>241</v>
      </c>
      <c r="R32">
        <v>75970</v>
      </c>
      <c r="S32" t="s">
        <v>242</v>
      </c>
    </row>
    <row r="33" spans="1:19">
      <c r="A33" t="s">
        <v>182</v>
      </c>
      <c r="B33" t="s">
        <v>183</v>
      </c>
      <c r="C33" t="s">
        <v>1231</v>
      </c>
      <c r="D33" t="s">
        <v>1240</v>
      </c>
      <c r="F33" t="s">
        <v>243</v>
      </c>
      <c r="G33" t="s">
        <v>245</v>
      </c>
      <c r="H33" t="s">
        <v>244</v>
      </c>
      <c r="I33" t="s">
        <v>248</v>
      </c>
      <c r="J33" t="s">
        <v>249</v>
      </c>
      <c r="K33" t="s">
        <v>250</v>
      </c>
      <c r="P33" t="s">
        <v>246</v>
      </c>
      <c r="R33">
        <v>75908</v>
      </c>
      <c r="S33" t="s">
        <v>247</v>
      </c>
    </row>
    <row r="34" spans="1:19">
      <c r="A34" t="s">
        <v>182</v>
      </c>
      <c r="B34" t="s">
        <v>183</v>
      </c>
      <c r="C34" t="s">
        <v>1231</v>
      </c>
      <c r="D34" t="s">
        <v>1241</v>
      </c>
      <c r="F34" t="s">
        <v>251</v>
      </c>
      <c r="G34" t="s">
        <v>252</v>
      </c>
      <c r="H34" t="s">
        <v>102</v>
      </c>
      <c r="I34" t="s">
        <v>253</v>
      </c>
      <c r="J34" t="s">
        <v>254</v>
      </c>
      <c r="P34" t="s">
        <v>255</v>
      </c>
      <c r="R34">
        <v>75679</v>
      </c>
      <c r="S34" t="s">
        <v>256</v>
      </c>
    </row>
    <row r="35" spans="1:19">
      <c r="A35" t="s">
        <v>182</v>
      </c>
      <c r="B35" t="s">
        <v>257</v>
      </c>
      <c r="C35" t="s">
        <v>31</v>
      </c>
      <c r="D35" t="s">
        <v>1242</v>
      </c>
      <c r="F35" t="s">
        <v>260</v>
      </c>
      <c r="G35" t="s">
        <v>259</v>
      </c>
      <c r="H35" t="s">
        <v>258</v>
      </c>
      <c r="I35" t="s">
        <v>263</v>
      </c>
      <c r="J35" t="s">
        <v>264</v>
      </c>
      <c r="K35" t="s">
        <v>265</v>
      </c>
      <c r="L35" t="s">
        <v>266</v>
      </c>
      <c r="P35" t="s">
        <v>261</v>
      </c>
      <c r="R35">
        <v>75005</v>
      </c>
      <c r="S35" t="s">
        <v>262</v>
      </c>
    </row>
    <row r="36" spans="1:19">
      <c r="A36" t="s">
        <v>182</v>
      </c>
      <c r="B36" t="s">
        <v>267</v>
      </c>
      <c r="C36" t="s">
        <v>268</v>
      </c>
      <c r="F36" t="s">
        <v>268</v>
      </c>
      <c r="G36" t="s">
        <v>269</v>
      </c>
      <c r="H36" t="s">
        <v>102</v>
      </c>
      <c r="I36" t="s">
        <v>270</v>
      </c>
      <c r="J36" t="s">
        <v>271</v>
      </c>
      <c r="K36" t="s">
        <v>272</v>
      </c>
      <c r="P36" t="s">
        <v>273</v>
      </c>
      <c r="R36">
        <v>94805</v>
      </c>
      <c r="S36" t="s">
        <v>274</v>
      </c>
    </row>
    <row r="37" spans="1:19">
      <c r="A37" t="s">
        <v>275</v>
      </c>
      <c r="B37" t="s">
        <v>276</v>
      </c>
      <c r="C37" t="s">
        <v>277</v>
      </c>
      <c r="D37" t="s">
        <v>1253</v>
      </c>
      <c r="F37" t="s">
        <v>277</v>
      </c>
      <c r="G37" t="s">
        <v>282</v>
      </c>
      <c r="H37" t="s">
        <v>281</v>
      </c>
      <c r="I37" t="s">
        <v>278</v>
      </c>
      <c r="P37" t="s">
        <v>279</v>
      </c>
    </row>
    <row r="38" spans="1:19">
      <c r="A38" t="s">
        <v>275</v>
      </c>
      <c r="B38" t="s">
        <v>276</v>
      </c>
      <c r="C38" t="s">
        <v>280</v>
      </c>
      <c r="F38" t="s">
        <v>280</v>
      </c>
      <c r="G38" t="s">
        <v>283</v>
      </c>
      <c r="H38" t="s">
        <v>102</v>
      </c>
      <c r="I38" t="s">
        <v>284</v>
      </c>
      <c r="P38" t="s">
        <v>285</v>
      </c>
      <c r="R38">
        <v>14076</v>
      </c>
      <c r="S38" t="s">
        <v>286</v>
      </c>
    </row>
    <row r="39" spans="1:19">
      <c r="A39" t="s">
        <v>275</v>
      </c>
      <c r="B39" t="s">
        <v>287</v>
      </c>
      <c r="C39" t="s">
        <v>1244</v>
      </c>
      <c r="D39" t="s">
        <v>1243</v>
      </c>
      <c r="F39" t="s">
        <v>291</v>
      </c>
      <c r="G39" t="s">
        <v>288</v>
      </c>
      <c r="H39" t="s">
        <v>78</v>
      </c>
      <c r="I39" t="s">
        <v>289</v>
      </c>
      <c r="J39" t="s">
        <v>290</v>
      </c>
      <c r="P39" t="s">
        <v>292</v>
      </c>
      <c r="R39">
        <v>76031</v>
      </c>
      <c r="S39" t="s">
        <v>293</v>
      </c>
    </row>
    <row r="40" spans="1:19">
      <c r="A40" t="s">
        <v>275</v>
      </c>
      <c r="B40" t="s">
        <v>294</v>
      </c>
      <c r="C40" t="s">
        <v>295</v>
      </c>
      <c r="D40" t="s">
        <v>296</v>
      </c>
      <c r="F40" t="s">
        <v>295</v>
      </c>
      <c r="G40" t="s">
        <v>296</v>
      </c>
      <c r="H40" t="s">
        <v>298</v>
      </c>
      <c r="I40" t="s">
        <v>297</v>
      </c>
      <c r="P40" t="s">
        <v>299</v>
      </c>
      <c r="R40">
        <v>33604</v>
      </c>
      <c r="S40" t="s">
        <v>300</v>
      </c>
    </row>
    <row r="41" spans="1:19">
      <c r="A41" t="s">
        <v>275</v>
      </c>
      <c r="B41" t="s">
        <v>294</v>
      </c>
      <c r="C41" t="s">
        <v>301</v>
      </c>
      <c r="F41" t="s">
        <v>301</v>
      </c>
      <c r="G41" t="s">
        <v>301</v>
      </c>
      <c r="H41" t="s">
        <v>303</v>
      </c>
      <c r="I41" t="s">
        <v>306</v>
      </c>
      <c r="P41" t="s">
        <v>304</v>
      </c>
      <c r="R41">
        <v>33000</v>
      </c>
      <c r="S41" t="s">
        <v>305</v>
      </c>
    </row>
    <row r="42" spans="1:19">
      <c r="A42" t="s">
        <v>307</v>
      </c>
      <c r="B42" t="s">
        <v>308</v>
      </c>
      <c r="C42" t="s">
        <v>309</v>
      </c>
      <c r="D42" t="s">
        <v>1254</v>
      </c>
      <c r="F42" t="s">
        <v>309</v>
      </c>
      <c r="G42" t="s">
        <v>311</v>
      </c>
      <c r="H42" t="s">
        <v>310</v>
      </c>
      <c r="I42" t="s">
        <v>312</v>
      </c>
      <c r="J42" t="s">
        <v>313</v>
      </c>
      <c r="P42" t="s">
        <v>314</v>
      </c>
      <c r="R42">
        <v>87042</v>
      </c>
      <c r="S42" t="s">
        <v>315</v>
      </c>
    </row>
    <row r="43" spans="1:19">
      <c r="A43" t="s">
        <v>307</v>
      </c>
      <c r="B43" t="s">
        <v>316</v>
      </c>
      <c r="C43" t="s">
        <v>317</v>
      </c>
      <c r="F43" t="s">
        <v>317</v>
      </c>
      <c r="G43" t="s">
        <v>318</v>
      </c>
      <c r="H43" t="s">
        <v>102</v>
      </c>
      <c r="I43" t="s">
        <v>321</v>
      </c>
      <c r="P43" t="s">
        <v>319</v>
      </c>
      <c r="R43">
        <v>86021</v>
      </c>
      <c r="S43" t="s">
        <v>320</v>
      </c>
    </row>
    <row r="44" spans="1:19">
      <c r="A44" t="s">
        <v>322</v>
      </c>
      <c r="B44" t="s">
        <v>323</v>
      </c>
      <c r="C44" t="s">
        <v>324</v>
      </c>
      <c r="D44" t="s">
        <v>326</v>
      </c>
      <c r="F44" t="s">
        <v>324</v>
      </c>
      <c r="G44" t="s">
        <v>326</v>
      </c>
      <c r="H44" t="s">
        <v>325</v>
      </c>
      <c r="I44" t="s">
        <v>327</v>
      </c>
      <c r="P44" t="s">
        <v>328</v>
      </c>
      <c r="R44">
        <v>34295</v>
      </c>
      <c r="S44" t="s">
        <v>329</v>
      </c>
    </row>
    <row r="45" spans="1:19">
      <c r="A45" t="s">
        <v>322</v>
      </c>
      <c r="B45" t="s">
        <v>323</v>
      </c>
      <c r="C45" t="s">
        <v>330</v>
      </c>
      <c r="F45" t="s">
        <v>330</v>
      </c>
      <c r="G45" t="s">
        <v>330</v>
      </c>
      <c r="H45" t="s">
        <v>302</v>
      </c>
      <c r="I45" t="s">
        <v>331</v>
      </c>
      <c r="P45" t="s">
        <v>332</v>
      </c>
      <c r="R45">
        <v>34298</v>
      </c>
      <c r="S45" t="s">
        <v>329</v>
      </c>
    </row>
    <row r="46" spans="1:19">
      <c r="A46" t="s">
        <v>322</v>
      </c>
      <c r="B46" t="s">
        <v>323</v>
      </c>
      <c r="C46" t="s">
        <v>333</v>
      </c>
      <c r="D46" t="s">
        <v>335</v>
      </c>
      <c r="F46" t="s">
        <v>333</v>
      </c>
      <c r="G46" t="s">
        <v>335</v>
      </c>
      <c r="H46" t="s">
        <v>334</v>
      </c>
      <c r="I46" t="s">
        <v>336</v>
      </c>
      <c r="J46" t="s">
        <v>337</v>
      </c>
      <c r="K46" t="s">
        <v>338</v>
      </c>
      <c r="P46" t="s">
        <v>339</v>
      </c>
      <c r="R46">
        <v>30029</v>
      </c>
      <c r="S46" t="s">
        <v>340</v>
      </c>
    </row>
    <row r="47" spans="1:19">
      <c r="A47" t="s">
        <v>322</v>
      </c>
      <c r="B47" t="s">
        <v>341</v>
      </c>
      <c r="C47" t="s">
        <v>342</v>
      </c>
      <c r="F47" t="s">
        <v>342</v>
      </c>
      <c r="G47" t="s">
        <v>343</v>
      </c>
      <c r="H47" t="s">
        <v>344</v>
      </c>
      <c r="I47" t="s">
        <v>347</v>
      </c>
      <c r="J47" t="s">
        <v>348</v>
      </c>
      <c r="K47" t="s">
        <v>349</v>
      </c>
      <c r="L47" t="s">
        <v>350</v>
      </c>
      <c r="M47" t="s">
        <v>351</v>
      </c>
      <c r="N47" t="s">
        <v>352</v>
      </c>
      <c r="O47" t="s">
        <v>353</v>
      </c>
      <c r="P47" t="s">
        <v>345</v>
      </c>
      <c r="R47">
        <v>31059</v>
      </c>
      <c r="S47" t="s">
        <v>346</v>
      </c>
    </row>
    <row r="48" spans="1:19">
      <c r="A48" t="s">
        <v>355</v>
      </c>
      <c r="B48" t="s">
        <v>354</v>
      </c>
      <c r="C48" t="s">
        <v>356</v>
      </c>
      <c r="F48" t="s">
        <v>356</v>
      </c>
      <c r="G48" t="s">
        <v>357</v>
      </c>
      <c r="H48" t="s">
        <v>102</v>
      </c>
      <c r="I48" t="s">
        <v>358</v>
      </c>
      <c r="J48" t="s">
        <v>359</v>
      </c>
      <c r="P48" t="s">
        <v>360</v>
      </c>
      <c r="R48">
        <v>49055</v>
      </c>
      <c r="S48" t="s">
        <v>361</v>
      </c>
    </row>
    <row r="49" spans="1:19">
      <c r="A49" t="s">
        <v>355</v>
      </c>
      <c r="B49" t="s">
        <v>354</v>
      </c>
      <c r="C49" t="s">
        <v>362</v>
      </c>
      <c r="F49" t="s">
        <v>362</v>
      </c>
      <c r="G49" t="s">
        <v>362</v>
      </c>
      <c r="H49" t="s">
        <v>363</v>
      </c>
      <c r="I49" t="s">
        <v>366</v>
      </c>
      <c r="P49" t="s">
        <v>364</v>
      </c>
      <c r="R49">
        <v>49933</v>
      </c>
      <c r="S49" t="s">
        <v>365</v>
      </c>
    </row>
    <row r="50" spans="1:19">
      <c r="A50" t="s">
        <v>355</v>
      </c>
      <c r="B50" t="s">
        <v>368</v>
      </c>
      <c r="C50" t="s">
        <v>367</v>
      </c>
      <c r="D50" t="s">
        <v>1255</v>
      </c>
      <c r="F50" t="s">
        <v>367</v>
      </c>
      <c r="G50" t="s">
        <v>369</v>
      </c>
      <c r="H50" t="s">
        <v>244</v>
      </c>
      <c r="I50" t="s">
        <v>370</v>
      </c>
      <c r="J50" t="s">
        <v>372</v>
      </c>
      <c r="R50">
        <v>44093</v>
      </c>
      <c r="S50" t="s">
        <v>371</v>
      </c>
    </row>
    <row r="51" spans="1:19" ht="15.6">
      <c r="A51" t="s">
        <v>374</v>
      </c>
      <c r="B51" t="s">
        <v>375</v>
      </c>
      <c r="C51" t="s">
        <v>373</v>
      </c>
      <c r="D51" t="s">
        <v>1256</v>
      </c>
      <c r="F51" t="s">
        <v>373</v>
      </c>
      <c r="G51" t="s">
        <v>376</v>
      </c>
      <c r="H51" t="s">
        <v>3113</v>
      </c>
      <c r="I51" t="s">
        <v>3108</v>
      </c>
      <c r="J51" t="s">
        <v>3111</v>
      </c>
      <c r="K51" s="14" t="s">
        <v>3106</v>
      </c>
      <c r="L51" s="28" t="s">
        <v>3110</v>
      </c>
      <c r="P51" t="s">
        <v>377</v>
      </c>
      <c r="R51">
        <v>13916</v>
      </c>
      <c r="S51" t="s">
        <v>378</v>
      </c>
    </row>
    <row r="52" spans="1:19">
      <c r="A52" t="s">
        <v>374</v>
      </c>
      <c r="B52" t="s">
        <v>379</v>
      </c>
      <c r="C52" t="s">
        <v>380</v>
      </c>
      <c r="F52" t="s">
        <v>380</v>
      </c>
      <c r="G52" t="s">
        <v>381</v>
      </c>
      <c r="H52" t="s">
        <v>382</v>
      </c>
      <c r="I52" t="s">
        <v>383</v>
      </c>
      <c r="J52" t="s">
        <v>384</v>
      </c>
    </row>
    <row r="53" spans="1:19">
      <c r="A53" t="s">
        <v>374</v>
      </c>
      <c r="B53" t="s">
        <v>385</v>
      </c>
      <c r="C53" t="s">
        <v>386</v>
      </c>
      <c r="D53" t="s">
        <v>1257</v>
      </c>
      <c r="F53" t="s">
        <v>386</v>
      </c>
      <c r="G53" t="s">
        <v>387</v>
      </c>
      <c r="H53" t="s">
        <v>102</v>
      </c>
      <c r="I53" t="s">
        <v>388</v>
      </c>
      <c r="P53" t="s">
        <v>389</v>
      </c>
      <c r="R53">
        <v>6107</v>
      </c>
      <c r="S53" t="s">
        <v>390</v>
      </c>
    </row>
    <row r="54" spans="1:19">
      <c r="A54" t="s">
        <v>374</v>
      </c>
      <c r="B54" t="s">
        <v>385</v>
      </c>
      <c r="C54" t="s">
        <v>386</v>
      </c>
      <c r="D54" t="s">
        <v>391</v>
      </c>
      <c r="F54" t="s">
        <v>386</v>
      </c>
      <c r="G54" t="s">
        <v>391</v>
      </c>
      <c r="H54" t="s">
        <v>396</v>
      </c>
      <c r="I54" t="s">
        <v>394</v>
      </c>
      <c r="P54" t="s">
        <v>393</v>
      </c>
      <c r="R54">
        <v>6002</v>
      </c>
      <c r="S54" t="s">
        <v>392</v>
      </c>
    </row>
    <row r="55" spans="1:19">
      <c r="A55" t="s">
        <v>374</v>
      </c>
      <c r="B55" t="s">
        <v>385</v>
      </c>
      <c r="C55" t="s">
        <v>395</v>
      </c>
      <c r="F55" t="s">
        <v>395</v>
      </c>
      <c r="G55" t="s">
        <v>397</v>
      </c>
      <c r="H55" t="s">
        <v>102</v>
      </c>
      <c r="I55" t="s">
        <v>400</v>
      </c>
      <c r="P55" t="s">
        <v>398</v>
      </c>
      <c r="R55">
        <v>6189</v>
      </c>
      <c r="S55" t="s">
        <v>399</v>
      </c>
    </row>
    <row r="57" spans="1:19" s="18" customFormat="1"/>
    <row r="59" spans="1:19">
      <c r="A59" s="8" t="s">
        <v>1260</v>
      </c>
    </row>
    <row r="60" spans="1:19">
      <c r="A60" t="s">
        <v>1261</v>
      </c>
    </row>
    <row r="61" spans="1:19">
      <c r="A61" t="s">
        <v>1262</v>
      </c>
    </row>
    <row r="62" spans="1:19">
      <c r="A62" t="s">
        <v>1263</v>
      </c>
    </row>
    <row r="63" spans="1:19">
      <c r="A63" t="s">
        <v>1264</v>
      </c>
    </row>
    <row r="64" spans="1:19">
      <c r="A64" t="s">
        <v>1265</v>
      </c>
    </row>
    <row r="65" spans="1:1">
      <c r="A65" t="s">
        <v>1266</v>
      </c>
    </row>
    <row r="66" spans="1:1">
      <c r="A66" t="s">
        <v>1267</v>
      </c>
    </row>
    <row r="67" spans="1:1">
      <c r="A67" t="s">
        <v>1268</v>
      </c>
    </row>
    <row r="68" spans="1:1">
      <c r="A68" t="s">
        <v>1269</v>
      </c>
    </row>
    <row r="69" spans="1:1">
      <c r="A69" t="s">
        <v>1270</v>
      </c>
    </row>
    <row r="70" spans="1:1">
      <c r="A70" t="s">
        <v>1271</v>
      </c>
    </row>
    <row r="71" spans="1:1">
      <c r="A71" t="s">
        <v>367</v>
      </c>
    </row>
    <row r="72" spans="1:1">
      <c r="A72" t="s">
        <v>1272</v>
      </c>
    </row>
    <row r="73" spans="1:1">
      <c r="A73" t="s">
        <v>1273</v>
      </c>
    </row>
    <row r="74" spans="1:1">
      <c r="A74" t="s">
        <v>1274</v>
      </c>
    </row>
    <row r="75" spans="1:1">
      <c r="A75" t="s">
        <v>1275</v>
      </c>
    </row>
    <row r="76" spans="1:1">
      <c r="A76" t="s">
        <v>1276</v>
      </c>
    </row>
    <row r="77" spans="1:1">
      <c r="A77" t="s">
        <v>1277</v>
      </c>
    </row>
  </sheetData>
  <phoneticPr fontId="6"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6DD5-76E5-4F29-B2BC-99C7F5F801B6}">
  <sheetPr>
    <tabColor rgb="FFFFFF00"/>
  </sheetPr>
  <dimension ref="A1:E103"/>
  <sheetViews>
    <sheetView workbookViewId="0"/>
  </sheetViews>
  <sheetFormatPr defaultRowHeight="14.4"/>
  <cols>
    <col min="1" max="1" width="15.109375" customWidth="1"/>
  </cols>
  <sheetData>
    <row r="1" spans="1:5">
      <c r="A1" s="9" t="s">
        <v>520</v>
      </c>
    </row>
    <row r="2" spans="1:5">
      <c r="A2" t="s">
        <v>622</v>
      </c>
      <c r="E2">
        <f>SUM(B3:B103)</f>
        <v>22484</v>
      </c>
    </row>
    <row r="3" spans="1:5">
      <c r="A3" s="11" t="s">
        <v>521</v>
      </c>
      <c r="B3">
        <v>275</v>
      </c>
      <c r="D3" t="s">
        <v>756</v>
      </c>
    </row>
    <row r="4" spans="1:5">
      <c r="A4" s="11" t="s">
        <v>522</v>
      </c>
      <c r="B4">
        <v>223</v>
      </c>
      <c r="D4" t="s">
        <v>740</v>
      </c>
    </row>
    <row r="5" spans="1:5">
      <c r="A5" s="11" t="s">
        <v>523</v>
      </c>
      <c r="B5">
        <v>157</v>
      </c>
      <c r="D5" t="s">
        <v>759</v>
      </c>
    </row>
    <row r="6" spans="1:5">
      <c r="A6" s="11" t="s">
        <v>524</v>
      </c>
      <c r="B6">
        <v>95</v>
      </c>
      <c r="D6" t="s">
        <v>795</v>
      </c>
    </row>
    <row r="7" spans="1:5">
      <c r="A7" s="11" t="s">
        <v>525</v>
      </c>
      <c r="B7">
        <v>49</v>
      </c>
      <c r="D7" t="s">
        <v>792</v>
      </c>
    </row>
    <row r="8" spans="1:5">
      <c r="A8" s="11" t="s">
        <v>526</v>
      </c>
      <c r="B8">
        <v>395</v>
      </c>
      <c r="D8" t="s">
        <v>714</v>
      </c>
    </row>
    <row r="9" spans="1:5">
      <c r="A9" s="11" t="s">
        <v>527</v>
      </c>
      <c r="B9">
        <v>138</v>
      </c>
      <c r="D9" t="s">
        <v>773</v>
      </c>
    </row>
    <row r="10" spans="1:5">
      <c r="A10" s="11" t="s">
        <v>528</v>
      </c>
      <c r="B10">
        <v>101</v>
      </c>
      <c r="D10" t="s">
        <v>769</v>
      </c>
    </row>
    <row r="11" spans="1:5">
      <c r="A11" s="11" t="s">
        <v>529</v>
      </c>
      <c r="B11">
        <v>53</v>
      </c>
      <c r="D11" t="s">
        <v>797</v>
      </c>
    </row>
    <row r="12" spans="1:5">
      <c r="A12" s="11" t="s">
        <v>530</v>
      </c>
      <c r="B12">
        <v>134</v>
      </c>
      <c r="D12" t="s">
        <v>772</v>
      </c>
    </row>
    <row r="13" spans="1:5">
      <c r="A13" s="11" t="s">
        <v>531</v>
      </c>
      <c r="B13">
        <v>166</v>
      </c>
      <c r="D13" t="s">
        <v>748</v>
      </c>
    </row>
    <row r="14" spans="1:5">
      <c r="A14" s="11" t="s">
        <v>532</v>
      </c>
      <c r="B14">
        <v>121</v>
      </c>
      <c r="D14" t="s">
        <v>785</v>
      </c>
    </row>
    <row r="15" spans="1:5">
      <c r="A15" s="11" t="s">
        <v>533</v>
      </c>
      <c r="B15">
        <v>767</v>
      </c>
      <c r="D15" t="s">
        <v>703</v>
      </c>
    </row>
    <row r="16" spans="1:5">
      <c r="A16" s="11" t="s">
        <v>534</v>
      </c>
      <c r="B16">
        <v>213</v>
      </c>
      <c r="D16" t="s">
        <v>712</v>
      </c>
    </row>
    <row r="17" spans="1:4">
      <c r="A17" s="11" t="s">
        <v>535</v>
      </c>
      <c r="B17">
        <v>74</v>
      </c>
      <c r="D17" t="s">
        <v>771</v>
      </c>
    </row>
    <row r="18" spans="1:4">
      <c r="A18" s="11" t="s">
        <v>536</v>
      </c>
      <c r="B18">
        <v>119</v>
      </c>
      <c r="D18" t="s">
        <v>758</v>
      </c>
    </row>
    <row r="19" spans="1:4">
      <c r="A19" s="11" t="s">
        <v>537</v>
      </c>
      <c r="B19">
        <v>279</v>
      </c>
      <c r="D19" t="s">
        <v>774</v>
      </c>
    </row>
    <row r="20" spans="1:4">
      <c r="A20" s="11" t="s">
        <v>538</v>
      </c>
      <c r="B20">
        <v>181</v>
      </c>
      <c r="D20" t="s">
        <v>765</v>
      </c>
    </row>
    <row r="21" spans="1:4">
      <c r="A21" s="11" t="s">
        <v>539</v>
      </c>
      <c r="B21">
        <v>108</v>
      </c>
      <c r="D21" t="s">
        <v>737</v>
      </c>
    </row>
    <row r="22" spans="1:4">
      <c r="A22" s="11" t="s">
        <v>540</v>
      </c>
      <c r="B22">
        <v>180</v>
      </c>
      <c r="D22" t="s">
        <v>709</v>
      </c>
    </row>
    <row r="23" spans="1:4">
      <c r="A23" s="11" t="s">
        <v>541</v>
      </c>
      <c r="B23">
        <v>192</v>
      </c>
      <c r="D23" t="s">
        <v>738</v>
      </c>
    </row>
    <row r="24" spans="1:4">
      <c r="A24" s="11" t="s">
        <v>542</v>
      </c>
      <c r="B24">
        <v>65</v>
      </c>
      <c r="D24" t="s">
        <v>770</v>
      </c>
    </row>
    <row r="25" spans="1:4">
      <c r="A25" s="11" t="s">
        <v>543</v>
      </c>
      <c r="B25">
        <v>174</v>
      </c>
      <c r="D25" t="s">
        <v>762</v>
      </c>
    </row>
    <row r="26" spans="1:4">
      <c r="A26" s="11" t="s">
        <v>544</v>
      </c>
      <c r="B26">
        <v>193</v>
      </c>
      <c r="D26" t="s">
        <v>775</v>
      </c>
    </row>
    <row r="27" spans="1:4">
      <c r="A27" s="11" t="s">
        <v>545</v>
      </c>
      <c r="B27">
        <v>209</v>
      </c>
      <c r="D27" t="s">
        <v>767</v>
      </c>
    </row>
    <row r="28" spans="1:4">
      <c r="A28" s="11" t="s">
        <v>546</v>
      </c>
      <c r="B28">
        <v>173</v>
      </c>
      <c r="D28" t="s">
        <v>723</v>
      </c>
    </row>
    <row r="29" spans="1:4">
      <c r="A29" s="11" t="s">
        <v>547</v>
      </c>
      <c r="B29">
        <v>255</v>
      </c>
      <c r="D29" t="s">
        <v>749</v>
      </c>
    </row>
    <row r="30" spans="1:4">
      <c r="A30" s="11" t="s">
        <v>548</v>
      </c>
      <c r="B30">
        <v>280</v>
      </c>
      <c r="D30" t="s">
        <v>753</v>
      </c>
    </row>
    <row r="31" spans="1:4">
      <c r="A31" s="11" t="s">
        <v>549</v>
      </c>
      <c r="B31">
        <v>65</v>
      </c>
      <c r="D31" t="s">
        <v>741</v>
      </c>
    </row>
    <row r="32" spans="1:4">
      <c r="A32" s="11" t="s">
        <v>550</v>
      </c>
      <c r="B32">
        <v>75</v>
      </c>
      <c r="D32" t="s">
        <v>776</v>
      </c>
    </row>
    <row r="33" spans="1:4">
      <c r="A33" s="11" t="s">
        <v>551</v>
      </c>
      <c r="B33">
        <v>338</v>
      </c>
      <c r="D33" t="s">
        <v>724</v>
      </c>
    </row>
    <row r="34" spans="1:4">
      <c r="A34" s="11" t="s">
        <v>552</v>
      </c>
      <c r="B34">
        <v>392</v>
      </c>
      <c r="D34" t="s">
        <v>702</v>
      </c>
    </row>
    <row r="35" spans="1:4">
      <c r="A35" s="11" t="s">
        <v>553</v>
      </c>
      <c r="B35">
        <v>106</v>
      </c>
      <c r="D35" t="s">
        <v>789</v>
      </c>
    </row>
    <row r="36" spans="1:4">
      <c r="A36" s="11" t="s">
        <v>554</v>
      </c>
      <c r="B36">
        <v>457</v>
      </c>
      <c r="D36" t="s">
        <v>716</v>
      </c>
    </row>
    <row r="37" spans="1:4">
      <c r="A37" s="11" t="s">
        <v>555</v>
      </c>
      <c r="B37">
        <v>490</v>
      </c>
      <c r="D37" t="s">
        <v>733</v>
      </c>
    </row>
    <row r="38" spans="1:4">
      <c r="A38" s="11" t="s">
        <v>556</v>
      </c>
      <c r="B38">
        <v>275</v>
      </c>
      <c r="D38" t="s">
        <v>720</v>
      </c>
    </row>
    <row r="39" spans="1:4">
      <c r="A39" s="11" t="s">
        <v>557</v>
      </c>
      <c r="B39">
        <v>54</v>
      </c>
      <c r="D39" t="s">
        <v>791</v>
      </c>
    </row>
    <row r="40" spans="1:4">
      <c r="A40" s="11" t="s">
        <v>558</v>
      </c>
      <c r="B40">
        <v>154</v>
      </c>
      <c r="D40" t="s">
        <v>726</v>
      </c>
    </row>
    <row r="41" spans="1:4">
      <c r="A41" s="11" t="s">
        <v>559</v>
      </c>
      <c r="B41">
        <v>422</v>
      </c>
      <c r="D41" t="s">
        <v>743</v>
      </c>
    </row>
    <row r="42" spans="1:4">
      <c r="A42" s="11" t="s">
        <v>560</v>
      </c>
      <c r="B42">
        <v>124</v>
      </c>
      <c r="D42" t="s">
        <v>788</v>
      </c>
    </row>
    <row r="43" spans="1:4">
      <c r="A43" s="11" t="s">
        <v>561</v>
      </c>
      <c r="B43">
        <v>175</v>
      </c>
      <c r="D43" t="s">
        <v>777</v>
      </c>
    </row>
    <row r="44" spans="1:4">
      <c r="A44" s="11" t="s">
        <v>562</v>
      </c>
      <c r="B44">
        <v>120</v>
      </c>
      <c r="D44" t="s">
        <v>763</v>
      </c>
    </row>
    <row r="45" spans="1:4">
      <c r="A45" s="11" t="s">
        <v>563</v>
      </c>
      <c r="B45">
        <v>327</v>
      </c>
      <c r="D45" t="s">
        <v>717</v>
      </c>
    </row>
    <row r="46" spans="1:4">
      <c r="A46" s="11" t="s">
        <v>564</v>
      </c>
      <c r="B46">
        <v>109</v>
      </c>
      <c r="D46" t="s">
        <v>787</v>
      </c>
    </row>
    <row r="47" spans="1:4">
      <c r="A47" s="11" t="s">
        <v>565</v>
      </c>
      <c r="B47">
        <v>383</v>
      </c>
      <c r="D47" t="s">
        <v>711</v>
      </c>
    </row>
    <row r="48" spans="1:4">
      <c r="A48" s="11" t="s">
        <v>566</v>
      </c>
      <c r="B48">
        <v>294</v>
      </c>
      <c r="D48" t="s">
        <v>747</v>
      </c>
    </row>
    <row r="49" spans="1:4">
      <c r="A49" s="11" t="s">
        <v>567</v>
      </c>
      <c r="B49">
        <v>86</v>
      </c>
      <c r="D49" t="s">
        <v>796</v>
      </c>
    </row>
    <row r="50" spans="1:4">
      <c r="A50" s="11" t="s">
        <v>568</v>
      </c>
      <c r="B50">
        <v>117</v>
      </c>
      <c r="D50" t="s">
        <v>744</v>
      </c>
    </row>
    <row r="51" spans="1:4">
      <c r="A51" s="11" t="s">
        <v>569</v>
      </c>
      <c r="B51">
        <v>33</v>
      </c>
      <c r="D51" t="s">
        <v>799</v>
      </c>
    </row>
    <row r="52" spans="1:4">
      <c r="A52" s="11" t="s">
        <v>570</v>
      </c>
      <c r="B52">
        <v>207</v>
      </c>
      <c r="D52" t="s">
        <v>708</v>
      </c>
    </row>
    <row r="53" spans="1:4">
      <c r="A53" s="11" t="s">
        <v>571</v>
      </c>
      <c r="B53">
        <v>155</v>
      </c>
      <c r="D53" t="s">
        <v>778</v>
      </c>
    </row>
    <row r="54" spans="1:4">
      <c r="A54" s="11" t="s">
        <v>572</v>
      </c>
      <c r="B54">
        <v>169</v>
      </c>
      <c r="D54" t="s">
        <v>706</v>
      </c>
    </row>
    <row r="55" spans="1:4">
      <c r="A55" s="11" t="s">
        <v>573</v>
      </c>
      <c r="B55">
        <v>65</v>
      </c>
      <c r="D55" t="s">
        <v>779</v>
      </c>
    </row>
    <row r="56" spans="1:4">
      <c r="A56" s="11" t="s">
        <v>574</v>
      </c>
      <c r="B56">
        <v>123</v>
      </c>
      <c r="D56" t="s">
        <v>750</v>
      </c>
    </row>
    <row r="57" spans="1:4">
      <c r="A57" s="11" t="s">
        <v>575</v>
      </c>
      <c r="B57">
        <v>180</v>
      </c>
      <c r="D57" t="s">
        <v>742</v>
      </c>
    </row>
    <row r="58" spans="1:4">
      <c r="A58" s="11" t="s">
        <v>576</v>
      </c>
      <c r="B58">
        <v>58</v>
      </c>
      <c r="D58" t="s">
        <v>793</v>
      </c>
    </row>
    <row r="59" spans="1:4">
      <c r="A59" s="11" t="s">
        <v>577</v>
      </c>
      <c r="B59">
        <v>244</v>
      </c>
      <c r="D59" t="s">
        <v>734</v>
      </c>
    </row>
    <row r="60" spans="1:4">
      <c r="A60" s="11" t="s">
        <v>578</v>
      </c>
      <c r="B60">
        <v>304</v>
      </c>
      <c r="D60" t="s">
        <v>710</v>
      </c>
    </row>
    <row r="61" spans="1:4">
      <c r="A61" s="11" t="s">
        <v>579</v>
      </c>
      <c r="B61">
        <v>101</v>
      </c>
      <c r="D61" t="s">
        <v>780</v>
      </c>
    </row>
    <row r="62" spans="1:4">
      <c r="A62" s="11" t="s">
        <v>580</v>
      </c>
      <c r="B62">
        <v>731</v>
      </c>
      <c r="D62" t="s">
        <v>704</v>
      </c>
    </row>
    <row r="63" spans="1:4">
      <c r="A63" s="11" t="s">
        <v>581</v>
      </c>
      <c r="B63">
        <v>298</v>
      </c>
      <c r="D63" t="s">
        <v>707</v>
      </c>
    </row>
    <row r="64" spans="1:4">
      <c r="A64" s="11" t="s">
        <v>582</v>
      </c>
      <c r="B64">
        <v>88</v>
      </c>
      <c r="D64" t="s">
        <v>794</v>
      </c>
    </row>
    <row r="65" spans="1:4">
      <c r="A65" s="11" t="s">
        <v>583</v>
      </c>
      <c r="B65">
        <v>460</v>
      </c>
      <c r="D65" t="s">
        <v>721</v>
      </c>
    </row>
    <row r="66" spans="1:4">
      <c r="A66" s="11" t="s">
        <v>584</v>
      </c>
      <c r="B66">
        <v>250</v>
      </c>
      <c r="D66" t="s">
        <v>735</v>
      </c>
    </row>
    <row r="67" spans="1:4">
      <c r="A67" s="11" t="s">
        <v>585</v>
      </c>
      <c r="B67">
        <v>261</v>
      </c>
      <c r="D67" t="s">
        <v>730</v>
      </c>
    </row>
    <row r="68" spans="1:4">
      <c r="A68" s="11" t="s">
        <v>586</v>
      </c>
      <c r="B68">
        <v>78</v>
      </c>
      <c r="D68" t="s">
        <v>781</v>
      </c>
    </row>
    <row r="69" spans="1:4">
      <c r="A69" s="11" t="s">
        <v>587</v>
      </c>
      <c r="B69">
        <v>158</v>
      </c>
      <c r="D69" t="s">
        <v>732</v>
      </c>
    </row>
    <row r="70" spans="1:4">
      <c r="A70" s="11" t="s">
        <v>588</v>
      </c>
      <c r="B70">
        <v>384</v>
      </c>
      <c r="D70" t="s">
        <v>718</v>
      </c>
    </row>
    <row r="71" spans="1:4">
      <c r="A71" s="11" t="s">
        <v>589</v>
      </c>
      <c r="B71">
        <v>271</v>
      </c>
      <c r="D71" t="s">
        <v>768</v>
      </c>
    </row>
    <row r="72" spans="1:4">
      <c r="A72" s="11" t="s">
        <v>590</v>
      </c>
      <c r="B72">
        <v>540</v>
      </c>
      <c r="D72" t="s">
        <v>701</v>
      </c>
    </row>
    <row r="73" spans="1:4">
      <c r="A73" s="11" t="s">
        <v>591</v>
      </c>
      <c r="B73">
        <v>78</v>
      </c>
      <c r="D73" t="s">
        <v>786</v>
      </c>
    </row>
    <row r="74" spans="1:4">
      <c r="A74" s="11" t="s">
        <v>592</v>
      </c>
      <c r="B74">
        <v>281</v>
      </c>
      <c r="D74" t="s">
        <v>727</v>
      </c>
    </row>
    <row r="75" spans="1:4">
      <c r="A75" s="11" t="s">
        <v>593</v>
      </c>
      <c r="B75">
        <v>179</v>
      </c>
      <c r="D75" t="s">
        <v>739</v>
      </c>
    </row>
    <row r="76" spans="1:4">
      <c r="A76" s="11" t="s">
        <v>594</v>
      </c>
      <c r="B76">
        <v>153</v>
      </c>
      <c r="D76" t="s">
        <v>728</v>
      </c>
    </row>
    <row r="77" spans="1:4">
      <c r="A77" s="11" t="s">
        <v>595</v>
      </c>
      <c r="B77">
        <v>271</v>
      </c>
      <c r="D77" t="s">
        <v>754</v>
      </c>
    </row>
    <row r="78" spans="1:4">
      <c r="A78" s="11" t="s">
        <v>596</v>
      </c>
      <c r="B78">
        <v>649</v>
      </c>
      <c r="D78" t="s">
        <v>700</v>
      </c>
    </row>
    <row r="79" spans="1:4">
      <c r="A79" s="11" t="s">
        <v>597</v>
      </c>
      <c r="B79">
        <v>428</v>
      </c>
      <c r="D79" t="s">
        <v>719</v>
      </c>
    </row>
    <row r="80" spans="1:4">
      <c r="A80" s="11" t="s">
        <v>598</v>
      </c>
      <c r="B80">
        <v>416</v>
      </c>
      <c r="D80" t="s">
        <v>757</v>
      </c>
    </row>
    <row r="81" spans="1:4">
      <c r="A81" s="11" t="s">
        <v>599</v>
      </c>
      <c r="B81">
        <v>449</v>
      </c>
      <c r="D81" t="s">
        <v>751</v>
      </c>
    </row>
    <row r="82" spans="1:4">
      <c r="A82" s="11" t="s">
        <v>600</v>
      </c>
      <c r="B82">
        <v>118</v>
      </c>
      <c r="D82" t="s">
        <v>782</v>
      </c>
    </row>
    <row r="83" spans="1:4">
      <c r="A83" s="11" t="s">
        <v>601</v>
      </c>
      <c r="B83">
        <v>200</v>
      </c>
      <c r="D83" t="s">
        <v>729</v>
      </c>
    </row>
    <row r="84" spans="1:4">
      <c r="A84" s="11" t="s">
        <v>602</v>
      </c>
      <c r="B84">
        <v>141</v>
      </c>
      <c r="D84" t="s">
        <v>725</v>
      </c>
    </row>
    <row r="85" spans="1:4">
      <c r="A85" s="11" t="s">
        <v>603</v>
      </c>
      <c r="B85">
        <v>92</v>
      </c>
      <c r="D85" t="s">
        <v>755</v>
      </c>
    </row>
    <row r="86" spans="1:4">
      <c r="A86" s="11" t="s">
        <v>604</v>
      </c>
      <c r="B86">
        <v>506</v>
      </c>
      <c r="D86" t="s">
        <v>715</v>
      </c>
    </row>
    <row r="87" spans="1:4">
      <c r="A87" s="11" t="s">
        <v>605</v>
      </c>
      <c r="B87">
        <v>165</v>
      </c>
      <c r="D87" t="s">
        <v>760</v>
      </c>
    </row>
    <row r="88" spans="1:4">
      <c r="A88" s="11" t="s">
        <v>606</v>
      </c>
      <c r="B88">
        <v>228</v>
      </c>
      <c r="D88" t="s">
        <v>761</v>
      </c>
    </row>
    <row r="89" spans="1:4">
      <c r="A89" s="11" t="s">
        <v>607</v>
      </c>
      <c r="B89">
        <v>125</v>
      </c>
      <c r="D89" t="s">
        <v>766</v>
      </c>
    </row>
    <row r="90" spans="1:4">
      <c r="A90" s="11" t="s">
        <v>608</v>
      </c>
      <c r="B90">
        <v>126</v>
      </c>
      <c r="D90" t="s">
        <v>713</v>
      </c>
    </row>
    <row r="91" spans="1:4">
      <c r="A91" s="11" t="s">
        <v>609</v>
      </c>
      <c r="B91">
        <v>137</v>
      </c>
      <c r="D91" t="s">
        <v>783</v>
      </c>
    </row>
    <row r="92" spans="1:4">
      <c r="A92" s="11" t="s">
        <v>610</v>
      </c>
      <c r="B92">
        <v>152</v>
      </c>
      <c r="D92" t="s">
        <v>764</v>
      </c>
    </row>
    <row r="93" spans="1:4">
      <c r="A93" s="11" t="s">
        <v>611</v>
      </c>
      <c r="B93">
        <v>41</v>
      </c>
      <c r="D93" t="s">
        <v>800</v>
      </c>
    </row>
    <row r="94" spans="1:4">
      <c r="A94" s="11" t="s">
        <v>612</v>
      </c>
      <c r="B94">
        <v>389</v>
      </c>
      <c r="D94" t="s">
        <v>745</v>
      </c>
    </row>
    <row r="95" spans="1:4">
      <c r="A95" s="11" t="s">
        <v>613</v>
      </c>
      <c r="B95">
        <v>433</v>
      </c>
      <c r="D95" t="s">
        <v>722</v>
      </c>
    </row>
    <row r="96" spans="1:4">
      <c r="A96" s="11" t="s">
        <v>614</v>
      </c>
      <c r="B96">
        <v>421</v>
      </c>
      <c r="D96" t="s">
        <v>731</v>
      </c>
    </row>
    <row r="97" spans="1:4">
      <c r="A97" s="11" t="s">
        <v>615</v>
      </c>
      <c r="B97">
        <v>394</v>
      </c>
      <c r="D97" t="s">
        <v>705</v>
      </c>
    </row>
    <row r="98" spans="1:4">
      <c r="A98" s="11" t="s">
        <v>616</v>
      </c>
      <c r="B98">
        <v>333</v>
      </c>
      <c r="D98" t="s">
        <v>752</v>
      </c>
    </row>
    <row r="99" spans="1:4">
      <c r="A99" s="11" t="s">
        <v>617</v>
      </c>
      <c r="B99">
        <v>167</v>
      </c>
      <c r="D99" t="s">
        <v>736</v>
      </c>
    </row>
    <row r="100" spans="1:4">
      <c r="A100" s="11" t="s">
        <v>618</v>
      </c>
      <c r="B100">
        <v>103</v>
      </c>
      <c r="D100" t="s">
        <v>784</v>
      </c>
    </row>
    <row r="101" spans="1:4">
      <c r="A101" s="11" t="s">
        <v>619</v>
      </c>
      <c r="B101">
        <v>47</v>
      </c>
      <c r="D101" t="s">
        <v>790</v>
      </c>
    </row>
    <row r="102" spans="1:4">
      <c r="A102" s="11" t="s">
        <v>620</v>
      </c>
      <c r="B102">
        <v>169</v>
      </c>
      <c r="D102" t="s">
        <v>746</v>
      </c>
    </row>
    <row r="103" spans="1:4">
      <c r="A103" s="11" t="s">
        <v>621</v>
      </c>
      <c r="B103">
        <v>3</v>
      </c>
      <c r="D103" t="s">
        <v>798</v>
      </c>
    </row>
  </sheetData>
  <hyperlinks>
    <hyperlink ref="A1" r:id="rId1" location="3" xr:uid="{19236508-3466-448C-B7AE-CF1681FC4EB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106EA-9EBD-4AB5-9A2D-EEA3F4C07A5F}">
  <dimension ref="A1:L651"/>
  <sheetViews>
    <sheetView topLeftCell="A196" workbookViewId="0"/>
  </sheetViews>
  <sheetFormatPr defaultColWidth="28.109375" defaultRowHeight="14.4"/>
  <cols>
    <col min="1" max="1" width="65.5546875" bestFit="1" customWidth="1"/>
    <col min="2" max="2" width="10" bestFit="1" customWidth="1"/>
    <col min="3" max="4" width="25.44140625" customWidth="1"/>
    <col min="5" max="5" width="17.44140625" customWidth="1"/>
    <col min="6" max="6" width="24.5546875" customWidth="1"/>
    <col min="7" max="7" width="19" customWidth="1"/>
  </cols>
  <sheetData>
    <row r="1" spans="1:12" s="23" customFormat="1" ht="48" customHeight="1">
      <c r="A1" s="27" t="s">
        <v>1294</v>
      </c>
      <c r="B1" s="24" t="s">
        <v>1329</v>
      </c>
      <c r="C1" s="24" t="s">
        <v>1326</v>
      </c>
      <c r="D1" s="24" t="s">
        <v>1327</v>
      </c>
      <c r="E1" s="24" t="s">
        <v>1328</v>
      </c>
      <c r="F1" s="25" t="s">
        <v>2937</v>
      </c>
      <c r="G1" s="26" t="s">
        <v>2938</v>
      </c>
      <c r="H1" s="15" t="s">
        <v>6</v>
      </c>
      <c r="I1" s="15" t="s">
        <v>1693</v>
      </c>
      <c r="J1" s="15" t="s">
        <v>8</v>
      </c>
      <c r="K1" s="15" t="s">
        <v>409</v>
      </c>
      <c r="L1" s="15" t="s">
        <v>1295</v>
      </c>
    </row>
    <row r="2" spans="1:12">
      <c r="A2" s="12" t="s">
        <v>395</v>
      </c>
      <c r="B2" s="12" t="s">
        <v>414</v>
      </c>
      <c r="C2" s="12"/>
      <c r="D2" s="12"/>
      <c r="E2" t="s">
        <v>414</v>
      </c>
      <c r="F2" t="s">
        <v>414</v>
      </c>
      <c r="H2" s="12" t="s">
        <v>2939</v>
      </c>
      <c r="I2">
        <v>6100</v>
      </c>
      <c r="J2" t="s">
        <v>2956</v>
      </c>
      <c r="K2" s="12" t="s">
        <v>1296</v>
      </c>
      <c r="L2" s="12"/>
    </row>
    <row r="3" spans="1:12">
      <c r="A3" s="12" t="s">
        <v>1199</v>
      </c>
      <c r="B3" s="12" t="s">
        <v>414</v>
      </c>
      <c r="C3" s="12"/>
      <c r="D3" s="12"/>
      <c r="E3" t="s">
        <v>414</v>
      </c>
      <c r="F3" t="s">
        <v>414</v>
      </c>
      <c r="H3" s="12" t="s">
        <v>2952</v>
      </c>
      <c r="I3">
        <v>51726</v>
      </c>
      <c r="J3" t="s">
        <v>2955</v>
      </c>
      <c r="K3" s="12" t="s">
        <v>849</v>
      </c>
      <c r="L3" s="12"/>
    </row>
    <row r="4" spans="1:12">
      <c r="A4" t="s">
        <v>1325</v>
      </c>
      <c r="E4" t="s">
        <v>414</v>
      </c>
      <c r="F4" t="s">
        <v>414</v>
      </c>
      <c r="H4" t="s">
        <v>2317</v>
      </c>
      <c r="I4">
        <v>84918</v>
      </c>
      <c r="J4" t="s">
        <v>1815</v>
      </c>
    </row>
    <row r="5" spans="1:12">
      <c r="A5" s="12" t="s">
        <v>486</v>
      </c>
      <c r="B5" s="12" t="s">
        <v>414</v>
      </c>
      <c r="C5" s="12"/>
      <c r="D5" s="12"/>
      <c r="E5" t="s">
        <v>414</v>
      </c>
      <c r="H5" s="12" t="s">
        <v>2953</v>
      </c>
      <c r="I5" t="s">
        <v>2946</v>
      </c>
      <c r="K5" s="12" t="s">
        <v>849</v>
      </c>
      <c r="L5" s="12"/>
    </row>
    <row r="6" spans="1:12">
      <c r="A6" t="s">
        <v>1602</v>
      </c>
      <c r="F6" t="s">
        <v>414</v>
      </c>
      <c r="G6" t="s">
        <v>414</v>
      </c>
      <c r="H6" t="s">
        <v>2208</v>
      </c>
      <c r="I6">
        <v>50300</v>
      </c>
      <c r="J6" t="s">
        <v>2209</v>
      </c>
    </row>
    <row r="7" spans="1:12">
      <c r="A7" s="12" t="s">
        <v>1290</v>
      </c>
      <c r="B7" s="12" t="s">
        <v>414</v>
      </c>
      <c r="C7" s="12"/>
      <c r="D7" s="12" t="s">
        <v>414</v>
      </c>
      <c r="E7" s="12"/>
      <c r="F7" s="12"/>
      <c r="G7" s="12"/>
      <c r="H7" s="12" t="s">
        <v>2941</v>
      </c>
      <c r="I7">
        <v>76038</v>
      </c>
      <c r="J7" t="s">
        <v>2959</v>
      </c>
      <c r="K7" s="12" t="s">
        <v>1298</v>
      </c>
      <c r="L7" s="12"/>
    </row>
    <row r="8" spans="1:12">
      <c r="A8" s="12" t="s">
        <v>68</v>
      </c>
      <c r="B8" s="12" t="s">
        <v>414</v>
      </c>
      <c r="C8" s="12"/>
      <c r="D8" s="12" t="s">
        <v>414</v>
      </c>
      <c r="E8" s="12"/>
      <c r="F8" s="12"/>
      <c r="G8" s="12"/>
      <c r="H8" s="12" t="s">
        <v>2942</v>
      </c>
      <c r="I8">
        <v>69008</v>
      </c>
      <c r="J8" t="s">
        <v>2961</v>
      </c>
      <c r="K8" s="12" t="s">
        <v>825</v>
      </c>
      <c r="L8" s="12"/>
    </row>
    <row r="9" spans="1:12">
      <c r="A9" s="12" t="s">
        <v>1291</v>
      </c>
      <c r="B9" s="12" t="s">
        <v>414</v>
      </c>
      <c r="C9" s="12"/>
      <c r="D9" s="12" t="s">
        <v>414</v>
      </c>
      <c r="E9" s="12"/>
      <c r="F9" s="12"/>
      <c r="G9" s="12"/>
      <c r="H9" s="12" t="s">
        <v>2943</v>
      </c>
      <c r="I9">
        <v>59000</v>
      </c>
      <c r="J9" t="s">
        <v>2962</v>
      </c>
      <c r="K9" s="12" t="s">
        <v>839</v>
      </c>
      <c r="L9" s="12"/>
    </row>
    <row r="10" spans="1:12">
      <c r="A10" s="12" t="s">
        <v>268</v>
      </c>
      <c r="B10" s="12" t="s">
        <v>414</v>
      </c>
      <c r="C10" s="12"/>
      <c r="D10" s="12" t="s">
        <v>414</v>
      </c>
      <c r="E10" s="12"/>
      <c r="F10" s="12"/>
      <c r="G10" s="12"/>
      <c r="H10" s="12" t="s">
        <v>2944</v>
      </c>
      <c r="I10">
        <v>94805</v>
      </c>
      <c r="J10" t="s">
        <v>2963</v>
      </c>
      <c r="K10" s="12" t="s">
        <v>1300</v>
      </c>
      <c r="L10" s="12"/>
    </row>
    <row r="11" spans="1:12">
      <c r="A11" s="12" t="s">
        <v>31</v>
      </c>
      <c r="B11" s="12" t="s">
        <v>414</v>
      </c>
      <c r="C11" s="12"/>
      <c r="D11" s="12" t="s">
        <v>414</v>
      </c>
      <c r="E11" s="12"/>
      <c r="F11" s="12"/>
      <c r="G11" s="12"/>
      <c r="H11" s="12" t="s">
        <v>2945</v>
      </c>
      <c r="I11">
        <v>75005</v>
      </c>
      <c r="J11" t="s">
        <v>262</v>
      </c>
      <c r="K11" s="12" t="s">
        <v>1300</v>
      </c>
      <c r="L11" s="12"/>
    </row>
    <row r="12" spans="1:12">
      <c r="A12" s="12" t="s">
        <v>1309</v>
      </c>
      <c r="B12" s="12" t="s">
        <v>414</v>
      </c>
      <c r="C12" s="12"/>
      <c r="D12" s="12" t="s">
        <v>414</v>
      </c>
      <c r="E12" s="12"/>
      <c r="F12" s="12"/>
      <c r="G12" s="12"/>
      <c r="H12" s="12" t="s">
        <v>2947</v>
      </c>
      <c r="I12">
        <v>13009</v>
      </c>
      <c r="J12" t="s">
        <v>2964</v>
      </c>
      <c r="K12" s="12" t="s">
        <v>1296</v>
      </c>
      <c r="L12" s="12"/>
    </row>
    <row r="13" spans="1:12">
      <c r="A13" s="12" t="s">
        <v>1288</v>
      </c>
      <c r="B13" s="12" t="s">
        <v>414</v>
      </c>
      <c r="C13" s="12"/>
      <c r="D13" s="12"/>
      <c r="E13" s="12"/>
      <c r="F13" s="12"/>
      <c r="G13" s="12"/>
      <c r="H13" s="12" t="s">
        <v>2948</v>
      </c>
      <c r="I13">
        <v>35000</v>
      </c>
      <c r="J13" t="s">
        <v>2965</v>
      </c>
      <c r="K13" s="12" t="s">
        <v>1297</v>
      </c>
      <c r="L13" s="12"/>
    </row>
    <row r="14" spans="1:12">
      <c r="A14" s="12" t="s">
        <v>1289</v>
      </c>
      <c r="B14" s="12" t="s">
        <v>414</v>
      </c>
      <c r="C14" s="12"/>
      <c r="D14" s="12"/>
      <c r="E14" s="12"/>
      <c r="F14" s="12"/>
      <c r="G14" s="12"/>
      <c r="H14" s="12" t="s">
        <v>2949</v>
      </c>
      <c r="I14">
        <v>21000</v>
      </c>
      <c r="J14" t="s">
        <v>100</v>
      </c>
      <c r="K14" s="12" t="s">
        <v>1299</v>
      </c>
      <c r="L14" s="12"/>
    </row>
    <row r="15" spans="1:12">
      <c r="A15" t="s">
        <v>1673</v>
      </c>
      <c r="F15" t="s">
        <v>414</v>
      </c>
      <c r="H15" t="s">
        <v>2324</v>
      </c>
      <c r="I15">
        <v>31059</v>
      </c>
      <c r="J15" t="s">
        <v>833</v>
      </c>
    </row>
    <row r="16" spans="1:12">
      <c r="A16" s="12" t="s">
        <v>1302</v>
      </c>
      <c r="B16" s="12" t="s">
        <v>414</v>
      </c>
      <c r="C16" s="12"/>
      <c r="D16" s="12"/>
      <c r="E16" s="12"/>
      <c r="F16" s="12"/>
      <c r="G16" s="12"/>
      <c r="H16" s="12" t="s">
        <v>1303</v>
      </c>
      <c r="K16" s="12" t="s">
        <v>957</v>
      </c>
      <c r="L16" s="12" t="s">
        <v>1304</v>
      </c>
    </row>
    <row r="17" spans="1:12">
      <c r="A17" s="12" t="s">
        <v>1292</v>
      </c>
      <c r="B17" s="12" t="s">
        <v>414</v>
      </c>
      <c r="C17" s="12"/>
      <c r="D17" s="12"/>
      <c r="E17" s="12"/>
      <c r="F17" s="12"/>
      <c r="G17" s="12"/>
      <c r="H17" s="12" t="s">
        <v>2951</v>
      </c>
      <c r="I17">
        <v>34298</v>
      </c>
      <c r="J17" t="s">
        <v>2967</v>
      </c>
      <c r="K17" s="12" t="s">
        <v>832</v>
      </c>
      <c r="L17" s="12"/>
    </row>
    <row r="18" spans="1:12">
      <c r="A18" s="12" t="s">
        <v>1305</v>
      </c>
      <c r="B18" s="12" t="s">
        <v>414</v>
      </c>
      <c r="C18" s="12"/>
      <c r="D18" s="12"/>
      <c r="E18" s="12"/>
      <c r="F18" s="12"/>
      <c r="G18" s="12"/>
      <c r="H18" s="12" t="s">
        <v>1306</v>
      </c>
      <c r="K18" s="12" t="s">
        <v>1307</v>
      </c>
      <c r="L18" s="12" t="s">
        <v>1308</v>
      </c>
    </row>
    <row r="19" spans="1:12">
      <c r="A19" s="12" t="s">
        <v>1293</v>
      </c>
      <c r="B19" s="12" t="s">
        <v>414</v>
      </c>
      <c r="C19" s="12"/>
      <c r="D19" s="12"/>
      <c r="E19" s="12"/>
      <c r="F19" s="12"/>
      <c r="G19" s="12"/>
      <c r="H19" s="12" t="s">
        <v>345</v>
      </c>
      <c r="I19">
        <v>31059</v>
      </c>
      <c r="J19" t="s">
        <v>346</v>
      </c>
      <c r="K19" s="12" t="s">
        <v>832</v>
      </c>
      <c r="L19" s="12"/>
    </row>
    <row r="20" spans="1:12">
      <c r="A20" s="12" t="s">
        <v>1310</v>
      </c>
      <c r="B20" s="12" t="s">
        <v>414</v>
      </c>
      <c r="C20" s="12"/>
      <c r="D20" s="12"/>
      <c r="E20" s="12"/>
      <c r="F20" s="12"/>
      <c r="G20" s="12"/>
      <c r="H20" s="12" t="s">
        <v>2954</v>
      </c>
      <c r="I20">
        <v>84000</v>
      </c>
      <c r="J20" t="s">
        <v>2968</v>
      </c>
      <c r="K20" s="12" t="s">
        <v>1296</v>
      </c>
      <c r="L20" s="12" t="s">
        <v>1308</v>
      </c>
    </row>
    <row r="21" spans="1:12">
      <c r="A21" t="s">
        <v>1322</v>
      </c>
      <c r="E21" t="s">
        <v>414</v>
      </c>
    </row>
    <row r="22" spans="1:12">
      <c r="A22" t="s">
        <v>1323</v>
      </c>
      <c r="E22" t="s">
        <v>414</v>
      </c>
    </row>
    <row r="23" spans="1:12">
      <c r="A23" t="s">
        <v>1324</v>
      </c>
      <c r="E23" t="s">
        <v>414</v>
      </c>
    </row>
    <row r="24" spans="1:12">
      <c r="A24" t="s">
        <v>1316</v>
      </c>
      <c r="D24" s="12" t="s">
        <v>414</v>
      </c>
    </row>
    <row r="25" spans="1:12">
      <c r="A25" t="s">
        <v>1319</v>
      </c>
      <c r="D25" s="12" t="s">
        <v>414</v>
      </c>
    </row>
    <row r="26" spans="1:12">
      <c r="A26" t="s">
        <v>1314</v>
      </c>
      <c r="D26" s="12" t="s">
        <v>414</v>
      </c>
    </row>
    <row r="27" spans="1:12">
      <c r="A27" t="s">
        <v>1317</v>
      </c>
      <c r="D27" s="12" t="s">
        <v>414</v>
      </c>
    </row>
    <row r="28" spans="1:12">
      <c r="A28" t="s">
        <v>1321</v>
      </c>
      <c r="D28" s="12" t="s">
        <v>414</v>
      </c>
    </row>
    <row r="29" spans="1:12">
      <c r="A29" t="s">
        <v>1312</v>
      </c>
      <c r="D29" s="12" t="s">
        <v>414</v>
      </c>
    </row>
    <row r="30" spans="1:12">
      <c r="A30" t="s">
        <v>1318</v>
      </c>
      <c r="D30" s="12" t="s">
        <v>414</v>
      </c>
    </row>
    <row r="31" spans="1:12">
      <c r="A31" t="s">
        <v>1315</v>
      </c>
      <c r="D31" s="12" t="s">
        <v>414</v>
      </c>
    </row>
    <row r="32" spans="1:12">
      <c r="A32" t="s">
        <v>1313</v>
      </c>
      <c r="D32" s="12" t="s">
        <v>414</v>
      </c>
    </row>
    <row r="33" spans="1:10">
      <c r="A33" t="s">
        <v>1320</v>
      </c>
      <c r="D33" s="12" t="s">
        <v>414</v>
      </c>
    </row>
    <row r="34" spans="1:10">
      <c r="A34" t="s">
        <v>1311</v>
      </c>
      <c r="C34" s="12" t="s">
        <v>414</v>
      </c>
    </row>
    <row r="35" spans="1:10">
      <c r="A35" t="s">
        <v>1340</v>
      </c>
      <c r="F35" t="s">
        <v>414</v>
      </c>
      <c r="G35" t="s">
        <v>414</v>
      </c>
      <c r="H35" t="s">
        <v>1712</v>
      </c>
      <c r="I35">
        <v>16000</v>
      </c>
      <c r="J35" t="s">
        <v>1713</v>
      </c>
    </row>
    <row r="36" spans="1:10">
      <c r="A36" t="s">
        <v>1502</v>
      </c>
      <c r="F36" t="s">
        <v>414</v>
      </c>
      <c r="G36" t="s">
        <v>414</v>
      </c>
      <c r="H36" t="s">
        <v>2040</v>
      </c>
      <c r="I36">
        <v>62404</v>
      </c>
      <c r="J36" t="s">
        <v>2041</v>
      </c>
    </row>
    <row r="37" spans="1:10">
      <c r="A37" t="s">
        <v>1332</v>
      </c>
      <c r="F37" t="s">
        <v>414</v>
      </c>
      <c r="G37" t="s">
        <v>414</v>
      </c>
      <c r="H37" t="s">
        <v>1696</v>
      </c>
      <c r="I37">
        <v>13005</v>
      </c>
      <c r="J37" t="s">
        <v>822</v>
      </c>
    </row>
    <row r="38" spans="1:10">
      <c r="A38" t="s">
        <v>1333</v>
      </c>
      <c r="F38" t="s">
        <v>414</v>
      </c>
      <c r="G38" t="s">
        <v>414</v>
      </c>
      <c r="H38" t="s">
        <v>1697</v>
      </c>
      <c r="I38">
        <v>13015</v>
      </c>
      <c r="J38" t="s">
        <v>822</v>
      </c>
    </row>
    <row r="39" spans="1:10">
      <c r="A39" t="s">
        <v>1345</v>
      </c>
      <c r="F39" t="s">
        <v>414</v>
      </c>
      <c r="G39" t="s">
        <v>414</v>
      </c>
      <c r="H39" t="s">
        <v>1722</v>
      </c>
      <c r="I39">
        <v>97100</v>
      </c>
      <c r="J39" t="s">
        <v>1723</v>
      </c>
    </row>
    <row r="40" spans="1:10">
      <c r="A40" t="s">
        <v>1503</v>
      </c>
      <c r="F40" t="s">
        <v>414</v>
      </c>
      <c r="G40" t="s">
        <v>414</v>
      </c>
      <c r="H40" t="s">
        <v>2042</v>
      </c>
      <c r="I40">
        <v>64100</v>
      </c>
      <c r="J40" t="s">
        <v>804</v>
      </c>
    </row>
    <row r="41" spans="1:10">
      <c r="A41" t="s">
        <v>1504</v>
      </c>
      <c r="F41" t="s">
        <v>414</v>
      </c>
      <c r="G41" t="s">
        <v>414</v>
      </c>
      <c r="H41" t="s">
        <v>2043</v>
      </c>
      <c r="I41">
        <v>75016</v>
      </c>
      <c r="J41" t="s">
        <v>700</v>
      </c>
    </row>
    <row r="42" spans="1:10">
      <c r="A42" t="s">
        <v>1582</v>
      </c>
      <c r="F42" t="s">
        <v>414</v>
      </c>
      <c r="G42" t="s">
        <v>414</v>
      </c>
      <c r="H42" t="s">
        <v>2180</v>
      </c>
      <c r="I42">
        <v>21079</v>
      </c>
      <c r="J42" t="s">
        <v>844</v>
      </c>
    </row>
    <row r="43" spans="1:10">
      <c r="A43" t="s">
        <v>1334</v>
      </c>
      <c r="F43" t="s">
        <v>414</v>
      </c>
      <c r="G43" t="s">
        <v>414</v>
      </c>
      <c r="H43" t="s">
        <v>1698</v>
      </c>
      <c r="I43">
        <v>87042</v>
      </c>
      <c r="J43" t="s">
        <v>855</v>
      </c>
    </row>
    <row r="44" spans="1:10">
      <c r="A44" t="s">
        <v>1335</v>
      </c>
      <c r="F44" t="s">
        <v>414</v>
      </c>
      <c r="G44" t="s">
        <v>414</v>
      </c>
      <c r="H44" t="s">
        <v>1699</v>
      </c>
      <c r="I44">
        <v>29672</v>
      </c>
      <c r="J44" t="s">
        <v>1700</v>
      </c>
    </row>
    <row r="45" spans="1:10">
      <c r="A45" t="s">
        <v>1389</v>
      </c>
      <c r="F45" t="s">
        <v>414</v>
      </c>
      <c r="G45" t="s">
        <v>414</v>
      </c>
      <c r="H45" t="s">
        <v>1816</v>
      </c>
      <c r="I45">
        <v>6414</v>
      </c>
      <c r="J45" t="s">
        <v>1817</v>
      </c>
    </row>
    <row r="46" spans="1:10">
      <c r="A46" t="s">
        <v>664</v>
      </c>
      <c r="F46" t="s">
        <v>414</v>
      </c>
      <c r="G46" t="s">
        <v>414</v>
      </c>
      <c r="H46" t="s">
        <v>1703</v>
      </c>
      <c r="I46">
        <v>64201</v>
      </c>
      <c r="J46" t="s">
        <v>1704</v>
      </c>
    </row>
    <row r="47" spans="1:10">
      <c r="A47" t="s">
        <v>1369</v>
      </c>
      <c r="F47" t="s">
        <v>414</v>
      </c>
      <c r="G47" t="s">
        <v>414</v>
      </c>
      <c r="H47" t="s">
        <v>1772</v>
      </c>
      <c r="I47">
        <v>30103</v>
      </c>
      <c r="J47" t="s">
        <v>1773</v>
      </c>
    </row>
    <row r="48" spans="1:10">
      <c r="A48" t="s">
        <v>1366</v>
      </c>
      <c r="F48" t="s">
        <v>414</v>
      </c>
      <c r="G48" t="s">
        <v>414</v>
      </c>
      <c r="H48" t="s">
        <v>1760</v>
      </c>
      <c r="I48">
        <v>61104</v>
      </c>
      <c r="J48" t="s">
        <v>1761</v>
      </c>
    </row>
    <row r="49" spans="1:10">
      <c r="A49" t="s">
        <v>695</v>
      </c>
      <c r="F49" t="s">
        <v>414</v>
      </c>
      <c r="G49" t="s">
        <v>414</v>
      </c>
      <c r="H49" t="s">
        <v>1762</v>
      </c>
      <c r="I49">
        <v>92200</v>
      </c>
      <c r="J49" t="s">
        <v>1763</v>
      </c>
    </row>
    <row r="50" spans="1:10">
      <c r="A50" t="s">
        <v>1367</v>
      </c>
      <c r="F50" t="s">
        <v>414</v>
      </c>
      <c r="G50" t="s">
        <v>414</v>
      </c>
      <c r="H50" t="s">
        <v>1764</v>
      </c>
      <c r="I50">
        <v>80142</v>
      </c>
      <c r="J50" t="s">
        <v>1765</v>
      </c>
    </row>
    <row r="51" spans="1:10">
      <c r="A51" t="s">
        <v>1368</v>
      </c>
      <c r="F51" t="s">
        <v>414</v>
      </c>
      <c r="G51" t="s">
        <v>414</v>
      </c>
      <c r="H51" t="s">
        <v>1766</v>
      </c>
      <c r="I51">
        <v>47923</v>
      </c>
      <c r="J51" t="s">
        <v>1767</v>
      </c>
    </row>
    <row r="52" spans="1:10">
      <c r="A52" t="s">
        <v>650</v>
      </c>
      <c r="F52" t="s">
        <v>414</v>
      </c>
      <c r="G52" t="s">
        <v>414</v>
      </c>
      <c r="H52" t="s">
        <v>1768</v>
      </c>
      <c r="I52">
        <v>45200</v>
      </c>
      <c r="J52" t="s">
        <v>1769</v>
      </c>
    </row>
    <row r="53" spans="1:10">
      <c r="A53" t="s">
        <v>682</v>
      </c>
      <c r="F53" t="s">
        <v>414</v>
      </c>
      <c r="G53" t="s">
        <v>414</v>
      </c>
      <c r="H53" t="s">
        <v>1770</v>
      </c>
      <c r="I53">
        <v>81013</v>
      </c>
      <c r="J53" t="s">
        <v>1771</v>
      </c>
    </row>
    <row r="54" spans="1:10">
      <c r="A54" t="s">
        <v>1370</v>
      </c>
      <c r="F54" t="s">
        <v>414</v>
      </c>
      <c r="G54" t="s">
        <v>414</v>
      </c>
      <c r="H54" t="s">
        <v>1774</v>
      </c>
      <c r="I54">
        <v>74130</v>
      </c>
      <c r="J54" t="s">
        <v>1775</v>
      </c>
    </row>
    <row r="55" spans="1:10">
      <c r="A55" t="s">
        <v>1371</v>
      </c>
      <c r="F55" t="s">
        <v>414</v>
      </c>
      <c r="G55" t="s">
        <v>414</v>
      </c>
      <c r="H55" t="s">
        <v>1776</v>
      </c>
      <c r="I55">
        <v>74370</v>
      </c>
      <c r="J55" t="s">
        <v>1777</v>
      </c>
    </row>
    <row r="56" spans="1:10">
      <c r="A56" t="s">
        <v>1373</v>
      </c>
      <c r="F56" t="s">
        <v>414</v>
      </c>
      <c r="G56" t="s">
        <v>414</v>
      </c>
      <c r="H56" t="s">
        <v>1780</v>
      </c>
      <c r="I56">
        <v>62022</v>
      </c>
      <c r="J56" t="s">
        <v>929</v>
      </c>
    </row>
    <row r="57" spans="1:10">
      <c r="A57" t="s">
        <v>1374</v>
      </c>
      <c r="F57" t="s">
        <v>414</v>
      </c>
      <c r="G57" t="s">
        <v>414</v>
      </c>
      <c r="H57" t="s">
        <v>1781</v>
      </c>
      <c r="I57">
        <v>62180</v>
      </c>
      <c r="J57" t="s">
        <v>1782</v>
      </c>
    </row>
    <row r="58" spans="1:10">
      <c r="A58" t="s">
        <v>1375</v>
      </c>
      <c r="F58" t="s">
        <v>414</v>
      </c>
      <c r="G58" t="s">
        <v>414</v>
      </c>
      <c r="H58" t="s">
        <v>1783</v>
      </c>
      <c r="I58">
        <v>32008</v>
      </c>
      <c r="J58" t="s">
        <v>1784</v>
      </c>
    </row>
    <row r="59" spans="1:10">
      <c r="A59" t="s">
        <v>690</v>
      </c>
      <c r="F59" t="s">
        <v>414</v>
      </c>
      <c r="G59" t="s">
        <v>414</v>
      </c>
      <c r="H59" t="s">
        <v>1785</v>
      </c>
      <c r="I59">
        <v>89011</v>
      </c>
      <c r="J59" t="s">
        <v>1786</v>
      </c>
    </row>
    <row r="60" spans="1:10">
      <c r="A60" t="s">
        <v>1386</v>
      </c>
      <c r="F60" t="s">
        <v>414</v>
      </c>
      <c r="G60" t="s">
        <v>414</v>
      </c>
      <c r="H60" t="s">
        <v>1811</v>
      </c>
      <c r="I60">
        <v>64109</v>
      </c>
      <c r="J60" t="s">
        <v>804</v>
      </c>
    </row>
    <row r="61" spans="1:10">
      <c r="A61" t="s">
        <v>1376</v>
      </c>
      <c r="F61" t="s">
        <v>414</v>
      </c>
      <c r="G61" t="s">
        <v>414</v>
      </c>
      <c r="H61" t="s">
        <v>1787</v>
      </c>
      <c r="I61">
        <v>60021</v>
      </c>
      <c r="J61" t="s">
        <v>1788</v>
      </c>
    </row>
    <row r="62" spans="1:10">
      <c r="A62" t="s">
        <v>645</v>
      </c>
      <c r="F62" t="s">
        <v>414</v>
      </c>
      <c r="G62" t="s">
        <v>414</v>
      </c>
      <c r="H62" t="s">
        <v>1789</v>
      </c>
      <c r="I62">
        <v>34525</v>
      </c>
      <c r="J62" t="s">
        <v>1790</v>
      </c>
    </row>
    <row r="63" spans="1:10">
      <c r="A63" t="s">
        <v>1378</v>
      </c>
      <c r="F63" t="s">
        <v>414</v>
      </c>
      <c r="G63" t="s">
        <v>414</v>
      </c>
      <c r="H63" t="s">
        <v>1793</v>
      </c>
      <c r="I63">
        <v>41016</v>
      </c>
      <c r="J63" t="s">
        <v>1794</v>
      </c>
    </row>
    <row r="64" spans="1:10">
      <c r="A64" t="s">
        <v>1674</v>
      </c>
      <c r="F64" t="s">
        <v>414</v>
      </c>
      <c r="H64" t="s">
        <v>2324</v>
      </c>
      <c r="I64">
        <v>31059</v>
      </c>
      <c r="J64" t="s">
        <v>833</v>
      </c>
    </row>
    <row r="65" spans="1:10">
      <c r="A65" t="s">
        <v>1365</v>
      </c>
      <c r="F65" t="s">
        <v>414</v>
      </c>
      <c r="G65" t="s">
        <v>414</v>
      </c>
      <c r="H65" t="s">
        <v>1758</v>
      </c>
      <c r="I65">
        <v>18020</v>
      </c>
      <c r="J65" t="s">
        <v>1759</v>
      </c>
    </row>
    <row r="66" spans="1:10">
      <c r="A66" t="s">
        <v>1380</v>
      </c>
      <c r="F66" t="s">
        <v>414</v>
      </c>
      <c r="G66" t="s">
        <v>414</v>
      </c>
      <c r="H66" t="s">
        <v>1796</v>
      </c>
      <c r="I66">
        <v>62107</v>
      </c>
      <c r="J66" t="s">
        <v>1797</v>
      </c>
    </row>
    <row r="67" spans="1:10">
      <c r="A67" t="s">
        <v>1381</v>
      </c>
      <c r="F67" t="s">
        <v>414</v>
      </c>
      <c r="G67" t="s">
        <v>414</v>
      </c>
      <c r="H67" t="s">
        <v>1798</v>
      </c>
      <c r="I67">
        <v>8011</v>
      </c>
      <c r="J67" t="s">
        <v>1799</v>
      </c>
    </row>
    <row r="68" spans="1:10">
      <c r="A68" t="s">
        <v>1382</v>
      </c>
      <c r="F68" t="s">
        <v>414</v>
      </c>
      <c r="G68" t="s">
        <v>414</v>
      </c>
      <c r="H68" t="s">
        <v>1800</v>
      </c>
      <c r="I68">
        <v>28630</v>
      </c>
      <c r="J68" t="s">
        <v>1801</v>
      </c>
    </row>
    <row r="69" spans="1:10">
      <c r="A69" t="s">
        <v>1383</v>
      </c>
      <c r="F69" t="s">
        <v>414</v>
      </c>
      <c r="G69" t="s">
        <v>414</v>
      </c>
      <c r="H69" t="s">
        <v>1802</v>
      </c>
      <c r="I69">
        <v>36019</v>
      </c>
      <c r="J69" t="s">
        <v>1803</v>
      </c>
    </row>
    <row r="70" spans="1:10">
      <c r="A70" t="s">
        <v>1806</v>
      </c>
      <c r="F70" t="s">
        <v>414</v>
      </c>
      <c r="G70" t="s">
        <v>414</v>
      </c>
      <c r="H70" t="s">
        <v>1807</v>
      </c>
      <c r="I70">
        <v>60321</v>
      </c>
      <c r="J70" t="s">
        <v>1808</v>
      </c>
    </row>
    <row r="71" spans="1:10">
      <c r="A71" t="s">
        <v>1385</v>
      </c>
      <c r="F71" t="s">
        <v>414</v>
      </c>
      <c r="G71" t="s">
        <v>414</v>
      </c>
      <c r="H71" t="s">
        <v>1809</v>
      </c>
      <c r="I71">
        <v>31806</v>
      </c>
      <c r="J71" t="s">
        <v>1810</v>
      </c>
    </row>
    <row r="72" spans="1:10">
      <c r="A72" t="s">
        <v>1391</v>
      </c>
      <c r="F72" t="s">
        <v>414</v>
      </c>
      <c r="G72" t="s">
        <v>414</v>
      </c>
      <c r="H72" t="s">
        <v>1819</v>
      </c>
      <c r="I72">
        <v>77527</v>
      </c>
      <c r="J72" t="s">
        <v>1820</v>
      </c>
    </row>
    <row r="73" spans="1:10">
      <c r="A73" t="s">
        <v>1392</v>
      </c>
      <c r="F73" t="s">
        <v>414</v>
      </c>
      <c r="G73" t="s">
        <v>414</v>
      </c>
      <c r="H73" t="s">
        <v>1821</v>
      </c>
      <c r="I73">
        <v>1440</v>
      </c>
      <c r="J73" t="s">
        <v>1822</v>
      </c>
    </row>
    <row r="74" spans="1:10">
      <c r="A74" t="s">
        <v>1394</v>
      </c>
      <c r="F74" t="s">
        <v>414</v>
      </c>
      <c r="G74" t="s">
        <v>414</v>
      </c>
      <c r="H74" t="s">
        <v>1825</v>
      </c>
      <c r="I74">
        <v>77100</v>
      </c>
      <c r="J74" t="s">
        <v>978</v>
      </c>
    </row>
    <row r="75" spans="1:10">
      <c r="A75" t="s">
        <v>1396</v>
      </c>
      <c r="F75" t="s">
        <v>414</v>
      </c>
      <c r="G75" t="s">
        <v>414</v>
      </c>
      <c r="H75" t="s">
        <v>1828</v>
      </c>
      <c r="I75">
        <v>3109</v>
      </c>
      <c r="J75" t="s">
        <v>1829</v>
      </c>
    </row>
    <row r="76" spans="1:10">
      <c r="A76" t="s">
        <v>1397</v>
      </c>
      <c r="F76" t="s">
        <v>414</v>
      </c>
      <c r="G76" t="s">
        <v>414</v>
      </c>
      <c r="H76" t="s">
        <v>1830</v>
      </c>
      <c r="I76">
        <v>3006</v>
      </c>
      <c r="J76" t="s">
        <v>1831</v>
      </c>
    </row>
    <row r="77" spans="1:10">
      <c r="A77" t="s">
        <v>681</v>
      </c>
      <c r="F77" t="s">
        <v>414</v>
      </c>
      <c r="G77" t="s">
        <v>414</v>
      </c>
      <c r="H77" t="s">
        <v>1834</v>
      </c>
      <c r="I77">
        <v>78514</v>
      </c>
      <c r="J77" t="s">
        <v>1835</v>
      </c>
    </row>
    <row r="78" spans="1:10">
      <c r="A78" t="s">
        <v>647</v>
      </c>
      <c r="F78" t="s">
        <v>414</v>
      </c>
      <c r="G78" t="s">
        <v>414</v>
      </c>
      <c r="H78" t="s">
        <v>1836</v>
      </c>
      <c r="I78">
        <v>42328</v>
      </c>
      <c r="J78" t="s">
        <v>1837</v>
      </c>
    </row>
    <row r="79" spans="1:10">
      <c r="A79" t="s">
        <v>1403</v>
      </c>
      <c r="F79" t="s">
        <v>414</v>
      </c>
      <c r="G79" t="s">
        <v>414</v>
      </c>
      <c r="H79" t="s">
        <v>1845</v>
      </c>
      <c r="I79">
        <v>59723</v>
      </c>
      <c r="J79" t="s">
        <v>1846</v>
      </c>
    </row>
    <row r="80" spans="1:10">
      <c r="A80" t="s">
        <v>1405</v>
      </c>
      <c r="F80" t="s">
        <v>414</v>
      </c>
      <c r="G80" t="s">
        <v>414</v>
      </c>
      <c r="H80" t="s">
        <v>1849</v>
      </c>
      <c r="I80">
        <v>59187</v>
      </c>
      <c r="J80" t="s">
        <v>1745</v>
      </c>
    </row>
    <row r="81" spans="1:10">
      <c r="A81" t="s">
        <v>1406</v>
      </c>
      <c r="F81" t="s">
        <v>414</v>
      </c>
      <c r="G81" t="s">
        <v>414</v>
      </c>
      <c r="H81" t="s">
        <v>1850</v>
      </c>
      <c r="I81">
        <v>28102</v>
      </c>
      <c r="J81" t="s">
        <v>1851</v>
      </c>
    </row>
    <row r="82" spans="1:10">
      <c r="A82" t="s">
        <v>1407</v>
      </c>
      <c r="F82" t="s">
        <v>414</v>
      </c>
      <c r="G82" t="s">
        <v>414</v>
      </c>
      <c r="H82" t="s">
        <v>1852</v>
      </c>
      <c r="I82">
        <v>42403</v>
      </c>
      <c r="J82" t="s">
        <v>1853</v>
      </c>
    </row>
    <row r="83" spans="1:10">
      <c r="A83" t="s">
        <v>673</v>
      </c>
      <c r="F83" t="s">
        <v>414</v>
      </c>
      <c r="G83" t="s">
        <v>414</v>
      </c>
      <c r="H83" t="s">
        <v>1854</v>
      </c>
      <c r="I83">
        <v>71604</v>
      </c>
      <c r="J83" t="s">
        <v>1855</v>
      </c>
    </row>
    <row r="84" spans="1:10">
      <c r="A84" t="s">
        <v>1408</v>
      </c>
      <c r="F84" t="s">
        <v>414</v>
      </c>
      <c r="G84" t="s">
        <v>414</v>
      </c>
      <c r="H84" t="s">
        <v>1856</v>
      </c>
      <c r="I84">
        <v>59140</v>
      </c>
      <c r="J84" t="s">
        <v>1857</v>
      </c>
    </row>
    <row r="85" spans="1:10">
      <c r="A85" t="s">
        <v>648</v>
      </c>
      <c r="F85" t="s">
        <v>414</v>
      </c>
      <c r="G85" t="s">
        <v>414</v>
      </c>
      <c r="H85" t="s">
        <v>1858</v>
      </c>
      <c r="I85">
        <v>43012</v>
      </c>
      <c r="J85" t="s">
        <v>900</v>
      </c>
    </row>
    <row r="86" spans="1:10">
      <c r="A86" t="s">
        <v>1409</v>
      </c>
      <c r="F86" t="s">
        <v>414</v>
      </c>
      <c r="G86" t="s">
        <v>414</v>
      </c>
      <c r="H86" t="s">
        <v>1859</v>
      </c>
      <c r="I86">
        <v>27015</v>
      </c>
      <c r="J86" t="s">
        <v>1860</v>
      </c>
    </row>
    <row r="87" spans="1:10">
      <c r="A87" t="s">
        <v>1410</v>
      </c>
      <c r="F87" t="s">
        <v>414</v>
      </c>
      <c r="G87" t="s">
        <v>414</v>
      </c>
      <c r="H87" t="s">
        <v>1861</v>
      </c>
      <c r="I87">
        <v>78201</v>
      </c>
      <c r="J87" t="s">
        <v>1862</v>
      </c>
    </row>
    <row r="88" spans="1:10">
      <c r="A88" t="s">
        <v>1412</v>
      </c>
      <c r="F88" t="s">
        <v>414</v>
      </c>
      <c r="G88" t="s">
        <v>414</v>
      </c>
      <c r="H88" t="s">
        <v>1865</v>
      </c>
      <c r="I88">
        <v>93205</v>
      </c>
      <c r="J88" t="s">
        <v>1866</v>
      </c>
    </row>
    <row r="89" spans="1:10">
      <c r="A89" t="s">
        <v>1413</v>
      </c>
      <c r="F89" t="s">
        <v>414</v>
      </c>
      <c r="G89" t="s">
        <v>414</v>
      </c>
      <c r="H89" t="s">
        <v>1867</v>
      </c>
      <c r="I89">
        <v>60109</v>
      </c>
      <c r="J89" t="s">
        <v>1868</v>
      </c>
    </row>
    <row r="90" spans="1:10">
      <c r="A90" t="s">
        <v>1415</v>
      </c>
      <c r="F90" t="s">
        <v>414</v>
      </c>
      <c r="G90" t="s">
        <v>414</v>
      </c>
      <c r="H90" t="s">
        <v>1871</v>
      </c>
      <c r="I90">
        <v>15002</v>
      </c>
      <c r="J90" t="s">
        <v>1752</v>
      </c>
    </row>
    <row r="91" spans="1:10">
      <c r="A91" t="s">
        <v>1416</v>
      </c>
      <c r="F91" t="s">
        <v>414</v>
      </c>
      <c r="G91" t="s">
        <v>414</v>
      </c>
      <c r="H91" t="s">
        <v>1872</v>
      </c>
      <c r="I91">
        <v>3201</v>
      </c>
      <c r="J91" t="s">
        <v>1873</v>
      </c>
    </row>
    <row r="92" spans="1:10">
      <c r="A92" t="s">
        <v>1417</v>
      </c>
      <c r="F92" t="s">
        <v>414</v>
      </c>
      <c r="G92" t="s">
        <v>414</v>
      </c>
      <c r="H92" t="s">
        <v>1874</v>
      </c>
      <c r="I92">
        <v>46005</v>
      </c>
      <c r="J92" t="s">
        <v>1875</v>
      </c>
    </row>
    <row r="93" spans="1:10">
      <c r="A93" t="s">
        <v>1418</v>
      </c>
      <c r="F93" t="s">
        <v>414</v>
      </c>
      <c r="G93" t="s">
        <v>414</v>
      </c>
      <c r="H93" t="s">
        <v>1876</v>
      </c>
      <c r="I93">
        <v>13637</v>
      </c>
      <c r="J93" t="s">
        <v>1877</v>
      </c>
    </row>
    <row r="94" spans="1:10">
      <c r="A94" t="s">
        <v>1419</v>
      </c>
      <c r="F94" t="s">
        <v>414</v>
      </c>
      <c r="G94" t="s">
        <v>414</v>
      </c>
      <c r="H94" t="s">
        <v>1878</v>
      </c>
      <c r="I94">
        <v>83007</v>
      </c>
      <c r="J94" t="s">
        <v>1879</v>
      </c>
    </row>
    <row r="95" spans="1:10">
      <c r="A95" t="s">
        <v>1420</v>
      </c>
      <c r="F95" t="s">
        <v>414</v>
      </c>
      <c r="G95" t="s">
        <v>414</v>
      </c>
      <c r="H95" t="s">
        <v>1880</v>
      </c>
      <c r="I95">
        <v>2001</v>
      </c>
      <c r="J95" t="s">
        <v>1881</v>
      </c>
    </row>
    <row r="96" spans="1:10">
      <c r="A96" t="s">
        <v>672</v>
      </c>
      <c r="F96" t="s">
        <v>414</v>
      </c>
      <c r="G96" t="s">
        <v>414</v>
      </c>
      <c r="H96" t="s">
        <v>1885</v>
      </c>
      <c r="I96">
        <v>71000</v>
      </c>
      <c r="J96" t="s">
        <v>1886</v>
      </c>
    </row>
    <row r="97" spans="1:10">
      <c r="A97" t="s">
        <v>1423</v>
      </c>
      <c r="F97" t="s">
        <v>414</v>
      </c>
      <c r="G97" t="s">
        <v>414</v>
      </c>
      <c r="H97" t="s">
        <v>1887</v>
      </c>
      <c r="I97">
        <v>76503</v>
      </c>
      <c r="J97" t="s">
        <v>1888</v>
      </c>
    </row>
    <row r="98" spans="1:10">
      <c r="A98" t="s">
        <v>1424</v>
      </c>
      <c r="F98" t="s">
        <v>414</v>
      </c>
      <c r="G98" t="s">
        <v>414</v>
      </c>
      <c r="H98" t="s">
        <v>1889</v>
      </c>
      <c r="I98">
        <v>39016</v>
      </c>
      <c r="J98" t="s">
        <v>1890</v>
      </c>
    </row>
    <row r="99" spans="1:10">
      <c r="A99" t="s">
        <v>1425</v>
      </c>
      <c r="F99" t="s">
        <v>414</v>
      </c>
      <c r="G99" t="s">
        <v>414</v>
      </c>
      <c r="H99" t="s">
        <v>1891</v>
      </c>
      <c r="I99">
        <v>30205</v>
      </c>
      <c r="J99" t="s">
        <v>1892</v>
      </c>
    </row>
    <row r="100" spans="1:10">
      <c r="A100" t="s">
        <v>1426</v>
      </c>
      <c r="F100" t="s">
        <v>414</v>
      </c>
      <c r="G100" t="s">
        <v>414</v>
      </c>
      <c r="H100" t="s">
        <v>1893</v>
      </c>
      <c r="I100">
        <v>38200</v>
      </c>
      <c r="J100" t="s">
        <v>766</v>
      </c>
    </row>
    <row r="101" spans="1:10">
      <c r="A101" t="s">
        <v>1428</v>
      </c>
      <c r="F101" t="s">
        <v>414</v>
      </c>
      <c r="G101" t="s">
        <v>414</v>
      </c>
      <c r="H101" t="s">
        <v>1896</v>
      </c>
      <c r="I101">
        <v>50009</v>
      </c>
      <c r="J101" t="s">
        <v>1897</v>
      </c>
    </row>
    <row r="102" spans="1:10">
      <c r="A102" t="s">
        <v>683</v>
      </c>
      <c r="F102" t="s">
        <v>414</v>
      </c>
      <c r="G102" t="s">
        <v>414</v>
      </c>
      <c r="H102" t="s">
        <v>1898</v>
      </c>
      <c r="I102">
        <v>82013</v>
      </c>
      <c r="J102" t="s">
        <v>1899</v>
      </c>
    </row>
    <row r="103" spans="1:10">
      <c r="A103" t="s">
        <v>632</v>
      </c>
      <c r="F103" t="s">
        <v>414</v>
      </c>
      <c r="G103" t="s">
        <v>414</v>
      </c>
      <c r="H103" t="s">
        <v>1900</v>
      </c>
      <c r="I103">
        <v>11108</v>
      </c>
      <c r="J103" t="s">
        <v>1901</v>
      </c>
    </row>
    <row r="104" spans="1:10">
      <c r="A104" t="s">
        <v>1429</v>
      </c>
      <c r="F104" t="s">
        <v>414</v>
      </c>
      <c r="G104" t="s">
        <v>414</v>
      </c>
      <c r="H104" t="s">
        <v>1902</v>
      </c>
      <c r="I104">
        <v>69400</v>
      </c>
      <c r="J104" t="s">
        <v>1903</v>
      </c>
    </row>
    <row r="105" spans="1:10">
      <c r="A105" t="s">
        <v>1430</v>
      </c>
      <c r="F105" t="s">
        <v>414</v>
      </c>
      <c r="G105" t="s">
        <v>414</v>
      </c>
      <c r="H105" t="s">
        <v>1904</v>
      </c>
      <c r="I105">
        <v>95300</v>
      </c>
      <c r="J105" t="s">
        <v>1905</v>
      </c>
    </row>
    <row r="106" spans="1:10">
      <c r="A106" t="s">
        <v>1390</v>
      </c>
      <c r="F106" t="s">
        <v>414</v>
      </c>
      <c r="G106" t="s">
        <v>414</v>
      </c>
      <c r="H106" t="s">
        <v>1818</v>
      </c>
      <c r="I106">
        <v>49325</v>
      </c>
      <c r="J106" t="s">
        <v>961</v>
      </c>
    </row>
    <row r="107" spans="1:10">
      <c r="A107" t="s">
        <v>667</v>
      </c>
      <c r="F107" t="s">
        <v>414</v>
      </c>
      <c r="G107" t="s">
        <v>414</v>
      </c>
      <c r="H107" t="s">
        <v>1906</v>
      </c>
      <c r="I107">
        <v>66046</v>
      </c>
      <c r="J107" t="s">
        <v>1907</v>
      </c>
    </row>
    <row r="108" spans="1:10">
      <c r="A108" t="s">
        <v>1431</v>
      </c>
      <c r="F108" t="s">
        <v>414</v>
      </c>
      <c r="G108" t="s">
        <v>414</v>
      </c>
      <c r="H108" t="s">
        <v>1908</v>
      </c>
      <c r="I108">
        <v>38302</v>
      </c>
      <c r="J108" t="s">
        <v>1909</v>
      </c>
    </row>
    <row r="109" spans="1:10">
      <c r="A109" t="s">
        <v>1432</v>
      </c>
      <c r="F109" t="s">
        <v>414</v>
      </c>
      <c r="G109" t="s">
        <v>414</v>
      </c>
      <c r="H109" t="s">
        <v>1910</v>
      </c>
      <c r="I109">
        <v>26216</v>
      </c>
      <c r="J109" t="s">
        <v>1911</v>
      </c>
    </row>
    <row r="110" spans="1:10">
      <c r="A110" t="s">
        <v>1436</v>
      </c>
      <c r="F110" t="s">
        <v>414</v>
      </c>
      <c r="G110" t="s">
        <v>414</v>
      </c>
      <c r="H110" t="s">
        <v>1918</v>
      </c>
      <c r="I110">
        <v>67703</v>
      </c>
      <c r="J110" t="s">
        <v>1919</v>
      </c>
    </row>
    <row r="111" spans="1:10">
      <c r="A111" t="s">
        <v>1435</v>
      </c>
      <c r="F111" t="s">
        <v>414</v>
      </c>
      <c r="G111" t="s">
        <v>414</v>
      </c>
      <c r="H111" t="s">
        <v>1916</v>
      </c>
      <c r="I111">
        <v>2321</v>
      </c>
      <c r="J111" t="s">
        <v>1917</v>
      </c>
    </row>
    <row r="112" spans="1:10">
      <c r="A112" t="s">
        <v>693</v>
      </c>
      <c r="F112" t="s">
        <v>414</v>
      </c>
      <c r="G112" t="s">
        <v>414</v>
      </c>
      <c r="H112" t="s">
        <v>1920</v>
      </c>
      <c r="I112">
        <v>89108</v>
      </c>
      <c r="J112" t="s">
        <v>1921</v>
      </c>
    </row>
    <row r="113" spans="1:10">
      <c r="A113" t="s">
        <v>1437</v>
      </c>
      <c r="F113" t="s">
        <v>414</v>
      </c>
      <c r="G113" t="s">
        <v>414</v>
      </c>
      <c r="H113" t="s">
        <v>1922</v>
      </c>
      <c r="I113">
        <v>2209</v>
      </c>
      <c r="J113" t="s">
        <v>1923</v>
      </c>
    </row>
    <row r="114" spans="1:10">
      <c r="A114" t="s">
        <v>669</v>
      </c>
      <c r="F114" t="s">
        <v>414</v>
      </c>
      <c r="G114" t="s">
        <v>414</v>
      </c>
      <c r="H114" t="s">
        <v>1924</v>
      </c>
      <c r="I114">
        <v>69365</v>
      </c>
      <c r="J114" t="s">
        <v>903</v>
      </c>
    </row>
    <row r="115" spans="1:10">
      <c r="A115" t="s">
        <v>1438</v>
      </c>
      <c r="F115" t="s">
        <v>414</v>
      </c>
      <c r="G115" t="s">
        <v>414</v>
      </c>
      <c r="H115" t="s">
        <v>1925</v>
      </c>
      <c r="I115">
        <v>77305</v>
      </c>
      <c r="J115" t="s">
        <v>1926</v>
      </c>
    </row>
    <row r="116" spans="1:10">
      <c r="A116" t="s">
        <v>1440</v>
      </c>
      <c r="F116" t="s">
        <v>414</v>
      </c>
      <c r="G116" t="s">
        <v>414</v>
      </c>
      <c r="H116" t="s">
        <v>1929</v>
      </c>
      <c r="I116">
        <v>65013</v>
      </c>
      <c r="J116" t="s">
        <v>1930</v>
      </c>
    </row>
    <row r="117" spans="1:10">
      <c r="A117" t="s">
        <v>1441</v>
      </c>
      <c r="F117" t="s">
        <v>414</v>
      </c>
      <c r="G117" t="s">
        <v>414</v>
      </c>
      <c r="H117" t="s">
        <v>1931</v>
      </c>
      <c r="I117">
        <v>65107</v>
      </c>
      <c r="J117" t="s">
        <v>1932</v>
      </c>
    </row>
    <row r="118" spans="1:10">
      <c r="A118" t="s">
        <v>660</v>
      </c>
      <c r="F118" t="s">
        <v>414</v>
      </c>
      <c r="G118" t="s">
        <v>414</v>
      </c>
      <c r="H118" t="s">
        <v>1933</v>
      </c>
      <c r="I118">
        <v>59322</v>
      </c>
      <c r="J118" t="s">
        <v>1934</v>
      </c>
    </row>
    <row r="119" spans="1:10">
      <c r="A119" t="s">
        <v>1442</v>
      </c>
      <c r="F119" t="s">
        <v>414</v>
      </c>
      <c r="G119" t="s">
        <v>414</v>
      </c>
      <c r="H119" t="s">
        <v>1935</v>
      </c>
      <c r="I119">
        <v>55107</v>
      </c>
      <c r="J119" t="s">
        <v>1936</v>
      </c>
    </row>
    <row r="120" spans="1:10">
      <c r="A120" t="s">
        <v>1443</v>
      </c>
      <c r="F120" t="s">
        <v>414</v>
      </c>
      <c r="G120" t="s">
        <v>414</v>
      </c>
      <c r="H120" t="s">
        <v>1937</v>
      </c>
      <c r="I120">
        <v>95107</v>
      </c>
      <c r="J120" t="s">
        <v>1938</v>
      </c>
    </row>
    <row r="121" spans="1:10">
      <c r="A121" t="s">
        <v>1444</v>
      </c>
      <c r="F121" t="s">
        <v>414</v>
      </c>
      <c r="G121" t="s">
        <v>414</v>
      </c>
      <c r="H121" t="s">
        <v>1939</v>
      </c>
      <c r="I121">
        <v>12200</v>
      </c>
      <c r="J121" t="s">
        <v>1940</v>
      </c>
    </row>
    <row r="122" spans="1:10">
      <c r="A122" t="s">
        <v>674</v>
      </c>
      <c r="F122" t="s">
        <v>414</v>
      </c>
      <c r="G122" t="s">
        <v>414</v>
      </c>
      <c r="H122" t="s">
        <v>1941</v>
      </c>
      <c r="I122">
        <v>71321</v>
      </c>
      <c r="J122" t="s">
        <v>907</v>
      </c>
    </row>
    <row r="123" spans="1:10">
      <c r="A123" t="s">
        <v>1388</v>
      </c>
      <c r="F123" t="s">
        <v>414</v>
      </c>
      <c r="G123" t="s">
        <v>414</v>
      </c>
      <c r="H123" t="s">
        <v>1814</v>
      </c>
      <c r="I123">
        <v>84902</v>
      </c>
      <c r="J123" t="s">
        <v>1815</v>
      </c>
    </row>
    <row r="124" spans="1:10">
      <c r="A124" t="s">
        <v>1402</v>
      </c>
      <c r="F124" t="s">
        <v>414</v>
      </c>
      <c r="G124" t="s">
        <v>414</v>
      </c>
      <c r="H124" t="s">
        <v>1843</v>
      </c>
      <c r="I124">
        <v>78157</v>
      </c>
      <c r="J124" t="s">
        <v>1844</v>
      </c>
    </row>
    <row r="125" spans="1:10">
      <c r="A125" t="s">
        <v>1564</v>
      </c>
      <c r="F125" t="s">
        <v>414</v>
      </c>
      <c r="G125" t="s">
        <v>414</v>
      </c>
      <c r="H125" t="s">
        <v>2154</v>
      </c>
      <c r="I125">
        <v>67200</v>
      </c>
      <c r="J125" t="s">
        <v>2056</v>
      </c>
    </row>
    <row r="126" spans="1:10">
      <c r="A126" t="s">
        <v>1448</v>
      </c>
      <c r="F126" t="s">
        <v>414</v>
      </c>
      <c r="G126" t="s">
        <v>414</v>
      </c>
      <c r="H126" t="s">
        <v>1948</v>
      </c>
      <c r="I126">
        <v>85925</v>
      </c>
      <c r="J126" t="s">
        <v>1949</v>
      </c>
    </row>
    <row r="127" spans="1:10">
      <c r="A127" t="s">
        <v>1451</v>
      </c>
      <c r="F127" t="s">
        <v>414</v>
      </c>
      <c r="G127" t="s">
        <v>414</v>
      </c>
      <c r="H127" t="s">
        <v>1953</v>
      </c>
      <c r="I127">
        <v>5007</v>
      </c>
      <c r="J127" t="s">
        <v>1954</v>
      </c>
    </row>
    <row r="128" spans="1:10">
      <c r="A128" t="s">
        <v>1452</v>
      </c>
      <c r="F128" t="s">
        <v>414</v>
      </c>
      <c r="G128" t="s">
        <v>414</v>
      </c>
      <c r="H128" t="s">
        <v>1955</v>
      </c>
      <c r="I128">
        <v>88021</v>
      </c>
      <c r="J128" t="s">
        <v>1956</v>
      </c>
    </row>
    <row r="129" spans="1:10">
      <c r="A129" t="s">
        <v>1454</v>
      </c>
      <c r="F129" t="s">
        <v>414</v>
      </c>
      <c r="G129" t="s">
        <v>414</v>
      </c>
      <c r="H129" t="s">
        <v>1959</v>
      </c>
      <c r="I129">
        <v>88100</v>
      </c>
      <c r="J129" t="s">
        <v>1960</v>
      </c>
    </row>
    <row r="130" spans="1:10">
      <c r="A130" t="s">
        <v>1458</v>
      </c>
      <c r="F130" t="s">
        <v>414</v>
      </c>
      <c r="G130" t="s">
        <v>414</v>
      </c>
      <c r="H130" t="s">
        <v>1967</v>
      </c>
      <c r="I130">
        <v>93602</v>
      </c>
      <c r="J130" t="s">
        <v>1968</v>
      </c>
    </row>
    <row r="131" spans="1:10">
      <c r="A131" t="s">
        <v>1460</v>
      </c>
      <c r="F131" t="s">
        <v>414</v>
      </c>
      <c r="G131" t="s">
        <v>414</v>
      </c>
      <c r="H131" t="s">
        <v>1971</v>
      </c>
      <c r="I131">
        <v>81108</v>
      </c>
      <c r="J131" t="s">
        <v>1972</v>
      </c>
    </row>
    <row r="132" spans="1:10">
      <c r="A132" t="s">
        <v>1461</v>
      </c>
      <c r="F132" t="s">
        <v>414</v>
      </c>
      <c r="G132" t="s">
        <v>414</v>
      </c>
      <c r="H132" t="s">
        <v>1973</v>
      </c>
      <c r="I132">
        <v>29107</v>
      </c>
      <c r="J132" t="s">
        <v>918</v>
      </c>
    </row>
    <row r="133" spans="1:10">
      <c r="A133" t="s">
        <v>1463</v>
      </c>
      <c r="F133" t="s">
        <v>414</v>
      </c>
      <c r="G133" t="s">
        <v>414</v>
      </c>
      <c r="H133" t="s">
        <v>1976</v>
      </c>
      <c r="I133">
        <v>83056</v>
      </c>
      <c r="J133" t="s">
        <v>865</v>
      </c>
    </row>
    <row r="134" spans="1:10">
      <c r="A134" t="s">
        <v>1464</v>
      </c>
      <c r="F134" t="s">
        <v>414</v>
      </c>
      <c r="G134" t="s">
        <v>414</v>
      </c>
      <c r="H134" t="s">
        <v>1977</v>
      </c>
      <c r="I134">
        <v>9000</v>
      </c>
      <c r="J134" t="s">
        <v>1978</v>
      </c>
    </row>
    <row r="135" spans="1:10">
      <c r="A135" t="s">
        <v>1466</v>
      </c>
      <c r="F135" t="s">
        <v>414</v>
      </c>
      <c r="G135" t="s">
        <v>414</v>
      </c>
      <c r="H135" t="s">
        <v>1981</v>
      </c>
      <c r="I135">
        <v>73011</v>
      </c>
      <c r="J135" t="s">
        <v>1982</v>
      </c>
    </row>
    <row r="136" spans="1:10">
      <c r="A136" t="s">
        <v>1467</v>
      </c>
      <c r="F136" t="s">
        <v>414</v>
      </c>
      <c r="G136" t="s">
        <v>414</v>
      </c>
      <c r="H136" t="s">
        <v>1983</v>
      </c>
      <c r="I136">
        <v>35768</v>
      </c>
      <c r="J136" t="s">
        <v>1984</v>
      </c>
    </row>
    <row r="137" spans="1:10">
      <c r="A137" t="s">
        <v>1468</v>
      </c>
      <c r="F137" t="s">
        <v>414</v>
      </c>
      <c r="G137" t="s">
        <v>414</v>
      </c>
      <c r="H137" t="s">
        <v>1985</v>
      </c>
      <c r="I137">
        <v>95520</v>
      </c>
      <c r="J137" t="s">
        <v>939</v>
      </c>
    </row>
    <row r="138" spans="1:10">
      <c r="A138" t="s">
        <v>1469</v>
      </c>
      <c r="F138" t="s">
        <v>414</v>
      </c>
      <c r="G138" t="s">
        <v>414</v>
      </c>
      <c r="H138" t="s">
        <v>1986</v>
      </c>
      <c r="I138">
        <v>50102</v>
      </c>
      <c r="J138" t="s">
        <v>1987</v>
      </c>
    </row>
    <row r="139" spans="1:10">
      <c r="A139" t="s">
        <v>1470</v>
      </c>
      <c r="F139" t="s">
        <v>414</v>
      </c>
      <c r="G139" t="s">
        <v>414</v>
      </c>
      <c r="H139" t="s">
        <v>1988</v>
      </c>
      <c r="I139">
        <v>49933</v>
      </c>
      <c r="J139" t="s">
        <v>958</v>
      </c>
    </row>
    <row r="140" spans="1:10">
      <c r="A140" t="s">
        <v>1472</v>
      </c>
      <c r="F140" t="s">
        <v>414</v>
      </c>
      <c r="G140" t="s">
        <v>414</v>
      </c>
      <c r="H140" t="s">
        <v>1990</v>
      </c>
      <c r="I140">
        <v>37044</v>
      </c>
      <c r="J140" t="s">
        <v>818</v>
      </c>
    </row>
    <row r="141" spans="1:10">
      <c r="A141" t="s">
        <v>1475</v>
      </c>
      <c r="F141" t="s">
        <v>414</v>
      </c>
      <c r="G141" t="s">
        <v>414</v>
      </c>
      <c r="H141" t="s">
        <v>1994</v>
      </c>
      <c r="I141">
        <v>45067</v>
      </c>
      <c r="J141" t="s">
        <v>1995</v>
      </c>
    </row>
    <row r="142" spans="1:10">
      <c r="A142" t="s">
        <v>1477</v>
      </c>
      <c r="F142" t="s">
        <v>414</v>
      </c>
      <c r="G142" t="s">
        <v>414</v>
      </c>
      <c r="H142" t="s">
        <v>1997</v>
      </c>
      <c r="I142">
        <v>35000</v>
      </c>
      <c r="J142" t="s">
        <v>1702</v>
      </c>
    </row>
    <row r="143" spans="1:10">
      <c r="A143" t="s">
        <v>1478</v>
      </c>
      <c r="F143" t="s">
        <v>414</v>
      </c>
      <c r="G143" t="s">
        <v>414</v>
      </c>
      <c r="H143" t="s">
        <v>1998</v>
      </c>
      <c r="I143">
        <v>37170</v>
      </c>
      <c r="J143" t="s">
        <v>1999</v>
      </c>
    </row>
    <row r="144" spans="1:10">
      <c r="A144" t="s">
        <v>1479</v>
      </c>
      <c r="F144" t="s">
        <v>414</v>
      </c>
      <c r="G144" t="s">
        <v>414</v>
      </c>
      <c r="H144" t="s">
        <v>2000</v>
      </c>
      <c r="I144">
        <v>14033</v>
      </c>
      <c r="J144" t="s">
        <v>808</v>
      </c>
    </row>
    <row r="145" spans="1:10">
      <c r="A145" t="s">
        <v>1481</v>
      </c>
      <c r="F145" t="s">
        <v>414</v>
      </c>
      <c r="G145" t="s">
        <v>414</v>
      </c>
      <c r="H145" t="s">
        <v>2002</v>
      </c>
      <c r="I145">
        <v>44093</v>
      </c>
      <c r="J145" t="s">
        <v>2003</v>
      </c>
    </row>
    <row r="146" spans="1:10">
      <c r="A146" t="s">
        <v>1486</v>
      </c>
      <c r="F146" t="s">
        <v>414</v>
      </c>
      <c r="G146" t="s">
        <v>414</v>
      </c>
      <c r="H146" t="s">
        <v>2010</v>
      </c>
      <c r="I146">
        <v>86021</v>
      </c>
      <c r="J146" t="s">
        <v>888</v>
      </c>
    </row>
    <row r="147" spans="1:10">
      <c r="A147" t="s">
        <v>1487</v>
      </c>
      <c r="F147" t="s">
        <v>414</v>
      </c>
      <c r="G147" t="s">
        <v>414</v>
      </c>
      <c r="H147" t="s">
        <v>2011</v>
      </c>
      <c r="I147">
        <v>30029</v>
      </c>
      <c r="J147" t="s">
        <v>951</v>
      </c>
    </row>
    <row r="148" spans="1:10">
      <c r="A148" t="s">
        <v>1489</v>
      </c>
      <c r="F148" t="s">
        <v>414</v>
      </c>
      <c r="G148" t="s">
        <v>414</v>
      </c>
      <c r="H148" t="s">
        <v>2013</v>
      </c>
      <c r="I148">
        <v>97448</v>
      </c>
      <c r="J148" t="s">
        <v>2014</v>
      </c>
    </row>
    <row r="149" spans="1:10">
      <c r="A149" t="s">
        <v>1642</v>
      </c>
      <c r="F149" t="s">
        <v>414</v>
      </c>
      <c r="G149" t="s">
        <v>414</v>
      </c>
      <c r="H149" t="s">
        <v>2278</v>
      </c>
      <c r="I149">
        <v>21203</v>
      </c>
      <c r="J149" t="s">
        <v>2279</v>
      </c>
    </row>
    <row r="150" spans="1:10">
      <c r="A150" t="s">
        <v>1491</v>
      </c>
      <c r="F150" t="s">
        <v>414</v>
      </c>
      <c r="G150" t="s">
        <v>414</v>
      </c>
      <c r="H150" t="s">
        <v>2017</v>
      </c>
      <c r="I150">
        <v>81000</v>
      </c>
      <c r="J150" t="s">
        <v>1771</v>
      </c>
    </row>
    <row r="151" spans="1:10">
      <c r="A151" t="s">
        <v>1492</v>
      </c>
      <c r="F151" t="s">
        <v>414</v>
      </c>
      <c r="G151" t="s">
        <v>414</v>
      </c>
      <c r="H151" t="s">
        <v>2018</v>
      </c>
      <c r="I151">
        <v>34000</v>
      </c>
      <c r="J151" t="s">
        <v>858</v>
      </c>
    </row>
    <row r="152" spans="1:10">
      <c r="A152" t="s">
        <v>1494</v>
      </c>
      <c r="F152" t="s">
        <v>414</v>
      </c>
      <c r="G152" t="s">
        <v>414</v>
      </c>
      <c r="H152" t="s">
        <v>2021</v>
      </c>
      <c r="I152">
        <v>31240</v>
      </c>
      <c r="J152" t="s">
        <v>2022</v>
      </c>
    </row>
    <row r="153" spans="1:10">
      <c r="A153" t="s">
        <v>1493</v>
      </c>
      <c r="F153" t="s">
        <v>414</v>
      </c>
      <c r="G153" t="s">
        <v>414</v>
      </c>
      <c r="H153" t="s">
        <v>2019</v>
      </c>
      <c r="I153">
        <v>31603</v>
      </c>
      <c r="J153" t="s">
        <v>2020</v>
      </c>
    </row>
    <row r="154" spans="1:10">
      <c r="A154" t="s">
        <v>1496</v>
      </c>
      <c r="F154" t="s">
        <v>414</v>
      </c>
      <c r="G154" t="s">
        <v>414</v>
      </c>
      <c r="H154" t="s">
        <v>2025</v>
      </c>
      <c r="I154">
        <v>34171</v>
      </c>
      <c r="J154" t="s">
        <v>2026</v>
      </c>
    </row>
    <row r="155" spans="1:10">
      <c r="A155" t="s">
        <v>1497</v>
      </c>
      <c r="F155" t="s">
        <v>414</v>
      </c>
      <c r="G155" t="s">
        <v>414</v>
      </c>
      <c r="H155" t="s">
        <v>2027</v>
      </c>
      <c r="I155">
        <v>31076</v>
      </c>
      <c r="J155" t="s">
        <v>833</v>
      </c>
    </row>
    <row r="156" spans="1:10">
      <c r="A156" t="s">
        <v>1499</v>
      </c>
      <c r="F156" t="s">
        <v>414</v>
      </c>
      <c r="G156" t="s">
        <v>414</v>
      </c>
      <c r="H156" t="s">
        <v>2029</v>
      </c>
      <c r="I156">
        <v>66012</v>
      </c>
      <c r="J156" t="s">
        <v>1907</v>
      </c>
    </row>
    <row r="157" spans="1:10">
      <c r="A157" t="s">
        <v>1506</v>
      </c>
      <c r="F157" t="s">
        <v>414</v>
      </c>
      <c r="G157" t="s">
        <v>414</v>
      </c>
      <c r="H157" t="s">
        <v>2045</v>
      </c>
      <c r="I157">
        <v>95124</v>
      </c>
      <c r="J157" t="s">
        <v>2046</v>
      </c>
    </row>
    <row r="158" spans="1:10">
      <c r="A158" t="s">
        <v>676</v>
      </c>
      <c r="F158" t="s">
        <v>414</v>
      </c>
      <c r="G158" t="s">
        <v>414</v>
      </c>
      <c r="H158" t="s">
        <v>2030</v>
      </c>
      <c r="I158">
        <v>75248</v>
      </c>
      <c r="J158" t="s">
        <v>700</v>
      </c>
    </row>
    <row r="159" spans="1:10">
      <c r="A159" t="s">
        <v>658</v>
      </c>
      <c r="F159" t="s">
        <v>414</v>
      </c>
      <c r="G159" t="s">
        <v>414</v>
      </c>
      <c r="H159" t="s">
        <v>2034</v>
      </c>
      <c r="I159">
        <v>59020</v>
      </c>
      <c r="J159" t="s">
        <v>871</v>
      </c>
    </row>
    <row r="160" spans="1:10">
      <c r="A160" t="s">
        <v>1501</v>
      </c>
      <c r="F160" t="s">
        <v>414</v>
      </c>
      <c r="G160" t="s">
        <v>414</v>
      </c>
      <c r="H160" t="s">
        <v>2037</v>
      </c>
      <c r="I160">
        <v>29000</v>
      </c>
      <c r="J160" t="s">
        <v>918</v>
      </c>
    </row>
    <row r="161" spans="1:10">
      <c r="A161" t="s">
        <v>1509</v>
      </c>
      <c r="F161" t="s">
        <v>414</v>
      </c>
      <c r="G161" t="s">
        <v>414</v>
      </c>
      <c r="H161" t="s">
        <v>2050</v>
      </c>
      <c r="I161">
        <v>59210</v>
      </c>
      <c r="J161" t="s">
        <v>2051</v>
      </c>
    </row>
    <row r="162" spans="1:10">
      <c r="A162" t="s">
        <v>1338</v>
      </c>
      <c r="F162" t="s">
        <v>414</v>
      </c>
      <c r="G162" t="s">
        <v>414</v>
      </c>
      <c r="H162" t="s">
        <v>1708</v>
      </c>
      <c r="I162">
        <v>16800</v>
      </c>
      <c r="J162" t="s">
        <v>1709</v>
      </c>
    </row>
    <row r="163" spans="1:10">
      <c r="A163" t="s">
        <v>1510</v>
      </c>
      <c r="F163" t="s">
        <v>414</v>
      </c>
      <c r="G163" t="s">
        <v>414</v>
      </c>
      <c r="H163" t="s">
        <v>2052</v>
      </c>
      <c r="I163">
        <v>93245</v>
      </c>
      <c r="J163" t="s">
        <v>2053</v>
      </c>
    </row>
    <row r="164" spans="1:10">
      <c r="A164" t="s">
        <v>696</v>
      </c>
      <c r="F164" t="s">
        <v>414</v>
      </c>
      <c r="G164" t="s">
        <v>414</v>
      </c>
      <c r="H164" t="s">
        <v>2060</v>
      </c>
      <c r="I164">
        <v>92360</v>
      </c>
      <c r="J164" t="s">
        <v>2061</v>
      </c>
    </row>
    <row r="165" spans="1:10">
      <c r="A165" t="s">
        <v>663</v>
      </c>
      <c r="F165" t="s">
        <v>414</v>
      </c>
      <c r="G165" t="s">
        <v>414</v>
      </c>
      <c r="H165" t="s">
        <v>2062</v>
      </c>
      <c r="I165">
        <v>62231</v>
      </c>
      <c r="J165" t="s">
        <v>2063</v>
      </c>
    </row>
    <row r="166" spans="1:10">
      <c r="A166" t="s">
        <v>684</v>
      </c>
      <c r="F166" t="s">
        <v>414</v>
      </c>
      <c r="G166" t="s">
        <v>414</v>
      </c>
      <c r="H166" t="s">
        <v>2064</v>
      </c>
      <c r="I166">
        <v>83500</v>
      </c>
      <c r="J166" t="s">
        <v>2065</v>
      </c>
    </row>
    <row r="167" spans="1:10">
      <c r="A167" t="s">
        <v>678</v>
      </c>
      <c r="F167" t="s">
        <v>414</v>
      </c>
      <c r="G167" t="s">
        <v>414</v>
      </c>
      <c r="H167" t="s">
        <v>2066</v>
      </c>
      <c r="I167">
        <v>76230</v>
      </c>
      <c r="J167" t="s">
        <v>2067</v>
      </c>
    </row>
    <row r="168" spans="1:10">
      <c r="A168" t="s">
        <v>1532</v>
      </c>
      <c r="F168" t="s">
        <v>414</v>
      </c>
      <c r="G168" t="s">
        <v>414</v>
      </c>
      <c r="H168" t="s">
        <v>2102</v>
      </c>
      <c r="I168">
        <v>97492</v>
      </c>
      <c r="J168" t="s">
        <v>2103</v>
      </c>
    </row>
    <row r="169" spans="1:10">
      <c r="A169" t="s">
        <v>1537</v>
      </c>
      <c r="F169" t="s">
        <v>414</v>
      </c>
      <c r="G169" t="s">
        <v>414</v>
      </c>
      <c r="H169" t="s">
        <v>2109</v>
      </c>
      <c r="I169">
        <v>91035</v>
      </c>
      <c r="J169" t="s">
        <v>2110</v>
      </c>
    </row>
    <row r="170" spans="1:10">
      <c r="A170" t="s">
        <v>1507</v>
      </c>
      <c r="F170" t="s">
        <v>414</v>
      </c>
      <c r="G170" t="s">
        <v>414</v>
      </c>
      <c r="H170" t="s">
        <v>2047</v>
      </c>
      <c r="I170">
        <v>1000</v>
      </c>
      <c r="J170" t="s">
        <v>893</v>
      </c>
    </row>
    <row r="171" spans="1:10">
      <c r="A171" t="s">
        <v>1566</v>
      </c>
      <c r="F171" t="s">
        <v>414</v>
      </c>
      <c r="G171" t="s">
        <v>414</v>
      </c>
      <c r="H171" t="s">
        <v>2156</v>
      </c>
      <c r="I171">
        <v>31059</v>
      </c>
      <c r="J171" t="s">
        <v>833</v>
      </c>
    </row>
    <row r="172" spans="1:10">
      <c r="A172" t="s">
        <v>1542</v>
      </c>
      <c r="F172" t="s">
        <v>414</v>
      </c>
      <c r="G172" t="s">
        <v>414</v>
      </c>
      <c r="H172" t="s">
        <v>2116</v>
      </c>
      <c r="I172">
        <v>33505</v>
      </c>
      <c r="J172" t="s">
        <v>2117</v>
      </c>
    </row>
    <row r="173" spans="1:10">
      <c r="A173" t="s">
        <v>1341</v>
      </c>
      <c r="F173" t="s">
        <v>414</v>
      </c>
      <c r="G173" t="s">
        <v>414</v>
      </c>
      <c r="H173" t="s">
        <v>1714</v>
      </c>
      <c r="I173">
        <v>40107</v>
      </c>
      <c r="J173" t="s">
        <v>1715</v>
      </c>
    </row>
    <row r="174" spans="1:10">
      <c r="A174" t="s">
        <v>1352</v>
      </c>
      <c r="F174" t="s">
        <v>414</v>
      </c>
      <c r="G174" t="s">
        <v>414</v>
      </c>
      <c r="H174" t="s">
        <v>1734</v>
      </c>
      <c r="I174">
        <v>19312</v>
      </c>
      <c r="J174" t="s">
        <v>1735</v>
      </c>
    </row>
    <row r="175" spans="1:10">
      <c r="A175" t="s">
        <v>1513</v>
      </c>
      <c r="F175" t="s">
        <v>414</v>
      </c>
      <c r="G175" t="s">
        <v>414</v>
      </c>
      <c r="H175" t="s">
        <v>2057</v>
      </c>
      <c r="I175">
        <v>35400</v>
      </c>
      <c r="J175" t="s">
        <v>1003</v>
      </c>
    </row>
    <row r="176" spans="1:10">
      <c r="A176" t="s">
        <v>1360</v>
      </c>
      <c r="F176" t="s">
        <v>414</v>
      </c>
      <c r="G176" t="s">
        <v>414</v>
      </c>
      <c r="H176" t="s">
        <v>1749</v>
      </c>
      <c r="I176">
        <v>93170</v>
      </c>
      <c r="J176" t="s">
        <v>1750</v>
      </c>
    </row>
    <row r="177" spans="1:10">
      <c r="A177" t="s">
        <v>659</v>
      </c>
      <c r="F177" t="s">
        <v>414</v>
      </c>
      <c r="G177" t="s">
        <v>414</v>
      </c>
      <c r="H177" t="s">
        <v>2118</v>
      </c>
      <c r="I177">
        <v>59400</v>
      </c>
      <c r="J177" t="s">
        <v>2119</v>
      </c>
    </row>
    <row r="178" spans="1:10">
      <c r="A178" t="s">
        <v>1411</v>
      </c>
      <c r="F178" t="s">
        <v>414</v>
      </c>
      <c r="G178" t="s">
        <v>414</v>
      </c>
      <c r="H178" t="s">
        <v>1863</v>
      </c>
      <c r="I178">
        <v>95503</v>
      </c>
      <c r="J178" t="s">
        <v>1864</v>
      </c>
    </row>
    <row r="179" spans="1:10">
      <c r="A179" t="s">
        <v>1544</v>
      </c>
      <c r="F179" t="s">
        <v>414</v>
      </c>
      <c r="G179" t="s">
        <v>414</v>
      </c>
      <c r="H179" t="s">
        <v>2123</v>
      </c>
      <c r="I179">
        <v>70014</v>
      </c>
      <c r="J179" t="s">
        <v>2124</v>
      </c>
    </row>
    <row r="180" spans="1:10">
      <c r="A180" t="s">
        <v>1545</v>
      </c>
      <c r="F180" t="s">
        <v>414</v>
      </c>
      <c r="G180" t="s">
        <v>414</v>
      </c>
      <c r="H180" t="s">
        <v>2125</v>
      </c>
      <c r="I180">
        <v>75674</v>
      </c>
      <c r="J180" t="s">
        <v>700</v>
      </c>
    </row>
    <row r="181" spans="1:10">
      <c r="A181" t="s">
        <v>1546</v>
      </c>
      <c r="F181" t="s">
        <v>414</v>
      </c>
      <c r="G181" t="s">
        <v>414</v>
      </c>
      <c r="H181" t="s">
        <v>2129</v>
      </c>
      <c r="I181">
        <v>77600</v>
      </c>
      <c r="J181" t="s">
        <v>2130</v>
      </c>
    </row>
    <row r="182" spans="1:10">
      <c r="A182" t="s">
        <v>1547</v>
      </c>
      <c r="F182" t="s">
        <v>414</v>
      </c>
      <c r="G182" t="s">
        <v>414</v>
      </c>
      <c r="H182" t="s">
        <v>2131</v>
      </c>
      <c r="I182">
        <v>95602</v>
      </c>
      <c r="J182" t="s">
        <v>2132</v>
      </c>
    </row>
    <row r="183" spans="1:10">
      <c r="A183" t="s">
        <v>1548</v>
      </c>
      <c r="F183" t="s">
        <v>414</v>
      </c>
      <c r="G183" t="s">
        <v>414</v>
      </c>
      <c r="H183" t="s">
        <v>2133</v>
      </c>
      <c r="I183">
        <v>93370</v>
      </c>
      <c r="J183" t="s">
        <v>2134</v>
      </c>
    </row>
    <row r="184" spans="1:10">
      <c r="A184" t="s">
        <v>1549</v>
      </c>
      <c r="F184" t="s">
        <v>414</v>
      </c>
      <c r="G184" t="s">
        <v>414</v>
      </c>
      <c r="H184" t="s">
        <v>2135</v>
      </c>
      <c r="I184">
        <v>35403</v>
      </c>
      <c r="J184" t="s">
        <v>1003</v>
      </c>
    </row>
    <row r="185" spans="1:10">
      <c r="A185" t="s">
        <v>1550</v>
      </c>
      <c r="F185" t="s">
        <v>414</v>
      </c>
      <c r="G185" t="s">
        <v>414</v>
      </c>
      <c r="H185" t="s">
        <v>2136</v>
      </c>
      <c r="I185">
        <v>38028</v>
      </c>
      <c r="J185" t="s">
        <v>868</v>
      </c>
    </row>
    <row r="186" spans="1:10">
      <c r="A186" t="s">
        <v>1344</v>
      </c>
      <c r="F186" t="s">
        <v>414</v>
      </c>
      <c r="G186" t="s">
        <v>414</v>
      </c>
      <c r="H186" t="s">
        <v>1720</v>
      </c>
      <c r="I186">
        <v>67504</v>
      </c>
      <c r="J186" t="s">
        <v>1721</v>
      </c>
    </row>
    <row r="187" spans="1:10">
      <c r="A187" t="s">
        <v>1552</v>
      </c>
      <c r="F187" t="s">
        <v>414</v>
      </c>
      <c r="G187" t="s">
        <v>414</v>
      </c>
      <c r="H187" t="s">
        <v>2138</v>
      </c>
      <c r="I187">
        <v>69003</v>
      </c>
      <c r="J187" t="s">
        <v>903</v>
      </c>
    </row>
    <row r="188" spans="1:10">
      <c r="A188" t="s">
        <v>1554</v>
      </c>
      <c r="F188" t="s">
        <v>414</v>
      </c>
      <c r="G188" t="s">
        <v>414</v>
      </c>
      <c r="H188" t="s">
        <v>2141</v>
      </c>
      <c r="I188">
        <v>90400</v>
      </c>
      <c r="J188" t="s">
        <v>2142</v>
      </c>
    </row>
    <row r="189" spans="1:10">
      <c r="A189" t="s">
        <v>1339</v>
      </c>
      <c r="F189" t="s">
        <v>414</v>
      </c>
      <c r="G189" t="s">
        <v>414</v>
      </c>
      <c r="H189" t="s">
        <v>1710</v>
      </c>
      <c r="I189">
        <v>14400</v>
      </c>
      <c r="J189" t="s">
        <v>1711</v>
      </c>
    </row>
    <row r="190" spans="1:10">
      <c r="A190" t="s">
        <v>1387</v>
      </c>
      <c r="F190" t="s">
        <v>414</v>
      </c>
      <c r="G190" t="s">
        <v>414</v>
      </c>
      <c r="H190" t="s">
        <v>1812</v>
      </c>
      <c r="I190">
        <v>6606</v>
      </c>
      <c r="J190" t="s">
        <v>1813</v>
      </c>
    </row>
    <row r="191" spans="1:10">
      <c r="A191" t="s">
        <v>1399</v>
      </c>
      <c r="F191" t="s">
        <v>414</v>
      </c>
      <c r="G191" t="s">
        <v>414</v>
      </c>
      <c r="H191" t="s">
        <v>1838</v>
      </c>
      <c r="I191">
        <v>12027</v>
      </c>
      <c r="J191" t="s">
        <v>954</v>
      </c>
    </row>
    <row r="192" spans="1:10">
      <c r="A192" t="s">
        <v>1641</v>
      </c>
      <c r="F192" t="s">
        <v>414</v>
      </c>
      <c r="G192" t="s">
        <v>414</v>
      </c>
      <c r="H192" t="s">
        <v>2276</v>
      </c>
      <c r="I192">
        <v>74203</v>
      </c>
      <c r="J192" t="s">
        <v>2277</v>
      </c>
    </row>
    <row r="193" spans="1:10">
      <c r="A193" t="s">
        <v>629</v>
      </c>
      <c r="F193" t="s">
        <v>414</v>
      </c>
      <c r="G193" t="s">
        <v>414</v>
      </c>
      <c r="H193" t="s">
        <v>2280</v>
      </c>
      <c r="I193">
        <v>6254</v>
      </c>
      <c r="J193" t="s">
        <v>2281</v>
      </c>
    </row>
    <row r="194" spans="1:10">
      <c r="A194" t="s">
        <v>1643</v>
      </c>
      <c r="F194" t="s">
        <v>414</v>
      </c>
      <c r="G194" t="s">
        <v>414</v>
      </c>
      <c r="H194" t="s">
        <v>2282</v>
      </c>
      <c r="I194">
        <v>13012</v>
      </c>
      <c r="J194" t="s">
        <v>822</v>
      </c>
    </row>
    <row r="195" spans="1:10">
      <c r="A195" t="s">
        <v>1644</v>
      </c>
      <c r="F195" t="s">
        <v>414</v>
      </c>
      <c r="G195" t="s">
        <v>414</v>
      </c>
      <c r="H195" t="s">
        <v>2283</v>
      </c>
      <c r="I195">
        <v>13012</v>
      </c>
      <c r="J195" t="s">
        <v>822</v>
      </c>
    </row>
    <row r="196" spans="1:10">
      <c r="A196" t="s">
        <v>1645</v>
      </c>
      <c r="F196" t="s">
        <v>414</v>
      </c>
      <c r="G196" t="s">
        <v>414</v>
      </c>
      <c r="H196" t="s">
        <v>2284</v>
      </c>
      <c r="I196">
        <v>75571</v>
      </c>
      <c r="J196" t="s">
        <v>700</v>
      </c>
    </row>
    <row r="197" spans="1:10">
      <c r="A197" t="s">
        <v>1648</v>
      </c>
      <c r="F197" t="s">
        <v>414</v>
      </c>
      <c r="G197" t="s">
        <v>414</v>
      </c>
      <c r="H197" t="s">
        <v>2287</v>
      </c>
      <c r="I197">
        <v>94010</v>
      </c>
      <c r="J197" t="s">
        <v>1015</v>
      </c>
    </row>
    <row r="198" spans="1:10">
      <c r="A198" t="s">
        <v>1650</v>
      </c>
      <c r="F198" t="s">
        <v>414</v>
      </c>
      <c r="G198" t="s">
        <v>414</v>
      </c>
      <c r="H198" t="s">
        <v>2289</v>
      </c>
      <c r="I198">
        <v>92104</v>
      </c>
      <c r="J198" t="s">
        <v>2115</v>
      </c>
    </row>
    <row r="199" spans="1:10">
      <c r="A199" t="s">
        <v>1651</v>
      </c>
      <c r="F199" t="s">
        <v>414</v>
      </c>
      <c r="G199" t="s">
        <v>414</v>
      </c>
      <c r="H199" t="s">
        <v>2290</v>
      </c>
      <c r="I199">
        <v>75679</v>
      </c>
      <c r="J199" t="s">
        <v>700</v>
      </c>
    </row>
    <row r="200" spans="1:10">
      <c r="A200" t="s">
        <v>1652</v>
      </c>
      <c r="F200" t="s">
        <v>414</v>
      </c>
      <c r="G200" t="s">
        <v>414</v>
      </c>
      <c r="H200" t="s">
        <v>2291</v>
      </c>
      <c r="I200">
        <v>92118</v>
      </c>
      <c r="J200" t="s">
        <v>829</v>
      </c>
    </row>
    <row r="201" spans="1:10">
      <c r="A201" t="s">
        <v>1653</v>
      </c>
      <c r="F201" t="s">
        <v>414</v>
      </c>
      <c r="G201" t="s">
        <v>414</v>
      </c>
      <c r="H201" t="s">
        <v>2292</v>
      </c>
      <c r="I201">
        <v>75877</v>
      </c>
      <c r="J201" t="s">
        <v>700</v>
      </c>
    </row>
    <row r="202" spans="1:10">
      <c r="A202" t="s">
        <v>1654</v>
      </c>
      <c r="F202" t="s">
        <v>414</v>
      </c>
      <c r="G202" t="s">
        <v>414</v>
      </c>
      <c r="H202" t="s">
        <v>2293</v>
      </c>
      <c r="I202">
        <v>92701</v>
      </c>
      <c r="J202" t="s">
        <v>2294</v>
      </c>
    </row>
    <row r="203" spans="1:10">
      <c r="A203" t="s">
        <v>1655</v>
      </c>
      <c r="F203" t="s">
        <v>414</v>
      </c>
      <c r="G203" t="s">
        <v>414</v>
      </c>
      <c r="H203" t="s">
        <v>2295</v>
      </c>
      <c r="I203">
        <v>93009</v>
      </c>
      <c r="J203" t="s">
        <v>970</v>
      </c>
    </row>
    <row r="204" spans="1:10">
      <c r="A204" t="s">
        <v>1656</v>
      </c>
      <c r="F204" t="s">
        <v>414</v>
      </c>
      <c r="G204" t="s">
        <v>414</v>
      </c>
      <c r="H204" t="s">
        <v>2296</v>
      </c>
      <c r="I204">
        <v>92140</v>
      </c>
      <c r="J204" t="s">
        <v>2297</v>
      </c>
    </row>
    <row r="205" spans="1:10">
      <c r="A205" t="s">
        <v>1657</v>
      </c>
      <c r="F205" t="s">
        <v>414</v>
      </c>
      <c r="G205" t="s">
        <v>414</v>
      </c>
      <c r="H205" t="s">
        <v>2298</v>
      </c>
      <c r="I205">
        <v>94275</v>
      </c>
      <c r="J205" t="s">
        <v>2299</v>
      </c>
    </row>
    <row r="206" spans="1:10">
      <c r="A206" t="s">
        <v>1658</v>
      </c>
      <c r="F206" t="s">
        <v>414</v>
      </c>
      <c r="G206" t="s">
        <v>414</v>
      </c>
      <c r="H206" t="s">
        <v>2300</v>
      </c>
      <c r="I206">
        <v>94804</v>
      </c>
      <c r="J206" t="s">
        <v>813</v>
      </c>
    </row>
    <row r="207" spans="1:10">
      <c r="A207" t="s">
        <v>1659</v>
      </c>
      <c r="F207" t="s">
        <v>414</v>
      </c>
      <c r="G207" t="s">
        <v>414</v>
      </c>
      <c r="H207" t="s">
        <v>2301</v>
      </c>
      <c r="I207">
        <v>75651</v>
      </c>
      <c r="J207" t="s">
        <v>700</v>
      </c>
    </row>
    <row r="208" spans="1:10">
      <c r="A208" t="s">
        <v>1661</v>
      </c>
      <c r="F208" t="s">
        <v>414</v>
      </c>
      <c r="G208" t="s">
        <v>414</v>
      </c>
      <c r="H208" t="s">
        <v>2303</v>
      </c>
      <c r="I208">
        <v>75475</v>
      </c>
      <c r="J208" t="s">
        <v>700</v>
      </c>
    </row>
    <row r="209" spans="1:10">
      <c r="A209" t="s">
        <v>1663</v>
      </c>
      <c r="F209" t="s">
        <v>414</v>
      </c>
      <c r="G209" t="s">
        <v>414</v>
      </c>
      <c r="H209" t="s">
        <v>2306</v>
      </c>
      <c r="I209">
        <v>34298</v>
      </c>
      <c r="J209" t="s">
        <v>858</v>
      </c>
    </row>
    <row r="210" spans="1:10">
      <c r="A210" t="s">
        <v>652</v>
      </c>
      <c r="F210" t="s">
        <v>414</v>
      </c>
      <c r="G210" t="s">
        <v>414</v>
      </c>
      <c r="H210" t="s">
        <v>2307</v>
      </c>
      <c r="I210">
        <v>49055</v>
      </c>
      <c r="J210" t="s">
        <v>958</v>
      </c>
    </row>
    <row r="211" spans="1:10">
      <c r="A211" t="s">
        <v>697</v>
      </c>
      <c r="F211" t="s">
        <v>414</v>
      </c>
      <c r="G211" t="s">
        <v>414</v>
      </c>
      <c r="H211" t="s">
        <v>2315</v>
      </c>
      <c r="I211">
        <v>94805</v>
      </c>
      <c r="J211" t="s">
        <v>813</v>
      </c>
    </row>
    <row r="212" spans="1:10">
      <c r="A212" t="s">
        <v>823</v>
      </c>
      <c r="F212" t="s">
        <v>414</v>
      </c>
      <c r="G212" t="s">
        <v>414</v>
      </c>
      <c r="H212" t="s">
        <v>2316</v>
      </c>
      <c r="I212">
        <v>13273</v>
      </c>
      <c r="J212" t="s">
        <v>822</v>
      </c>
    </row>
    <row r="213" spans="1:10">
      <c r="A213" t="s">
        <v>1354</v>
      </c>
      <c r="F213" t="s">
        <v>414</v>
      </c>
      <c r="G213" t="s">
        <v>414</v>
      </c>
      <c r="H213" t="s">
        <v>1738</v>
      </c>
      <c r="I213">
        <v>51005</v>
      </c>
      <c r="J213" t="s">
        <v>1739</v>
      </c>
    </row>
    <row r="214" spans="1:10">
      <c r="A214" t="s">
        <v>1584</v>
      </c>
      <c r="F214" t="s">
        <v>414</v>
      </c>
      <c r="G214" t="s">
        <v>414</v>
      </c>
      <c r="H214" t="s">
        <v>2183</v>
      </c>
      <c r="I214">
        <v>68024</v>
      </c>
      <c r="J214" t="s">
        <v>924</v>
      </c>
    </row>
    <row r="215" spans="1:10">
      <c r="A215" t="s">
        <v>1586</v>
      </c>
      <c r="F215" t="s">
        <v>414</v>
      </c>
      <c r="G215" t="s">
        <v>414</v>
      </c>
      <c r="H215" t="s">
        <v>2185</v>
      </c>
      <c r="I215">
        <v>48000</v>
      </c>
      <c r="J215" t="s">
        <v>2186</v>
      </c>
    </row>
    <row r="216" spans="1:10">
      <c r="A216" t="s">
        <v>1587</v>
      </c>
      <c r="F216" t="s">
        <v>414</v>
      </c>
      <c r="G216" t="s">
        <v>414</v>
      </c>
      <c r="H216" t="s">
        <v>2187</v>
      </c>
      <c r="I216">
        <v>69310</v>
      </c>
      <c r="J216" t="s">
        <v>2188</v>
      </c>
    </row>
    <row r="217" spans="1:10">
      <c r="A217" t="s">
        <v>1393</v>
      </c>
      <c r="F217" t="s">
        <v>414</v>
      </c>
      <c r="G217" t="s">
        <v>414</v>
      </c>
      <c r="H217" t="s">
        <v>1823</v>
      </c>
      <c r="I217">
        <v>13698</v>
      </c>
      <c r="J217" t="s">
        <v>1824</v>
      </c>
    </row>
    <row r="218" spans="1:10">
      <c r="A218" t="s">
        <v>1364</v>
      </c>
      <c r="F218" t="s">
        <v>414</v>
      </c>
      <c r="G218" t="s">
        <v>414</v>
      </c>
      <c r="H218" t="s">
        <v>1756</v>
      </c>
      <c r="I218">
        <v>60270</v>
      </c>
      <c r="J218" t="s">
        <v>1757</v>
      </c>
    </row>
    <row r="219" spans="1:10">
      <c r="A219" t="s">
        <v>641</v>
      </c>
      <c r="F219" t="s">
        <v>414</v>
      </c>
      <c r="G219" t="s">
        <v>414</v>
      </c>
      <c r="H219" t="s">
        <v>2322</v>
      </c>
      <c r="I219">
        <v>33401</v>
      </c>
      <c r="J219" t="s">
        <v>948</v>
      </c>
    </row>
    <row r="220" spans="1:10">
      <c r="A220" t="s">
        <v>1624</v>
      </c>
      <c r="F220" t="s">
        <v>414</v>
      </c>
      <c r="G220" t="s">
        <v>414</v>
      </c>
      <c r="H220" t="s">
        <v>2245</v>
      </c>
      <c r="I220">
        <v>2315</v>
      </c>
      <c r="J220" t="s">
        <v>1917</v>
      </c>
    </row>
    <row r="221" spans="1:10">
      <c r="A221" t="s">
        <v>1589</v>
      </c>
      <c r="F221" t="s">
        <v>414</v>
      </c>
      <c r="G221" t="s">
        <v>414</v>
      </c>
      <c r="H221" t="s">
        <v>2190</v>
      </c>
      <c r="I221">
        <v>38700</v>
      </c>
      <c r="J221" t="s">
        <v>2191</v>
      </c>
    </row>
    <row r="222" spans="1:10">
      <c r="A222" t="s">
        <v>1590</v>
      </c>
      <c r="F222" t="s">
        <v>414</v>
      </c>
      <c r="G222" t="s">
        <v>414</v>
      </c>
      <c r="H222" t="s">
        <v>2192</v>
      </c>
      <c r="I222">
        <v>42277</v>
      </c>
      <c r="J222" t="s">
        <v>877</v>
      </c>
    </row>
    <row r="223" spans="1:10">
      <c r="A223" t="s">
        <v>1359</v>
      </c>
      <c r="F223" t="s">
        <v>414</v>
      </c>
      <c r="G223" t="s">
        <v>414</v>
      </c>
      <c r="H223" t="s">
        <v>1747</v>
      </c>
      <c r="I223">
        <v>62280</v>
      </c>
      <c r="J223" t="s">
        <v>1748</v>
      </c>
    </row>
    <row r="224" spans="1:10">
      <c r="A224" t="s">
        <v>1512</v>
      </c>
      <c r="F224" t="s">
        <v>414</v>
      </c>
      <c r="G224" t="s">
        <v>414</v>
      </c>
      <c r="H224" t="s">
        <v>2055</v>
      </c>
      <c r="I224">
        <v>67010</v>
      </c>
      <c r="J224" t="s">
        <v>2056</v>
      </c>
    </row>
    <row r="225" spans="1:10">
      <c r="A225" t="s">
        <v>1591</v>
      </c>
      <c r="F225" t="s">
        <v>414</v>
      </c>
      <c r="G225" t="s">
        <v>414</v>
      </c>
      <c r="H225" t="s">
        <v>2193</v>
      </c>
      <c r="I225">
        <v>91400</v>
      </c>
      <c r="J225" t="s">
        <v>2194</v>
      </c>
    </row>
    <row r="226" spans="1:10">
      <c r="A226" t="s">
        <v>1347</v>
      </c>
      <c r="F226" t="s">
        <v>414</v>
      </c>
      <c r="G226" t="s">
        <v>414</v>
      </c>
      <c r="H226" t="s">
        <v>1725</v>
      </c>
      <c r="I226">
        <v>64046</v>
      </c>
      <c r="J226" t="s">
        <v>1006</v>
      </c>
    </row>
    <row r="227" spans="1:10">
      <c r="A227" t="s">
        <v>1348</v>
      </c>
      <c r="F227" t="s">
        <v>414</v>
      </c>
      <c r="G227" t="s">
        <v>414</v>
      </c>
      <c r="H227" t="s">
        <v>1726</v>
      </c>
      <c r="I227">
        <v>24019</v>
      </c>
      <c r="J227" t="s">
        <v>1727</v>
      </c>
    </row>
    <row r="228" spans="1:10">
      <c r="A228" t="s">
        <v>1592</v>
      </c>
      <c r="F228" t="s">
        <v>414</v>
      </c>
      <c r="G228" t="s">
        <v>414</v>
      </c>
      <c r="H228" t="s">
        <v>2195</v>
      </c>
      <c r="I228">
        <v>58033</v>
      </c>
      <c r="J228" t="s">
        <v>915</v>
      </c>
    </row>
    <row r="229" spans="1:10">
      <c r="A229" t="s">
        <v>646</v>
      </c>
      <c r="F229" t="s">
        <v>414</v>
      </c>
      <c r="G229" t="s">
        <v>414</v>
      </c>
      <c r="H229" t="s">
        <v>2367</v>
      </c>
      <c r="I229">
        <v>37175</v>
      </c>
      <c r="J229" t="s">
        <v>1999</v>
      </c>
    </row>
    <row r="230" spans="1:10">
      <c r="A230" t="s">
        <v>1676</v>
      </c>
      <c r="F230" t="s">
        <v>414</v>
      </c>
      <c r="G230" t="s">
        <v>414</v>
      </c>
      <c r="H230" t="s">
        <v>2328</v>
      </c>
      <c r="I230">
        <v>34535</v>
      </c>
      <c r="J230" t="s">
        <v>1790</v>
      </c>
    </row>
    <row r="231" spans="1:10">
      <c r="A231" t="s">
        <v>1678</v>
      </c>
      <c r="F231" t="s">
        <v>414</v>
      </c>
      <c r="G231" t="s">
        <v>414</v>
      </c>
      <c r="H231" t="s">
        <v>2330</v>
      </c>
      <c r="I231">
        <v>11890</v>
      </c>
      <c r="J231" t="s">
        <v>2331</v>
      </c>
    </row>
    <row r="232" spans="1:10">
      <c r="A232" t="s">
        <v>1679</v>
      </c>
      <c r="F232" t="s">
        <v>414</v>
      </c>
      <c r="G232" t="s">
        <v>414</v>
      </c>
      <c r="H232" t="s">
        <v>2332</v>
      </c>
      <c r="I232">
        <v>34760</v>
      </c>
      <c r="J232" t="s">
        <v>2333</v>
      </c>
    </row>
    <row r="233" spans="1:10">
      <c r="A233" t="s">
        <v>1680</v>
      </c>
      <c r="F233" t="s">
        <v>414</v>
      </c>
      <c r="G233" t="s">
        <v>414</v>
      </c>
      <c r="H233" t="s">
        <v>2334</v>
      </c>
      <c r="I233">
        <v>33077</v>
      </c>
      <c r="J233" t="s">
        <v>942</v>
      </c>
    </row>
    <row r="234" spans="1:10">
      <c r="A234" t="s">
        <v>1681</v>
      </c>
      <c r="F234" t="s">
        <v>414</v>
      </c>
      <c r="G234" t="s">
        <v>414</v>
      </c>
      <c r="H234" t="s">
        <v>2335</v>
      </c>
      <c r="I234">
        <v>13595</v>
      </c>
      <c r="J234" t="s">
        <v>1970</v>
      </c>
    </row>
    <row r="235" spans="1:10">
      <c r="A235" t="s">
        <v>643</v>
      </c>
      <c r="F235" t="s">
        <v>414</v>
      </c>
      <c r="G235" t="s">
        <v>414</v>
      </c>
      <c r="H235" t="s">
        <v>2338</v>
      </c>
      <c r="I235">
        <v>33310</v>
      </c>
      <c r="J235" t="s">
        <v>2339</v>
      </c>
    </row>
    <row r="236" spans="1:10">
      <c r="A236" t="s">
        <v>2340</v>
      </c>
      <c r="F236" t="s">
        <v>414</v>
      </c>
      <c r="G236" t="s">
        <v>414</v>
      </c>
      <c r="H236" t="s">
        <v>2341</v>
      </c>
      <c r="I236">
        <v>64501</v>
      </c>
      <c r="J236" t="s">
        <v>2342</v>
      </c>
    </row>
    <row r="237" spans="1:10">
      <c r="A237" t="s">
        <v>670</v>
      </c>
      <c r="F237" t="s">
        <v>414</v>
      </c>
      <c r="G237" t="s">
        <v>414</v>
      </c>
      <c r="H237" t="s">
        <v>2344</v>
      </c>
      <c r="I237">
        <v>69400</v>
      </c>
      <c r="J237" t="s">
        <v>2345</v>
      </c>
    </row>
    <row r="238" spans="1:10">
      <c r="A238" t="s">
        <v>633</v>
      </c>
      <c r="F238" t="s">
        <v>414</v>
      </c>
      <c r="G238" t="s">
        <v>414</v>
      </c>
      <c r="H238" t="s">
        <v>2346</v>
      </c>
      <c r="I238">
        <v>49300</v>
      </c>
      <c r="J238" t="s">
        <v>961</v>
      </c>
    </row>
    <row r="239" spans="1:10">
      <c r="A239" t="s">
        <v>1684</v>
      </c>
      <c r="F239" t="s">
        <v>414</v>
      </c>
      <c r="G239" t="s">
        <v>414</v>
      </c>
      <c r="H239" t="s">
        <v>2347</v>
      </c>
      <c r="I239">
        <v>14052</v>
      </c>
      <c r="J239" t="s">
        <v>808</v>
      </c>
    </row>
    <row r="240" spans="1:10">
      <c r="A240" t="s">
        <v>635</v>
      </c>
      <c r="F240" t="s">
        <v>414</v>
      </c>
      <c r="G240" t="s">
        <v>414</v>
      </c>
      <c r="H240" t="s">
        <v>2348</v>
      </c>
      <c r="I240">
        <v>21076</v>
      </c>
      <c r="J240" t="s">
        <v>844</v>
      </c>
    </row>
    <row r="241" spans="1:10">
      <c r="A241" t="s">
        <v>689</v>
      </c>
      <c r="F241" t="s">
        <v>414</v>
      </c>
      <c r="G241" t="s">
        <v>414</v>
      </c>
      <c r="H241" t="s">
        <v>2353</v>
      </c>
      <c r="I241">
        <v>88060</v>
      </c>
      <c r="J241" t="s">
        <v>1956</v>
      </c>
    </row>
    <row r="242" spans="1:10">
      <c r="A242" t="s">
        <v>1687</v>
      </c>
      <c r="F242" t="s">
        <v>414</v>
      </c>
      <c r="G242" t="s">
        <v>414</v>
      </c>
      <c r="H242" t="s">
        <v>2357</v>
      </c>
      <c r="I242">
        <v>69140</v>
      </c>
      <c r="J242" t="s">
        <v>2358</v>
      </c>
    </row>
    <row r="243" spans="1:10">
      <c r="A243" t="s">
        <v>1433</v>
      </c>
      <c r="F243" t="s">
        <v>414</v>
      </c>
      <c r="G243" t="s">
        <v>414</v>
      </c>
      <c r="H243" t="s">
        <v>1912</v>
      </c>
      <c r="I243">
        <v>78560</v>
      </c>
      <c r="J243" t="s">
        <v>1913</v>
      </c>
    </row>
    <row r="244" spans="1:10">
      <c r="A244" t="s">
        <v>1398</v>
      </c>
      <c r="F244" t="s">
        <v>414</v>
      </c>
      <c r="G244" t="s">
        <v>414</v>
      </c>
      <c r="H244" t="s">
        <v>1832</v>
      </c>
      <c r="I244">
        <v>77488</v>
      </c>
      <c r="J244" t="s">
        <v>1833</v>
      </c>
    </row>
    <row r="245" spans="1:10">
      <c r="A245" t="s">
        <v>1355</v>
      </c>
      <c r="F245" t="s">
        <v>414</v>
      </c>
      <c r="G245" t="s">
        <v>414</v>
      </c>
      <c r="H245" t="s">
        <v>1740</v>
      </c>
      <c r="I245">
        <v>17301</v>
      </c>
      <c r="J245" t="s">
        <v>1741</v>
      </c>
    </row>
    <row r="246" spans="1:10">
      <c r="A246" t="s">
        <v>1514</v>
      </c>
      <c r="F246" t="s">
        <v>414</v>
      </c>
      <c r="G246" t="s">
        <v>414</v>
      </c>
      <c r="H246" t="s">
        <v>2058</v>
      </c>
      <c r="I246">
        <v>69337</v>
      </c>
      <c r="J246" t="s">
        <v>903</v>
      </c>
    </row>
    <row r="247" spans="1:10">
      <c r="A247" t="s">
        <v>1530</v>
      </c>
      <c r="F247" t="s">
        <v>414</v>
      </c>
      <c r="G247" t="s">
        <v>414</v>
      </c>
      <c r="H247" t="s">
        <v>2100</v>
      </c>
      <c r="I247">
        <v>76044</v>
      </c>
      <c r="J247" t="s">
        <v>885</v>
      </c>
    </row>
    <row r="248" spans="1:10">
      <c r="A248" t="s">
        <v>1400</v>
      </c>
      <c r="F248" t="s">
        <v>414</v>
      </c>
      <c r="G248" t="s">
        <v>414</v>
      </c>
      <c r="H248" t="s">
        <v>1839</v>
      </c>
      <c r="I248">
        <v>17108</v>
      </c>
      <c r="J248" t="s">
        <v>1840</v>
      </c>
    </row>
    <row r="249" spans="1:10">
      <c r="A249" t="s">
        <v>1690</v>
      </c>
      <c r="F249" t="s">
        <v>414</v>
      </c>
      <c r="G249" t="s">
        <v>414</v>
      </c>
      <c r="H249" t="s">
        <v>2368</v>
      </c>
      <c r="I249">
        <v>59600</v>
      </c>
      <c r="J249" t="s">
        <v>2369</v>
      </c>
    </row>
    <row r="250" spans="1:10">
      <c r="A250" t="s">
        <v>1349</v>
      </c>
      <c r="F250" t="s">
        <v>414</v>
      </c>
      <c r="G250" t="s">
        <v>414</v>
      </c>
      <c r="H250" t="s">
        <v>1728</v>
      </c>
      <c r="I250">
        <v>67606</v>
      </c>
      <c r="J250" t="s">
        <v>1729</v>
      </c>
    </row>
    <row r="251" spans="1:10">
      <c r="A251" t="s">
        <v>1372</v>
      </c>
      <c r="F251" t="s">
        <v>414</v>
      </c>
      <c r="G251" t="s">
        <v>414</v>
      </c>
      <c r="H251" t="s">
        <v>1778</v>
      </c>
      <c r="I251">
        <v>7205</v>
      </c>
      <c r="J251" t="s">
        <v>1779</v>
      </c>
    </row>
    <row r="252" spans="1:10">
      <c r="A252" t="s">
        <v>1534</v>
      </c>
      <c r="F252" t="s">
        <v>414</v>
      </c>
      <c r="G252" t="s">
        <v>414</v>
      </c>
      <c r="H252" t="s">
        <v>2105</v>
      </c>
      <c r="I252">
        <v>33000</v>
      </c>
      <c r="J252" t="s">
        <v>942</v>
      </c>
    </row>
    <row r="253" spans="1:10">
      <c r="A253" t="s">
        <v>1350</v>
      </c>
      <c r="F253" t="s">
        <v>414</v>
      </c>
      <c r="G253" t="s">
        <v>414</v>
      </c>
      <c r="H253" t="s">
        <v>1730</v>
      </c>
      <c r="I253">
        <v>59208</v>
      </c>
      <c r="J253" t="s">
        <v>1731</v>
      </c>
    </row>
    <row r="254" spans="1:10">
      <c r="A254" t="s">
        <v>1535</v>
      </c>
      <c r="F254" t="s">
        <v>414</v>
      </c>
      <c r="G254" t="s">
        <v>414</v>
      </c>
      <c r="H254" t="s">
        <v>2106</v>
      </c>
      <c r="I254">
        <v>69560</v>
      </c>
      <c r="J254" t="s">
        <v>2107</v>
      </c>
    </row>
    <row r="255" spans="1:10">
      <c r="A255" t="s">
        <v>1351</v>
      </c>
      <c r="F255" t="s">
        <v>414</v>
      </c>
      <c r="G255" t="s">
        <v>414</v>
      </c>
      <c r="H255" t="s">
        <v>1732</v>
      </c>
      <c r="I255">
        <v>10003</v>
      </c>
      <c r="J255" t="s">
        <v>1733</v>
      </c>
    </row>
    <row r="256" spans="1:10">
      <c r="A256" t="s">
        <v>1361</v>
      </c>
      <c r="F256" t="s">
        <v>414</v>
      </c>
      <c r="G256" t="s">
        <v>414</v>
      </c>
      <c r="H256" t="s">
        <v>1751</v>
      </c>
      <c r="I256">
        <v>15000</v>
      </c>
      <c r="J256" t="s">
        <v>1752</v>
      </c>
    </row>
    <row r="257" spans="1:10">
      <c r="A257" t="s">
        <v>1515</v>
      </c>
      <c r="F257" t="s">
        <v>414</v>
      </c>
      <c r="G257" t="s">
        <v>414</v>
      </c>
      <c r="H257" t="s">
        <v>2059</v>
      </c>
      <c r="I257">
        <v>59200</v>
      </c>
      <c r="J257" t="s">
        <v>1731</v>
      </c>
    </row>
    <row r="258" spans="1:10">
      <c r="A258" t="s">
        <v>1356</v>
      </c>
      <c r="F258" t="s">
        <v>414</v>
      </c>
      <c r="G258" t="s">
        <v>414</v>
      </c>
      <c r="H258" t="s">
        <v>1742</v>
      </c>
      <c r="I258">
        <v>22023</v>
      </c>
      <c r="J258" t="s">
        <v>1743</v>
      </c>
    </row>
    <row r="259" spans="1:10">
      <c r="A259" t="s">
        <v>2510</v>
      </c>
      <c r="G259" t="s">
        <v>414</v>
      </c>
      <c r="H259" t="s">
        <v>2835</v>
      </c>
      <c r="I259">
        <v>68003</v>
      </c>
      <c r="J259" t="s">
        <v>924</v>
      </c>
    </row>
    <row r="260" spans="1:10">
      <c r="A260" t="s">
        <v>2446</v>
      </c>
      <c r="G260" t="s">
        <v>414</v>
      </c>
      <c r="H260" t="s">
        <v>2742</v>
      </c>
      <c r="I260">
        <v>61000</v>
      </c>
      <c r="J260" t="s">
        <v>1975</v>
      </c>
    </row>
    <row r="261" spans="1:10">
      <c r="A261" t="s">
        <v>2437</v>
      </c>
      <c r="G261" t="s">
        <v>414</v>
      </c>
      <c r="H261" t="s">
        <v>2729</v>
      </c>
      <c r="I261">
        <v>57106</v>
      </c>
      <c r="J261" t="s">
        <v>2149</v>
      </c>
    </row>
    <row r="262" spans="1:10">
      <c r="A262" t="s">
        <v>1665</v>
      </c>
      <c r="F262" t="s">
        <v>414</v>
      </c>
      <c r="G262" t="s">
        <v>414</v>
      </c>
      <c r="H262" t="s">
        <v>2309</v>
      </c>
      <c r="I262">
        <v>69641</v>
      </c>
      <c r="J262" t="s">
        <v>2310</v>
      </c>
    </row>
    <row r="263" spans="1:10">
      <c r="A263" t="s">
        <v>1330</v>
      </c>
      <c r="F263" t="s">
        <v>414</v>
      </c>
      <c r="H263" t="s">
        <v>1694</v>
      </c>
      <c r="I263">
        <v>51092</v>
      </c>
      <c r="J263" t="s">
        <v>880</v>
      </c>
    </row>
    <row r="264" spans="1:10">
      <c r="A264" t="s">
        <v>1331</v>
      </c>
      <c r="F264" t="s">
        <v>414</v>
      </c>
      <c r="H264" t="s">
        <v>1695</v>
      </c>
      <c r="I264">
        <v>13005</v>
      </c>
      <c r="J264" t="s">
        <v>822</v>
      </c>
    </row>
    <row r="265" spans="1:10">
      <c r="A265" t="s">
        <v>1508</v>
      </c>
      <c r="F265" t="s">
        <v>414</v>
      </c>
      <c r="H265" t="s">
        <v>2048</v>
      </c>
      <c r="I265">
        <v>33164</v>
      </c>
      <c r="J265" t="s">
        <v>2049</v>
      </c>
    </row>
    <row r="266" spans="1:10">
      <c r="A266" t="s">
        <v>2377</v>
      </c>
      <c r="G266" t="s">
        <v>414</v>
      </c>
      <c r="H266" t="s">
        <v>2648</v>
      </c>
      <c r="I266">
        <v>61202</v>
      </c>
      <c r="J266" t="s">
        <v>2649</v>
      </c>
    </row>
    <row r="267" spans="1:10">
      <c r="A267" t="s">
        <v>2447</v>
      </c>
      <c r="G267" t="s">
        <v>414</v>
      </c>
      <c r="H267" t="s">
        <v>2743</v>
      </c>
      <c r="I267">
        <v>74370</v>
      </c>
      <c r="J267" t="s">
        <v>2744</v>
      </c>
    </row>
    <row r="268" spans="1:10">
      <c r="A268" t="s">
        <v>1571</v>
      </c>
      <c r="F268" t="s">
        <v>414</v>
      </c>
      <c r="G268" t="s">
        <v>414</v>
      </c>
      <c r="H268" t="s">
        <v>2164</v>
      </c>
      <c r="I268">
        <v>63003</v>
      </c>
      <c r="J268" t="s">
        <v>896</v>
      </c>
    </row>
    <row r="269" spans="1:10">
      <c r="A269" t="s">
        <v>2594</v>
      </c>
      <c r="G269" t="s">
        <v>414</v>
      </c>
      <c r="H269" t="s">
        <v>2872</v>
      </c>
      <c r="I269">
        <v>6721</v>
      </c>
      <c r="J269" t="s">
        <v>2873</v>
      </c>
    </row>
    <row r="270" spans="1:10">
      <c r="A270" t="s">
        <v>2438</v>
      </c>
      <c r="G270" t="s">
        <v>414</v>
      </c>
      <c r="H270" t="s">
        <v>2730</v>
      </c>
      <c r="I270">
        <v>13097</v>
      </c>
      <c r="J270" t="s">
        <v>1970</v>
      </c>
    </row>
    <row r="271" spans="1:10">
      <c r="A271" t="s">
        <v>2439</v>
      </c>
      <c r="G271" t="s">
        <v>414</v>
      </c>
      <c r="H271" t="s">
        <v>2731</v>
      </c>
      <c r="I271">
        <v>38400</v>
      </c>
      <c r="J271" t="s">
        <v>2732</v>
      </c>
    </row>
    <row r="272" spans="1:10">
      <c r="A272" t="s">
        <v>2449</v>
      </c>
      <c r="G272" t="s">
        <v>414</v>
      </c>
      <c r="H272" t="s">
        <v>2746</v>
      </c>
      <c r="I272">
        <v>94220</v>
      </c>
      <c r="J272" t="s">
        <v>2747</v>
      </c>
    </row>
    <row r="273" spans="1:10">
      <c r="A273" t="s">
        <v>1342</v>
      </c>
      <c r="F273" t="s">
        <v>414</v>
      </c>
      <c r="H273" t="s">
        <v>1716</v>
      </c>
      <c r="I273">
        <v>91640</v>
      </c>
      <c r="J273" t="s">
        <v>1717</v>
      </c>
    </row>
    <row r="274" spans="1:10">
      <c r="A274" t="s">
        <v>1559</v>
      </c>
      <c r="F274" t="s">
        <v>414</v>
      </c>
      <c r="G274" t="s">
        <v>414</v>
      </c>
      <c r="H274" t="s">
        <v>2148</v>
      </c>
      <c r="I274">
        <v>57126</v>
      </c>
      <c r="J274" t="s">
        <v>2149</v>
      </c>
    </row>
    <row r="275" spans="1:10">
      <c r="A275" t="s">
        <v>2538</v>
      </c>
      <c r="G275" t="s">
        <v>414</v>
      </c>
      <c r="H275" t="s">
        <v>2843</v>
      </c>
      <c r="I275">
        <v>62320</v>
      </c>
      <c r="J275" t="s">
        <v>2844</v>
      </c>
    </row>
    <row r="276" spans="1:10">
      <c r="A276" t="s">
        <v>2440</v>
      </c>
      <c r="G276" t="s">
        <v>414</v>
      </c>
      <c r="H276" t="s">
        <v>2733</v>
      </c>
      <c r="I276">
        <v>13006</v>
      </c>
      <c r="J276" t="s">
        <v>822</v>
      </c>
    </row>
    <row r="277" spans="1:10">
      <c r="A277" t="s">
        <v>2392</v>
      </c>
      <c r="G277" t="s">
        <v>414</v>
      </c>
      <c r="H277" t="s">
        <v>2677</v>
      </c>
      <c r="I277">
        <v>54151</v>
      </c>
      <c r="J277" t="s">
        <v>2678</v>
      </c>
    </row>
    <row r="278" spans="1:10">
      <c r="A278" t="s">
        <v>2374</v>
      </c>
      <c r="G278" t="s">
        <v>414</v>
      </c>
      <c r="H278" t="s">
        <v>2642</v>
      </c>
      <c r="I278">
        <v>35305</v>
      </c>
      <c r="J278" t="s">
        <v>2643</v>
      </c>
    </row>
    <row r="279" spans="1:10">
      <c r="A279" t="s">
        <v>1336</v>
      </c>
      <c r="F279" t="s">
        <v>414</v>
      </c>
      <c r="H279" t="s">
        <v>1701</v>
      </c>
      <c r="I279">
        <v>35000</v>
      </c>
      <c r="J279" t="s">
        <v>1702</v>
      </c>
    </row>
    <row r="280" spans="1:10">
      <c r="A280" t="s">
        <v>1505</v>
      </c>
      <c r="F280" t="s">
        <v>414</v>
      </c>
      <c r="H280" t="s">
        <v>2044</v>
      </c>
      <c r="I280">
        <v>47000</v>
      </c>
      <c r="J280" t="s">
        <v>1767</v>
      </c>
    </row>
    <row r="281" spans="1:10">
      <c r="A281" t="s">
        <v>1541</v>
      </c>
      <c r="F281" t="s">
        <v>414</v>
      </c>
      <c r="H281" t="s">
        <v>2114</v>
      </c>
      <c r="I281">
        <v>92100</v>
      </c>
      <c r="J281" t="s">
        <v>2115</v>
      </c>
    </row>
    <row r="282" spans="1:10">
      <c r="A282" t="s">
        <v>2533</v>
      </c>
      <c r="G282" t="s">
        <v>414</v>
      </c>
      <c r="H282" t="s">
        <v>2840</v>
      </c>
      <c r="I282">
        <v>6400</v>
      </c>
      <c r="J282" t="s">
        <v>1817</v>
      </c>
    </row>
    <row r="283" spans="1:10">
      <c r="A283" t="s">
        <v>2389</v>
      </c>
      <c r="G283" t="s">
        <v>414</v>
      </c>
      <c r="H283" t="s">
        <v>2669</v>
      </c>
      <c r="I283">
        <v>7103</v>
      </c>
      <c r="J283" t="s">
        <v>2670</v>
      </c>
    </row>
    <row r="284" spans="1:10">
      <c r="A284" t="s">
        <v>2390</v>
      </c>
      <c r="G284" t="s">
        <v>414</v>
      </c>
      <c r="H284" t="s">
        <v>2671</v>
      </c>
      <c r="I284">
        <v>59421</v>
      </c>
      <c r="J284" t="s">
        <v>2672</v>
      </c>
    </row>
    <row r="285" spans="1:10">
      <c r="A285" t="s">
        <v>1377</v>
      </c>
      <c r="F285" t="s">
        <v>414</v>
      </c>
      <c r="H285" t="s">
        <v>1791</v>
      </c>
      <c r="I285">
        <v>55012</v>
      </c>
      <c r="J285" t="s">
        <v>1792</v>
      </c>
    </row>
    <row r="286" spans="1:10">
      <c r="A286" t="s">
        <v>624</v>
      </c>
      <c r="G286" t="s">
        <v>414</v>
      </c>
      <c r="H286" t="s">
        <v>2673</v>
      </c>
      <c r="I286">
        <v>1300</v>
      </c>
      <c r="J286" t="s">
        <v>2674</v>
      </c>
    </row>
    <row r="287" spans="1:10">
      <c r="A287" t="s">
        <v>1384</v>
      </c>
      <c r="F287" t="s">
        <v>414</v>
      </c>
      <c r="H287" t="s">
        <v>1804</v>
      </c>
      <c r="I287">
        <v>2303</v>
      </c>
      <c r="J287" t="s">
        <v>1805</v>
      </c>
    </row>
    <row r="288" spans="1:10">
      <c r="A288" t="s">
        <v>2391</v>
      </c>
      <c r="G288" t="s">
        <v>414</v>
      </c>
      <c r="H288" t="s">
        <v>2675</v>
      </c>
      <c r="I288">
        <v>73208</v>
      </c>
      <c r="J288" t="s">
        <v>2676</v>
      </c>
    </row>
    <row r="289" spans="1:10">
      <c r="A289" t="s">
        <v>2394</v>
      </c>
      <c r="G289" t="s">
        <v>414</v>
      </c>
      <c r="H289" t="s">
        <v>2681</v>
      </c>
      <c r="I289">
        <v>15102</v>
      </c>
      <c r="J289" t="s">
        <v>2682</v>
      </c>
    </row>
    <row r="290" spans="1:10">
      <c r="A290" t="s">
        <v>2395</v>
      </c>
      <c r="G290" t="s">
        <v>414</v>
      </c>
      <c r="H290" t="s">
        <v>2683</v>
      </c>
      <c r="I290">
        <v>91152</v>
      </c>
      <c r="J290" t="s">
        <v>2684</v>
      </c>
    </row>
    <row r="291" spans="1:10">
      <c r="A291" t="s">
        <v>2396</v>
      </c>
      <c r="G291" t="s">
        <v>414</v>
      </c>
      <c r="H291" t="s">
        <v>2685</v>
      </c>
      <c r="I291">
        <v>42605</v>
      </c>
      <c r="J291" t="s">
        <v>2686</v>
      </c>
    </row>
    <row r="292" spans="1:10">
      <c r="A292" t="s">
        <v>2397</v>
      </c>
      <c r="G292" t="s">
        <v>414</v>
      </c>
      <c r="H292" t="s">
        <v>2687</v>
      </c>
      <c r="I292">
        <v>53204</v>
      </c>
      <c r="J292" t="s">
        <v>2688</v>
      </c>
    </row>
    <row r="293" spans="1:10">
      <c r="A293" t="s">
        <v>1414</v>
      </c>
      <c r="F293" t="s">
        <v>414</v>
      </c>
      <c r="H293" t="s">
        <v>1869</v>
      </c>
      <c r="I293">
        <v>59524</v>
      </c>
      <c r="J293" t="s">
        <v>1870</v>
      </c>
    </row>
    <row r="294" spans="1:10">
      <c r="A294" t="s">
        <v>2398</v>
      </c>
      <c r="G294" t="s">
        <v>414</v>
      </c>
      <c r="H294" t="s">
        <v>2689</v>
      </c>
      <c r="I294">
        <v>83175</v>
      </c>
      <c r="J294" t="s">
        <v>2690</v>
      </c>
    </row>
    <row r="295" spans="1:10">
      <c r="A295" t="s">
        <v>1421</v>
      </c>
      <c r="F295" t="s">
        <v>414</v>
      </c>
      <c r="H295" t="s">
        <v>1882</v>
      </c>
      <c r="I295">
        <v>72000</v>
      </c>
      <c r="J295" t="s">
        <v>1883</v>
      </c>
    </row>
    <row r="296" spans="1:10">
      <c r="A296" t="s">
        <v>1422</v>
      </c>
      <c r="F296" t="s">
        <v>414</v>
      </c>
      <c r="H296" t="s">
        <v>1884</v>
      </c>
      <c r="I296">
        <v>62307</v>
      </c>
      <c r="J296" t="s">
        <v>935</v>
      </c>
    </row>
    <row r="297" spans="1:10">
      <c r="A297" t="s">
        <v>687</v>
      </c>
      <c r="G297" t="s">
        <v>414</v>
      </c>
      <c r="H297" t="s">
        <v>2691</v>
      </c>
      <c r="I297">
        <v>84106</v>
      </c>
      <c r="J297" t="s">
        <v>2692</v>
      </c>
    </row>
    <row r="298" spans="1:10">
      <c r="A298" t="s">
        <v>2399</v>
      </c>
      <c r="G298" t="s">
        <v>414</v>
      </c>
      <c r="H298" t="s">
        <v>2693</v>
      </c>
      <c r="I298">
        <v>39108</v>
      </c>
      <c r="J298" t="s">
        <v>2694</v>
      </c>
    </row>
    <row r="299" spans="1:10">
      <c r="A299" t="s">
        <v>2400</v>
      </c>
      <c r="G299" t="s">
        <v>414</v>
      </c>
      <c r="H299" t="s">
        <v>2695</v>
      </c>
      <c r="I299">
        <v>85302</v>
      </c>
      <c r="J299" t="s">
        <v>2696</v>
      </c>
    </row>
    <row r="300" spans="1:10">
      <c r="A300" t="s">
        <v>1427</v>
      </c>
      <c r="F300" t="s">
        <v>414</v>
      </c>
      <c r="H300" t="s">
        <v>1894</v>
      </c>
      <c r="I300">
        <v>57604</v>
      </c>
      <c r="J300" t="s">
        <v>1895</v>
      </c>
    </row>
    <row r="301" spans="1:10">
      <c r="A301" t="s">
        <v>2401</v>
      </c>
      <c r="G301" t="s">
        <v>414</v>
      </c>
      <c r="H301" t="s">
        <v>2697</v>
      </c>
      <c r="I301">
        <v>12101</v>
      </c>
      <c r="J301" t="s">
        <v>2698</v>
      </c>
    </row>
    <row r="302" spans="1:10">
      <c r="A302" t="s">
        <v>2402</v>
      </c>
      <c r="G302" t="s">
        <v>414</v>
      </c>
      <c r="H302" t="s">
        <v>2699</v>
      </c>
      <c r="I302">
        <v>20090</v>
      </c>
      <c r="J302" t="s">
        <v>2700</v>
      </c>
    </row>
    <row r="303" spans="1:10">
      <c r="A303" t="s">
        <v>2393</v>
      </c>
      <c r="G303" t="s">
        <v>414</v>
      </c>
      <c r="H303" t="s">
        <v>2679</v>
      </c>
      <c r="I303">
        <v>42700</v>
      </c>
      <c r="J303" t="s">
        <v>2680</v>
      </c>
    </row>
    <row r="304" spans="1:10">
      <c r="A304" t="s">
        <v>2403</v>
      </c>
      <c r="G304" t="s">
        <v>414</v>
      </c>
      <c r="H304" t="s">
        <v>2701</v>
      </c>
      <c r="I304">
        <v>63503</v>
      </c>
      <c r="J304" t="s">
        <v>2702</v>
      </c>
    </row>
    <row r="305" spans="1:10">
      <c r="A305" t="s">
        <v>2404</v>
      </c>
      <c r="G305" t="s">
        <v>414</v>
      </c>
      <c r="H305" t="s">
        <v>2703</v>
      </c>
      <c r="I305">
        <v>41206</v>
      </c>
      <c r="J305" t="s">
        <v>2704</v>
      </c>
    </row>
    <row r="306" spans="1:10">
      <c r="A306" t="s">
        <v>1434</v>
      </c>
      <c r="F306" t="s">
        <v>414</v>
      </c>
      <c r="H306" t="s">
        <v>1914</v>
      </c>
      <c r="I306">
        <v>57402</v>
      </c>
      <c r="J306" t="s">
        <v>1915</v>
      </c>
    </row>
    <row r="307" spans="1:10">
      <c r="A307" t="s">
        <v>2405</v>
      </c>
      <c r="G307" t="s">
        <v>414</v>
      </c>
      <c r="H307" t="s">
        <v>2705</v>
      </c>
      <c r="I307">
        <v>59113</v>
      </c>
      <c r="J307" t="s">
        <v>2706</v>
      </c>
    </row>
    <row r="308" spans="1:10">
      <c r="A308" t="s">
        <v>1439</v>
      </c>
      <c r="F308" t="s">
        <v>414</v>
      </c>
      <c r="H308" t="s">
        <v>1927</v>
      </c>
      <c r="I308">
        <v>77875</v>
      </c>
      <c r="J308" t="s">
        <v>1928</v>
      </c>
    </row>
    <row r="309" spans="1:10">
      <c r="A309" t="s">
        <v>2406</v>
      </c>
      <c r="G309" t="s">
        <v>414</v>
      </c>
      <c r="H309" t="s">
        <v>2707</v>
      </c>
      <c r="I309">
        <v>50303</v>
      </c>
      <c r="J309" t="s">
        <v>2209</v>
      </c>
    </row>
    <row r="310" spans="1:10">
      <c r="A310" t="s">
        <v>1445</v>
      </c>
      <c r="F310" t="s">
        <v>414</v>
      </c>
      <c r="H310" t="s">
        <v>1942</v>
      </c>
      <c r="I310">
        <v>50406</v>
      </c>
      <c r="J310" t="s">
        <v>1943</v>
      </c>
    </row>
    <row r="311" spans="1:10">
      <c r="A311" t="s">
        <v>1560</v>
      </c>
      <c r="F311" t="s">
        <v>414</v>
      </c>
      <c r="G311" t="s">
        <v>414</v>
      </c>
      <c r="H311" t="s">
        <v>2150</v>
      </c>
      <c r="I311">
        <v>76031</v>
      </c>
      <c r="J311" t="s">
        <v>885</v>
      </c>
    </row>
    <row r="312" spans="1:10">
      <c r="A312" t="s">
        <v>1363</v>
      </c>
      <c r="F312" t="s">
        <v>414</v>
      </c>
      <c r="H312" t="s">
        <v>1754</v>
      </c>
      <c r="I312">
        <v>52001</v>
      </c>
      <c r="J312" t="s">
        <v>1755</v>
      </c>
    </row>
    <row r="313" spans="1:10">
      <c r="A313" t="s">
        <v>1446</v>
      </c>
      <c r="F313" t="s">
        <v>414</v>
      </c>
      <c r="H313" t="s">
        <v>1944</v>
      </c>
      <c r="I313">
        <v>56017</v>
      </c>
      <c r="J313" t="s">
        <v>1945</v>
      </c>
    </row>
    <row r="314" spans="1:10">
      <c r="A314" t="s">
        <v>2407</v>
      </c>
      <c r="G314" t="s">
        <v>414</v>
      </c>
      <c r="H314" t="s">
        <v>2708</v>
      </c>
      <c r="I314">
        <v>56017</v>
      </c>
      <c r="J314" t="s">
        <v>1945</v>
      </c>
    </row>
    <row r="315" spans="1:10">
      <c r="A315" t="s">
        <v>1609</v>
      </c>
      <c r="F315" t="s">
        <v>414</v>
      </c>
      <c r="G315" t="s">
        <v>414</v>
      </c>
      <c r="H315" t="s">
        <v>2220</v>
      </c>
      <c r="I315">
        <v>11100</v>
      </c>
      <c r="J315" t="s">
        <v>2221</v>
      </c>
    </row>
    <row r="316" spans="1:10">
      <c r="A316" t="s">
        <v>2435</v>
      </c>
      <c r="F316" t="s">
        <v>414</v>
      </c>
      <c r="G316" t="s">
        <v>414</v>
      </c>
      <c r="H316" t="s">
        <v>2031</v>
      </c>
      <c r="I316">
        <v>21079</v>
      </c>
      <c r="J316" t="s">
        <v>844</v>
      </c>
    </row>
    <row r="317" spans="1:10">
      <c r="A317" t="s">
        <v>2410</v>
      </c>
      <c r="G317" t="s">
        <v>414</v>
      </c>
      <c r="H317" t="s">
        <v>2709</v>
      </c>
      <c r="I317">
        <v>4101</v>
      </c>
      <c r="J317" t="s">
        <v>2710</v>
      </c>
    </row>
    <row r="318" spans="1:10">
      <c r="A318" t="s">
        <v>2411</v>
      </c>
      <c r="G318" t="s">
        <v>414</v>
      </c>
      <c r="H318" t="s">
        <v>2711</v>
      </c>
      <c r="I318">
        <v>78250</v>
      </c>
      <c r="J318" t="s">
        <v>2712</v>
      </c>
    </row>
    <row r="319" spans="1:10">
      <c r="A319" t="s">
        <v>1453</v>
      </c>
      <c r="F319" t="s">
        <v>414</v>
      </c>
      <c r="H319" t="s">
        <v>1957</v>
      </c>
      <c r="I319">
        <v>25304</v>
      </c>
      <c r="J319" t="s">
        <v>1958</v>
      </c>
    </row>
    <row r="320" spans="1:10">
      <c r="A320" t="s">
        <v>2412</v>
      </c>
      <c r="G320" t="s">
        <v>414</v>
      </c>
      <c r="H320" t="s">
        <v>2713</v>
      </c>
      <c r="I320">
        <v>94195</v>
      </c>
      <c r="J320" t="s">
        <v>1962</v>
      </c>
    </row>
    <row r="321" spans="1:10">
      <c r="A321" t="s">
        <v>1455</v>
      </c>
      <c r="F321" t="s">
        <v>414</v>
      </c>
      <c r="H321" t="s">
        <v>1961</v>
      </c>
      <c r="I321">
        <v>94195</v>
      </c>
      <c r="J321" t="s">
        <v>1962</v>
      </c>
    </row>
    <row r="322" spans="1:10">
      <c r="A322" t="s">
        <v>1682</v>
      </c>
      <c r="F322" t="s">
        <v>414</v>
      </c>
      <c r="G322" t="s">
        <v>414</v>
      </c>
      <c r="H322" t="s">
        <v>2336</v>
      </c>
      <c r="I322">
        <v>41260</v>
      </c>
      <c r="J322" t="s">
        <v>2337</v>
      </c>
    </row>
    <row r="323" spans="1:10">
      <c r="A323" t="s">
        <v>2414</v>
      </c>
      <c r="G323" t="s">
        <v>414</v>
      </c>
      <c r="H323" t="s">
        <v>2714</v>
      </c>
      <c r="I323">
        <v>78303</v>
      </c>
      <c r="J323" t="s">
        <v>2715</v>
      </c>
    </row>
    <row r="324" spans="1:10">
      <c r="A324" t="s">
        <v>1457</v>
      </c>
      <c r="F324" t="s">
        <v>414</v>
      </c>
      <c r="H324" t="s">
        <v>1965</v>
      </c>
      <c r="I324">
        <v>78100</v>
      </c>
      <c r="J324" t="s">
        <v>1966</v>
      </c>
    </row>
    <row r="325" spans="1:10">
      <c r="A325" t="s">
        <v>1598</v>
      </c>
      <c r="F325" t="s">
        <v>414</v>
      </c>
      <c r="G325" t="s">
        <v>414</v>
      </c>
      <c r="H325" t="s">
        <v>2202</v>
      </c>
      <c r="I325">
        <v>92160</v>
      </c>
      <c r="J325" t="s">
        <v>967</v>
      </c>
    </row>
    <row r="326" spans="1:10">
      <c r="A326" t="s">
        <v>2251</v>
      </c>
      <c r="F326" t="s">
        <v>414</v>
      </c>
      <c r="G326" t="s">
        <v>414</v>
      </c>
      <c r="H326" t="s">
        <v>2252</v>
      </c>
      <c r="I326">
        <v>22190</v>
      </c>
      <c r="J326" t="s">
        <v>1000</v>
      </c>
    </row>
    <row r="327" spans="1:10">
      <c r="A327" t="s">
        <v>1465</v>
      </c>
      <c r="F327" t="s">
        <v>414</v>
      </c>
      <c r="H327" t="s">
        <v>1979</v>
      </c>
      <c r="I327">
        <v>73106</v>
      </c>
      <c r="J327" t="s">
        <v>1980</v>
      </c>
    </row>
    <row r="328" spans="1:10">
      <c r="A328" t="s">
        <v>2417</v>
      </c>
      <c r="G328" t="s">
        <v>414</v>
      </c>
      <c r="H328" t="s">
        <v>2717</v>
      </c>
      <c r="I328">
        <v>59037</v>
      </c>
      <c r="J328" t="s">
        <v>871</v>
      </c>
    </row>
    <row r="329" spans="1:10">
      <c r="A329" t="s">
        <v>2418</v>
      </c>
      <c r="G329" t="s">
        <v>414</v>
      </c>
      <c r="H329" t="s">
        <v>2718</v>
      </c>
      <c r="I329">
        <v>29609</v>
      </c>
      <c r="J329" t="s">
        <v>862</v>
      </c>
    </row>
    <row r="330" spans="1:10">
      <c r="A330" t="s">
        <v>1471</v>
      </c>
      <c r="F330" t="s">
        <v>414</v>
      </c>
      <c r="H330" t="s">
        <v>1989</v>
      </c>
      <c r="I330">
        <v>37044</v>
      </c>
      <c r="J330" t="s">
        <v>818</v>
      </c>
    </row>
    <row r="331" spans="1:10">
      <c r="A331" t="s">
        <v>1562</v>
      </c>
      <c r="F331" t="s">
        <v>414</v>
      </c>
      <c r="G331" t="s">
        <v>414</v>
      </c>
      <c r="H331" t="s">
        <v>2152</v>
      </c>
      <c r="I331">
        <v>69317</v>
      </c>
      <c r="J331" t="s">
        <v>903</v>
      </c>
    </row>
    <row r="332" spans="1:10">
      <c r="A332" t="s">
        <v>1675</v>
      </c>
      <c r="F332" t="s">
        <v>414</v>
      </c>
      <c r="G332" t="s">
        <v>414</v>
      </c>
      <c r="H332" t="s">
        <v>2327</v>
      </c>
      <c r="I332">
        <v>63050</v>
      </c>
      <c r="J332" t="s">
        <v>896</v>
      </c>
    </row>
    <row r="333" spans="1:10">
      <c r="A333" t="s">
        <v>1637</v>
      </c>
      <c r="F333" t="s">
        <v>414</v>
      </c>
      <c r="G333" t="s">
        <v>414</v>
      </c>
      <c r="H333" t="s">
        <v>2268</v>
      </c>
      <c r="I333">
        <v>59056</v>
      </c>
      <c r="J333" t="s">
        <v>2269</v>
      </c>
    </row>
    <row r="334" spans="1:10">
      <c r="A334" t="s">
        <v>1476</v>
      </c>
      <c r="F334" t="s">
        <v>414</v>
      </c>
      <c r="H334" t="s">
        <v>1996</v>
      </c>
      <c r="I334">
        <v>35000</v>
      </c>
      <c r="J334" t="s">
        <v>1702</v>
      </c>
    </row>
    <row r="335" spans="1:10">
      <c r="A335" t="s">
        <v>2304</v>
      </c>
      <c r="F335" t="s">
        <v>414</v>
      </c>
      <c r="G335" t="s">
        <v>414</v>
      </c>
      <c r="H335" t="s">
        <v>2305</v>
      </c>
      <c r="I335">
        <v>56000</v>
      </c>
      <c r="J335" t="s">
        <v>1945</v>
      </c>
    </row>
    <row r="336" spans="1:10">
      <c r="A336" t="s">
        <v>1484</v>
      </c>
      <c r="F336" t="s">
        <v>414</v>
      </c>
      <c r="H336" t="s">
        <v>2007</v>
      </c>
      <c r="I336">
        <v>86106</v>
      </c>
      <c r="J336" t="s">
        <v>2008</v>
      </c>
    </row>
    <row r="337" spans="1:10">
      <c r="A337" t="s">
        <v>691</v>
      </c>
      <c r="F337" t="s">
        <v>414</v>
      </c>
      <c r="G337" t="s">
        <v>414</v>
      </c>
      <c r="H337" t="s">
        <v>2093</v>
      </c>
      <c r="I337">
        <v>89100</v>
      </c>
      <c r="J337" t="s">
        <v>1921</v>
      </c>
    </row>
    <row r="338" spans="1:10">
      <c r="A338" t="s">
        <v>1488</v>
      </c>
      <c r="F338" t="s">
        <v>414</v>
      </c>
      <c r="H338" t="s">
        <v>2012</v>
      </c>
      <c r="I338">
        <v>97405</v>
      </c>
      <c r="J338" t="s">
        <v>1866</v>
      </c>
    </row>
    <row r="339" spans="1:10">
      <c r="A339" t="s">
        <v>2423</v>
      </c>
      <c r="G339" t="s">
        <v>414</v>
      </c>
      <c r="H339" t="s">
        <v>2719</v>
      </c>
      <c r="I339">
        <v>97405</v>
      </c>
      <c r="J339" t="s">
        <v>1866</v>
      </c>
    </row>
    <row r="340" spans="1:10">
      <c r="A340" t="s">
        <v>2514</v>
      </c>
      <c r="G340" t="s">
        <v>414</v>
      </c>
      <c r="H340" t="s">
        <v>2836</v>
      </c>
      <c r="I340">
        <v>67091</v>
      </c>
      <c r="J340" t="s">
        <v>2056</v>
      </c>
    </row>
    <row r="341" spans="1:10">
      <c r="A341" t="s">
        <v>2424</v>
      </c>
      <c r="G341" t="s">
        <v>414</v>
      </c>
      <c r="H341" t="s">
        <v>2720</v>
      </c>
      <c r="I341">
        <v>31082</v>
      </c>
      <c r="J341" t="s">
        <v>833</v>
      </c>
    </row>
    <row r="342" spans="1:10">
      <c r="A342" t="s">
        <v>2425</v>
      </c>
      <c r="G342" t="s">
        <v>414</v>
      </c>
      <c r="H342" t="s">
        <v>2721</v>
      </c>
      <c r="I342">
        <v>34070</v>
      </c>
      <c r="J342" t="s">
        <v>858</v>
      </c>
    </row>
    <row r="343" spans="1:10">
      <c r="A343" t="s">
        <v>1565</v>
      </c>
      <c r="F343" t="s">
        <v>414</v>
      </c>
      <c r="G343" t="s">
        <v>414</v>
      </c>
      <c r="H343" t="s">
        <v>2155</v>
      </c>
      <c r="I343">
        <v>75020</v>
      </c>
      <c r="J343" t="s">
        <v>700</v>
      </c>
    </row>
    <row r="344" spans="1:10">
      <c r="A344" t="s">
        <v>2626</v>
      </c>
      <c r="F344" t="s">
        <v>414</v>
      </c>
      <c r="G344" t="s">
        <v>414</v>
      </c>
      <c r="H344" t="s">
        <v>2355</v>
      </c>
      <c r="I344">
        <v>20200</v>
      </c>
      <c r="J344" t="s">
        <v>2356</v>
      </c>
    </row>
    <row r="345" spans="1:10">
      <c r="A345" t="s">
        <v>2430</v>
      </c>
      <c r="G345" t="s">
        <v>414</v>
      </c>
      <c r="H345" t="s">
        <v>2723</v>
      </c>
      <c r="I345">
        <v>66000</v>
      </c>
      <c r="J345" t="s">
        <v>1907</v>
      </c>
    </row>
    <row r="346" spans="1:10">
      <c r="A346" t="s">
        <v>2429</v>
      </c>
      <c r="G346" t="s">
        <v>414</v>
      </c>
      <c r="H346" t="s">
        <v>2722</v>
      </c>
      <c r="I346">
        <v>34960</v>
      </c>
      <c r="J346" t="s">
        <v>858</v>
      </c>
    </row>
    <row r="347" spans="1:10">
      <c r="A347" t="s">
        <v>1524</v>
      </c>
      <c r="F347" t="s">
        <v>414</v>
      </c>
      <c r="G347" t="s">
        <v>414</v>
      </c>
      <c r="H347" t="s">
        <v>2086</v>
      </c>
      <c r="I347">
        <v>76550</v>
      </c>
      <c r="J347" t="s">
        <v>2087</v>
      </c>
    </row>
    <row r="348" spans="1:10">
      <c r="A348" t="s">
        <v>2432</v>
      </c>
      <c r="G348" t="s">
        <v>414</v>
      </c>
      <c r="H348" t="s">
        <v>2724</v>
      </c>
      <c r="I348">
        <v>31076</v>
      </c>
      <c r="J348" t="s">
        <v>833</v>
      </c>
    </row>
    <row r="349" spans="1:10">
      <c r="A349" t="s">
        <v>2433</v>
      </c>
      <c r="G349" t="s">
        <v>414</v>
      </c>
      <c r="H349" t="s">
        <v>2725</v>
      </c>
      <c r="I349">
        <v>34433</v>
      </c>
      <c r="J349" t="s">
        <v>2726</v>
      </c>
    </row>
    <row r="350" spans="1:10">
      <c r="A350" t="s">
        <v>2434</v>
      </c>
      <c r="G350" t="s">
        <v>414</v>
      </c>
      <c r="H350" t="s">
        <v>2727</v>
      </c>
      <c r="I350">
        <v>34190</v>
      </c>
      <c r="J350" t="s">
        <v>2728</v>
      </c>
    </row>
    <row r="351" spans="1:10">
      <c r="A351" t="s">
        <v>2892</v>
      </c>
      <c r="G351" t="s">
        <v>414</v>
      </c>
      <c r="H351" t="s">
        <v>2893</v>
      </c>
      <c r="I351">
        <v>62460</v>
      </c>
      <c r="J351" t="s">
        <v>2894</v>
      </c>
    </row>
    <row r="352" spans="1:10">
      <c r="A352" t="s">
        <v>1600</v>
      </c>
      <c r="F352" t="s">
        <v>414</v>
      </c>
      <c r="G352" t="s">
        <v>414</v>
      </c>
      <c r="H352" t="s">
        <v>2205</v>
      </c>
      <c r="I352">
        <v>78190</v>
      </c>
      <c r="J352" t="s">
        <v>2206</v>
      </c>
    </row>
    <row r="353" spans="1:10">
      <c r="A353" t="s">
        <v>1483</v>
      </c>
      <c r="F353" t="s">
        <v>414</v>
      </c>
      <c r="G353" t="s">
        <v>414</v>
      </c>
      <c r="H353" t="s">
        <v>2006</v>
      </c>
      <c r="I353">
        <v>6202</v>
      </c>
      <c r="J353" t="s">
        <v>836</v>
      </c>
    </row>
    <row r="354" spans="1:10">
      <c r="A354" t="s">
        <v>1500</v>
      </c>
      <c r="F354" t="s">
        <v>414</v>
      </c>
      <c r="H354" t="s">
        <v>2032</v>
      </c>
      <c r="I354">
        <v>94669</v>
      </c>
      <c r="J354" t="s">
        <v>2033</v>
      </c>
    </row>
    <row r="355" spans="1:10">
      <c r="A355" t="s">
        <v>694</v>
      </c>
      <c r="F355" t="s">
        <v>414</v>
      </c>
      <c r="H355" t="s">
        <v>2035</v>
      </c>
      <c r="I355">
        <v>92210</v>
      </c>
      <c r="J355" t="s">
        <v>2036</v>
      </c>
    </row>
    <row r="356" spans="1:10">
      <c r="A356" t="s">
        <v>1671</v>
      </c>
      <c r="F356" t="s">
        <v>414</v>
      </c>
      <c r="G356" t="s">
        <v>414</v>
      </c>
      <c r="H356" t="s">
        <v>2321</v>
      </c>
      <c r="I356">
        <v>69100</v>
      </c>
      <c r="J356" t="s">
        <v>995</v>
      </c>
    </row>
    <row r="357" spans="1:10">
      <c r="A357" t="s">
        <v>2450</v>
      </c>
      <c r="G357" t="s">
        <v>414</v>
      </c>
      <c r="H357" t="s">
        <v>2748</v>
      </c>
      <c r="I357">
        <v>91160</v>
      </c>
      <c r="J357" t="s">
        <v>976</v>
      </c>
    </row>
    <row r="358" spans="1:10">
      <c r="A358" t="s">
        <v>2452</v>
      </c>
      <c r="G358" t="s">
        <v>414</v>
      </c>
      <c r="H358" t="s">
        <v>2753</v>
      </c>
      <c r="I358">
        <v>23011</v>
      </c>
      <c r="J358" t="s">
        <v>2659</v>
      </c>
    </row>
    <row r="359" spans="1:10">
      <c r="A359" t="s">
        <v>2453</v>
      </c>
      <c r="G359" t="s">
        <v>414</v>
      </c>
      <c r="H359" t="s">
        <v>2754</v>
      </c>
      <c r="I359">
        <v>63100</v>
      </c>
      <c r="J359" t="s">
        <v>896</v>
      </c>
    </row>
    <row r="360" spans="1:10">
      <c r="A360" t="s">
        <v>2454</v>
      </c>
      <c r="G360" t="s">
        <v>414</v>
      </c>
      <c r="H360" t="s">
        <v>2755</v>
      </c>
      <c r="I360">
        <v>78200</v>
      </c>
      <c r="J360" t="s">
        <v>1862</v>
      </c>
    </row>
    <row r="361" spans="1:10">
      <c r="A361" t="s">
        <v>653</v>
      </c>
      <c r="G361" t="s">
        <v>414</v>
      </c>
      <c r="H361" t="s">
        <v>2749</v>
      </c>
      <c r="I361">
        <v>49044</v>
      </c>
      <c r="J361" t="s">
        <v>958</v>
      </c>
    </row>
    <row r="362" spans="1:10">
      <c r="A362" t="s">
        <v>634</v>
      </c>
      <c r="G362" t="s">
        <v>414</v>
      </c>
      <c r="H362" t="s">
        <v>2750</v>
      </c>
      <c r="I362">
        <v>17138</v>
      </c>
      <c r="J362" t="s">
        <v>2751</v>
      </c>
    </row>
    <row r="363" spans="1:10">
      <c r="A363" t="s">
        <v>2451</v>
      </c>
      <c r="G363" t="s">
        <v>414</v>
      </c>
      <c r="H363" t="s">
        <v>2752</v>
      </c>
      <c r="I363">
        <v>76040</v>
      </c>
      <c r="J363" t="s">
        <v>885</v>
      </c>
    </row>
    <row r="364" spans="1:10">
      <c r="A364" t="s">
        <v>680</v>
      </c>
      <c r="G364" t="s">
        <v>414</v>
      </c>
      <c r="H364" t="s">
        <v>2756</v>
      </c>
      <c r="I364">
        <v>77220</v>
      </c>
      <c r="J364" t="s">
        <v>2757</v>
      </c>
    </row>
    <row r="365" spans="1:10">
      <c r="A365" t="s">
        <v>662</v>
      </c>
      <c r="G365" t="s">
        <v>414</v>
      </c>
      <c r="H365" t="s">
        <v>2758</v>
      </c>
      <c r="I365">
        <v>62780</v>
      </c>
      <c r="J365" t="s">
        <v>2759</v>
      </c>
    </row>
    <row r="366" spans="1:10">
      <c r="A366" t="s">
        <v>640</v>
      </c>
      <c r="G366" t="s">
        <v>414</v>
      </c>
      <c r="H366" t="s">
        <v>2760</v>
      </c>
      <c r="I366">
        <v>38130</v>
      </c>
      <c r="J366" t="s">
        <v>2761</v>
      </c>
    </row>
    <row r="367" spans="1:10">
      <c r="A367" t="s">
        <v>2455</v>
      </c>
      <c r="G367" t="s">
        <v>414</v>
      </c>
      <c r="H367" t="s">
        <v>2762</v>
      </c>
      <c r="I367">
        <v>18206</v>
      </c>
      <c r="J367" t="s">
        <v>2763</v>
      </c>
    </row>
    <row r="368" spans="1:10">
      <c r="A368" t="s">
        <v>661</v>
      </c>
      <c r="G368" t="s">
        <v>414</v>
      </c>
      <c r="H368" t="s">
        <v>2764</v>
      </c>
      <c r="I368">
        <v>59360</v>
      </c>
      <c r="J368" t="s">
        <v>2765</v>
      </c>
    </row>
    <row r="369" spans="1:12">
      <c r="A369" t="s">
        <v>668</v>
      </c>
      <c r="G369" t="s">
        <v>414</v>
      </c>
      <c r="H369" t="s">
        <v>2766</v>
      </c>
      <c r="I369">
        <v>68200</v>
      </c>
      <c r="J369" t="s">
        <v>2163</v>
      </c>
    </row>
    <row r="370" spans="1:12">
      <c r="A370" t="s">
        <v>627</v>
      </c>
      <c r="G370" t="s">
        <v>414</v>
      </c>
      <c r="H370" t="s">
        <v>2767</v>
      </c>
      <c r="I370">
        <v>6130</v>
      </c>
      <c r="J370" t="s">
        <v>2768</v>
      </c>
    </row>
    <row r="371" spans="1:12">
      <c r="A371" t="s">
        <v>2456</v>
      </c>
      <c r="G371" t="s">
        <v>414</v>
      </c>
      <c r="H371" t="s">
        <v>2769</v>
      </c>
      <c r="I371">
        <v>60000</v>
      </c>
      <c r="J371" t="s">
        <v>1788</v>
      </c>
    </row>
    <row r="372" spans="1:12">
      <c r="A372" t="s">
        <v>2457</v>
      </c>
      <c r="G372" t="s">
        <v>414</v>
      </c>
      <c r="H372" t="s">
        <v>2770</v>
      </c>
      <c r="I372">
        <v>42276</v>
      </c>
      <c r="J372" t="s">
        <v>877</v>
      </c>
    </row>
    <row r="373" spans="1:12">
      <c r="A373" t="s">
        <v>675</v>
      </c>
      <c r="G373" t="s">
        <v>414</v>
      </c>
      <c r="H373" t="s">
        <v>2771</v>
      </c>
      <c r="I373">
        <v>72018</v>
      </c>
      <c r="J373" t="s">
        <v>1883</v>
      </c>
    </row>
    <row r="374" spans="1:12">
      <c r="A374" t="s">
        <v>2459</v>
      </c>
      <c r="G374" t="s">
        <v>414</v>
      </c>
      <c r="H374" t="s">
        <v>2773</v>
      </c>
      <c r="I374">
        <v>41100</v>
      </c>
      <c r="J374" t="s">
        <v>2774</v>
      </c>
    </row>
    <row r="375" spans="1:12">
      <c r="A375" t="s">
        <v>698</v>
      </c>
      <c r="F375" t="s">
        <v>414</v>
      </c>
      <c r="H375" t="s">
        <v>2068</v>
      </c>
      <c r="I375">
        <v>94320</v>
      </c>
      <c r="J375" t="s">
        <v>2069</v>
      </c>
    </row>
    <row r="376" spans="1:12">
      <c r="A376" s="12" t="s">
        <v>1301</v>
      </c>
      <c r="B376" s="12" t="s">
        <v>414</v>
      </c>
      <c r="C376" s="12"/>
      <c r="D376" s="12"/>
      <c r="E376" s="12"/>
      <c r="F376" s="12"/>
      <c r="G376" s="12"/>
      <c r="H376" s="12" t="s">
        <v>2950</v>
      </c>
      <c r="I376">
        <v>67200</v>
      </c>
      <c r="J376" t="s">
        <v>2966</v>
      </c>
      <c r="K376" s="12" t="s">
        <v>849</v>
      </c>
      <c r="L376" s="12"/>
    </row>
    <row r="377" spans="1:12">
      <c r="A377" t="s">
        <v>1517</v>
      </c>
      <c r="F377" t="s">
        <v>414</v>
      </c>
      <c r="H377" t="s">
        <v>2072</v>
      </c>
      <c r="I377">
        <v>87039</v>
      </c>
      <c r="J377" t="s">
        <v>855</v>
      </c>
    </row>
    <row r="378" spans="1:12">
      <c r="A378" t="s">
        <v>1540</v>
      </c>
      <c r="F378" t="s">
        <v>414</v>
      </c>
      <c r="H378" t="s">
        <v>2113</v>
      </c>
      <c r="I378">
        <v>67033</v>
      </c>
      <c r="J378" t="s">
        <v>2056</v>
      </c>
    </row>
    <row r="379" spans="1:12">
      <c r="A379" t="s">
        <v>1519</v>
      </c>
      <c r="F379" t="s">
        <v>414</v>
      </c>
      <c r="H379" t="s">
        <v>2075</v>
      </c>
      <c r="I379">
        <v>26000</v>
      </c>
      <c r="J379" t="s">
        <v>1842</v>
      </c>
    </row>
    <row r="380" spans="1:12">
      <c r="A380" t="s">
        <v>677</v>
      </c>
      <c r="F380" t="s">
        <v>414</v>
      </c>
      <c r="H380" t="s">
        <v>2076</v>
      </c>
      <c r="I380">
        <v>75017</v>
      </c>
      <c r="J380" t="s">
        <v>700</v>
      </c>
    </row>
    <row r="381" spans="1:12">
      <c r="A381" t="s">
        <v>2470</v>
      </c>
      <c r="G381" t="s">
        <v>414</v>
      </c>
      <c r="H381" t="s">
        <v>2787</v>
      </c>
      <c r="I381">
        <v>19316</v>
      </c>
      <c r="J381" t="s">
        <v>1735</v>
      </c>
    </row>
    <row r="382" spans="1:12">
      <c r="A382" t="s">
        <v>1662</v>
      </c>
      <c r="F382" t="s">
        <v>414</v>
      </c>
      <c r="H382" t="s">
        <v>2113</v>
      </c>
      <c r="I382">
        <v>67200</v>
      </c>
      <c r="J382" t="s">
        <v>2056</v>
      </c>
    </row>
    <row r="383" spans="1:12">
      <c r="A383" t="s">
        <v>628</v>
      </c>
      <c r="F383" t="s">
        <v>414</v>
      </c>
      <c r="G383" t="s">
        <v>414</v>
      </c>
      <c r="H383" t="s">
        <v>2094</v>
      </c>
      <c r="I383">
        <v>6105</v>
      </c>
      <c r="J383" t="s">
        <v>836</v>
      </c>
    </row>
    <row r="384" spans="1:12">
      <c r="A384" t="s">
        <v>699</v>
      </c>
      <c r="F384" t="s">
        <v>414</v>
      </c>
      <c r="G384" t="s">
        <v>414</v>
      </c>
      <c r="H384" t="s">
        <v>2181</v>
      </c>
      <c r="I384">
        <v>69200</v>
      </c>
      <c r="J384" t="s">
        <v>2182</v>
      </c>
    </row>
    <row r="385" spans="1:10">
      <c r="A385" t="s">
        <v>2476</v>
      </c>
      <c r="G385" t="s">
        <v>414</v>
      </c>
      <c r="H385" t="s">
        <v>2791</v>
      </c>
      <c r="I385">
        <v>77000</v>
      </c>
      <c r="J385" t="s">
        <v>1827</v>
      </c>
    </row>
    <row r="386" spans="1:10">
      <c r="A386" t="s">
        <v>1522</v>
      </c>
      <c r="F386" t="s">
        <v>414</v>
      </c>
      <c r="H386" t="s">
        <v>2082</v>
      </c>
      <c r="I386">
        <v>77100</v>
      </c>
      <c r="J386" t="s">
        <v>2083</v>
      </c>
    </row>
    <row r="387" spans="1:10">
      <c r="A387" t="s">
        <v>1631</v>
      </c>
      <c r="F387" t="s">
        <v>414</v>
      </c>
      <c r="G387" t="s">
        <v>414</v>
      </c>
      <c r="H387" t="s">
        <v>2259</v>
      </c>
      <c r="I387">
        <v>94366</v>
      </c>
      <c r="J387" t="s">
        <v>2260</v>
      </c>
    </row>
    <row r="388" spans="1:10">
      <c r="A388" t="s">
        <v>636</v>
      </c>
      <c r="F388" t="s">
        <v>414</v>
      </c>
      <c r="H388" t="s">
        <v>2088</v>
      </c>
      <c r="I388">
        <v>21240</v>
      </c>
      <c r="J388" t="s">
        <v>2089</v>
      </c>
    </row>
    <row r="389" spans="1:10">
      <c r="A389" t="s">
        <v>2479</v>
      </c>
      <c r="G389" t="s">
        <v>414</v>
      </c>
      <c r="H389" t="s">
        <v>2792</v>
      </c>
      <c r="I389">
        <v>21240</v>
      </c>
      <c r="J389" t="s">
        <v>2089</v>
      </c>
    </row>
    <row r="390" spans="1:10">
      <c r="A390" t="s">
        <v>2480</v>
      </c>
      <c r="G390" t="s">
        <v>414</v>
      </c>
      <c r="H390" t="s">
        <v>2793</v>
      </c>
      <c r="I390">
        <v>35000</v>
      </c>
      <c r="J390" t="s">
        <v>1702</v>
      </c>
    </row>
    <row r="391" spans="1:10">
      <c r="A391" t="s">
        <v>656</v>
      </c>
      <c r="G391" t="s">
        <v>414</v>
      </c>
      <c r="H391" t="s">
        <v>2797</v>
      </c>
      <c r="I391">
        <v>56324</v>
      </c>
      <c r="J391" t="s">
        <v>2128</v>
      </c>
    </row>
    <row r="392" spans="1:10">
      <c r="A392" t="s">
        <v>2484</v>
      </c>
      <c r="G392" t="s">
        <v>414</v>
      </c>
      <c r="H392" t="s">
        <v>2798</v>
      </c>
      <c r="I392">
        <v>14500</v>
      </c>
      <c r="J392" t="s">
        <v>2799</v>
      </c>
    </row>
    <row r="393" spans="1:10">
      <c r="A393" t="s">
        <v>630</v>
      </c>
      <c r="F393" t="s">
        <v>414</v>
      </c>
      <c r="H393" t="s">
        <v>2090</v>
      </c>
      <c r="I393">
        <v>91130</v>
      </c>
      <c r="J393" t="s">
        <v>2091</v>
      </c>
    </row>
    <row r="394" spans="1:10">
      <c r="A394" t="s">
        <v>1595</v>
      </c>
      <c r="F394" t="s">
        <v>414</v>
      </c>
      <c r="G394" t="s">
        <v>414</v>
      </c>
      <c r="H394" t="s">
        <v>2198</v>
      </c>
      <c r="I394">
        <v>62012</v>
      </c>
      <c r="J394" t="s">
        <v>929</v>
      </c>
    </row>
    <row r="395" spans="1:10">
      <c r="A395" t="s">
        <v>1526</v>
      </c>
      <c r="F395" t="s">
        <v>414</v>
      </c>
      <c r="H395" t="s">
        <v>2095</v>
      </c>
      <c r="I395">
        <v>75007</v>
      </c>
      <c r="J395" t="s">
        <v>700</v>
      </c>
    </row>
    <row r="396" spans="1:10">
      <c r="A396" t="s">
        <v>1599</v>
      </c>
      <c r="F396" t="s">
        <v>414</v>
      </c>
      <c r="G396" t="s">
        <v>414</v>
      </c>
      <c r="H396" t="s">
        <v>2203</v>
      </c>
      <c r="I396">
        <v>28300</v>
      </c>
      <c r="J396" t="s">
        <v>2204</v>
      </c>
    </row>
    <row r="397" spans="1:10">
      <c r="A397" t="s">
        <v>1528</v>
      </c>
      <c r="F397" t="s">
        <v>414</v>
      </c>
      <c r="H397" t="s">
        <v>2097</v>
      </c>
      <c r="I397">
        <v>49804</v>
      </c>
      <c r="J397" t="s">
        <v>2098</v>
      </c>
    </row>
    <row r="398" spans="1:10">
      <c r="A398" t="s">
        <v>2498</v>
      </c>
      <c r="G398" t="s">
        <v>414</v>
      </c>
      <c r="H398" t="s">
        <v>2813</v>
      </c>
      <c r="I398">
        <v>44110</v>
      </c>
      <c r="J398" t="s">
        <v>2814</v>
      </c>
    </row>
    <row r="399" spans="1:10">
      <c r="A399" t="s">
        <v>2500</v>
      </c>
      <c r="G399" t="s">
        <v>414</v>
      </c>
      <c r="H399" t="s">
        <v>2816</v>
      </c>
      <c r="I399">
        <v>85204</v>
      </c>
      <c r="J399" t="s">
        <v>2817</v>
      </c>
    </row>
    <row r="400" spans="1:10">
      <c r="A400" t="s">
        <v>2504</v>
      </c>
      <c r="G400" t="s">
        <v>414</v>
      </c>
      <c r="H400" t="s">
        <v>2821</v>
      </c>
      <c r="I400">
        <v>20000</v>
      </c>
      <c r="J400" t="s">
        <v>2700</v>
      </c>
    </row>
    <row r="401" spans="1:10">
      <c r="A401" t="s">
        <v>2445</v>
      </c>
      <c r="G401" t="s">
        <v>414</v>
      </c>
      <c r="H401" t="s">
        <v>2740</v>
      </c>
      <c r="I401">
        <v>95290</v>
      </c>
      <c r="J401" t="s">
        <v>2741</v>
      </c>
    </row>
    <row r="402" spans="1:10">
      <c r="A402" t="s">
        <v>1606</v>
      </c>
      <c r="F402" t="s">
        <v>414</v>
      </c>
      <c r="G402" t="s">
        <v>414</v>
      </c>
      <c r="H402" t="s">
        <v>2216</v>
      </c>
      <c r="I402">
        <v>59650</v>
      </c>
      <c r="J402" t="s">
        <v>2217</v>
      </c>
    </row>
    <row r="403" spans="1:10">
      <c r="A403" t="s">
        <v>1539</v>
      </c>
      <c r="F403" t="s">
        <v>414</v>
      </c>
      <c r="H403" t="s">
        <v>2112</v>
      </c>
      <c r="I403">
        <v>76038</v>
      </c>
      <c r="J403" t="s">
        <v>885</v>
      </c>
    </row>
    <row r="404" spans="1:10">
      <c r="A404" t="s">
        <v>1597</v>
      </c>
      <c r="F404" t="s">
        <v>414</v>
      </c>
      <c r="G404" t="s">
        <v>414</v>
      </c>
      <c r="H404" t="s">
        <v>2200</v>
      </c>
      <c r="I404">
        <v>91480</v>
      </c>
      <c r="J404" t="s">
        <v>2201</v>
      </c>
    </row>
    <row r="405" spans="1:10">
      <c r="A405" t="s">
        <v>2462</v>
      </c>
      <c r="G405" t="s">
        <v>414</v>
      </c>
      <c r="H405" t="s">
        <v>2776</v>
      </c>
      <c r="I405">
        <v>47002</v>
      </c>
      <c r="J405" t="s">
        <v>1767</v>
      </c>
    </row>
    <row r="406" spans="1:10">
      <c r="A406" t="s">
        <v>1570</v>
      </c>
      <c r="F406" t="s">
        <v>414</v>
      </c>
      <c r="G406" t="s">
        <v>414</v>
      </c>
      <c r="H406" t="s">
        <v>2162</v>
      </c>
      <c r="I406">
        <v>68051</v>
      </c>
      <c r="J406" t="s">
        <v>2163</v>
      </c>
    </row>
    <row r="407" spans="1:10">
      <c r="A407" t="s">
        <v>2505</v>
      </c>
      <c r="G407" t="s">
        <v>414</v>
      </c>
      <c r="H407" t="s">
        <v>2822</v>
      </c>
      <c r="I407">
        <v>17201</v>
      </c>
      <c r="J407" t="s">
        <v>2823</v>
      </c>
    </row>
    <row r="408" spans="1:10">
      <c r="A408" t="s">
        <v>1511</v>
      </c>
      <c r="F408" t="s">
        <v>414</v>
      </c>
      <c r="H408" t="s">
        <v>2054</v>
      </c>
      <c r="I408">
        <v>80000</v>
      </c>
      <c r="J408" t="s">
        <v>840</v>
      </c>
    </row>
    <row r="409" spans="1:10">
      <c r="A409" t="s">
        <v>2523</v>
      </c>
      <c r="G409" t="s">
        <v>414</v>
      </c>
      <c r="H409" t="s">
        <v>2837</v>
      </c>
      <c r="I409">
        <v>13003</v>
      </c>
      <c r="J409" t="s">
        <v>822</v>
      </c>
    </row>
    <row r="410" spans="1:10">
      <c r="A410" t="s">
        <v>2526</v>
      </c>
      <c r="G410" t="s">
        <v>414</v>
      </c>
      <c r="H410" t="s">
        <v>2838</v>
      </c>
      <c r="I410">
        <v>92151</v>
      </c>
      <c r="J410" t="s">
        <v>2171</v>
      </c>
    </row>
    <row r="411" spans="1:10">
      <c r="A411" t="s">
        <v>1613</v>
      </c>
      <c r="F411" t="s">
        <v>414</v>
      </c>
      <c r="G411" t="s">
        <v>414</v>
      </c>
      <c r="H411" t="s">
        <v>2227</v>
      </c>
      <c r="I411">
        <v>18230</v>
      </c>
      <c r="J411" t="s">
        <v>2228</v>
      </c>
    </row>
    <row r="412" spans="1:10">
      <c r="A412" t="s">
        <v>2610</v>
      </c>
      <c r="G412" t="s">
        <v>414</v>
      </c>
      <c r="H412" t="s">
        <v>2888</v>
      </c>
      <c r="I412">
        <v>25052</v>
      </c>
      <c r="J412" t="s">
        <v>874</v>
      </c>
    </row>
    <row r="413" spans="1:10">
      <c r="A413" t="s">
        <v>2409</v>
      </c>
      <c r="F413" t="s">
        <v>414</v>
      </c>
      <c r="G413" t="s">
        <v>414</v>
      </c>
      <c r="H413" t="s">
        <v>1951</v>
      </c>
      <c r="I413">
        <v>83608</v>
      </c>
      <c r="J413" t="s">
        <v>1952</v>
      </c>
    </row>
    <row r="414" spans="1:10">
      <c r="A414" t="s">
        <v>2463</v>
      </c>
      <c r="G414" t="s">
        <v>414</v>
      </c>
      <c r="H414" t="s">
        <v>2777</v>
      </c>
      <c r="I414">
        <v>87039</v>
      </c>
      <c r="J414" t="s">
        <v>855</v>
      </c>
    </row>
    <row r="415" spans="1:10">
      <c r="A415" t="s">
        <v>2507</v>
      </c>
      <c r="G415" t="s">
        <v>414</v>
      </c>
      <c r="H415" t="s">
        <v>2826</v>
      </c>
      <c r="I415">
        <v>40280</v>
      </c>
      <c r="J415" t="s">
        <v>2827</v>
      </c>
    </row>
    <row r="416" spans="1:10">
      <c r="A416" t="s">
        <v>2120</v>
      </c>
      <c r="F416" t="s">
        <v>414</v>
      </c>
      <c r="H416" t="s">
        <v>2121</v>
      </c>
      <c r="I416">
        <v>59020</v>
      </c>
      <c r="J416" t="s">
        <v>871</v>
      </c>
    </row>
    <row r="417" spans="1:10">
      <c r="A417" t="s">
        <v>2828</v>
      </c>
      <c r="G417" t="s">
        <v>414</v>
      </c>
      <c r="H417" t="s">
        <v>2829</v>
      </c>
      <c r="I417">
        <v>59160</v>
      </c>
      <c r="J417" t="s">
        <v>871</v>
      </c>
    </row>
    <row r="418" spans="1:10">
      <c r="A418" t="s">
        <v>2509</v>
      </c>
      <c r="G418" t="s">
        <v>414</v>
      </c>
      <c r="H418" t="s">
        <v>2830</v>
      </c>
      <c r="I418">
        <v>52000</v>
      </c>
      <c r="J418" t="s">
        <v>1755</v>
      </c>
    </row>
    <row r="419" spans="1:10">
      <c r="A419" t="s">
        <v>2831</v>
      </c>
      <c r="G419" t="s">
        <v>414</v>
      </c>
      <c r="H419" t="s">
        <v>2832</v>
      </c>
      <c r="I419">
        <v>76400</v>
      </c>
      <c r="J419" t="s">
        <v>2833</v>
      </c>
    </row>
    <row r="420" spans="1:10">
      <c r="A420" t="s">
        <v>2416</v>
      </c>
      <c r="F420" t="s">
        <v>414</v>
      </c>
      <c r="G420" t="s">
        <v>414</v>
      </c>
      <c r="H420" t="s">
        <v>1974</v>
      </c>
      <c r="I420">
        <v>61014</v>
      </c>
      <c r="J420" t="s">
        <v>2716</v>
      </c>
    </row>
    <row r="421" spans="1:10">
      <c r="A421" t="s">
        <v>2465</v>
      </c>
      <c r="G421" t="s">
        <v>414</v>
      </c>
      <c r="H421" t="s">
        <v>2778</v>
      </c>
      <c r="I421">
        <v>13700</v>
      </c>
      <c r="J421" t="s">
        <v>2779</v>
      </c>
    </row>
    <row r="422" spans="1:10">
      <c r="A422" t="s">
        <v>2558</v>
      </c>
      <c r="G422" t="s">
        <v>414</v>
      </c>
      <c r="H422" t="s">
        <v>2857</v>
      </c>
      <c r="I422">
        <v>75005</v>
      </c>
      <c r="J422" t="s">
        <v>700</v>
      </c>
    </row>
    <row r="423" spans="1:10">
      <c r="A423" t="s">
        <v>1632</v>
      </c>
      <c r="F423" t="s">
        <v>414</v>
      </c>
      <c r="G423" t="s">
        <v>414</v>
      </c>
      <c r="H423" t="s">
        <v>2261</v>
      </c>
      <c r="I423">
        <v>13008</v>
      </c>
      <c r="J423" t="s">
        <v>822</v>
      </c>
    </row>
    <row r="424" spans="1:10">
      <c r="A424" t="s">
        <v>2597</v>
      </c>
      <c r="G424" t="s">
        <v>414</v>
      </c>
      <c r="H424" t="s">
        <v>2314</v>
      </c>
      <c r="I424">
        <v>51056</v>
      </c>
      <c r="J424" t="s">
        <v>880</v>
      </c>
    </row>
    <row r="425" spans="1:10">
      <c r="A425" t="s">
        <v>1527</v>
      </c>
      <c r="F425" t="s">
        <v>414</v>
      </c>
      <c r="G425" t="s">
        <v>414</v>
      </c>
      <c r="H425" t="s">
        <v>2096</v>
      </c>
      <c r="I425">
        <v>77000</v>
      </c>
      <c r="J425" t="s">
        <v>1827</v>
      </c>
    </row>
    <row r="426" spans="1:10">
      <c r="A426" t="s">
        <v>1580</v>
      </c>
      <c r="F426" t="s">
        <v>414</v>
      </c>
      <c r="H426" t="s">
        <v>2177</v>
      </c>
      <c r="I426">
        <v>78004</v>
      </c>
      <c r="J426" t="s">
        <v>2178</v>
      </c>
    </row>
    <row r="427" spans="1:10">
      <c r="A427" t="s">
        <v>1551</v>
      </c>
      <c r="F427" t="s">
        <v>414</v>
      </c>
      <c r="H427" t="s">
        <v>2137</v>
      </c>
      <c r="I427">
        <v>33076</v>
      </c>
      <c r="J427" t="s">
        <v>942</v>
      </c>
    </row>
    <row r="428" spans="1:10">
      <c r="A428" t="s">
        <v>2383</v>
      </c>
      <c r="G428" t="s">
        <v>414</v>
      </c>
      <c r="H428" t="s">
        <v>2658</v>
      </c>
      <c r="I428">
        <v>23011</v>
      </c>
      <c r="J428" t="s">
        <v>2659</v>
      </c>
    </row>
    <row r="429" spans="1:10">
      <c r="A429" t="s">
        <v>2384</v>
      </c>
      <c r="G429" t="s">
        <v>414</v>
      </c>
      <c r="H429" t="s">
        <v>2660</v>
      </c>
      <c r="I429">
        <v>22200</v>
      </c>
      <c r="J429" t="s">
        <v>2661</v>
      </c>
    </row>
    <row r="430" spans="1:10">
      <c r="A430" t="s">
        <v>1473</v>
      </c>
      <c r="F430" t="s">
        <v>414</v>
      </c>
      <c r="G430" t="s">
        <v>414</v>
      </c>
      <c r="H430" t="s">
        <v>1991</v>
      </c>
      <c r="I430">
        <v>54035</v>
      </c>
      <c r="J430" t="s">
        <v>1992</v>
      </c>
    </row>
    <row r="431" spans="1:10">
      <c r="A431" t="s">
        <v>2638</v>
      </c>
      <c r="G431" t="s">
        <v>414</v>
      </c>
      <c r="H431" t="s">
        <v>2928</v>
      </c>
      <c r="I431">
        <v>44800</v>
      </c>
      <c r="J431" t="s">
        <v>2005</v>
      </c>
    </row>
    <row r="432" spans="1:10">
      <c r="A432" t="s">
        <v>2376</v>
      </c>
      <c r="G432" t="s">
        <v>414</v>
      </c>
      <c r="H432" t="s">
        <v>2646</v>
      </c>
      <c r="I432">
        <v>19012</v>
      </c>
      <c r="J432" t="s">
        <v>2647</v>
      </c>
    </row>
    <row r="433" spans="1:10">
      <c r="A433" t="s">
        <v>1553</v>
      </c>
      <c r="F433" t="s">
        <v>414</v>
      </c>
      <c r="H433" t="s">
        <v>2139</v>
      </c>
      <c r="I433">
        <v>33882</v>
      </c>
      <c r="J433" t="s">
        <v>2140</v>
      </c>
    </row>
    <row r="434" spans="1:10">
      <c r="A434" t="s">
        <v>2637</v>
      </c>
      <c r="G434" t="s">
        <v>414</v>
      </c>
      <c r="H434" t="s">
        <v>2927</v>
      </c>
      <c r="I434">
        <v>80100</v>
      </c>
      <c r="J434" t="s">
        <v>1765</v>
      </c>
    </row>
    <row r="435" spans="1:10">
      <c r="A435" t="s">
        <v>1555</v>
      </c>
      <c r="F435" t="s">
        <v>414</v>
      </c>
      <c r="H435" t="s">
        <v>2143</v>
      </c>
      <c r="I435">
        <v>59037</v>
      </c>
      <c r="J435" t="s">
        <v>871</v>
      </c>
    </row>
    <row r="436" spans="1:10">
      <c r="A436" t="s">
        <v>1556</v>
      </c>
      <c r="F436" t="s">
        <v>414</v>
      </c>
      <c r="H436" t="s">
        <v>2144</v>
      </c>
      <c r="I436">
        <v>77150</v>
      </c>
      <c r="J436" t="s">
        <v>2145</v>
      </c>
    </row>
    <row r="437" spans="1:10">
      <c r="A437" t="s">
        <v>1579</v>
      </c>
      <c r="F437" t="s">
        <v>414</v>
      </c>
      <c r="G437" t="s">
        <v>414</v>
      </c>
      <c r="H437" t="s">
        <v>2175</v>
      </c>
      <c r="I437">
        <v>76290</v>
      </c>
      <c r="J437" t="s">
        <v>2176</v>
      </c>
    </row>
    <row r="438" spans="1:10">
      <c r="A438" t="s">
        <v>1558</v>
      </c>
      <c r="F438" t="s">
        <v>414</v>
      </c>
      <c r="H438" t="s">
        <v>2147</v>
      </c>
      <c r="I438">
        <v>34295</v>
      </c>
      <c r="J438" t="s">
        <v>858</v>
      </c>
    </row>
    <row r="439" spans="1:10">
      <c r="A439" t="s">
        <v>1561</v>
      </c>
      <c r="F439" t="s">
        <v>414</v>
      </c>
      <c r="H439" t="s">
        <v>2151</v>
      </c>
      <c r="I439">
        <v>67091</v>
      </c>
      <c r="J439" t="s">
        <v>2056</v>
      </c>
    </row>
    <row r="440" spans="1:10">
      <c r="A440" t="s">
        <v>1538</v>
      </c>
      <c r="B440" s="12" t="s">
        <v>414</v>
      </c>
      <c r="C440" s="12"/>
      <c r="D440" s="12" t="s">
        <v>414</v>
      </c>
      <c r="F440" t="s">
        <v>414</v>
      </c>
      <c r="G440" t="s">
        <v>414</v>
      </c>
      <c r="H440" t="s">
        <v>2111</v>
      </c>
      <c r="I440">
        <v>14076</v>
      </c>
      <c r="J440" t="s">
        <v>808</v>
      </c>
    </row>
    <row r="441" spans="1:10">
      <c r="A441" t="s">
        <v>1563</v>
      </c>
      <c r="F441" t="s">
        <v>414</v>
      </c>
      <c r="H441" t="s">
        <v>2153</v>
      </c>
      <c r="I441">
        <v>76230</v>
      </c>
      <c r="J441" t="s">
        <v>2067</v>
      </c>
    </row>
    <row r="442" spans="1:10">
      <c r="A442" t="s">
        <v>1594</v>
      </c>
      <c r="F442" t="s">
        <v>414</v>
      </c>
      <c r="G442" t="s">
        <v>414</v>
      </c>
      <c r="H442" t="s">
        <v>2196</v>
      </c>
      <c r="I442">
        <v>94130</v>
      </c>
      <c r="J442" t="s">
        <v>2197</v>
      </c>
    </row>
    <row r="443" spans="1:10">
      <c r="A443" t="s">
        <v>1621</v>
      </c>
      <c r="F443" t="s">
        <v>414</v>
      </c>
      <c r="G443" t="s">
        <v>414</v>
      </c>
      <c r="H443" t="s">
        <v>2240</v>
      </c>
      <c r="I443">
        <v>95200</v>
      </c>
      <c r="J443" t="s">
        <v>2241</v>
      </c>
    </row>
    <row r="444" spans="1:10">
      <c r="A444" t="s">
        <v>1568</v>
      </c>
      <c r="F444" t="s">
        <v>414</v>
      </c>
      <c r="H444" t="s">
        <v>2159</v>
      </c>
      <c r="I444">
        <v>38500</v>
      </c>
      <c r="J444" t="s">
        <v>2160</v>
      </c>
    </row>
    <row r="445" spans="1:10">
      <c r="A445" t="s">
        <v>1485</v>
      </c>
      <c r="F445" t="s">
        <v>414</v>
      </c>
      <c r="G445" t="s">
        <v>414</v>
      </c>
      <c r="H445" t="s">
        <v>2009</v>
      </c>
      <c r="I445">
        <v>25030</v>
      </c>
      <c r="J445" t="s">
        <v>874</v>
      </c>
    </row>
    <row r="446" spans="1:10">
      <c r="A446" t="s">
        <v>1610</v>
      </c>
      <c r="F446" t="s">
        <v>414</v>
      </c>
      <c r="G446" t="s">
        <v>414</v>
      </c>
      <c r="H446" t="s">
        <v>2222</v>
      </c>
      <c r="I446">
        <v>91330</v>
      </c>
      <c r="J446" t="s">
        <v>2223</v>
      </c>
    </row>
    <row r="447" spans="1:10">
      <c r="A447" t="s">
        <v>1572</v>
      </c>
      <c r="F447" t="s">
        <v>414</v>
      </c>
      <c r="H447" t="s">
        <v>2165</v>
      </c>
      <c r="I447">
        <v>13003</v>
      </c>
      <c r="J447" t="s">
        <v>822</v>
      </c>
    </row>
    <row r="448" spans="1:10">
      <c r="A448" t="s">
        <v>1689</v>
      </c>
      <c r="F448" t="s">
        <v>414</v>
      </c>
      <c r="G448" t="s">
        <v>414</v>
      </c>
      <c r="H448" t="s">
        <v>2365</v>
      </c>
      <c r="I448">
        <v>3000</v>
      </c>
      <c r="J448" t="s">
        <v>1831</v>
      </c>
    </row>
    <row r="449" spans="1:10">
      <c r="A449" t="s">
        <v>1575</v>
      </c>
      <c r="F449" t="s">
        <v>414</v>
      </c>
      <c r="H449" t="s">
        <v>2170</v>
      </c>
      <c r="I449">
        <v>92151</v>
      </c>
      <c r="J449" t="s">
        <v>2171</v>
      </c>
    </row>
    <row r="450" spans="1:10">
      <c r="A450" t="s">
        <v>1525</v>
      </c>
      <c r="F450" t="s">
        <v>414</v>
      </c>
      <c r="G450" t="s">
        <v>414</v>
      </c>
      <c r="H450" t="s">
        <v>2092</v>
      </c>
      <c r="I450">
        <v>29229</v>
      </c>
      <c r="J450" t="s">
        <v>862</v>
      </c>
    </row>
    <row r="451" spans="1:10">
      <c r="A451" t="s">
        <v>1615</v>
      </c>
      <c r="F451" t="s">
        <v>414</v>
      </c>
      <c r="G451" t="s">
        <v>414</v>
      </c>
      <c r="H451" t="s">
        <v>2230</v>
      </c>
      <c r="I451">
        <v>13675</v>
      </c>
      <c r="J451" t="s">
        <v>2231</v>
      </c>
    </row>
    <row r="452" spans="1:10">
      <c r="A452" t="s">
        <v>1498</v>
      </c>
      <c r="F452" t="s">
        <v>414</v>
      </c>
      <c r="G452" t="s">
        <v>414</v>
      </c>
      <c r="H452" t="s">
        <v>2028</v>
      </c>
      <c r="I452">
        <v>82000</v>
      </c>
      <c r="J452" t="s">
        <v>1899</v>
      </c>
    </row>
    <row r="453" spans="1:10">
      <c r="A453" t="s">
        <v>1596</v>
      </c>
      <c r="F453" t="s">
        <v>414</v>
      </c>
      <c r="H453" t="s">
        <v>2199</v>
      </c>
      <c r="I453">
        <v>13009</v>
      </c>
      <c r="J453" t="s">
        <v>822</v>
      </c>
    </row>
    <row r="454" spans="1:10">
      <c r="A454" t="s">
        <v>1520</v>
      </c>
      <c r="F454" t="s">
        <v>414</v>
      </c>
      <c r="G454" t="s">
        <v>414</v>
      </c>
      <c r="H454" t="s">
        <v>2077</v>
      </c>
      <c r="I454">
        <v>76600</v>
      </c>
      <c r="J454" t="s">
        <v>2078</v>
      </c>
    </row>
    <row r="455" spans="1:10">
      <c r="A455" t="s">
        <v>1611</v>
      </c>
      <c r="F455" t="s">
        <v>414</v>
      </c>
      <c r="G455" t="s">
        <v>414</v>
      </c>
      <c r="H455" t="s">
        <v>2224</v>
      </c>
      <c r="I455">
        <v>93290</v>
      </c>
      <c r="J455" t="s">
        <v>2225</v>
      </c>
    </row>
    <row r="456" spans="1:10">
      <c r="A456" t="s">
        <v>1603</v>
      </c>
      <c r="F456" t="s">
        <v>414</v>
      </c>
      <c r="G456" t="s">
        <v>414</v>
      </c>
      <c r="H456" t="s">
        <v>2210</v>
      </c>
      <c r="I456">
        <v>42100</v>
      </c>
      <c r="J456" t="s">
        <v>2211</v>
      </c>
    </row>
    <row r="457" spans="1:10">
      <c r="A457" t="s">
        <v>2460</v>
      </c>
      <c r="F457" t="s">
        <v>414</v>
      </c>
      <c r="G457" t="s">
        <v>414</v>
      </c>
      <c r="H457" t="s">
        <v>2070</v>
      </c>
      <c r="I457">
        <v>69130</v>
      </c>
      <c r="J457" t="s">
        <v>2071</v>
      </c>
    </row>
    <row r="458" spans="1:10">
      <c r="A458" t="s">
        <v>1626</v>
      </c>
      <c r="F458" t="s">
        <v>414</v>
      </c>
      <c r="G458" t="s">
        <v>414</v>
      </c>
      <c r="H458" t="s">
        <v>2248</v>
      </c>
      <c r="I458">
        <v>71100</v>
      </c>
      <c r="J458" t="s">
        <v>907</v>
      </c>
    </row>
    <row r="459" spans="1:10">
      <c r="A459" t="s">
        <v>1607</v>
      </c>
      <c r="F459" t="s">
        <v>414</v>
      </c>
      <c r="H459" t="s">
        <v>2218</v>
      </c>
      <c r="I459">
        <v>75013</v>
      </c>
      <c r="J459" t="s">
        <v>700</v>
      </c>
    </row>
    <row r="460" spans="1:10">
      <c r="A460" t="s">
        <v>2618</v>
      </c>
      <c r="G460" t="s">
        <v>414</v>
      </c>
      <c r="H460" t="s">
        <v>2371</v>
      </c>
      <c r="I460">
        <v>53010</v>
      </c>
      <c r="J460" t="s">
        <v>2372</v>
      </c>
    </row>
    <row r="461" spans="1:10">
      <c r="A461" t="s">
        <v>2370</v>
      </c>
      <c r="F461" t="s">
        <v>414</v>
      </c>
      <c r="H461" t="s">
        <v>2371</v>
      </c>
      <c r="I461">
        <v>53010</v>
      </c>
      <c r="J461" t="s">
        <v>2372</v>
      </c>
    </row>
    <row r="462" spans="1:10">
      <c r="A462" t="s">
        <v>1623</v>
      </c>
      <c r="F462" t="s">
        <v>414</v>
      </c>
      <c r="G462" t="s">
        <v>414</v>
      </c>
      <c r="H462" t="s">
        <v>2243</v>
      </c>
      <c r="I462">
        <v>94500</v>
      </c>
      <c r="J462" t="s">
        <v>2244</v>
      </c>
    </row>
    <row r="463" spans="1:10">
      <c r="A463" t="s">
        <v>1518</v>
      </c>
      <c r="F463" t="s">
        <v>414</v>
      </c>
      <c r="G463" t="s">
        <v>414</v>
      </c>
      <c r="H463" t="s">
        <v>2073</v>
      </c>
      <c r="I463">
        <v>74000</v>
      </c>
      <c r="J463" t="s">
        <v>2074</v>
      </c>
    </row>
    <row r="464" spans="1:10">
      <c r="A464" t="s">
        <v>638</v>
      </c>
      <c r="F464" t="s">
        <v>414</v>
      </c>
      <c r="G464" t="s">
        <v>414</v>
      </c>
      <c r="H464" t="s">
        <v>2351</v>
      </c>
      <c r="I464">
        <v>24004</v>
      </c>
      <c r="J464" t="s">
        <v>2352</v>
      </c>
    </row>
    <row r="465" spans="1:10">
      <c r="A465" t="s">
        <v>1543</v>
      </c>
      <c r="F465" t="s">
        <v>414</v>
      </c>
      <c r="G465" t="s">
        <v>414</v>
      </c>
      <c r="H465" t="s">
        <v>2122</v>
      </c>
      <c r="I465">
        <v>10000</v>
      </c>
      <c r="J465" t="s">
        <v>1733</v>
      </c>
    </row>
    <row r="466" spans="1:10">
      <c r="A466" t="s">
        <v>1617</v>
      </c>
      <c r="F466" t="s">
        <v>414</v>
      </c>
      <c r="H466" t="s">
        <v>2234</v>
      </c>
      <c r="I466">
        <v>59042</v>
      </c>
      <c r="J466" t="s">
        <v>871</v>
      </c>
    </row>
    <row r="467" spans="1:10">
      <c r="A467" t="s">
        <v>1608</v>
      </c>
      <c r="F467" t="s">
        <v>414</v>
      </c>
      <c r="G467" t="s">
        <v>414</v>
      </c>
      <c r="H467" t="s">
        <v>2219</v>
      </c>
      <c r="I467">
        <v>44277</v>
      </c>
      <c r="J467" t="s">
        <v>2003</v>
      </c>
    </row>
    <row r="468" spans="1:10">
      <c r="A468" t="s">
        <v>1576</v>
      </c>
      <c r="F468" t="s">
        <v>414</v>
      </c>
      <c r="G468" t="s">
        <v>414</v>
      </c>
      <c r="H468" t="s">
        <v>2172</v>
      </c>
      <c r="I468">
        <v>92309</v>
      </c>
      <c r="J468" t="s">
        <v>1021</v>
      </c>
    </row>
    <row r="469" spans="1:10">
      <c r="A469" t="s">
        <v>1346</v>
      </c>
      <c r="F469" t="s">
        <v>414</v>
      </c>
      <c r="G469" t="s">
        <v>414</v>
      </c>
      <c r="H469" t="s">
        <v>1724</v>
      </c>
      <c r="I469">
        <v>79021</v>
      </c>
      <c r="J469" t="s">
        <v>946</v>
      </c>
    </row>
    <row r="470" spans="1:10">
      <c r="A470" t="s">
        <v>2427</v>
      </c>
      <c r="G470" t="s">
        <v>414</v>
      </c>
      <c r="H470" t="s">
        <v>1724</v>
      </c>
      <c r="I470">
        <v>82000</v>
      </c>
      <c r="J470" t="s">
        <v>1899</v>
      </c>
    </row>
    <row r="471" spans="1:10">
      <c r="A471" t="s">
        <v>2408</v>
      </c>
      <c r="F471" t="s">
        <v>414</v>
      </c>
      <c r="G471" t="s">
        <v>414</v>
      </c>
      <c r="H471" t="s">
        <v>1950</v>
      </c>
      <c r="I471">
        <v>94010</v>
      </c>
      <c r="J471" t="s">
        <v>1015</v>
      </c>
    </row>
    <row r="472" spans="1:10">
      <c r="A472" t="s">
        <v>671</v>
      </c>
      <c r="F472" t="s">
        <v>414</v>
      </c>
      <c r="G472" t="s">
        <v>414</v>
      </c>
      <c r="H472" t="s">
        <v>2350</v>
      </c>
      <c r="I472">
        <v>71031</v>
      </c>
      <c r="J472" t="s">
        <v>1886</v>
      </c>
    </row>
    <row r="473" spans="1:10">
      <c r="A473" t="s">
        <v>2253</v>
      </c>
      <c r="F473" t="s">
        <v>414</v>
      </c>
      <c r="G473" t="s">
        <v>414</v>
      </c>
      <c r="H473" t="s">
        <v>2254</v>
      </c>
      <c r="I473">
        <v>59000</v>
      </c>
      <c r="J473" t="s">
        <v>871</v>
      </c>
    </row>
    <row r="474" spans="1:10">
      <c r="A474" t="s">
        <v>1627</v>
      </c>
      <c r="F474" t="s">
        <v>414</v>
      </c>
      <c r="H474" t="s">
        <v>2249</v>
      </c>
      <c r="I474">
        <v>35576</v>
      </c>
      <c r="J474" t="s">
        <v>2250</v>
      </c>
    </row>
    <row r="475" spans="1:10">
      <c r="A475" t="s">
        <v>2126</v>
      </c>
      <c r="F475" t="s">
        <v>414</v>
      </c>
      <c r="G475" t="s">
        <v>414</v>
      </c>
      <c r="H475" t="s">
        <v>2127</v>
      </c>
      <c r="I475">
        <v>56322</v>
      </c>
      <c r="J475" t="s">
        <v>2128</v>
      </c>
    </row>
    <row r="476" spans="1:10">
      <c r="A476" t="s">
        <v>1630</v>
      </c>
      <c r="F476" t="s">
        <v>414</v>
      </c>
      <c r="H476" t="s">
        <v>2257</v>
      </c>
      <c r="I476">
        <v>57211</v>
      </c>
      <c r="J476" t="s">
        <v>2258</v>
      </c>
    </row>
    <row r="477" spans="1:10">
      <c r="A477" t="s">
        <v>1633</v>
      </c>
      <c r="F477" t="s">
        <v>414</v>
      </c>
      <c r="H477" t="s">
        <v>2262</v>
      </c>
      <c r="I477">
        <v>33075</v>
      </c>
      <c r="J477" t="s">
        <v>942</v>
      </c>
    </row>
    <row r="478" spans="1:10">
      <c r="A478" t="s">
        <v>692</v>
      </c>
      <c r="F478" t="s">
        <v>414</v>
      </c>
      <c r="G478" t="s">
        <v>414</v>
      </c>
      <c r="H478" t="s">
        <v>2366</v>
      </c>
      <c r="I478">
        <v>89003</v>
      </c>
      <c r="J478" t="s">
        <v>1786</v>
      </c>
    </row>
    <row r="479" spans="1:10">
      <c r="A479" t="s">
        <v>1569</v>
      </c>
      <c r="F479" t="s">
        <v>414</v>
      </c>
      <c r="G479" t="s">
        <v>414</v>
      </c>
      <c r="H479" t="s">
        <v>2161</v>
      </c>
      <c r="I479">
        <v>69437</v>
      </c>
      <c r="J479" t="s">
        <v>903</v>
      </c>
    </row>
    <row r="480" spans="1:10">
      <c r="A480" t="s">
        <v>1601</v>
      </c>
      <c r="F480" t="s">
        <v>414</v>
      </c>
      <c r="G480" t="s">
        <v>414</v>
      </c>
      <c r="H480" t="s">
        <v>2207</v>
      </c>
      <c r="I480">
        <v>76620</v>
      </c>
      <c r="J480" t="s">
        <v>2078</v>
      </c>
    </row>
    <row r="481" spans="1:10">
      <c r="A481" t="s">
        <v>1639</v>
      </c>
      <c r="F481" t="s">
        <v>414</v>
      </c>
      <c r="H481" t="s">
        <v>2272</v>
      </c>
      <c r="I481">
        <v>26102</v>
      </c>
      <c r="J481" t="s">
        <v>2273</v>
      </c>
    </row>
    <row r="482" spans="1:10">
      <c r="A482" t="s">
        <v>1640</v>
      </c>
      <c r="F482" t="s">
        <v>414</v>
      </c>
      <c r="H482" t="s">
        <v>2274</v>
      </c>
      <c r="I482">
        <v>16112</v>
      </c>
      <c r="J482" t="s">
        <v>2275</v>
      </c>
    </row>
    <row r="483" spans="1:10">
      <c r="A483" t="s">
        <v>1343</v>
      </c>
      <c r="F483" t="s">
        <v>414</v>
      </c>
      <c r="H483" t="s">
        <v>1718</v>
      </c>
      <c r="I483">
        <v>4003</v>
      </c>
      <c r="J483" t="s">
        <v>1719</v>
      </c>
    </row>
    <row r="484" spans="1:10">
      <c r="A484" t="s">
        <v>1395</v>
      </c>
      <c r="F484" t="s">
        <v>414</v>
      </c>
      <c r="H484" t="s">
        <v>1826</v>
      </c>
      <c r="I484">
        <v>77000</v>
      </c>
      <c r="J484" t="s">
        <v>1827</v>
      </c>
    </row>
    <row r="485" spans="1:10">
      <c r="A485" t="s">
        <v>2592</v>
      </c>
      <c r="G485" t="s">
        <v>414</v>
      </c>
      <c r="H485" t="s">
        <v>2870</v>
      </c>
      <c r="I485">
        <v>71206</v>
      </c>
      <c r="J485" t="s">
        <v>2871</v>
      </c>
    </row>
    <row r="486" spans="1:10">
      <c r="A486" t="s">
        <v>1646</v>
      </c>
      <c r="F486" t="s">
        <v>414</v>
      </c>
      <c r="H486" t="s">
        <v>2285</v>
      </c>
      <c r="I486">
        <v>75970</v>
      </c>
      <c r="J486" t="s">
        <v>700</v>
      </c>
    </row>
    <row r="487" spans="1:10">
      <c r="A487" t="s">
        <v>1647</v>
      </c>
      <c r="F487" t="s">
        <v>414</v>
      </c>
      <c r="H487" t="s">
        <v>2286</v>
      </c>
      <c r="I487">
        <v>75571</v>
      </c>
      <c r="J487" t="s">
        <v>700</v>
      </c>
    </row>
    <row r="488" spans="1:10">
      <c r="A488" t="s">
        <v>1649</v>
      </c>
      <c r="F488" t="s">
        <v>414</v>
      </c>
      <c r="H488" t="s">
        <v>2288</v>
      </c>
      <c r="I488">
        <v>75743</v>
      </c>
      <c r="J488" t="s">
        <v>700</v>
      </c>
    </row>
    <row r="489" spans="1:10">
      <c r="A489" t="s">
        <v>1660</v>
      </c>
      <c r="F489" t="s">
        <v>414</v>
      </c>
      <c r="H489" t="s">
        <v>2302</v>
      </c>
      <c r="I489">
        <v>75019</v>
      </c>
      <c r="J489" t="s">
        <v>700</v>
      </c>
    </row>
    <row r="490" spans="1:10">
      <c r="A490" t="s">
        <v>1523</v>
      </c>
      <c r="F490" t="s">
        <v>414</v>
      </c>
      <c r="G490" t="s">
        <v>414</v>
      </c>
      <c r="H490" t="s">
        <v>2084</v>
      </c>
      <c r="I490">
        <v>69110</v>
      </c>
      <c r="J490" t="s">
        <v>2085</v>
      </c>
    </row>
    <row r="491" spans="1:10">
      <c r="A491" t="s">
        <v>1664</v>
      </c>
      <c r="F491" t="s">
        <v>414</v>
      </c>
      <c r="H491" t="s">
        <v>2308</v>
      </c>
      <c r="I491">
        <v>69008</v>
      </c>
      <c r="J491" t="s">
        <v>903</v>
      </c>
    </row>
    <row r="492" spans="1:10">
      <c r="A492" t="s">
        <v>1490</v>
      </c>
      <c r="F492" t="s">
        <v>414</v>
      </c>
      <c r="G492" t="s">
        <v>414</v>
      </c>
      <c r="H492" t="s">
        <v>2015</v>
      </c>
      <c r="I492">
        <v>31130</v>
      </c>
      <c r="J492" t="s">
        <v>2016</v>
      </c>
    </row>
    <row r="493" spans="1:10">
      <c r="A493" t="s">
        <v>2608</v>
      </c>
      <c r="G493" t="s">
        <v>414</v>
      </c>
      <c r="H493" t="s">
        <v>2885</v>
      </c>
      <c r="I493">
        <v>79006</v>
      </c>
      <c r="J493" t="s">
        <v>946</v>
      </c>
    </row>
    <row r="494" spans="1:10">
      <c r="A494" t="s">
        <v>2970</v>
      </c>
      <c r="B494" s="12" t="s">
        <v>414</v>
      </c>
      <c r="C494" s="12"/>
      <c r="D494" s="12" t="s">
        <v>414</v>
      </c>
      <c r="F494" t="s">
        <v>414</v>
      </c>
      <c r="G494" t="s">
        <v>414</v>
      </c>
      <c r="H494" t="s">
        <v>2311</v>
      </c>
      <c r="I494">
        <v>33076</v>
      </c>
      <c r="J494" t="s">
        <v>942</v>
      </c>
    </row>
    <row r="495" spans="1:10">
      <c r="A495" t="s">
        <v>1666</v>
      </c>
      <c r="F495" t="s">
        <v>414</v>
      </c>
      <c r="H495" t="s">
        <v>2312</v>
      </c>
      <c r="I495">
        <v>42271</v>
      </c>
      <c r="J495" t="s">
        <v>877</v>
      </c>
    </row>
    <row r="496" spans="1:10">
      <c r="A496" t="s">
        <v>2560</v>
      </c>
      <c r="G496" t="s">
        <v>414</v>
      </c>
      <c r="H496" t="s">
        <v>2858</v>
      </c>
      <c r="I496">
        <v>91300</v>
      </c>
      <c r="J496" t="s">
        <v>2859</v>
      </c>
    </row>
    <row r="497" spans="1:10">
      <c r="A497" t="s">
        <v>1573</v>
      </c>
      <c r="F497" t="s">
        <v>414</v>
      </c>
      <c r="G497" t="s">
        <v>414</v>
      </c>
      <c r="H497" t="s">
        <v>2166</v>
      </c>
      <c r="I497">
        <v>93308</v>
      </c>
      <c r="J497" t="s">
        <v>2167</v>
      </c>
    </row>
    <row r="498" spans="1:10">
      <c r="A498" t="s">
        <v>1614</v>
      </c>
      <c r="F498" t="s">
        <v>414</v>
      </c>
      <c r="G498" t="s">
        <v>414</v>
      </c>
      <c r="H498" t="s">
        <v>2229</v>
      </c>
      <c r="I498">
        <v>69008</v>
      </c>
      <c r="J498" t="s">
        <v>903</v>
      </c>
    </row>
    <row r="499" spans="1:10">
      <c r="A499" t="s">
        <v>2466</v>
      </c>
      <c r="G499" t="s">
        <v>414</v>
      </c>
      <c r="H499" t="s">
        <v>2780</v>
      </c>
      <c r="I499">
        <v>37500</v>
      </c>
      <c r="J499" t="s">
        <v>2781</v>
      </c>
    </row>
    <row r="500" spans="1:10">
      <c r="A500" t="s">
        <v>2640</v>
      </c>
      <c r="G500" t="s">
        <v>414</v>
      </c>
      <c r="H500" t="s">
        <v>2930</v>
      </c>
      <c r="I500">
        <v>45500</v>
      </c>
      <c r="J500" t="s">
        <v>2931</v>
      </c>
    </row>
    <row r="501" spans="1:10">
      <c r="A501" t="s">
        <v>2385</v>
      </c>
      <c r="G501" t="s">
        <v>414</v>
      </c>
      <c r="H501" t="s">
        <v>2662</v>
      </c>
      <c r="I501">
        <v>17503</v>
      </c>
      <c r="J501" t="s">
        <v>2663</v>
      </c>
    </row>
    <row r="502" spans="1:10">
      <c r="A502" t="s">
        <v>2530</v>
      </c>
      <c r="G502" t="s">
        <v>414</v>
      </c>
      <c r="H502" t="s">
        <v>2839</v>
      </c>
      <c r="I502">
        <v>31076</v>
      </c>
      <c r="J502" t="s">
        <v>833</v>
      </c>
    </row>
    <row r="503" spans="1:10">
      <c r="A503" t="s">
        <v>2482</v>
      </c>
      <c r="G503" t="s">
        <v>414</v>
      </c>
      <c r="H503" t="s">
        <v>2795</v>
      </c>
      <c r="I503">
        <v>44314</v>
      </c>
      <c r="J503" t="s">
        <v>2003</v>
      </c>
    </row>
    <row r="504" spans="1:10">
      <c r="A504" t="s">
        <v>2467</v>
      </c>
      <c r="G504" t="s">
        <v>414</v>
      </c>
      <c r="H504" t="s">
        <v>2782</v>
      </c>
      <c r="I504">
        <v>26200</v>
      </c>
      <c r="J504" t="s">
        <v>1911</v>
      </c>
    </row>
    <row r="505" spans="1:10">
      <c r="A505" t="s">
        <v>1669</v>
      </c>
      <c r="F505" t="s">
        <v>414</v>
      </c>
      <c r="H505" t="s">
        <v>2318</v>
      </c>
      <c r="I505">
        <v>30029</v>
      </c>
      <c r="J505" t="s">
        <v>951</v>
      </c>
    </row>
    <row r="506" spans="1:10">
      <c r="A506" t="s">
        <v>2564</v>
      </c>
      <c r="G506" t="s">
        <v>414</v>
      </c>
      <c r="H506" t="s">
        <v>2860</v>
      </c>
      <c r="I506">
        <v>59042</v>
      </c>
      <c r="J506" t="s">
        <v>871</v>
      </c>
    </row>
    <row r="507" spans="1:10">
      <c r="A507" t="s">
        <v>2469</v>
      </c>
      <c r="G507" t="s">
        <v>414</v>
      </c>
      <c r="H507" t="s">
        <v>2785</v>
      </c>
      <c r="I507">
        <v>26300</v>
      </c>
      <c r="J507" t="s">
        <v>2786</v>
      </c>
    </row>
    <row r="508" spans="1:10">
      <c r="A508" t="s">
        <v>2625</v>
      </c>
      <c r="G508" t="s">
        <v>414</v>
      </c>
      <c r="H508" t="s">
        <v>2911</v>
      </c>
      <c r="I508">
        <v>3205</v>
      </c>
      <c r="J508" t="s">
        <v>1873</v>
      </c>
    </row>
    <row r="509" spans="1:10">
      <c r="A509" t="s">
        <v>1353</v>
      </c>
      <c r="F509" t="s">
        <v>414</v>
      </c>
      <c r="H509" t="s">
        <v>1736</v>
      </c>
      <c r="I509">
        <v>22303</v>
      </c>
      <c r="J509" t="s">
        <v>1737</v>
      </c>
    </row>
    <row r="510" spans="1:10">
      <c r="A510" t="s">
        <v>2468</v>
      </c>
      <c r="G510" t="s">
        <v>414</v>
      </c>
      <c r="H510" t="s">
        <v>2783</v>
      </c>
      <c r="I510">
        <v>45160</v>
      </c>
      <c r="J510" t="s">
        <v>2784</v>
      </c>
    </row>
    <row r="511" spans="1:10">
      <c r="A511" t="s">
        <v>1581</v>
      </c>
      <c r="F511" t="s">
        <v>414</v>
      </c>
      <c r="H511" t="s">
        <v>2179</v>
      </c>
      <c r="I511">
        <v>31059</v>
      </c>
      <c r="J511" t="s">
        <v>833</v>
      </c>
    </row>
    <row r="512" spans="1:10">
      <c r="A512" t="s">
        <v>2378</v>
      </c>
      <c r="G512" t="s">
        <v>414</v>
      </c>
      <c r="H512" t="s">
        <v>2650</v>
      </c>
      <c r="I512">
        <v>53015</v>
      </c>
      <c r="J512" t="s">
        <v>2372</v>
      </c>
    </row>
    <row r="513" spans="1:10">
      <c r="A513" t="s">
        <v>2382</v>
      </c>
      <c r="G513" t="s">
        <v>414</v>
      </c>
      <c r="H513" t="s">
        <v>2657</v>
      </c>
      <c r="I513">
        <v>72037</v>
      </c>
      <c r="J513" t="s">
        <v>1883</v>
      </c>
    </row>
    <row r="514" spans="1:10">
      <c r="A514" t="s">
        <v>1670</v>
      </c>
      <c r="F514" t="s">
        <v>414</v>
      </c>
      <c r="H514" t="s">
        <v>2319</v>
      </c>
      <c r="I514">
        <v>25209</v>
      </c>
      <c r="J514" t="s">
        <v>2320</v>
      </c>
    </row>
    <row r="515" spans="1:10">
      <c r="A515" t="s">
        <v>1357</v>
      </c>
      <c r="F515" t="s">
        <v>414</v>
      </c>
      <c r="H515" t="s">
        <v>1744</v>
      </c>
      <c r="I515">
        <v>59187</v>
      </c>
      <c r="J515" t="s">
        <v>1745</v>
      </c>
    </row>
    <row r="516" spans="1:10">
      <c r="A516" t="s">
        <v>2471</v>
      </c>
      <c r="G516" t="s">
        <v>414</v>
      </c>
      <c r="H516" t="s">
        <v>2788</v>
      </c>
      <c r="I516">
        <v>97420</v>
      </c>
      <c r="J516" t="s">
        <v>2789</v>
      </c>
    </row>
    <row r="517" spans="1:10">
      <c r="A517" t="s">
        <v>651</v>
      </c>
      <c r="F517" t="s">
        <v>414</v>
      </c>
      <c r="G517" t="s">
        <v>414</v>
      </c>
      <c r="H517" t="s">
        <v>2325</v>
      </c>
      <c r="I517">
        <v>45770</v>
      </c>
      <c r="J517" t="s">
        <v>2326</v>
      </c>
    </row>
    <row r="518" spans="1:10">
      <c r="A518" t="s">
        <v>1622</v>
      </c>
      <c r="F518" t="s">
        <v>414</v>
      </c>
      <c r="G518" t="s">
        <v>414</v>
      </c>
      <c r="H518" t="s">
        <v>2242</v>
      </c>
      <c r="I518">
        <v>27025</v>
      </c>
      <c r="J518" t="s">
        <v>1860</v>
      </c>
    </row>
    <row r="519" spans="1:10">
      <c r="A519" t="s">
        <v>1337</v>
      </c>
      <c r="F519" t="s">
        <v>414</v>
      </c>
      <c r="H519" t="s">
        <v>1706</v>
      </c>
      <c r="I519">
        <v>74700</v>
      </c>
      <c r="J519" t="s">
        <v>1707</v>
      </c>
    </row>
    <row r="520" spans="1:10">
      <c r="A520" t="s">
        <v>2441</v>
      </c>
      <c r="G520" t="s">
        <v>414</v>
      </c>
      <c r="H520" t="s">
        <v>2734</v>
      </c>
      <c r="I520">
        <v>49402</v>
      </c>
      <c r="J520" t="s">
        <v>2735</v>
      </c>
    </row>
    <row r="521" spans="1:10">
      <c r="A521" t="s">
        <v>1585</v>
      </c>
      <c r="F521" t="s">
        <v>414</v>
      </c>
      <c r="H521" t="s">
        <v>2184</v>
      </c>
      <c r="I521">
        <v>69677</v>
      </c>
      <c r="J521" t="s">
        <v>2169</v>
      </c>
    </row>
    <row r="522" spans="1:10">
      <c r="A522" t="s">
        <v>1588</v>
      </c>
      <c r="F522" t="s">
        <v>414</v>
      </c>
      <c r="H522" t="s">
        <v>2189</v>
      </c>
      <c r="I522">
        <v>51092</v>
      </c>
      <c r="J522" t="s">
        <v>880</v>
      </c>
    </row>
    <row r="523" spans="1:10">
      <c r="A523" t="s">
        <v>2628</v>
      </c>
      <c r="G523" t="s">
        <v>414</v>
      </c>
      <c r="H523" t="s">
        <v>2916</v>
      </c>
      <c r="I523">
        <v>83196</v>
      </c>
      <c r="J523" t="s">
        <v>2913</v>
      </c>
    </row>
    <row r="524" spans="1:10">
      <c r="A524" t="s">
        <v>2474</v>
      </c>
      <c r="G524" t="s">
        <v>414</v>
      </c>
      <c r="H524" t="s">
        <v>2790</v>
      </c>
      <c r="I524">
        <v>92100</v>
      </c>
      <c r="J524" t="s">
        <v>2115</v>
      </c>
    </row>
    <row r="525" spans="1:10">
      <c r="A525" t="s">
        <v>2379</v>
      </c>
      <c r="G525" t="s">
        <v>414</v>
      </c>
      <c r="H525" t="s">
        <v>2651</v>
      </c>
      <c r="I525">
        <v>47207</v>
      </c>
      <c r="J525" t="s">
        <v>2652</v>
      </c>
    </row>
    <row r="526" spans="1:10">
      <c r="A526" t="s">
        <v>2388</v>
      </c>
      <c r="G526" t="s">
        <v>414</v>
      </c>
      <c r="H526" t="s">
        <v>2668</v>
      </c>
      <c r="I526">
        <v>72058</v>
      </c>
      <c r="J526" t="s">
        <v>1883</v>
      </c>
    </row>
    <row r="527" spans="1:10">
      <c r="A527" t="s">
        <v>1362</v>
      </c>
      <c r="F527" t="s">
        <v>414</v>
      </c>
      <c r="H527" t="s">
        <v>1753</v>
      </c>
      <c r="I527">
        <v>97100</v>
      </c>
      <c r="J527" t="s">
        <v>1723</v>
      </c>
    </row>
    <row r="528" spans="1:10">
      <c r="A528" t="s">
        <v>1577</v>
      </c>
      <c r="F528" t="s">
        <v>414</v>
      </c>
      <c r="H528" t="s">
        <v>1746</v>
      </c>
      <c r="I528">
        <v>63003</v>
      </c>
      <c r="J528" t="s">
        <v>896</v>
      </c>
    </row>
    <row r="529" spans="1:10">
      <c r="A529" t="s">
        <v>1358</v>
      </c>
      <c r="B529" s="12" t="s">
        <v>414</v>
      </c>
      <c r="C529" s="12"/>
      <c r="D529" s="12" t="s">
        <v>414</v>
      </c>
      <c r="F529" t="s">
        <v>414</v>
      </c>
      <c r="H529" t="s">
        <v>1746</v>
      </c>
      <c r="I529">
        <v>63011</v>
      </c>
      <c r="J529" t="s">
        <v>896</v>
      </c>
    </row>
    <row r="530" spans="1:10">
      <c r="A530" t="s">
        <v>1574</v>
      </c>
      <c r="F530" t="s">
        <v>414</v>
      </c>
      <c r="G530" t="s">
        <v>414</v>
      </c>
      <c r="H530" t="s">
        <v>2168</v>
      </c>
      <c r="I530">
        <v>69677</v>
      </c>
      <c r="J530" t="s">
        <v>2169</v>
      </c>
    </row>
    <row r="531" spans="1:10">
      <c r="A531" t="s">
        <v>1593</v>
      </c>
      <c r="F531" t="s">
        <v>414</v>
      </c>
      <c r="H531" t="s">
        <v>2168</v>
      </c>
      <c r="I531">
        <v>69394</v>
      </c>
      <c r="J531" t="s">
        <v>903</v>
      </c>
    </row>
    <row r="532" spans="1:10">
      <c r="A532" t="s">
        <v>2483</v>
      </c>
      <c r="G532" t="s">
        <v>414</v>
      </c>
      <c r="H532" t="s">
        <v>2796</v>
      </c>
      <c r="I532">
        <v>42013</v>
      </c>
      <c r="J532" t="s">
        <v>2211</v>
      </c>
    </row>
    <row r="533" spans="1:10">
      <c r="A533" t="s">
        <v>2546</v>
      </c>
      <c r="G533" t="s">
        <v>414</v>
      </c>
      <c r="H533" t="s">
        <v>2850</v>
      </c>
      <c r="I533">
        <v>90002</v>
      </c>
      <c r="J533" t="s">
        <v>2851</v>
      </c>
    </row>
    <row r="534" spans="1:10">
      <c r="A534" t="s">
        <v>2591</v>
      </c>
      <c r="G534" t="s">
        <v>414</v>
      </c>
      <c r="H534" t="s">
        <v>2869</v>
      </c>
      <c r="I534">
        <v>74700</v>
      </c>
      <c r="J534" t="s">
        <v>1707</v>
      </c>
    </row>
    <row r="535" spans="1:10">
      <c r="A535" t="s">
        <v>2600</v>
      </c>
      <c r="G535" t="s">
        <v>414</v>
      </c>
      <c r="H535" t="s">
        <v>2875</v>
      </c>
      <c r="I535">
        <v>38503</v>
      </c>
      <c r="J535" t="s">
        <v>2160</v>
      </c>
    </row>
    <row r="536" spans="1:10">
      <c r="A536" t="s">
        <v>2599</v>
      </c>
      <c r="G536" t="s">
        <v>414</v>
      </c>
      <c r="H536" t="s">
        <v>2874</v>
      </c>
      <c r="I536">
        <v>30104</v>
      </c>
      <c r="J536" t="s">
        <v>1773</v>
      </c>
    </row>
    <row r="537" spans="1:10">
      <c r="A537" t="s">
        <v>1672</v>
      </c>
      <c r="F537" t="s">
        <v>414</v>
      </c>
      <c r="H537" t="s">
        <v>2323</v>
      </c>
      <c r="I537">
        <v>59300</v>
      </c>
      <c r="J537" t="s">
        <v>1934</v>
      </c>
    </row>
    <row r="538" spans="1:10">
      <c r="A538" t="s">
        <v>1616</v>
      </c>
      <c r="F538" t="s">
        <v>414</v>
      </c>
      <c r="G538" t="s">
        <v>414</v>
      </c>
      <c r="H538" t="s">
        <v>2232</v>
      </c>
      <c r="I538">
        <v>63110</v>
      </c>
      <c r="J538" t="s">
        <v>2233</v>
      </c>
    </row>
    <row r="539" spans="1:10">
      <c r="A539" t="s">
        <v>2448</v>
      </c>
      <c r="G539" t="s">
        <v>414</v>
      </c>
      <c r="H539" t="s">
        <v>2745</v>
      </c>
      <c r="I539">
        <v>84100</v>
      </c>
      <c r="J539" t="s">
        <v>2692</v>
      </c>
    </row>
    <row r="540" spans="1:10">
      <c r="A540" t="s">
        <v>655</v>
      </c>
      <c r="F540" t="s">
        <v>414</v>
      </c>
      <c r="G540" t="s">
        <v>414</v>
      </c>
      <c r="H540" t="s">
        <v>2313</v>
      </c>
      <c r="I540">
        <v>54519</v>
      </c>
      <c r="J540" t="s">
        <v>850</v>
      </c>
    </row>
    <row r="541" spans="1:10">
      <c r="A541" t="s">
        <v>2549</v>
      </c>
      <c r="G541" t="s">
        <v>414</v>
      </c>
      <c r="H541" t="s">
        <v>2852</v>
      </c>
      <c r="I541">
        <v>78150</v>
      </c>
      <c r="J541" t="s">
        <v>2853</v>
      </c>
    </row>
    <row r="542" spans="1:10">
      <c r="A542" t="s">
        <v>2485</v>
      </c>
      <c r="G542" t="s">
        <v>414</v>
      </c>
      <c r="H542" t="s">
        <v>2800</v>
      </c>
      <c r="I542">
        <v>7500</v>
      </c>
      <c r="J542" t="s">
        <v>2801</v>
      </c>
    </row>
    <row r="543" spans="1:10">
      <c r="A543" t="s">
        <v>1557</v>
      </c>
      <c r="F543" t="s">
        <v>414</v>
      </c>
      <c r="G543" t="s">
        <v>414</v>
      </c>
      <c r="H543" t="s">
        <v>2146</v>
      </c>
      <c r="I543">
        <v>92202</v>
      </c>
      <c r="J543" t="s">
        <v>1763</v>
      </c>
    </row>
    <row r="544" spans="1:10">
      <c r="A544" t="s">
        <v>1618</v>
      </c>
      <c r="F544" t="s">
        <v>414</v>
      </c>
      <c r="G544" t="s">
        <v>414</v>
      </c>
      <c r="H544" t="s">
        <v>2235</v>
      </c>
      <c r="I544">
        <v>92250</v>
      </c>
      <c r="J544" t="s">
        <v>2236</v>
      </c>
    </row>
    <row r="545" spans="1:10">
      <c r="A545" t="s">
        <v>2481</v>
      </c>
      <c r="G545" t="s">
        <v>414</v>
      </c>
      <c r="H545" t="s">
        <v>2794</v>
      </c>
      <c r="I545">
        <v>33608</v>
      </c>
      <c r="J545" t="s">
        <v>2174</v>
      </c>
    </row>
    <row r="546" spans="1:10">
      <c r="A546" t="s">
        <v>2380</v>
      </c>
      <c r="G546" t="s">
        <v>414</v>
      </c>
      <c r="H546" t="s">
        <v>2653</v>
      </c>
      <c r="I546">
        <v>56800</v>
      </c>
      <c r="J546" t="s">
        <v>2654</v>
      </c>
    </row>
    <row r="547" spans="1:10">
      <c r="A547" t="s">
        <v>1604</v>
      </c>
      <c r="F547" t="s">
        <v>414</v>
      </c>
      <c r="G547" t="s">
        <v>414</v>
      </c>
      <c r="H547" t="s">
        <v>2212</v>
      </c>
      <c r="I547">
        <v>93156</v>
      </c>
      <c r="J547" t="s">
        <v>2213</v>
      </c>
    </row>
    <row r="548" spans="1:10">
      <c r="A548" t="s">
        <v>1677</v>
      </c>
      <c r="F548" t="s">
        <v>414</v>
      </c>
      <c r="H548" t="s">
        <v>2329</v>
      </c>
      <c r="I548">
        <v>65000</v>
      </c>
      <c r="J548" t="s">
        <v>1930</v>
      </c>
    </row>
    <row r="549" spans="1:10">
      <c r="A549" t="s">
        <v>2604</v>
      </c>
      <c r="G549" t="s">
        <v>414</v>
      </c>
      <c r="H549" t="s">
        <v>2878</v>
      </c>
      <c r="I549">
        <v>65000</v>
      </c>
      <c r="J549" t="s">
        <v>1930</v>
      </c>
    </row>
    <row r="550" spans="1:10">
      <c r="A550" t="s">
        <v>2605</v>
      </c>
      <c r="G550" t="s">
        <v>414</v>
      </c>
      <c r="H550" t="s">
        <v>2879</v>
      </c>
      <c r="I550">
        <v>66330</v>
      </c>
      <c r="J550" t="s">
        <v>2880</v>
      </c>
    </row>
    <row r="551" spans="1:10">
      <c r="A551" t="s">
        <v>2606</v>
      </c>
      <c r="G551" t="s">
        <v>414</v>
      </c>
      <c r="H551" t="s">
        <v>2881</v>
      </c>
      <c r="I551">
        <v>34200</v>
      </c>
      <c r="J551" t="s">
        <v>2266</v>
      </c>
    </row>
    <row r="552" spans="1:10">
      <c r="A552" t="s">
        <v>2609</v>
      </c>
      <c r="G552" t="s">
        <v>414</v>
      </c>
      <c r="H552" t="s">
        <v>2886</v>
      </c>
      <c r="I552">
        <v>14113</v>
      </c>
      <c r="J552" t="s">
        <v>2887</v>
      </c>
    </row>
    <row r="553" spans="1:10">
      <c r="A553" t="s">
        <v>2613</v>
      </c>
      <c r="G553" t="s">
        <v>414</v>
      </c>
      <c r="H553" t="s">
        <v>2890</v>
      </c>
      <c r="I553">
        <v>44615</v>
      </c>
      <c r="J553" t="s">
        <v>2891</v>
      </c>
    </row>
    <row r="554" spans="1:10">
      <c r="A554" t="s">
        <v>2611</v>
      </c>
      <c r="G554" t="s">
        <v>414</v>
      </c>
      <c r="H554" t="s">
        <v>2889</v>
      </c>
      <c r="I554">
        <v>29220</v>
      </c>
      <c r="J554" t="s">
        <v>862</v>
      </c>
    </row>
    <row r="555" spans="1:10">
      <c r="A555" t="s">
        <v>2614</v>
      </c>
      <c r="G555" t="s">
        <v>414</v>
      </c>
      <c r="H555" t="s">
        <v>2898</v>
      </c>
      <c r="I555">
        <v>14100</v>
      </c>
      <c r="J555" t="s">
        <v>2899</v>
      </c>
    </row>
    <row r="556" spans="1:10">
      <c r="A556" t="s">
        <v>1521</v>
      </c>
      <c r="F556" t="s">
        <v>414</v>
      </c>
      <c r="G556" t="s">
        <v>414</v>
      </c>
      <c r="H556" t="s">
        <v>2081</v>
      </c>
      <c r="I556">
        <v>76000</v>
      </c>
      <c r="J556" t="s">
        <v>885</v>
      </c>
    </row>
    <row r="557" spans="1:10">
      <c r="A557" t="s">
        <v>2615</v>
      </c>
      <c r="G557" t="s">
        <v>414</v>
      </c>
      <c r="H557" t="s">
        <v>2900</v>
      </c>
      <c r="I557">
        <v>80094</v>
      </c>
      <c r="J557" t="s">
        <v>840</v>
      </c>
    </row>
    <row r="558" spans="1:10">
      <c r="A558" t="s">
        <v>2616</v>
      </c>
      <c r="G558" t="s">
        <v>414</v>
      </c>
      <c r="H558" t="s">
        <v>2901</v>
      </c>
      <c r="I558">
        <v>86035</v>
      </c>
      <c r="J558" t="s">
        <v>888</v>
      </c>
    </row>
    <row r="559" spans="1:10">
      <c r="A559" t="s">
        <v>2617</v>
      </c>
      <c r="G559" t="s">
        <v>414</v>
      </c>
      <c r="H559" t="s">
        <v>2902</v>
      </c>
      <c r="I559">
        <v>50100</v>
      </c>
      <c r="J559" t="s">
        <v>2903</v>
      </c>
    </row>
    <row r="560" spans="1:10">
      <c r="A560" t="s">
        <v>2621</v>
      </c>
      <c r="G560" t="s">
        <v>414</v>
      </c>
      <c r="H560" t="s">
        <v>2907</v>
      </c>
      <c r="I560">
        <v>58004</v>
      </c>
      <c r="J560" t="s">
        <v>915</v>
      </c>
    </row>
    <row r="561" spans="1:10">
      <c r="A561" t="s">
        <v>2619</v>
      </c>
      <c r="G561" t="s">
        <v>414</v>
      </c>
      <c r="H561" t="s">
        <v>2904</v>
      </c>
      <c r="I561">
        <v>22100</v>
      </c>
      <c r="J561" t="s">
        <v>2905</v>
      </c>
    </row>
    <row r="562" spans="1:10">
      <c r="A562" t="s">
        <v>2895</v>
      </c>
      <c r="G562" t="s">
        <v>414</v>
      </c>
      <c r="H562" t="s">
        <v>2896</v>
      </c>
      <c r="I562">
        <v>59212</v>
      </c>
      <c r="J562" t="s">
        <v>2897</v>
      </c>
    </row>
    <row r="563" spans="1:10">
      <c r="A563" t="s">
        <v>2360</v>
      </c>
      <c r="F563" t="s">
        <v>414</v>
      </c>
      <c r="G563" t="s">
        <v>414</v>
      </c>
      <c r="H563" t="s">
        <v>2361</v>
      </c>
      <c r="I563">
        <v>60204</v>
      </c>
      <c r="J563" t="s">
        <v>1808</v>
      </c>
    </row>
    <row r="564" spans="1:10">
      <c r="A564" t="s">
        <v>1683</v>
      </c>
      <c r="F564" t="s">
        <v>414</v>
      </c>
      <c r="H564" t="s">
        <v>2343</v>
      </c>
      <c r="I564">
        <v>51057</v>
      </c>
      <c r="J564" t="s">
        <v>880</v>
      </c>
    </row>
    <row r="565" spans="1:10">
      <c r="A565" t="s">
        <v>2620</v>
      </c>
      <c r="G565" t="s">
        <v>414</v>
      </c>
      <c r="H565" t="s">
        <v>2906</v>
      </c>
      <c r="I565">
        <v>81100</v>
      </c>
      <c r="J565" t="s">
        <v>1972</v>
      </c>
    </row>
    <row r="566" spans="1:10">
      <c r="A566" t="s">
        <v>657</v>
      </c>
      <c r="F566" t="s">
        <v>414</v>
      </c>
      <c r="H566" t="s">
        <v>2349</v>
      </c>
      <c r="I566">
        <v>58004</v>
      </c>
      <c r="J566" t="s">
        <v>915</v>
      </c>
    </row>
    <row r="567" spans="1:10">
      <c r="A567" t="s">
        <v>654</v>
      </c>
      <c r="F567" t="s">
        <v>414</v>
      </c>
      <c r="G567" t="s">
        <v>414</v>
      </c>
      <c r="H567" t="s">
        <v>2079</v>
      </c>
      <c r="I567">
        <v>54271</v>
      </c>
      <c r="J567" t="s">
        <v>2080</v>
      </c>
    </row>
    <row r="568" spans="1:10">
      <c r="A568" t="s">
        <v>2624</v>
      </c>
      <c r="G568" t="s">
        <v>414</v>
      </c>
      <c r="H568" t="s">
        <v>2908</v>
      </c>
      <c r="I568">
        <v>30932</v>
      </c>
      <c r="J568" t="s">
        <v>951</v>
      </c>
    </row>
    <row r="569" spans="1:10">
      <c r="A569" t="s">
        <v>644</v>
      </c>
      <c r="G569" t="s">
        <v>414</v>
      </c>
      <c r="H569" t="s">
        <v>2909</v>
      </c>
      <c r="I569">
        <v>33523</v>
      </c>
      <c r="J569" t="s">
        <v>2910</v>
      </c>
    </row>
    <row r="570" spans="1:10">
      <c r="A570" t="s">
        <v>1685</v>
      </c>
      <c r="F570" t="s">
        <v>414</v>
      </c>
      <c r="H570" t="s">
        <v>2354</v>
      </c>
      <c r="I570">
        <v>3205</v>
      </c>
      <c r="J570" t="s">
        <v>1873</v>
      </c>
    </row>
    <row r="571" spans="1:10">
      <c r="A571" t="s">
        <v>1612</v>
      </c>
      <c r="F571" t="s">
        <v>414</v>
      </c>
      <c r="G571" t="s">
        <v>414</v>
      </c>
      <c r="H571" t="s">
        <v>2226</v>
      </c>
      <c r="I571">
        <v>78009</v>
      </c>
      <c r="J571" t="s">
        <v>2178</v>
      </c>
    </row>
    <row r="572" spans="1:10">
      <c r="A572" t="s">
        <v>685</v>
      </c>
      <c r="G572" t="s">
        <v>414</v>
      </c>
      <c r="H572" t="s">
        <v>2912</v>
      </c>
      <c r="I572">
        <v>83196</v>
      </c>
      <c r="J572" t="s">
        <v>2913</v>
      </c>
    </row>
    <row r="573" spans="1:10">
      <c r="A573" t="s">
        <v>2627</v>
      </c>
      <c r="G573" t="s">
        <v>414</v>
      </c>
      <c r="H573" t="s">
        <v>2914</v>
      </c>
      <c r="I573">
        <v>62110</v>
      </c>
      <c r="J573" t="s">
        <v>2915</v>
      </c>
    </row>
    <row r="574" spans="1:10">
      <c r="A574" t="s">
        <v>631</v>
      </c>
      <c r="G574" t="s">
        <v>414</v>
      </c>
      <c r="H574" t="s">
        <v>2882</v>
      </c>
      <c r="I574">
        <v>10120</v>
      </c>
      <c r="J574" t="s">
        <v>2883</v>
      </c>
    </row>
    <row r="575" spans="1:10">
      <c r="A575" t="s">
        <v>686</v>
      </c>
      <c r="G575" t="s">
        <v>414</v>
      </c>
      <c r="H575" t="s">
        <v>2917</v>
      </c>
      <c r="I575">
        <v>83300</v>
      </c>
      <c r="J575" t="s">
        <v>1879</v>
      </c>
    </row>
    <row r="576" spans="1:10">
      <c r="A576" t="s">
        <v>665</v>
      </c>
      <c r="F576" t="s">
        <v>414</v>
      </c>
      <c r="H576" t="s">
        <v>2359</v>
      </c>
      <c r="I576">
        <v>64000</v>
      </c>
      <c r="J576" t="s">
        <v>1006</v>
      </c>
    </row>
    <row r="577" spans="1:10">
      <c r="A577" t="s">
        <v>666</v>
      </c>
      <c r="G577" t="s">
        <v>414</v>
      </c>
      <c r="H577" t="s">
        <v>2918</v>
      </c>
      <c r="I577">
        <v>64000</v>
      </c>
      <c r="J577" t="s">
        <v>1006</v>
      </c>
    </row>
    <row r="578" spans="1:10">
      <c r="A578" t="s">
        <v>2629</v>
      </c>
      <c r="G578" t="s">
        <v>414</v>
      </c>
      <c r="H578" t="s">
        <v>2919</v>
      </c>
      <c r="I578">
        <v>51430</v>
      </c>
      <c r="J578" t="s">
        <v>2920</v>
      </c>
    </row>
    <row r="579" spans="1:10">
      <c r="A579" t="s">
        <v>1625</v>
      </c>
      <c r="F579" t="s">
        <v>414</v>
      </c>
      <c r="G579" t="s">
        <v>414</v>
      </c>
      <c r="H579" t="s">
        <v>2246</v>
      </c>
      <c r="I579">
        <v>3630</v>
      </c>
      <c r="J579" t="s">
        <v>2247</v>
      </c>
    </row>
    <row r="580" spans="1:10">
      <c r="A580" t="s">
        <v>1688</v>
      </c>
      <c r="F580" t="s">
        <v>414</v>
      </c>
      <c r="H580" t="s">
        <v>2364</v>
      </c>
      <c r="I580">
        <v>35006</v>
      </c>
      <c r="J580" t="s">
        <v>1702</v>
      </c>
    </row>
    <row r="581" spans="1:10">
      <c r="A581" t="s">
        <v>1636</v>
      </c>
      <c r="F581" t="s">
        <v>414</v>
      </c>
      <c r="G581" t="s">
        <v>414</v>
      </c>
      <c r="H581" t="s">
        <v>2267</v>
      </c>
      <c r="I581">
        <v>34295</v>
      </c>
      <c r="J581" t="s">
        <v>858</v>
      </c>
    </row>
    <row r="582" spans="1:10">
      <c r="A582" t="s">
        <v>2551</v>
      </c>
      <c r="G582" t="s">
        <v>414</v>
      </c>
      <c r="H582" t="s">
        <v>2854</v>
      </c>
      <c r="I582">
        <v>75013</v>
      </c>
      <c r="J582" t="s">
        <v>700</v>
      </c>
    </row>
    <row r="583" spans="1:10">
      <c r="A583" t="s">
        <v>679</v>
      </c>
      <c r="F583" t="s">
        <v>414</v>
      </c>
      <c r="G583" t="s">
        <v>414</v>
      </c>
      <c r="H583" t="s">
        <v>2362</v>
      </c>
      <c r="I583">
        <v>6800</v>
      </c>
      <c r="J583" t="s">
        <v>2363</v>
      </c>
    </row>
    <row r="584" spans="1:10">
      <c r="A584" t="s">
        <v>1638</v>
      </c>
      <c r="F584" t="s">
        <v>414</v>
      </c>
      <c r="G584" t="s">
        <v>414</v>
      </c>
      <c r="H584" t="s">
        <v>2270</v>
      </c>
      <c r="I584">
        <v>57000</v>
      </c>
      <c r="J584" t="s">
        <v>2271</v>
      </c>
    </row>
    <row r="585" spans="1:10">
      <c r="A585" t="s">
        <v>2552</v>
      </c>
      <c r="G585" t="s">
        <v>414</v>
      </c>
      <c r="H585" t="s">
        <v>2855</v>
      </c>
      <c r="I585">
        <v>21000</v>
      </c>
      <c r="J585" t="s">
        <v>844</v>
      </c>
    </row>
    <row r="586" spans="1:10">
      <c r="A586" t="s">
        <v>1578</v>
      </c>
      <c r="F586" t="s">
        <v>414</v>
      </c>
      <c r="G586" t="s">
        <v>414</v>
      </c>
      <c r="H586" t="s">
        <v>2173</v>
      </c>
      <c r="I586">
        <v>33604</v>
      </c>
      <c r="J586" t="s">
        <v>2174</v>
      </c>
    </row>
    <row r="587" spans="1:10">
      <c r="A587" t="s">
        <v>2539</v>
      </c>
      <c r="G587" t="s">
        <v>414</v>
      </c>
      <c r="H587" t="s">
        <v>2845</v>
      </c>
      <c r="I587">
        <v>93604</v>
      </c>
      <c r="J587" t="s">
        <v>1968</v>
      </c>
    </row>
    <row r="588" spans="1:10">
      <c r="A588" t="s">
        <v>1619</v>
      </c>
      <c r="F588" t="s">
        <v>414</v>
      </c>
      <c r="G588" t="s">
        <v>414</v>
      </c>
      <c r="H588" t="s">
        <v>2237</v>
      </c>
      <c r="I588">
        <v>73190</v>
      </c>
      <c r="J588" t="s">
        <v>2238</v>
      </c>
    </row>
    <row r="589" spans="1:10">
      <c r="A589" t="s">
        <v>1459</v>
      </c>
      <c r="F589" t="s">
        <v>414</v>
      </c>
      <c r="G589" t="s">
        <v>414</v>
      </c>
      <c r="H589" t="s">
        <v>1969</v>
      </c>
      <c r="I589">
        <v>13616</v>
      </c>
      <c r="J589" t="s">
        <v>1970</v>
      </c>
    </row>
    <row r="590" spans="1:10">
      <c r="A590" t="s">
        <v>2566</v>
      </c>
      <c r="G590" t="s">
        <v>414</v>
      </c>
      <c r="H590" t="s">
        <v>2861</v>
      </c>
      <c r="I590">
        <v>30000</v>
      </c>
      <c r="J590" t="s">
        <v>951</v>
      </c>
    </row>
    <row r="591" spans="1:10">
      <c r="A591" t="s">
        <v>1404</v>
      </c>
      <c r="F591" t="s">
        <v>414</v>
      </c>
      <c r="G591" t="s">
        <v>414</v>
      </c>
      <c r="H591" t="s">
        <v>1847</v>
      </c>
      <c r="I591">
        <v>76202</v>
      </c>
      <c r="J591" t="s">
        <v>1848</v>
      </c>
    </row>
    <row r="592" spans="1:10">
      <c r="A592" t="s">
        <v>2536</v>
      </c>
      <c r="G592" t="s">
        <v>414</v>
      </c>
      <c r="H592" t="s">
        <v>2841</v>
      </c>
      <c r="I592">
        <v>1506</v>
      </c>
      <c r="J592" t="s">
        <v>2842</v>
      </c>
    </row>
    <row r="593" spans="1:10">
      <c r="A593" t="s">
        <v>2541</v>
      </c>
      <c r="G593" t="s">
        <v>414</v>
      </c>
      <c r="H593" t="s">
        <v>2846</v>
      </c>
      <c r="I593">
        <v>69800</v>
      </c>
      <c r="J593" t="s">
        <v>2847</v>
      </c>
    </row>
    <row r="594" spans="1:10">
      <c r="A594" t="s">
        <v>1480</v>
      </c>
      <c r="F594" t="s">
        <v>414</v>
      </c>
      <c r="H594" t="s">
        <v>1847</v>
      </c>
      <c r="I594">
        <v>97261</v>
      </c>
      <c r="J594" t="s">
        <v>2001</v>
      </c>
    </row>
    <row r="595" spans="1:10">
      <c r="A595" t="s">
        <v>1456</v>
      </c>
      <c r="F595" t="s">
        <v>414</v>
      </c>
      <c r="G595" t="s">
        <v>414</v>
      </c>
      <c r="H595" t="s">
        <v>1963</v>
      </c>
      <c r="I595">
        <v>40024</v>
      </c>
      <c r="J595" t="s">
        <v>1964</v>
      </c>
    </row>
    <row r="596" spans="1:10">
      <c r="A596" t="s">
        <v>2545</v>
      </c>
      <c r="G596" t="s">
        <v>414</v>
      </c>
      <c r="H596" t="s">
        <v>2848</v>
      </c>
      <c r="I596">
        <v>50000</v>
      </c>
      <c r="J596" t="s">
        <v>2849</v>
      </c>
    </row>
    <row r="597" spans="1:10">
      <c r="A597" t="s">
        <v>1635</v>
      </c>
      <c r="F597" t="s">
        <v>414</v>
      </c>
      <c r="G597" t="s">
        <v>414</v>
      </c>
      <c r="H597" t="s">
        <v>2265</v>
      </c>
      <c r="I597">
        <v>34207</v>
      </c>
      <c r="J597" t="s">
        <v>2266</v>
      </c>
    </row>
    <row r="598" spans="1:10">
      <c r="A598" t="s">
        <v>2576</v>
      </c>
      <c r="G598" t="s">
        <v>414</v>
      </c>
      <c r="H598" t="s">
        <v>2864</v>
      </c>
      <c r="I598">
        <v>14050</v>
      </c>
      <c r="J598" t="s">
        <v>808</v>
      </c>
    </row>
    <row r="599" spans="1:10">
      <c r="A599" t="s">
        <v>649</v>
      </c>
      <c r="F599" t="s">
        <v>414</v>
      </c>
      <c r="G599" t="s">
        <v>414</v>
      </c>
      <c r="H599" t="s">
        <v>2004</v>
      </c>
      <c r="I599">
        <v>44805</v>
      </c>
      <c r="J599" t="s">
        <v>2005</v>
      </c>
    </row>
    <row r="600" spans="1:10">
      <c r="A600" t="s">
        <v>1482</v>
      </c>
      <c r="F600" t="s">
        <v>414</v>
      </c>
      <c r="H600" t="s">
        <v>2004</v>
      </c>
      <c r="I600">
        <v>44800</v>
      </c>
      <c r="J600" t="s">
        <v>2005</v>
      </c>
    </row>
    <row r="601" spans="1:10">
      <c r="A601" t="s">
        <v>2381</v>
      </c>
      <c r="G601" t="s">
        <v>414</v>
      </c>
      <c r="H601" t="s">
        <v>2655</v>
      </c>
      <c r="I601">
        <v>88204</v>
      </c>
      <c r="J601" t="s">
        <v>2656</v>
      </c>
    </row>
    <row r="602" spans="1:10">
      <c r="A602" t="s">
        <v>2458</v>
      </c>
      <c r="G602" t="s">
        <v>414</v>
      </c>
      <c r="H602" t="s">
        <v>2772</v>
      </c>
      <c r="I602">
        <v>42300</v>
      </c>
      <c r="J602" t="s">
        <v>1837</v>
      </c>
    </row>
    <row r="603" spans="1:10">
      <c r="A603" t="s">
        <v>2488</v>
      </c>
      <c r="G603" t="s">
        <v>414</v>
      </c>
      <c r="H603" t="s">
        <v>2802</v>
      </c>
      <c r="I603">
        <v>67016</v>
      </c>
      <c r="J603" t="s">
        <v>2056</v>
      </c>
    </row>
    <row r="604" spans="1:10">
      <c r="A604" t="s">
        <v>2612</v>
      </c>
      <c r="F604" t="s">
        <v>414</v>
      </c>
      <c r="G604" t="s">
        <v>414</v>
      </c>
      <c r="H604" t="s">
        <v>1946</v>
      </c>
      <c r="I604">
        <v>56920</v>
      </c>
      <c r="J604" t="s">
        <v>1947</v>
      </c>
    </row>
    <row r="605" spans="1:10">
      <c r="A605" t="s">
        <v>2583</v>
      </c>
      <c r="G605" t="s">
        <v>414</v>
      </c>
      <c r="H605" t="s">
        <v>2868</v>
      </c>
      <c r="I605">
        <v>57211</v>
      </c>
      <c r="J605" t="s">
        <v>2258</v>
      </c>
    </row>
    <row r="606" spans="1:10">
      <c r="A606" t="s">
        <v>2489</v>
      </c>
      <c r="G606" t="s">
        <v>414</v>
      </c>
      <c r="H606" t="s">
        <v>2803</v>
      </c>
      <c r="I606">
        <v>59552</v>
      </c>
      <c r="J606" t="s">
        <v>2804</v>
      </c>
    </row>
    <row r="607" spans="1:10">
      <c r="A607" t="s">
        <v>1628</v>
      </c>
      <c r="F607" t="s">
        <v>414</v>
      </c>
      <c r="G607" t="s">
        <v>414</v>
      </c>
      <c r="H607" t="s">
        <v>2255</v>
      </c>
      <c r="I607">
        <v>31059</v>
      </c>
      <c r="J607" t="s">
        <v>833</v>
      </c>
    </row>
    <row r="608" spans="1:10">
      <c r="A608" t="s">
        <v>2490</v>
      </c>
      <c r="G608" t="s">
        <v>414</v>
      </c>
      <c r="H608" t="s">
        <v>2805</v>
      </c>
      <c r="I608">
        <v>85016</v>
      </c>
      <c r="J608" t="s">
        <v>1949</v>
      </c>
    </row>
    <row r="609" spans="1:10">
      <c r="A609" t="s">
        <v>2386</v>
      </c>
      <c r="G609" t="s">
        <v>414</v>
      </c>
      <c r="H609" t="s">
        <v>2664</v>
      </c>
      <c r="I609">
        <v>54201</v>
      </c>
      <c r="J609" t="s">
        <v>2665</v>
      </c>
    </row>
    <row r="610" spans="1:10">
      <c r="A610" t="s">
        <v>2428</v>
      </c>
      <c r="F610" t="s">
        <v>414</v>
      </c>
      <c r="G610" t="s">
        <v>414</v>
      </c>
      <c r="H610" t="s">
        <v>2023</v>
      </c>
      <c r="I610">
        <v>31700</v>
      </c>
      <c r="J610" t="s">
        <v>2024</v>
      </c>
    </row>
    <row r="611" spans="1:10">
      <c r="A611" t="s">
        <v>2491</v>
      </c>
      <c r="G611" t="s">
        <v>414</v>
      </c>
      <c r="H611" t="s">
        <v>2806</v>
      </c>
      <c r="I611">
        <v>36006</v>
      </c>
      <c r="J611" t="s">
        <v>1803</v>
      </c>
    </row>
    <row r="612" spans="1:10">
      <c r="A612" t="s">
        <v>1567</v>
      </c>
      <c r="F612" t="s">
        <v>414</v>
      </c>
      <c r="G612" t="s">
        <v>414</v>
      </c>
      <c r="H612" t="s">
        <v>2157</v>
      </c>
      <c r="I612">
        <v>57502</v>
      </c>
      <c r="J612" t="s">
        <v>2158</v>
      </c>
    </row>
    <row r="613" spans="1:10">
      <c r="A613" t="s">
        <v>2630</v>
      </c>
      <c r="G613" t="s">
        <v>414</v>
      </c>
      <c r="H613" t="s">
        <v>2922</v>
      </c>
      <c r="I613">
        <v>17110</v>
      </c>
      <c r="J613" t="s">
        <v>2923</v>
      </c>
    </row>
    <row r="614" spans="1:10">
      <c r="A614" t="s">
        <v>1605</v>
      </c>
      <c r="F614" t="s">
        <v>414</v>
      </c>
      <c r="G614" t="s">
        <v>414</v>
      </c>
      <c r="H614" t="s">
        <v>2214</v>
      </c>
      <c r="I614">
        <v>77177</v>
      </c>
      <c r="J614" t="s">
        <v>2215</v>
      </c>
    </row>
    <row r="615" spans="1:10">
      <c r="A615" t="s">
        <v>2494</v>
      </c>
      <c r="G615" t="s">
        <v>414</v>
      </c>
      <c r="H615" t="s">
        <v>2807</v>
      </c>
      <c r="I615">
        <v>49804</v>
      </c>
      <c r="J615" t="s">
        <v>2098</v>
      </c>
    </row>
    <row r="616" spans="1:10">
      <c r="A616" t="s">
        <v>2387</v>
      </c>
      <c r="G616" t="s">
        <v>414</v>
      </c>
      <c r="H616" t="s">
        <v>2666</v>
      </c>
      <c r="I616">
        <v>87205</v>
      </c>
      <c r="J616" t="s">
        <v>2667</v>
      </c>
    </row>
    <row r="617" spans="1:10">
      <c r="A617" t="s">
        <v>2495</v>
      </c>
      <c r="G617" t="s">
        <v>414</v>
      </c>
      <c r="H617" t="s">
        <v>2808</v>
      </c>
      <c r="I617">
        <v>78300</v>
      </c>
      <c r="J617" t="s">
        <v>2715</v>
      </c>
    </row>
    <row r="618" spans="1:10">
      <c r="A618" t="s">
        <v>2496</v>
      </c>
      <c r="G618" t="s">
        <v>414</v>
      </c>
      <c r="H618" t="s">
        <v>2809</v>
      </c>
      <c r="I618">
        <v>97200</v>
      </c>
      <c r="J618" t="s">
        <v>2001</v>
      </c>
    </row>
    <row r="619" spans="1:10">
      <c r="A619" t="s">
        <v>2497</v>
      </c>
      <c r="G619" t="s">
        <v>414</v>
      </c>
      <c r="H619" t="s">
        <v>2810</v>
      </c>
      <c r="I619">
        <v>25044</v>
      </c>
      <c r="J619" t="s">
        <v>874</v>
      </c>
    </row>
    <row r="620" spans="1:10">
      <c r="A620" t="s">
        <v>1529</v>
      </c>
      <c r="F620" t="s">
        <v>414</v>
      </c>
      <c r="H620" t="s">
        <v>2099</v>
      </c>
      <c r="I620">
        <v>33074</v>
      </c>
      <c r="J620" t="s">
        <v>942</v>
      </c>
    </row>
    <row r="621" spans="1:10">
      <c r="A621" t="s">
        <v>639</v>
      </c>
      <c r="F621" t="s">
        <v>414</v>
      </c>
      <c r="G621" t="s">
        <v>414</v>
      </c>
      <c r="H621" t="s">
        <v>2038</v>
      </c>
      <c r="I621">
        <v>62660</v>
      </c>
      <c r="J621" t="s">
        <v>2039</v>
      </c>
    </row>
    <row r="622" spans="1:10">
      <c r="A622" t="s">
        <v>1531</v>
      </c>
      <c r="F622" t="s">
        <v>414</v>
      </c>
      <c r="H622" t="s">
        <v>2101</v>
      </c>
      <c r="I622">
        <v>67085</v>
      </c>
      <c r="J622" t="s">
        <v>2056</v>
      </c>
    </row>
    <row r="623" spans="1:10">
      <c r="A623" t="s">
        <v>2499</v>
      </c>
      <c r="G623" t="s">
        <v>414</v>
      </c>
      <c r="H623" t="s">
        <v>2815</v>
      </c>
      <c r="I623">
        <v>67083</v>
      </c>
      <c r="J623" t="s">
        <v>2056</v>
      </c>
    </row>
    <row r="624" spans="1:10">
      <c r="A624" t="s">
        <v>2811</v>
      </c>
      <c r="G624" t="s">
        <v>414</v>
      </c>
      <c r="H624" t="s">
        <v>2812</v>
      </c>
      <c r="I624">
        <v>67502</v>
      </c>
      <c r="J624" t="s">
        <v>1721</v>
      </c>
    </row>
    <row r="625" spans="1:10">
      <c r="A625" t="s">
        <v>1634</v>
      </c>
      <c r="F625" t="s">
        <v>414</v>
      </c>
      <c r="G625" t="s">
        <v>414</v>
      </c>
      <c r="H625" t="s">
        <v>2263</v>
      </c>
      <c r="I625">
        <v>17019</v>
      </c>
      <c r="J625" t="s">
        <v>2264</v>
      </c>
    </row>
    <row r="626" spans="1:10">
      <c r="A626" t="s">
        <v>1629</v>
      </c>
      <c r="F626" t="s">
        <v>414</v>
      </c>
      <c r="G626" t="s">
        <v>414</v>
      </c>
      <c r="H626" t="s">
        <v>2256</v>
      </c>
      <c r="I626">
        <v>51092</v>
      </c>
      <c r="J626" t="s">
        <v>880</v>
      </c>
    </row>
    <row r="627" spans="1:10">
      <c r="A627" t="s">
        <v>2633</v>
      </c>
      <c r="G627" t="s">
        <v>414</v>
      </c>
      <c r="H627" t="s">
        <v>2924</v>
      </c>
      <c r="I627">
        <v>6200</v>
      </c>
      <c r="J627" t="s">
        <v>836</v>
      </c>
    </row>
    <row r="628" spans="1:10">
      <c r="A628" t="s">
        <v>2603</v>
      </c>
      <c r="G628" t="s">
        <v>414</v>
      </c>
      <c r="H628" t="s">
        <v>2876</v>
      </c>
      <c r="I628">
        <v>72200</v>
      </c>
      <c r="J628" t="s">
        <v>2877</v>
      </c>
    </row>
    <row r="629" spans="1:10">
      <c r="A629" t="s">
        <v>2639</v>
      </c>
      <c r="G629" t="s">
        <v>414</v>
      </c>
      <c r="H629" t="s">
        <v>2929</v>
      </c>
      <c r="I629">
        <v>29600</v>
      </c>
      <c r="J629" t="s">
        <v>1700</v>
      </c>
    </row>
    <row r="630" spans="1:10">
      <c r="A630" t="s">
        <v>2575</v>
      </c>
      <c r="G630" t="s">
        <v>414</v>
      </c>
      <c r="H630" t="s">
        <v>2862</v>
      </c>
      <c r="I630">
        <v>35576</v>
      </c>
      <c r="J630" t="s">
        <v>2863</v>
      </c>
    </row>
    <row r="631" spans="1:10">
      <c r="A631" t="s">
        <v>2442</v>
      </c>
      <c r="G631" t="s">
        <v>414</v>
      </c>
      <c r="H631" t="s">
        <v>2736</v>
      </c>
      <c r="I631">
        <v>62501</v>
      </c>
      <c r="J631" t="s">
        <v>2737</v>
      </c>
    </row>
    <row r="632" spans="1:10">
      <c r="A632" t="s">
        <v>2641</v>
      </c>
      <c r="G632" t="s">
        <v>414</v>
      </c>
      <c r="H632" t="s">
        <v>2932</v>
      </c>
      <c r="I632">
        <v>84302</v>
      </c>
      <c r="J632" t="s">
        <v>2933</v>
      </c>
    </row>
    <row r="633" spans="1:10">
      <c r="A633" t="s">
        <v>688</v>
      </c>
      <c r="G633" t="s">
        <v>414</v>
      </c>
      <c r="H633" t="s">
        <v>2934</v>
      </c>
      <c r="I633">
        <v>84200</v>
      </c>
      <c r="J633" t="s">
        <v>2935</v>
      </c>
    </row>
    <row r="634" spans="1:10">
      <c r="A634" t="s">
        <v>1533</v>
      </c>
      <c r="F634" t="s">
        <v>414</v>
      </c>
      <c r="H634" t="s">
        <v>2104</v>
      </c>
      <c r="I634">
        <v>59304</v>
      </c>
      <c r="J634" t="s">
        <v>1934</v>
      </c>
    </row>
    <row r="635" spans="1:10">
      <c r="A635" t="s">
        <v>2506</v>
      </c>
      <c r="G635" t="s">
        <v>414</v>
      </c>
      <c r="H635" t="s">
        <v>2824</v>
      </c>
      <c r="I635">
        <v>56270</v>
      </c>
      <c r="J635" t="s">
        <v>2825</v>
      </c>
    </row>
    <row r="636" spans="1:10">
      <c r="A636" t="s">
        <v>2577</v>
      </c>
      <c r="G636" t="s">
        <v>414</v>
      </c>
      <c r="H636" t="s">
        <v>2865</v>
      </c>
      <c r="I636">
        <v>83000</v>
      </c>
      <c r="J636" t="s">
        <v>865</v>
      </c>
    </row>
    <row r="637" spans="1:10">
      <c r="A637" t="s">
        <v>2501</v>
      </c>
      <c r="G637" t="s">
        <v>414</v>
      </c>
      <c r="H637" t="s">
        <v>2818</v>
      </c>
      <c r="I637">
        <v>75008</v>
      </c>
      <c r="J637" t="s">
        <v>700</v>
      </c>
    </row>
    <row r="638" spans="1:10">
      <c r="A638" t="s">
        <v>2635</v>
      </c>
      <c r="G638" t="s">
        <v>414</v>
      </c>
      <c r="H638" t="s">
        <v>2925</v>
      </c>
      <c r="I638">
        <v>84000</v>
      </c>
      <c r="J638" t="s">
        <v>1815</v>
      </c>
    </row>
    <row r="639" spans="1:10">
      <c r="A639" t="s">
        <v>2443</v>
      </c>
      <c r="G639" t="s">
        <v>414</v>
      </c>
      <c r="H639" t="s">
        <v>2738</v>
      </c>
      <c r="I639">
        <v>92210</v>
      </c>
      <c r="J639" t="s">
        <v>2036</v>
      </c>
    </row>
    <row r="640" spans="1:10">
      <c r="A640" t="s">
        <v>1474</v>
      </c>
      <c r="F640" t="s">
        <v>414</v>
      </c>
      <c r="G640" t="s">
        <v>414</v>
      </c>
      <c r="H640" t="s">
        <v>1993</v>
      </c>
      <c r="I640">
        <v>54511</v>
      </c>
      <c r="J640" t="s">
        <v>850</v>
      </c>
    </row>
    <row r="641" spans="1:10">
      <c r="A641" t="s">
        <v>1401</v>
      </c>
      <c r="F641" t="s">
        <v>414</v>
      </c>
      <c r="H641" t="s">
        <v>1841</v>
      </c>
      <c r="I641">
        <v>26953</v>
      </c>
      <c r="J641" t="s">
        <v>1842</v>
      </c>
    </row>
    <row r="642" spans="1:10">
      <c r="A642" t="s">
        <v>2636</v>
      </c>
      <c r="G642" t="s">
        <v>414</v>
      </c>
      <c r="H642" t="s">
        <v>2926</v>
      </c>
      <c r="I642">
        <v>59300</v>
      </c>
      <c r="J642" t="s">
        <v>1934</v>
      </c>
    </row>
    <row r="643" spans="1:10">
      <c r="A643" t="s">
        <v>1379</v>
      </c>
      <c r="F643" t="s">
        <v>414</v>
      </c>
      <c r="G643" t="s">
        <v>414</v>
      </c>
      <c r="H643" t="s">
        <v>1795</v>
      </c>
      <c r="I643">
        <v>62321</v>
      </c>
      <c r="J643" t="s">
        <v>932</v>
      </c>
    </row>
    <row r="644" spans="1:10">
      <c r="A644" t="s">
        <v>1536</v>
      </c>
      <c r="F644" t="s">
        <v>414</v>
      </c>
      <c r="H644" t="s">
        <v>2108</v>
      </c>
      <c r="I644">
        <v>72000</v>
      </c>
      <c r="J644" t="s">
        <v>1883</v>
      </c>
    </row>
    <row r="645" spans="1:10">
      <c r="A645" t="s">
        <v>2502</v>
      </c>
      <c r="G645" t="s">
        <v>414</v>
      </c>
      <c r="H645" t="s">
        <v>2819</v>
      </c>
      <c r="I645">
        <v>80094</v>
      </c>
      <c r="J645" t="s">
        <v>840</v>
      </c>
    </row>
    <row r="646" spans="1:10">
      <c r="A646" t="s">
        <v>2444</v>
      </c>
      <c r="G646" t="s">
        <v>414</v>
      </c>
      <c r="H646" t="s">
        <v>1795</v>
      </c>
      <c r="I646">
        <v>85340</v>
      </c>
      <c r="J646" t="s">
        <v>2739</v>
      </c>
    </row>
    <row r="647" spans="1:10">
      <c r="A647" t="s">
        <v>1620</v>
      </c>
      <c r="F647" t="s">
        <v>414</v>
      </c>
      <c r="G647" t="s">
        <v>414</v>
      </c>
      <c r="H647" t="s">
        <v>2239</v>
      </c>
      <c r="I647">
        <v>54000</v>
      </c>
      <c r="J647" t="s">
        <v>1992</v>
      </c>
    </row>
    <row r="648" spans="1:10">
      <c r="A648" t="s">
        <v>2503</v>
      </c>
      <c r="G648" t="s">
        <v>414</v>
      </c>
      <c r="H648" t="s">
        <v>2820</v>
      </c>
      <c r="I648">
        <v>94195</v>
      </c>
      <c r="J648" t="s">
        <v>1962</v>
      </c>
    </row>
    <row r="649" spans="1:10">
      <c r="A649" t="s">
        <v>2375</v>
      </c>
      <c r="G649" t="s">
        <v>414</v>
      </c>
      <c r="H649" t="s">
        <v>2644</v>
      </c>
      <c r="I649">
        <v>35506</v>
      </c>
      <c r="J649" t="s">
        <v>2645</v>
      </c>
    </row>
    <row r="650" spans="1:10">
      <c r="A650" t="s">
        <v>2461</v>
      </c>
      <c r="G650" t="s">
        <v>414</v>
      </c>
      <c r="H650" t="s">
        <v>2775</v>
      </c>
      <c r="I650">
        <v>7200</v>
      </c>
      <c r="J650" t="s">
        <v>1779</v>
      </c>
    </row>
    <row r="651" spans="1:10">
      <c r="A651" t="s">
        <v>2578</v>
      </c>
      <c r="G651" t="s">
        <v>414</v>
      </c>
      <c r="H651" t="s">
        <v>2866</v>
      </c>
      <c r="I651">
        <v>33740</v>
      </c>
      <c r="J651" t="s">
        <v>2867</v>
      </c>
    </row>
  </sheetData>
  <autoFilter ref="A1:L651" xr:uid="{2B3106EA-9EBD-4AB5-9A2D-EEA3F4C07A5F}">
    <sortState xmlns:xlrd2="http://schemas.microsoft.com/office/spreadsheetml/2017/richdata2" ref="A6:L651">
      <sortCondition ref="H1:H651"/>
    </sortState>
  </autoFilter>
  <conditionalFormatting sqref="A1:A1048576">
    <cfRule type="cellIs" dxfId="750" priority="1" operator="equal">
      <formula>"HOSPITAL"</formula>
    </cfRule>
    <cfRule type="duplicateValues" dxfId="749" priority="4"/>
  </conditionalFormatting>
  <conditionalFormatting sqref="A32:A651">
    <cfRule type="duplicateValues" dxfId="748" priority="1294"/>
  </conditionalFormatting>
  <conditionalFormatting sqref="A652:A1048576 A2:A31 B1:E1 I1:K1">
    <cfRule type="duplicateValues" dxfId="747" priority="15"/>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97D9-D6E4-4839-9D1A-4B9B9F695A84}">
  <dimension ref="A2:G724"/>
  <sheetViews>
    <sheetView workbookViewId="0">
      <selection activeCell="C18" sqref="C18:C19"/>
    </sheetView>
  </sheetViews>
  <sheetFormatPr defaultRowHeight="14.4"/>
  <cols>
    <col min="1" max="1" width="66.5546875" customWidth="1"/>
    <col min="2" max="2" width="53.5546875" bestFit="1" customWidth="1"/>
    <col min="3" max="3" width="23.109375" bestFit="1" customWidth="1"/>
    <col min="4" max="4" width="52.88671875" bestFit="1" customWidth="1"/>
    <col min="5" max="5" width="79.88671875" bestFit="1" customWidth="1"/>
    <col min="6" max="6" width="11.109375" bestFit="1" customWidth="1"/>
    <col min="7" max="7" width="31" bestFit="1" customWidth="1"/>
  </cols>
  <sheetData>
    <row r="2" spans="1:7">
      <c r="A2" t="s">
        <v>2373</v>
      </c>
      <c r="B2" t="s">
        <v>1691</v>
      </c>
      <c r="C2" t="s">
        <v>2936</v>
      </c>
      <c r="D2" t="s">
        <v>1692</v>
      </c>
      <c r="E2" t="s">
        <v>6</v>
      </c>
      <c r="F2" t="s">
        <v>1693</v>
      </c>
      <c r="G2" t="s">
        <v>8</v>
      </c>
    </row>
    <row r="3" spans="1:7">
      <c r="A3" t="s">
        <v>1691</v>
      </c>
      <c r="B3" t="s">
        <v>414</v>
      </c>
      <c r="C3" t="s">
        <v>414</v>
      </c>
      <c r="D3" t="s">
        <v>1340</v>
      </c>
      <c r="E3" t="s">
        <v>1712</v>
      </c>
      <c r="F3">
        <v>16000</v>
      </c>
      <c r="G3" t="s">
        <v>1713</v>
      </c>
    </row>
    <row r="4" spans="1:7">
      <c r="A4" t="s">
        <v>1691</v>
      </c>
      <c r="B4" t="s">
        <v>414</v>
      </c>
      <c r="C4" t="s">
        <v>414</v>
      </c>
      <c r="D4" t="s">
        <v>1502</v>
      </c>
      <c r="E4" t="s">
        <v>2040</v>
      </c>
      <c r="F4">
        <v>62404</v>
      </c>
      <c r="G4" t="s">
        <v>2041</v>
      </c>
    </row>
    <row r="5" spans="1:7">
      <c r="A5" t="s">
        <v>1691</v>
      </c>
      <c r="B5" t="s">
        <v>414</v>
      </c>
      <c r="C5" t="s">
        <v>414</v>
      </c>
      <c r="D5" t="s">
        <v>1332</v>
      </c>
      <c r="E5" t="s">
        <v>1696</v>
      </c>
      <c r="F5">
        <v>13005</v>
      </c>
      <c r="G5" t="s">
        <v>822</v>
      </c>
    </row>
    <row r="6" spans="1:7">
      <c r="A6" t="s">
        <v>1691</v>
      </c>
      <c r="B6" t="s">
        <v>414</v>
      </c>
      <c r="C6" t="s">
        <v>414</v>
      </c>
      <c r="D6" t="s">
        <v>1333</v>
      </c>
      <c r="E6" t="s">
        <v>1697</v>
      </c>
      <c r="F6">
        <v>13015</v>
      </c>
      <c r="G6" t="s">
        <v>822</v>
      </c>
    </row>
    <row r="7" spans="1:7">
      <c r="A7" t="s">
        <v>1691</v>
      </c>
      <c r="B7" t="s">
        <v>414</v>
      </c>
      <c r="C7" t="s">
        <v>414</v>
      </c>
      <c r="D7" t="s">
        <v>1345</v>
      </c>
      <c r="E7" t="s">
        <v>1722</v>
      </c>
      <c r="F7">
        <v>97100</v>
      </c>
      <c r="G7" t="s">
        <v>1723</v>
      </c>
    </row>
    <row r="8" spans="1:7">
      <c r="A8" t="s">
        <v>1691</v>
      </c>
      <c r="B8" t="s">
        <v>414</v>
      </c>
      <c r="C8" t="s">
        <v>414</v>
      </c>
      <c r="D8" t="s">
        <v>1503</v>
      </c>
      <c r="E8" t="s">
        <v>2042</v>
      </c>
      <c r="F8">
        <v>64100</v>
      </c>
      <c r="G8" t="s">
        <v>804</v>
      </c>
    </row>
    <row r="9" spans="1:7">
      <c r="A9" t="s">
        <v>1691</v>
      </c>
      <c r="B9" t="s">
        <v>414</v>
      </c>
      <c r="C9" t="s">
        <v>414</v>
      </c>
      <c r="D9" t="s">
        <v>1504</v>
      </c>
      <c r="E9" t="s">
        <v>2043</v>
      </c>
      <c r="F9">
        <v>75016</v>
      </c>
      <c r="G9" t="s">
        <v>700</v>
      </c>
    </row>
    <row r="10" spans="1:7">
      <c r="A10" t="s">
        <v>1691</v>
      </c>
      <c r="B10" t="s">
        <v>414</v>
      </c>
      <c r="C10" t="s">
        <v>414</v>
      </c>
      <c r="D10" t="s">
        <v>1582</v>
      </c>
      <c r="E10" t="s">
        <v>2180</v>
      </c>
      <c r="F10">
        <v>21079</v>
      </c>
      <c r="G10" t="s">
        <v>844</v>
      </c>
    </row>
    <row r="11" spans="1:7">
      <c r="A11" t="s">
        <v>1691</v>
      </c>
      <c r="B11" t="s">
        <v>414</v>
      </c>
      <c r="C11" t="s">
        <v>414</v>
      </c>
      <c r="D11" t="s">
        <v>1334</v>
      </c>
      <c r="E11" t="s">
        <v>1698</v>
      </c>
      <c r="F11">
        <v>87042</v>
      </c>
      <c r="G11" t="s">
        <v>855</v>
      </c>
    </row>
    <row r="12" spans="1:7">
      <c r="A12" t="s">
        <v>1691</v>
      </c>
      <c r="B12" t="s">
        <v>414</v>
      </c>
      <c r="C12" t="s">
        <v>414</v>
      </c>
      <c r="D12" t="s">
        <v>1335</v>
      </c>
      <c r="E12" t="s">
        <v>1699</v>
      </c>
      <c r="F12">
        <v>29672</v>
      </c>
      <c r="G12" t="s">
        <v>1700</v>
      </c>
    </row>
    <row r="13" spans="1:7">
      <c r="A13" t="s">
        <v>1691</v>
      </c>
      <c r="B13" t="s">
        <v>414</v>
      </c>
      <c r="C13" t="s">
        <v>414</v>
      </c>
      <c r="D13" t="s">
        <v>1389</v>
      </c>
      <c r="E13" t="s">
        <v>1816</v>
      </c>
      <c r="F13">
        <v>6414</v>
      </c>
      <c r="G13" t="s">
        <v>1817</v>
      </c>
    </row>
    <row r="14" spans="1:7">
      <c r="A14" t="s">
        <v>1691</v>
      </c>
      <c r="B14" t="s">
        <v>414</v>
      </c>
      <c r="C14" t="s">
        <v>414</v>
      </c>
      <c r="D14" t="s">
        <v>664</v>
      </c>
      <c r="E14" t="s">
        <v>1703</v>
      </c>
      <c r="F14">
        <v>64201</v>
      </c>
      <c r="G14" t="s">
        <v>1704</v>
      </c>
    </row>
    <row r="15" spans="1:7">
      <c r="A15" t="s">
        <v>1691</v>
      </c>
      <c r="B15" t="s">
        <v>414</v>
      </c>
      <c r="C15" t="s">
        <v>414</v>
      </c>
      <c r="D15" t="s">
        <v>1369</v>
      </c>
      <c r="E15" t="s">
        <v>1772</v>
      </c>
      <c r="F15">
        <v>30103</v>
      </c>
      <c r="G15" t="s">
        <v>1773</v>
      </c>
    </row>
    <row r="16" spans="1:7">
      <c r="A16" t="s">
        <v>1691</v>
      </c>
      <c r="B16" t="s">
        <v>414</v>
      </c>
      <c r="C16" t="s">
        <v>414</v>
      </c>
      <c r="D16" t="s">
        <v>1366</v>
      </c>
      <c r="E16" t="s">
        <v>1760</v>
      </c>
      <c r="F16">
        <v>61104</v>
      </c>
      <c r="G16" t="s">
        <v>1761</v>
      </c>
    </row>
    <row r="17" spans="1:7">
      <c r="A17" t="s">
        <v>1691</v>
      </c>
      <c r="B17" t="s">
        <v>414</v>
      </c>
      <c r="C17" t="s">
        <v>414</v>
      </c>
      <c r="D17" t="s">
        <v>695</v>
      </c>
      <c r="E17" t="s">
        <v>1762</v>
      </c>
      <c r="F17">
        <v>92200</v>
      </c>
      <c r="G17" t="s">
        <v>1763</v>
      </c>
    </row>
    <row r="18" spans="1:7">
      <c r="A18" t="s">
        <v>1691</v>
      </c>
      <c r="B18" t="s">
        <v>414</v>
      </c>
      <c r="C18" t="s">
        <v>414</v>
      </c>
      <c r="D18" t="s">
        <v>1367</v>
      </c>
      <c r="E18" t="s">
        <v>1764</v>
      </c>
      <c r="F18">
        <v>80142</v>
      </c>
      <c r="G18" t="s">
        <v>1765</v>
      </c>
    </row>
    <row r="19" spans="1:7">
      <c r="A19" t="s">
        <v>1691</v>
      </c>
      <c r="B19" t="s">
        <v>414</v>
      </c>
      <c r="C19" t="s">
        <v>414</v>
      </c>
      <c r="D19" t="s">
        <v>1368</v>
      </c>
      <c r="E19" t="s">
        <v>1766</v>
      </c>
      <c r="F19">
        <v>47923</v>
      </c>
      <c r="G19" t="s">
        <v>1767</v>
      </c>
    </row>
    <row r="20" spans="1:7">
      <c r="A20" t="s">
        <v>1691</v>
      </c>
      <c r="B20" t="s">
        <v>414</v>
      </c>
      <c r="C20" t="s">
        <v>414</v>
      </c>
      <c r="D20" t="s">
        <v>650</v>
      </c>
      <c r="E20" t="s">
        <v>1768</v>
      </c>
      <c r="F20">
        <v>45200</v>
      </c>
      <c r="G20" t="s">
        <v>1769</v>
      </c>
    </row>
    <row r="21" spans="1:7">
      <c r="A21" t="s">
        <v>1691</v>
      </c>
      <c r="B21" t="s">
        <v>414</v>
      </c>
      <c r="C21" t="s">
        <v>414</v>
      </c>
      <c r="D21" t="s">
        <v>682</v>
      </c>
      <c r="E21" t="s">
        <v>1770</v>
      </c>
      <c r="F21">
        <v>81013</v>
      </c>
      <c r="G21" t="s">
        <v>1771</v>
      </c>
    </row>
    <row r="22" spans="1:7">
      <c r="A22" t="s">
        <v>1691</v>
      </c>
      <c r="B22" t="s">
        <v>414</v>
      </c>
      <c r="C22" t="s">
        <v>414</v>
      </c>
      <c r="D22" t="s">
        <v>1370</v>
      </c>
      <c r="E22" t="s">
        <v>1774</v>
      </c>
      <c r="F22">
        <v>74130</v>
      </c>
      <c r="G22" t="s">
        <v>1775</v>
      </c>
    </row>
    <row r="23" spans="1:7">
      <c r="A23" t="s">
        <v>1691</v>
      </c>
      <c r="B23" t="s">
        <v>414</v>
      </c>
      <c r="C23" t="s">
        <v>414</v>
      </c>
      <c r="D23" t="s">
        <v>1371</v>
      </c>
      <c r="E23" t="s">
        <v>1776</v>
      </c>
      <c r="F23">
        <v>74370</v>
      </c>
      <c r="G23" t="s">
        <v>1777</v>
      </c>
    </row>
    <row r="24" spans="1:7">
      <c r="A24" t="s">
        <v>1691</v>
      </c>
      <c r="B24" t="s">
        <v>414</v>
      </c>
      <c r="C24" t="s">
        <v>414</v>
      </c>
      <c r="D24" t="s">
        <v>1373</v>
      </c>
      <c r="E24" t="s">
        <v>1780</v>
      </c>
      <c r="F24">
        <v>62022</v>
      </c>
      <c r="G24" t="s">
        <v>929</v>
      </c>
    </row>
    <row r="25" spans="1:7">
      <c r="A25" t="s">
        <v>1691</v>
      </c>
      <c r="B25" t="s">
        <v>414</v>
      </c>
      <c r="C25" t="s">
        <v>414</v>
      </c>
      <c r="D25" t="s">
        <v>1374</v>
      </c>
      <c r="E25" t="s">
        <v>1781</v>
      </c>
      <c r="F25">
        <v>62180</v>
      </c>
      <c r="G25" t="s">
        <v>1782</v>
      </c>
    </row>
    <row r="26" spans="1:7">
      <c r="A26" t="s">
        <v>1691</v>
      </c>
      <c r="B26" t="s">
        <v>414</v>
      </c>
      <c r="C26" t="s">
        <v>414</v>
      </c>
      <c r="D26" t="s">
        <v>1375</v>
      </c>
      <c r="E26" t="s">
        <v>1783</v>
      </c>
      <c r="F26">
        <v>32008</v>
      </c>
      <c r="G26" t="s">
        <v>1784</v>
      </c>
    </row>
    <row r="27" spans="1:7">
      <c r="A27" t="s">
        <v>1691</v>
      </c>
      <c r="B27" t="s">
        <v>414</v>
      </c>
      <c r="C27" t="s">
        <v>414</v>
      </c>
      <c r="D27" t="s">
        <v>690</v>
      </c>
      <c r="E27" t="s">
        <v>1785</v>
      </c>
      <c r="F27">
        <v>89011</v>
      </c>
      <c r="G27" t="s">
        <v>1786</v>
      </c>
    </row>
    <row r="28" spans="1:7">
      <c r="A28" t="s">
        <v>1691</v>
      </c>
      <c r="B28" t="s">
        <v>414</v>
      </c>
      <c r="C28" t="s">
        <v>414</v>
      </c>
      <c r="D28" t="s">
        <v>1386</v>
      </c>
      <c r="E28" t="s">
        <v>1811</v>
      </c>
      <c r="F28">
        <v>64109</v>
      </c>
      <c r="G28" t="s">
        <v>804</v>
      </c>
    </row>
    <row r="29" spans="1:7">
      <c r="A29" t="s">
        <v>1691</v>
      </c>
      <c r="B29" t="s">
        <v>414</v>
      </c>
      <c r="C29" t="s">
        <v>414</v>
      </c>
      <c r="D29" t="s">
        <v>1376</v>
      </c>
      <c r="E29" t="s">
        <v>1787</v>
      </c>
      <c r="F29">
        <v>60021</v>
      </c>
      <c r="G29" t="s">
        <v>1788</v>
      </c>
    </row>
    <row r="30" spans="1:7">
      <c r="A30" t="s">
        <v>1691</v>
      </c>
      <c r="B30" t="s">
        <v>414</v>
      </c>
      <c r="C30" t="s">
        <v>414</v>
      </c>
      <c r="D30" t="s">
        <v>645</v>
      </c>
      <c r="E30" t="s">
        <v>1789</v>
      </c>
      <c r="F30">
        <v>34525</v>
      </c>
      <c r="G30" t="s">
        <v>1790</v>
      </c>
    </row>
    <row r="31" spans="1:7">
      <c r="A31" t="s">
        <v>1691</v>
      </c>
      <c r="B31" t="s">
        <v>414</v>
      </c>
      <c r="C31" t="s">
        <v>414</v>
      </c>
      <c r="D31" t="s">
        <v>1378</v>
      </c>
      <c r="E31" t="s">
        <v>1793</v>
      </c>
      <c r="F31">
        <v>41016</v>
      </c>
      <c r="G31" t="s">
        <v>1794</v>
      </c>
    </row>
    <row r="32" spans="1:7">
      <c r="A32" t="s">
        <v>1691</v>
      </c>
      <c r="B32" t="s">
        <v>414</v>
      </c>
      <c r="C32" t="s">
        <v>414</v>
      </c>
      <c r="D32" t="s">
        <v>1379</v>
      </c>
      <c r="E32" t="s">
        <v>1795</v>
      </c>
      <c r="F32">
        <v>62321</v>
      </c>
      <c r="G32" t="s">
        <v>932</v>
      </c>
    </row>
    <row r="33" spans="1:7">
      <c r="A33" t="s">
        <v>1691</v>
      </c>
      <c r="B33" t="s">
        <v>414</v>
      </c>
      <c r="C33" t="s">
        <v>414</v>
      </c>
      <c r="D33" t="s">
        <v>1365</v>
      </c>
      <c r="E33" t="s">
        <v>1758</v>
      </c>
      <c r="F33">
        <v>18020</v>
      </c>
      <c r="G33" t="s">
        <v>1759</v>
      </c>
    </row>
    <row r="34" spans="1:7">
      <c r="A34" t="s">
        <v>1691</v>
      </c>
      <c r="B34" t="s">
        <v>414</v>
      </c>
      <c r="C34" t="s">
        <v>414</v>
      </c>
      <c r="D34" t="s">
        <v>1380</v>
      </c>
      <c r="E34" t="s">
        <v>1796</v>
      </c>
      <c r="F34">
        <v>62107</v>
      </c>
      <c r="G34" t="s">
        <v>1797</v>
      </c>
    </row>
    <row r="35" spans="1:7">
      <c r="A35" t="s">
        <v>1691</v>
      </c>
      <c r="B35" t="s">
        <v>414</v>
      </c>
      <c r="C35" t="s">
        <v>414</v>
      </c>
      <c r="D35" t="s">
        <v>1381</v>
      </c>
      <c r="E35" t="s">
        <v>1798</v>
      </c>
      <c r="F35">
        <v>8011</v>
      </c>
      <c r="G35" t="s">
        <v>1799</v>
      </c>
    </row>
    <row r="36" spans="1:7">
      <c r="A36" t="s">
        <v>1691</v>
      </c>
      <c r="B36" t="s">
        <v>414</v>
      </c>
      <c r="C36" t="s">
        <v>414</v>
      </c>
      <c r="D36" t="s">
        <v>1382</v>
      </c>
      <c r="E36" t="s">
        <v>1800</v>
      </c>
      <c r="F36">
        <v>28630</v>
      </c>
      <c r="G36" t="s">
        <v>1801</v>
      </c>
    </row>
    <row r="37" spans="1:7">
      <c r="A37" t="s">
        <v>1691</v>
      </c>
      <c r="B37" t="s">
        <v>414</v>
      </c>
      <c r="C37" t="s">
        <v>414</v>
      </c>
      <c r="D37" t="s">
        <v>1383</v>
      </c>
      <c r="E37" t="s">
        <v>1802</v>
      </c>
      <c r="F37">
        <v>36019</v>
      </c>
      <c r="G37" t="s">
        <v>1803</v>
      </c>
    </row>
    <row r="38" spans="1:7">
      <c r="A38" t="s">
        <v>1691</v>
      </c>
      <c r="B38" t="s">
        <v>414</v>
      </c>
      <c r="C38" t="s">
        <v>414</v>
      </c>
      <c r="D38" t="s">
        <v>1806</v>
      </c>
      <c r="E38" t="s">
        <v>1807</v>
      </c>
      <c r="F38">
        <v>60321</v>
      </c>
      <c r="G38" t="s">
        <v>1808</v>
      </c>
    </row>
    <row r="39" spans="1:7">
      <c r="A39" t="s">
        <v>1691</v>
      </c>
      <c r="B39" t="s">
        <v>414</v>
      </c>
      <c r="C39" t="s">
        <v>414</v>
      </c>
      <c r="D39" t="s">
        <v>1385</v>
      </c>
      <c r="E39" t="s">
        <v>1809</v>
      </c>
      <c r="F39">
        <v>31806</v>
      </c>
      <c r="G39" t="s">
        <v>1810</v>
      </c>
    </row>
    <row r="40" spans="1:7">
      <c r="A40" t="s">
        <v>1691</v>
      </c>
      <c r="B40" t="s">
        <v>414</v>
      </c>
      <c r="C40" t="s">
        <v>414</v>
      </c>
      <c r="D40" t="s">
        <v>1391</v>
      </c>
      <c r="E40" t="s">
        <v>1819</v>
      </c>
      <c r="F40">
        <v>77527</v>
      </c>
      <c r="G40" t="s">
        <v>1820</v>
      </c>
    </row>
    <row r="41" spans="1:7">
      <c r="A41" t="s">
        <v>1691</v>
      </c>
      <c r="B41" t="s">
        <v>414</v>
      </c>
      <c r="C41" t="s">
        <v>414</v>
      </c>
      <c r="D41" t="s">
        <v>1392</v>
      </c>
      <c r="E41" t="s">
        <v>1821</v>
      </c>
      <c r="F41">
        <v>1440</v>
      </c>
      <c r="G41" t="s">
        <v>1822</v>
      </c>
    </row>
    <row r="42" spans="1:7">
      <c r="A42" t="s">
        <v>1691</v>
      </c>
      <c r="B42" t="s">
        <v>414</v>
      </c>
      <c r="C42" t="s">
        <v>414</v>
      </c>
      <c r="D42" t="s">
        <v>1394</v>
      </c>
      <c r="E42" t="s">
        <v>1825</v>
      </c>
      <c r="F42">
        <v>77100</v>
      </c>
      <c r="G42" t="s">
        <v>978</v>
      </c>
    </row>
    <row r="43" spans="1:7">
      <c r="A43" t="s">
        <v>1691</v>
      </c>
      <c r="B43" t="s">
        <v>414</v>
      </c>
      <c r="C43" t="s">
        <v>414</v>
      </c>
      <c r="D43" t="s">
        <v>1396</v>
      </c>
      <c r="E43" t="s">
        <v>1828</v>
      </c>
      <c r="F43">
        <v>3109</v>
      </c>
      <c r="G43" t="s">
        <v>1829</v>
      </c>
    </row>
    <row r="44" spans="1:7">
      <c r="A44" t="s">
        <v>1691</v>
      </c>
      <c r="B44" t="s">
        <v>414</v>
      </c>
      <c r="C44" t="s">
        <v>414</v>
      </c>
      <c r="D44" t="s">
        <v>1397</v>
      </c>
      <c r="E44" t="s">
        <v>1830</v>
      </c>
      <c r="F44">
        <v>3006</v>
      </c>
      <c r="G44" t="s">
        <v>1831</v>
      </c>
    </row>
    <row r="45" spans="1:7">
      <c r="A45" t="s">
        <v>1691</v>
      </c>
      <c r="B45" t="s">
        <v>414</v>
      </c>
      <c r="C45" t="s">
        <v>414</v>
      </c>
      <c r="D45" t="s">
        <v>681</v>
      </c>
      <c r="E45" t="s">
        <v>1834</v>
      </c>
      <c r="F45">
        <v>78514</v>
      </c>
      <c r="G45" t="s">
        <v>1835</v>
      </c>
    </row>
    <row r="46" spans="1:7">
      <c r="A46" t="s">
        <v>1691</v>
      </c>
      <c r="B46" t="s">
        <v>414</v>
      </c>
      <c r="C46" t="s">
        <v>414</v>
      </c>
      <c r="D46" t="s">
        <v>647</v>
      </c>
      <c r="E46" t="s">
        <v>1836</v>
      </c>
      <c r="F46">
        <v>42328</v>
      </c>
      <c r="G46" t="s">
        <v>1837</v>
      </c>
    </row>
    <row r="47" spans="1:7">
      <c r="A47" t="s">
        <v>1691</v>
      </c>
      <c r="B47" t="s">
        <v>414</v>
      </c>
      <c r="C47" t="s">
        <v>414</v>
      </c>
      <c r="D47" t="s">
        <v>1403</v>
      </c>
      <c r="E47" t="s">
        <v>1845</v>
      </c>
      <c r="F47">
        <v>59723</v>
      </c>
      <c r="G47" t="s">
        <v>1846</v>
      </c>
    </row>
    <row r="48" spans="1:7">
      <c r="A48" t="s">
        <v>1691</v>
      </c>
      <c r="B48" t="s">
        <v>414</v>
      </c>
      <c r="C48" t="s">
        <v>414</v>
      </c>
      <c r="D48" t="s">
        <v>1404</v>
      </c>
      <c r="E48" t="s">
        <v>1847</v>
      </c>
      <c r="F48">
        <v>76202</v>
      </c>
      <c r="G48" t="s">
        <v>1848</v>
      </c>
    </row>
    <row r="49" spans="1:7">
      <c r="A49" t="s">
        <v>1691</v>
      </c>
      <c r="B49" t="s">
        <v>414</v>
      </c>
      <c r="C49" t="s">
        <v>414</v>
      </c>
      <c r="D49" t="s">
        <v>1405</v>
      </c>
      <c r="E49" t="s">
        <v>1849</v>
      </c>
      <c r="F49">
        <v>59187</v>
      </c>
      <c r="G49" t="s">
        <v>1745</v>
      </c>
    </row>
    <row r="50" spans="1:7">
      <c r="A50" t="s">
        <v>1691</v>
      </c>
      <c r="B50" t="s">
        <v>414</v>
      </c>
      <c r="C50" t="s">
        <v>414</v>
      </c>
      <c r="D50" t="s">
        <v>1406</v>
      </c>
      <c r="E50" t="s">
        <v>1850</v>
      </c>
      <c r="F50">
        <v>28102</v>
      </c>
      <c r="G50" t="s">
        <v>1851</v>
      </c>
    </row>
    <row r="51" spans="1:7">
      <c r="A51" t="s">
        <v>1691</v>
      </c>
      <c r="B51" t="s">
        <v>414</v>
      </c>
      <c r="C51" t="s">
        <v>414</v>
      </c>
      <c r="D51" t="s">
        <v>1407</v>
      </c>
      <c r="E51" t="s">
        <v>1852</v>
      </c>
      <c r="F51">
        <v>42403</v>
      </c>
      <c r="G51" t="s">
        <v>1853</v>
      </c>
    </row>
    <row r="52" spans="1:7">
      <c r="A52" t="s">
        <v>1691</v>
      </c>
      <c r="B52" t="s">
        <v>414</v>
      </c>
      <c r="C52" t="s">
        <v>414</v>
      </c>
      <c r="D52" t="s">
        <v>673</v>
      </c>
      <c r="E52" t="s">
        <v>1854</v>
      </c>
      <c r="F52">
        <v>71604</v>
      </c>
      <c r="G52" t="s">
        <v>1855</v>
      </c>
    </row>
    <row r="53" spans="1:7">
      <c r="A53" t="s">
        <v>1691</v>
      </c>
      <c r="B53" t="s">
        <v>414</v>
      </c>
      <c r="C53" t="s">
        <v>414</v>
      </c>
      <c r="D53" t="s">
        <v>1408</v>
      </c>
      <c r="E53" t="s">
        <v>1856</v>
      </c>
      <c r="F53">
        <v>59140</v>
      </c>
      <c r="G53" t="s">
        <v>1857</v>
      </c>
    </row>
    <row r="54" spans="1:7">
      <c r="A54" t="s">
        <v>1691</v>
      </c>
      <c r="B54" t="s">
        <v>414</v>
      </c>
      <c r="C54" t="s">
        <v>414</v>
      </c>
      <c r="D54" t="s">
        <v>648</v>
      </c>
      <c r="E54" t="s">
        <v>1858</v>
      </c>
      <c r="F54">
        <v>43012</v>
      </c>
      <c r="G54" t="s">
        <v>900</v>
      </c>
    </row>
    <row r="55" spans="1:7">
      <c r="A55" t="s">
        <v>1691</v>
      </c>
      <c r="B55" t="s">
        <v>414</v>
      </c>
      <c r="C55" t="s">
        <v>414</v>
      </c>
      <c r="D55" t="s">
        <v>1409</v>
      </c>
      <c r="E55" t="s">
        <v>1859</v>
      </c>
      <c r="F55">
        <v>27015</v>
      </c>
      <c r="G55" t="s">
        <v>1860</v>
      </c>
    </row>
    <row r="56" spans="1:7">
      <c r="A56" t="s">
        <v>1691</v>
      </c>
      <c r="B56" t="s">
        <v>414</v>
      </c>
      <c r="C56" t="s">
        <v>414</v>
      </c>
      <c r="D56" t="s">
        <v>1410</v>
      </c>
      <c r="E56" t="s">
        <v>1861</v>
      </c>
      <c r="F56">
        <v>78201</v>
      </c>
      <c r="G56" t="s">
        <v>1862</v>
      </c>
    </row>
    <row r="57" spans="1:7">
      <c r="A57" t="s">
        <v>1691</v>
      </c>
      <c r="B57" t="s">
        <v>414</v>
      </c>
      <c r="C57" t="s">
        <v>414</v>
      </c>
      <c r="D57" t="s">
        <v>1412</v>
      </c>
      <c r="E57" t="s">
        <v>1865</v>
      </c>
      <c r="F57">
        <v>93205</v>
      </c>
      <c r="G57" t="s">
        <v>1866</v>
      </c>
    </row>
    <row r="58" spans="1:7">
      <c r="A58" t="s">
        <v>1691</v>
      </c>
      <c r="B58" t="s">
        <v>414</v>
      </c>
      <c r="C58" t="s">
        <v>414</v>
      </c>
      <c r="D58" t="s">
        <v>1413</v>
      </c>
      <c r="E58" t="s">
        <v>1867</v>
      </c>
      <c r="F58">
        <v>60109</v>
      </c>
      <c r="G58" t="s">
        <v>1868</v>
      </c>
    </row>
    <row r="59" spans="1:7">
      <c r="A59" t="s">
        <v>1691</v>
      </c>
      <c r="B59" t="s">
        <v>414</v>
      </c>
      <c r="C59" t="s">
        <v>414</v>
      </c>
      <c r="D59" t="s">
        <v>1415</v>
      </c>
      <c r="E59" t="s">
        <v>1871</v>
      </c>
      <c r="F59">
        <v>15002</v>
      </c>
      <c r="G59" t="s">
        <v>1752</v>
      </c>
    </row>
    <row r="60" spans="1:7">
      <c r="A60" t="s">
        <v>1691</v>
      </c>
      <c r="B60" t="s">
        <v>414</v>
      </c>
      <c r="C60" t="s">
        <v>414</v>
      </c>
      <c r="D60" t="s">
        <v>1416</v>
      </c>
      <c r="E60" t="s">
        <v>1872</v>
      </c>
      <c r="F60">
        <v>3201</v>
      </c>
      <c r="G60" t="s">
        <v>1873</v>
      </c>
    </row>
    <row r="61" spans="1:7">
      <c r="A61" t="s">
        <v>1691</v>
      </c>
      <c r="B61" t="s">
        <v>414</v>
      </c>
      <c r="C61" t="s">
        <v>414</v>
      </c>
      <c r="D61" t="s">
        <v>1417</v>
      </c>
      <c r="E61" t="s">
        <v>1874</v>
      </c>
      <c r="F61">
        <v>46005</v>
      </c>
      <c r="G61" t="s">
        <v>1875</v>
      </c>
    </row>
    <row r="62" spans="1:7">
      <c r="A62" t="s">
        <v>1691</v>
      </c>
      <c r="B62" t="s">
        <v>414</v>
      </c>
      <c r="C62" t="s">
        <v>414</v>
      </c>
      <c r="D62" t="s">
        <v>1418</v>
      </c>
      <c r="E62" t="s">
        <v>1876</v>
      </c>
      <c r="F62">
        <v>13637</v>
      </c>
      <c r="G62" t="s">
        <v>1877</v>
      </c>
    </row>
    <row r="63" spans="1:7">
      <c r="A63" t="s">
        <v>1691</v>
      </c>
      <c r="B63" t="s">
        <v>414</v>
      </c>
      <c r="C63" t="s">
        <v>414</v>
      </c>
      <c r="D63" t="s">
        <v>1419</v>
      </c>
      <c r="E63" t="s">
        <v>1878</v>
      </c>
      <c r="F63">
        <v>83007</v>
      </c>
      <c r="G63" t="s">
        <v>1879</v>
      </c>
    </row>
    <row r="64" spans="1:7">
      <c r="A64" t="s">
        <v>1691</v>
      </c>
      <c r="B64" t="s">
        <v>414</v>
      </c>
      <c r="C64" t="s">
        <v>414</v>
      </c>
      <c r="D64" t="s">
        <v>1420</v>
      </c>
      <c r="E64" t="s">
        <v>1880</v>
      </c>
      <c r="F64">
        <v>2001</v>
      </c>
      <c r="G64" t="s">
        <v>1881</v>
      </c>
    </row>
    <row r="65" spans="1:7">
      <c r="A65" t="s">
        <v>1691</v>
      </c>
      <c r="B65" t="s">
        <v>414</v>
      </c>
      <c r="C65" t="s">
        <v>414</v>
      </c>
      <c r="D65" t="s">
        <v>672</v>
      </c>
      <c r="E65" t="s">
        <v>1885</v>
      </c>
      <c r="F65">
        <v>71000</v>
      </c>
      <c r="G65" t="s">
        <v>1886</v>
      </c>
    </row>
    <row r="66" spans="1:7">
      <c r="A66" t="s">
        <v>1691</v>
      </c>
      <c r="B66" t="s">
        <v>414</v>
      </c>
      <c r="C66" t="s">
        <v>414</v>
      </c>
      <c r="D66" t="s">
        <v>1423</v>
      </c>
      <c r="E66" t="s">
        <v>1887</v>
      </c>
      <c r="F66">
        <v>76503</v>
      </c>
      <c r="G66" t="s">
        <v>1888</v>
      </c>
    </row>
    <row r="67" spans="1:7">
      <c r="A67" t="s">
        <v>1691</v>
      </c>
      <c r="B67" t="s">
        <v>414</v>
      </c>
      <c r="C67" t="s">
        <v>414</v>
      </c>
      <c r="D67" t="s">
        <v>1424</v>
      </c>
      <c r="E67" t="s">
        <v>1889</v>
      </c>
      <c r="F67">
        <v>39016</v>
      </c>
      <c r="G67" t="s">
        <v>1890</v>
      </c>
    </row>
    <row r="68" spans="1:7">
      <c r="A68" t="s">
        <v>1691</v>
      </c>
      <c r="B68" t="s">
        <v>414</v>
      </c>
      <c r="C68" t="s">
        <v>414</v>
      </c>
      <c r="D68" t="s">
        <v>1425</v>
      </c>
      <c r="E68" t="s">
        <v>1891</v>
      </c>
      <c r="F68">
        <v>30205</v>
      </c>
      <c r="G68" t="s">
        <v>1892</v>
      </c>
    </row>
    <row r="69" spans="1:7">
      <c r="A69" t="s">
        <v>1691</v>
      </c>
      <c r="B69" t="s">
        <v>414</v>
      </c>
      <c r="C69" t="s">
        <v>414</v>
      </c>
      <c r="D69" t="s">
        <v>1426</v>
      </c>
      <c r="E69" t="s">
        <v>1893</v>
      </c>
      <c r="F69">
        <v>38200</v>
      </c>
      <c r="G69" t="s">
        <v>766</v>
      </c>
    </row>
    <row r="70" spans="1:7">
      <c r="A70" t="s">
        <v>1691</v>
      </c>
      <c r="B70" t="s">
        <v>414</v>
      </c>
      <c r="C70" t="s">
        <v>414</v>
      </c>
      <c r="D70" t="s">
        <v>1428</v>
      </c>
      <c r="E70" t="s">
        <v>1896</v>
      </c>
      <c r="F70">
        <v>50009</v>
      </c>
      <c r="G70" t="s">
        <v>1897</v>
      </c>
    </row>
    <row r="71" spans="1:7">
      <c r="A71" t="s">
        <v>1691</v>
      </c>
      <c r="B71" t="s">
        <v>414</v>
      </c>
      <c r="C71" t="s">
        <v>414</v>
      </c>
      <c r="D71" t="s">
        <v>683</v>
      </c>
      <c r="E71" t="s">
        <v>1898</v>
      </c>
      <c r="F71">
        <v>82013</v>
      </c>
      <c r="G71" t="s">
        <v>1899</v>
      </c>
    </row>
    <row r="72" spans="1:7">
      <c r="A72" t="s">
        <v>1691</v>
      </c>
      <c r="B72" t="s">
        <v>414</v>
      </c>
      <c r="C72" t="s">
        <v>414</v>
      </c>
      <c r="D72" t="s">
        <v>632</v>
      </c>
      <c r="E72" t="s">
        <v>1900</v>
      </c>
      <c r="F72">
        <v>11108</v>
      </c>
      <c r="G72" t="s">
        <v>1901</v>
      </c>
    </row>
    <row r="73" spans="1:7">
      <c r="A73" t="s">
        <v>1691</v>
      </c>
      <c r="B73" t="s">
        <v>414</v>
      </c>
      <c r="C73" t="s">
        <v>414</v>
      </c>
      <c r="D73" t="s">
        <v>1429</v>
      </c>
      <c r="E73" t="s">
        <v>1902</v>
      </c>
      <c r="F73">
        <v>69400</v>
      </c>
      <c r="G73" t="s">
        <v>1903</v>
      </c>
    </row>
    <row r="74" spans="1:7">
      <c r="A74" t="s">
        <v>1691</v>
      </c>
      <c r="B74" t="s">
        <v>414</v>
      </c>
      <c r="C74" t="s">
        <v>414</v>
      </c>
      <c r="D74" t="s">
        <v>1430</v>
      </c>
      <c r="E74" t="s">
        <v>1904</v>
      </c>
      <c r="F74">
        <v>95300</v>
      </c>
      <c r="G74" t="s">
        <v>1905</v>
      </c>
    </row>
    <row r="75" spans="1:7">
      <c r="A75" t="s">
        <v>1691</v>
      </c>
      <c r="B75" t="s">
        <v>414</v>
      </c>
      <c r="C75" t="s">
        <v>414</v>
      </c>
      <c r="D75" t="s">
        <v>1390</v>
      </c>
      <c r="E75" t="s">
        <v>1818</v>
      </c>
      <c r="F75">
        <v>49325</v>
      </c>
      <c r="G75" t="s">
        <v>961</v>
      </c>
    </row>
    <row r="76" spans="1:7">
      <c r="A76" t="s">
        <v>1691</v>
      </c>
      <c r="B76" t="s">
        <v>414</v>
      </c>
      <c r="C76" t="s">
        <v>414</v>
      </c>
      <c r="D76" t="s">
        <v>667</v>
      </c>
      <c r="E76" t="s">
        <v>1906</v>
      </c>
      <c r="F76">
        <v>66046</v>
      </c>
      <c r="G76" t="s">
        <v>1907</v>
      </c>
    </row>
    <row r="77" spans="1:7">
      <c r="A77" t="s">
        <v>1691</v>
      </c>
      <c r="B77" t="s">
        <v>414</v>
      </c>
      <c r="C77" t="s">
        <v>414</v>
      </c>
      <c r="D77" t="s">
        <v>1431</v>
      </c>
      <c r="E77" t="s">
        <v>1908</v>
      </c>
      <c r="F77">
        <v>38302</v>
      </c>
      <c r="G77" t="s">
        <v>1909</v>
      </c>
    </row>
    <row r="78" spans="1:7">
      <c r="A78" t="s">
        <v>1691</v>
      </c>
      <c r="B78" t="s">
        <v>414</v>
      </c>
      <c r="C78" t="s">
        <v>414</v>
      </c>
      <c r="D78" t="s">
        <v>1432</v>
      </c>
      <c r="E78" t="s">
        <v>1910</v>
      </c>
      <c r="F78">
        <v>26216</v>
      </c>
      <c r="G78" t="s">
        <v>1911</v>
      </c>
    </row>
    <row r="79" spans="1:7">
      <c r="A79" t="s">
        <v>1691</v>
      </c>
      <c r="B79" t="s">
        <v>414</v>
      </c>
      <c r="C79" t="s">
        <v>414</v>
      </c>
      <c r="D79" t="s">
        <v>1436</v>
      </c>
      <c r="E79" t="s">
        <v>1918</v>
      </c>
      <c r="F79">
        <v>67703</v>
      </c>
      <c r="G79" t="s">
        <v>1919</v>
      </c>
    </row>
    <row r="80" spans="1:7">
      <c r="A80" t="s">
        <v>1691</v>
      </c>
      <c r="B80" t="s">
        <v>414</v>
      </c>
      <c r="C80" t="s">
        <v>414</v>
      </c>
      <c r="D80" t="s">
        <v>1435</v>
      </c>
      <c r="E80" t="s">
        <v>1916</v>
      </c>
      <c r="F80">
        <v>2321</v>
      </c>
      <c r="G80" t="s">
        <v>1917</v>
      </c>
    </row>
    <row r="81" spans="1:7">
      <c r="A81" t="s">
        <v>1691</v>
      </c>
      <c r="B81" t="s">
        <v>414</v>
      </c>
      <c r="C81" t="s">
        <v>414</v>
      </c>
      <c r="D81" t="s">
        <v>693</v>
      </c>
      <c r="E81" t="s">
        <v>1920</v>
      </c>
      <c r="F81">
        <v>89108</v>
      </c>
      <c r="G81" t="s">
        <v>1921</v>
      </c>
    </row>
    <row r="82" spans="1:7">
      <c r="A82" t="s">
        <v>1691</v>
      </c>
      <c r="B82" t="s">
        <v>414</v>
      </c>
      <c r="C82" t="s">
        <v>414</v>
      </c>
      <c r="D82" t="s">
        <v>1437</v>
      </c>
      <c r="E82" t="s">
        <v>1922</v>
      </c>
      <c r="F82">
        <v>2209</v>
      </c>
      <c r="G82" t="s">
        <v>1923</v>
      </c>
    </row>
    <row r="83" spans="1:7">
      <c r="A83" t="s">
        <v>1691</v>
      </c>
      <c r="B83" t="s">
        <v>414</v>
      </c>
      <c r="C83" t="s">
        <v>414</v>
      </c>
      <c r="D83" t="s">
        <v>669</v>
      </c>
      <c r="E83" t="s">
        <v>1924</v>
      </c>
      <c r="F83">
        <v>69365</v>
      </c>
      <c r="G83" t="s">
        <v>903</v>
      </c>
    </row>
    <row r="84" spans="1:7">
      <c r="A84" t="s">
        <v>1691</v>
      </c>
      <c r="B84" t="s">
        <v>414</v>
      </c>
      <c r="C84" t="s">
        <v>414</v>
      </c>
      <c r="D84" t="s">
        <v>1438</v>
      </c>
      <c r="E84" t="s">
        <v>1925</v>
      </c>
      <c r="F84">
        <v>77305</v>
      </c>
      <c r="G84" t="s">
        <v>1926</v>
      </c>
    </row>
    <row r="85" spans="1:7">
      <c r="A85" t="s">
        <v>1691</v>
      </c>
      <c r="B85" t="s">
        <v>414</v>
      </c>
      <c r="C85" t="s">
        <v>414</v>
      </c>
      <c r="D85" t="s">
        <v>1440</v>
      </c>
      <c r="E85" t="s">
        <v>1929</v>
      </c>
      <c r="F85">
        <v>65013</v>
      </c>
      <c r="G85" t="s">
        <v>1930</v>
      </c>
    </row>
    <row r="86" spans="1:7">
      <c r="A86" t="s">
        <v>1691</v>
      </c>
      <c r="B86" t="s">
        <v>414</v>
      </c>
      <c r="C86" t="s">
        <v>414</v>
      </c>
      <c r="D86" t="s">
        <v>1441</v>
      </c>
      <c r="E86" t="s">
        <v>1931</v>
      </c>
      <c r="F86">
        <v>65107</v>
      </c>
      <c r="G86" t="s">
        <v>1932</v>
      </c>
    </row>
    <row r="87" spans="1:7">
      <c r="A87" t="s">
        <v>1691</v>
      </c>
      <c r="B87" t="s">
        <v>414</v>
      </c>
      <c r="C87" t="s">
        <v>414</v>
      </c>
      <c r="D87" t="s">
        <v>660</v>
      </c>
      <c r="E87" t="s">
        <v>1933</v>
      </c>
      <c r="F87">
        <v>59322</v>
      </c>
      <c r="G87" t="s">
        <v>1934</v>
      </c>
    </row>
    <row r="88" spans="1:7">
      <c r="A88" t="s">
        <v>1691</v>
      </c>
      <c r="B88" t="s">
        <v>414</v>
      </c>
      <c r="C88" t="s">
        <v>414</v>
      </c>
      <c r="D88" t="s">
        <v>1442</v>
      </c>
      <c r="E88" t="s">
        <v>1935</v>
      </c>
      <c r="F88">
        <v>55107</v>
      </c>
      <c r="G88" t="s">
        <v>1936</v>
      </c>
    </row>
    <row r="89" spans="1:7">
      <c r="A89" t="s">
        <v>1691</v>
      </c>
      <c r="B89" t="s">
        <v>414</v>
      </c>
      <c r="C89" t="s">
        <v>414</v>
      </c>
      <c r="D89" t="s">
        <v>1443</v>
      </c>
      <c r="E89" t="s">
        <v>1937</v>
      </c>
      <c r="F89">
        <v>95107</v>
      </c>
      <c r="G89" t="s">
        <v>1938</v>
      </c>
    </row>
    <row r="90" spans="1:7">
      <c r="A90" t="s">
        <v>1691</v>
      </c>
      <c r="B90" t="s">
        <v>414</v>
      </c>
      <c r="C90" t="s">
        <v>414</v>
      </c>
      <c r="D90" t="s">
        <v>1444</v>
      </c>
      <c r="E90" t="s">
        <v>1939</v>
      </c>
      <c r="F90">
        <v>12200</v>
      </c>
      <c r="G90" t="s">
        <v>1940</v>
      </c>
    </row>
    <row r="91" spans="1:7">
      <c r="A91" t="s">
        <v>1691</v>
      </c>
      <c r="B91" t="s">
        <v>414</v>
      </c>
      <c r="C91" t="s">
        <v>414</v>
      </c>
      <c r="D91" t="s">
        <v>674</v>
      </c>
      <c r="E91" t="s">
        <v>1941</v>
      </c>
      <c r="F91">
        <v>71321</v>
      </c>
      <c r="G91" t="s">
        <v>907</v>
      </c>
    </row>
    <row r="92" spans="1:7">
      <c r="A92" t="s">
        <v>1691</v>
      </c>
      <c r="B92" t="s">
        <v>414</v>
      </c>
      <c r="C92" t="s">
        <v>414</v>
      </c>
      <c r="D92" t="s">
        <v>1388</v>
      </c>
      <c r="E92" t="s">
        <v>1814</v>
      </c>
      <c r="F92">
        <v>84902</v>
      </c>
      <c r="G92" t="s">
        <v>1815</v>
      </c>
    </row>
    <row r="93" spans="1:7">
      <c r="A93" t="s">
        <v>1691</v>
      </c>
      <c r="B93" t="s">
        <v>414</v>
      </c>
      <c r="C93" t="s">
        <v>414</v>
      </c>
      <c r="D93" t="s">
        <v>1402</v>
      </c>
      <c r="E93" t="s">
        <v>1843</v>
      </c>
      <c r="F93">
        <v>78157</v>
      </c>
      <c r="G93" t="s">
        <v>1844</v>
      </c>
    </row>
    <row r="94" spans="1:7">
      <c r="A94" t="s">
        <v>1691</v>
      </c>
      <c r="B94" t="s">
        <v>414</v>
      </c>
      <c r="C94" t="s">
        <v>414</v>
      </c>
      <c r="D94" t="s">
        <v>1447</v>
      </c>
      <c r="E94" t="s">
        <v>1946</v>
      </c>
      <c r="F94">
        <v>56920</v>
      </c>
      <c r="G94" t="s">
        <v>1947</v>
      </c>
    </row>
    <row r="95" spans="1:7">
      <c r="A95" t="s">
        <v>1691</v>
      </c>
      <c r="B95" t="s">
        <v>414</v>
      </c>
      <c r="C95" t="s">
        <v>414</v>
      </c>
      <c r="D95" t="s">
        <v>1448</v>
      </c>
      <c r="E95" t="s">
        <v>1948</v>
      </c>
      <c r="F95">
        <v>85925</v>
      </c>
      <c r="G95" t="s">
        <v>1949</v>
      </c>
    </row>
    <row r="96" spans="1:7">
      <c r="A96" t="s">
        <v>1691</v>
      </c>
      <c r="B96" t="s">
        <v>414</v>
      </c>
      <c r="C96" t="s">
        <v>414</v>
      </c>
      <c r="D96" t="s">
        <v>1451</v>
      </c>
      <c r="E96" t="s">
        <v>1953</v>
      </c>
      <c r="F96">
        <v>5007</v>
      </c>
      <c r="G96" t="s">
        <v>1954</v>
      </c>
    </row>
    <row r="97" spans="1:7">
      <c r="A97" t="s">
        <v>1691</v>
      </c>
      <c r="B97" t="s">
        <v>414</v>
      </c>
      <c r="C97" t="s">
        <v>414</v>
      </c>
      <c r="D97" t="s">
        <v>1452</v>
      </c>
      <c r="E97" t="s">
        <v>1955</v>
      </c>
      <c r="F97">
        <v>88021</v>
      </c>
      <c r="G97" t="s">
        <v>1956</v>
      </c>
    </row>
    <row r="98" spans="1:7">
      <c r="A98" t="s">
        <v>1691</v>
      </c>
      <c r="B98" t="s">
        <v>414</v>
      </c>
      <c r="C98" t="s">
        <v>414</v>
      </c>
      <c r="D98" t="s">
        <v>1454</v>
      </c>
      <c r="E98" t="s">
        <v>1959</v>
      </c>
      <c r="F98">
        <v>88100</v>
      </c>
      <c r="G98" t="s">
        <v>1960</v>
      </c>
    </row>
    <row r="99" spans="1:7">
      <c r="A99" t="s">
        <v>1691</v>
      </c>
      <c r="B99" t="s">
        <v>414</v>
      </c>
      <c r="C99" t="s">
        <v>414</v>
      </c>
      <c r="D99" t="s">
        <v>1458</v>
      </c>
      <c r="E99" t="s">
        <v>1967</v>
      </c>
      <c r="F99">
        <v>93602</v>
      </c>
      <c r="G99" t="s">
        <v>1968</v>
      </c>
    </row>
    <row r="100" spans="1:7">
      <c r="A100" t="s">
        <v>1691</v>
      </c>
      <c r="B100" t="s">
        <v>414</v>
      </c>
      <c r="C100" t="s">
        <v>414</v>
      </c>
      <c r="D100" t="s">
        <v>1460</v>
      </c>
      <c r="E100" t="s">
        <v>1971</v>
      </c>
      <c r="F100">
        <v>81108</v>
      </c>
      <c r="G100" t="s">
        <v>1972</v>
      </c>
    </row>
    <row r="101" spans="1:7">
      <c r="A101" t="s">
        <v>1691</v>
      </c>
      <c r="B101" t="s">
        <v>414</v>
      </c>
      <c r="C101" t="s">
        <v>414</v>
      </c>
      <c r="D101" t="s">
        <v>1461</v>
      </c>
      <c r="E101" t="s">
        <v>1973</v>
      </c>
      <c r="F101">
        <v>29107</v>
      </c>
      <c r="G101" t="s">
        <v>918</v>
      </c>
    </row>
    <row r="102" spans="1:7">
      <c r="A102" t="s">
        <v>1691</v>
      </c>
      <c r="B102" t="s">
        <v>414</v>
      </c>
      <c r="C102" t="s">
        <v>414</v>
      </c>
      <c r="D102" t="s">
        <v>1463</v>
      </c>
      <c r="E102" t="s">
        <v>1976</v>
      </c>
      <c r="F102">
        <v>83056</v>
      </c>
      <c r="G102" t="s">
        <v>865</v>
      </c>
    </row>
    <row r="103" spans="1:7">
      <c r="A103" t="s">
        <v>1691</v>
      </c>
      <c r="B103" t="s">
        <v>414</v>
      </c>
      <c r="C103" t="s">
        <v>414</v>
      </c>
      <c r="D103" t="s">
        <v>1464</v>
      </c>
      <c r="E103" t="s">
        <v>1977</v>
      </c>
      <c r="F103">
        <v>9000</v>
      </c>
      <c r="G103" t="s">
        <v>1978</v>
      </c>
    </row>
    <row r="104" spans="1:7">
      <c r="A104" t="s">
        <v>1691</v>
      </c>
      <c r="B104" t="s">
        <v>414</v>
      </c>
      <c r="C104" t="s">
        <v>414</v>
      </c>
      <c r="D104" t="s">
        <v>1466</v>
      </c>
      <c r="E104" t="s">
        <v>1981</v>
      </c>
      <c r="F104">
        <v>73011</v>
      </c>
      <c r="G104" t="s">
        <v>1982</v>
      </c>
    </row>
    <row r="105" spans="1:7">
      <c r="A105" t="s">
        <v>1691</v>
      </c>
      <c r="B105" t="s">
        <v>414</v>
      </c>
      <c r="C105" t="s">
        <v>414</v>
      </c>
      <c r="D105" t="s">
        <v>1467</v>
      </c>
      <c r="E105" t="s">
        <v>1983</v>
      </c>
      <c r="F105">
        <v>35768</v>
      </c>
      <c r="G105" t="s">
        <v>1984</v>
      </c>
    </row>
    <row r="106" spans="1:7">
      <c r="A106" t="s">
        <v>1691</v>
      </c>
      <c r="B106" t="s">
        <v>414</v>
      </c>
      <c r="C106" t="s">
        <v>414</v>
      </c>
      <c r="D106" t="s">
        <v>1468</v>
      </c>
      <c r="E106" t="s">
        <v>1985</v>
      </c>
      <c r="F106">
        <v>95520</v>
      </c>
      <c r="G106" t="s">
        <v>939</v>
      </c>
    </row>
    <row r="107" spans="1:7">
      <c r="A107" t="s">
        <v>1691</v>
      </c>
      <c r="B107" t="s">
        <v>414</v>
      </c>
      <c r="C107" t="s">
        <v>414</v>
      </c>
      <c r="D107" t="s">
        <v>1469</v>
      </c>
      <c r="E107" t="s">
        <v>1986</v>
      </c>
      <c r="F107">
        <v>50102</v>
      </c>
      <c r="G107" t="s">
        <v>1987</v>
      </c>
    </row>
    <row r="108" spans="1:7">
      <c r="A108" t="s">
        <v>1691</v>
      </c>
      <c r="B108" t="s">
        <v>414</v>
      </c>
      <c r="C108" t="s">
        <v>414</v>
      </c>
      <c r="D108" t="s">
        <v>1470</v>
      </c>
      <c r="E108" t="s">
        <v>1988</v>
      </c>
      <c r="F108">
        <v>49933</v>
      </c>
      <c r="G108" t="s">
        <v>958</v>
      </c>
    </row>
    <row r="109" spans="1:7">
      <c r="A109" t="s">
        <v>1691</v>
      </c>
      <c r="B109" t="s">
        <v>414</v>
      </c>
      <c r="C109" t="s">
        <v>414</v>
      </c>
      <c r="D109" t="s">
        <v>1472</v>
      </c>
      <c r="E109" t="s">
        <v>1990</v>
      </c>
      <c r="F109">
        <v>37044</v>
      </c>
      <c r="G109" t="s">
        <v>818</v>
      </c>
    </row>
    <row r="110" spans="1:7">
      <c r="A110" t="s">
        <v>1691</v>
      </c>
      <c r="B110" t="s">
        <v>414</v>
      </c>
      <c r="C110" t="s">
        <v>414</v>
      </c>
      <c r="D110" t="s">
        <v>1475</v>
      </c>
      <c r="E110" t="s">
        <v>1994</v>
      </c>
      <c r="F110">
        <v>45067</v>
      </c>
      <c r="G110" t="s">
        <v>1995</v>
      </c>
    </row>
    <row r="111" spans="1:7">
      <c r="A111" t="s">
        <v>1691</v>
      </c>
      <c r="B111" t="s">
        <v>414</v>
      </c>
      <c r="C111" t="s">
        <v>414</v>
      </c>
      <c r="D111" t="s">
        <v>1477</v>
      </c>
      <c r="E111" t="s">
        <v>1997</v>
      </c>
      <c r="F111">
        <v>35000</v>
      </c>
      <c r="G111" t="s">
        <v>1702</v>
      </c>
    </row>
    <row r="112" spans="1:7">
      <c r="A112" t="s">
        <v>1691</v>
      </c>
      <c r="B112" t="s">
        <v>414</v>
      </c>
      <c r="C112" t="s">
        <v>414</v>
      </c>
      <c r="D112" t="s">
        <v>1478</v>
      </c>
      <c r="E112" t="s">
        <v>1998</v>
      </c>
      <c r="F112">
        <v>37170</v>
      </c>
      <c r="G112" t="s">
        <v>1999</v>
      </c>
    </row>
    <row r="113" spans="1:7">
      <c r="A113" t="s">
        <v>1691</v>
      </c>
      <c r="B113" t="s">
        <v>414</v>
      </c>
      <c r="C113" t="s">
        <v>414</v>
      </c>
      <c r="D113" t="s">
        <v>1479</v>
      </c>
      <c r="E113" t="s">
        <v>2000</v>
      </c>
      <c r="F113">
        <v>14033</v>
      </c>
      <c r="G113" t="s">
        <v>808</v>
      </c>
    </row>
    <row r="114" spans="1:7">
      <c r="A114" t="s">
        <v>1691</v>
      </c>
      <c r="B114" t="s">
        <v>414</v>
      </c>
      <c r="C114" t="s">
        <v>414</v>
      </c>
      <c r="D114" t="s">
        <v>1481</v>
      </c>
      <c r="E114" t="s">
        <v>2002</v>
      </c>
      <c r="F114">
        <v>44093</v>
      </c>
      <c r="G114" t="s">
        <v>2003</v>
      </c>
    </row>
    <row r="115" spans="1:7">
      <c r="A115" t="s">
        <v>1691</v>
      </c>
      <c r="B115" t="s">
        <v>414</v>
      </c>
      <c r="C115" t="s">
        <v>414</v>
      </c>
      <c r="D115" t="s">
        <v>1486</v>
      </c>
      <c r="E115" t="s">
        <v>2010</v>
      </c>
      <c r="F115">
        <v>86021</v>
      </c>
      <c r="G115" t="s">
        <v>888</v>
      </c>
    </row>
    <row r="116" spans="1:7">
      <c r="A116" t="s">
        <v>1691</v>
      </c>
      <c r="B116" t="s">
        <v>414</v>
      </c>
      <c r="C116" t="s">
        <v>414</v>
      </c>
      <c r="D116" t="s">
        <v>1487</v>
      </c>
      <c r="E116" t="s">
        <v>2011</v>
      </c>
      <c r="F116">
        <v>30029</v>
      </c>
      <c r="G116" t="s">
        <v>951</v>
      </c>
    </row>
    <row r="117" spans="1:7">
      <c r="A117" t="s">
        <v>1691</v>
      </c>
      <c r="B117" t="s">
        <v>414</v>
      </c>
      <c r="C117" t="s">
        <v>414</v>
      </c>
      <c r="D117" t="s">
        <v>1489</v>
      </c>
      <c r="E117" t="s">
        <v>2013</v>
      </c>
      <c r="F117">
        <v>97448</v>
      </c>
      <c r="G117" t="s">
        <v>2014</v>
      </c>
    </row>
    <row r="118" spans="1:7">
      <c r="A118" t="s">
        <v>1691</v>
      </c>
      <c r="B118" t="s">
        <v>414</v>
      </c>
      <c r="C118" t="s">
        <v>414</v>
      </c>
      <c r="D118" t="s">
        <v>1642</v>
      </c>
      <c r="E118" t="s">
        <v>2278</v>
      </c>
      <c r="F118">
        <v>21203</v>
      </c>
      <c r="G118" t="s">
        <v>2279</v>
      </c>
    </row>
    <row r="119" spans="1:7">
      <c r="A119" t="s">
        <v>1691</v>
      </c>
      <c r="B119" t="s">
        <v>414</v>
      </c>
      <c r="C119" t="s">
        <v>414</v>
      </c>
      <c r="D119" t="s">
        <v>1491</v>
      </c>
      <c r="E119" t="s">
        <v>2017</v>
      </c>
      <c r="F119">
        <v>81000</v>
      </c>
      <c r="G119" t="s">
        <v>1771</v>
      </c>
    </row>
    <row r="120" spans="1:7">
      <c r="A120" t="s">
        <v>1691</v>
      </c>
      <c r="B120" t="s">
        <v>414</v>
      </c>
      <c r="C120" t="s">
        <v>414</v>
      </c>
      <c r="D120" t="s">
        <v>1492</v>
      </c>
      <c r="E120" t="s">
        <v>2018</v>
      </c>
      <c r="F120">
        <v>34000</v>
      </c>
      <c r="G120" t="s">
        <v>858</v>
      </c>
    </row>
    <row r="121" spans="1:7">
      <c r="A121" t="s">
        <v>1691</v>
      </c>
      <c r="B121" t="s">
        <v>414</v>
      </c>
      <c r="C121" t="s">
        <v>414</v>
      </c>
      <c r="D121" t="s">
        <v>1494</v>
      </c>
      <c r="E121" t="s">
        <v>2021</v>
      </c>
      <c r="F121">
        <v>31240</v>
      </c>
      <c r="G121" t="s">
        <v>2022</v>
      </c>
    </row>
    <row r="122" spans="1:7">
      <c r="A122" t="s">
        <v>1691</v>
      </c>
      <c r="B122" t="s">
        <v>414</v>
      </c>
      <c r="C122" t="s">
        <v>414</v>
      </c>
      <c r="D122" t="s">
        <v>1493</v>
      </c>
      <c r="E122" t="s">
        <v>2019</v>
      </c>
      <c r="F122">
        <v>31603</v>
      </c>
      <c r="G122" t="s">
        <v>2020</v>
      </c>
    </row>
    <row r="123" spans="1:7">
      <c r="A123" t="s">
        <v>1691</v>
      </c>
      <c r="B123" t="s">
        <v>414</v>
      </c>
      <c r="C123" t="s">
        <v>414</v>
      </c>
      <c r="D123" t="s">
        <v>1496</v>
      </c>
      <c r="E123" t="s">
        <v>2025</v>
      </c>
      <c r="F123">
        <v>34171</v>
      </c>
      <c r="G123" t="s">
        <v>2026</v>
      </c>
    </row>
    <row r="124" spans="1:7">
      <c r="A124" t="s">
        <v>1691</v>
      </c>
      <c r="B124" t="s">
        <v>414</v>
      </c>
      <c r="C124" t="s">
        <v>414</v>
      </c>
      <c r="D124" t="s">
        <v>1497</v>
      </c>
      <c r="E124" t="s">
        <v>2027</v>
      </c>
      <c r="F124">
        <v>31076</v>
      </c>
      <c r="G124" t="s">
        <v>833</v>
      </c>
    </row>
    <row r="125" spans="1:7">
      <c r="A125" t="s">
        <v>1691</v>
      </c>
      <c r="B125" t="s">
        <v>414</v>
      </c>
      <c r="C125" t="s">
        <v>414</v>
      </c>
      <c r="D125" t="s">
        <v>1499</v>
      </c>
      <c r="E125" t="s">
        <v>2029</v>
      </c>
      <c r="F125">
        <v>66012</v>
      </c>
      <c r="G125" t="s">
        <v>1907</v>
      </c>
    </row>
    <row r="126" spans="1:7">
      <c r="A126" t="s">
        <v>1691</v>
      </c>
      <c r="B126" t="s">
        <v>414</v>
      </c>
      <c r="C126" t="s">
        <v>414</v>
      </c>
      <c r="D126" t="s">
        <v>1506</v>
      </c>
      <c r="E126" t="s">
        <v>2045</v>
      </c>
      <c r="F126">
        <v>95124</v>
      </c>
      <c r="G126" t="s">
        <v>2046</v>
      </c>
    </row>
    <row r="127" spans="1:7">
      <c r="A127" t="s">
        <v>1691</v>
      </c>
      <c r="B127" t="s">
        <v>414</v>
      </c>
      <c r="C127" t="s">
        <v>414</v>
      </c>
      <c r="D127" t="s">
        <v>676</v>
      </c>
      <c r="E127" t="s">
        <v>2030</v>
      </c>
      <c r="F127">
        <v>75248</v>
      </c>
      <c r="G127" t="s">
        <v>700</v>
      </c>
    </row>
    <row r="128" spans="1:7">
      <c r="A128" t="s">
        <v>1691</v>
      </c>
      <c r="B128" t="s">
        <v>414</v>
      </c>
      <c r="C128" t="s">
        <v>414</v>
      </c>
      <c r="D128" t="s">
        <v>658</v>
      </c>
      <c r="E128" t="s">
        <v>2034</v>
      </c>
      <c r="F128">
        <v>59020</v>
      </c>
      <c r="G128" t="s">
        <v>871</v>
      </c>
    </row>
    <row r="129" spans="1:7">
      <c r="A129" t="s">
        <v>1691</v>
      </c>
      <c r="B129" t="s">
        <v>414</v>
      </c>
      <c r="C129" t="s">
        <v>414</v>
      </c>
      <c r="D129" t="s">
        <v>1501</v>
      </c>
      <c r="E129" t="s">
        <v>2037</v>
      </c>
      <c r="F129">
        <v>29000</v>
      </c>
      <c r="G129" t="s">
        <v>918</v>
      </c>
    </row>
    <row r="130" spans="1:7">
      <c r="A130" t="s">
        <v>1691</v>
      </c>
      <c r="B130" t="s">
        <v>414</v>
      </c>
      <c r="C130" t="s">
        <v>414</v>
      </c>
      <c r="D130" t="s">
        <v>1509</v>
      </c>
      <c r="E130" t="s">
        <v>2050</v>
      </c>
      <c r="F130">
        <v>59210</v>
      </c>
      <c r="G130" t="s">
        <v>2051</v>
      </c>
    </row>
    <row r="131" spans="1:7">
      <c r="A131" t="s">
        <v>1691</v>
      </c>
      <c r="B131" t="s">
        <v>414</v>
      </c>
      <c r="C131" t="s">
        <v>414</v>
      </c>
      <c r="D131" t="s">
        <v>1338</v>
      </c>
      <c r="E131" t="s">
        <v>1708</v>
      </c>
      <c r="F131">
        <v>16800</v>
      </c>
      <c r="G131" t="s">
        <v>1709</v>
      </c>
    </row>
    <row r="132" spans="1:7">
      <c r="A132" t="s">
        <v>1691</v>
      </c>
      <c r="B132" t="s">
        <v>414</v>
      </c>
      <c r="C132" t="s">
        <v>414</v>
      </c>
      <c r="D132" t="s">
        <v>1510</v>
      </c>
      <c r="E132" t="s">
        <v>2052</v>
      </c>
      <c r="F132">
        <v>93245</v>
      </c>
      <c r="G132" t="s">
        <v>2053</v>
      </c>
    </row>
    <row r="133" spans="1:7">
      <c r="A133" t="s">
        <v>1691</v>
      </c>
      <c r="B133" t="s">
        <v>414</v>
      </c>
      <c r="C133" t="s">
        <v>414</v>
      </c>
      <c r="D133" t="s">
        <v>696</v>
      </c>
      <c r="E133" t="s">
        <v>2060</v>
      </c>
      <c r="F133">
        <v>92360</v>
      </c>
      <c r="G133" t="s">
        <v>2061</v>
      </c>
    </row>
    <row r="134" spans="1:7">
      <c r="A134" t="s">
        <v>1691</v>
      </c>
      <c r="B134" t="s">
        <v>414</v>
      </c>
      <c r="C134" t="s">
        <v>414</v>
      </c>
      <c r="D134" t="s">
        <v>663</v>
      </c>
      <c r="E134" t="s">
        <v>2062</v>
      </c>
      <c r="F134">
        <v>62231</v>
      </c>
      <c r="G134" t="s">
        <v>2063</v>
      </c>
    </row>
    <row r="135" spans="1:7">
      <c r="A135" t="s">
        <v>1691</v>
      </c>
      <c r="B135" t="s">
        <v>414</v>
      </c>
      <c r="C135" t="s">
        <v>414</v>
      </c>
      <c r="D135" t="s">
        <v>684</v>
      </c>
      <c r="E135" t="s">
        <v>2064</v>
      </c>
      <c r="F135">
        <v>83500</v>
      </c>
      <c r="G135" t="s">
        <v>2065</v>
      </c>
    </row>
    <row r="136" spans="1:7">
      <c r="A136" t="s">
        <v>1691</v>
      </c>
      <c r="B136" t="s">
        <v>414</v>
      </c>
      <c r="C136" t="s">
        <v>414</v>
      </c>
      <c r="D136" t="s">
        <v>678</v>
      </c>
      <c r="E136" t="s">
        <v>2066</v>
      </c>
      <c r="F136">
        <v>76230</v>
      </c>
      <c r="G136" t="s">
        <v>2067</v>
      </c>
    </row>
    <row r="137" spans="1:7">
      <c r="A137" t="s">
        <v>1691</v>
      </c>
      <c r="B137" t="s">
        <v>414</v>
      </c>
      <c r="C137" t="s">
        <v>414</v>
      </c>
      <c r="D137" t="s">
        <v>1532</v>
      </c>
      <c r="E137" t="s">
        <v>2102</v>
      </c>
      <c r="F137">
        <v>97492</v>
      </c>
      <c r="G137" t="s">
        <v>2103</v>
      </c>
    </row>
    <row r="138" spans="1:7">
      <c r="A138" t="s">
        <v>1691</v>
      </c>
      <c r="B138" t="s">
        <v>414</v>
      </c>
      <c r="C138" t="s">
        <v>414</v>
      </c>
      <c r="D138" t="s">
        <v>1537</v>
      </c>
      <c r="E138" t="s">
        <v>2109</v>
      </c>
      <c r="F138">
        <v>91035</v>
      </c>
      <c r="G138" t="s">
        <v>2110</v>
      </c>
    </row>
    <row r="139" spans="1:7">
      <c r="A139" t="s">
        <v>1691</v>
      </c>
      <c r="B139" t="s">
        <v>414</v>
      </c>
      <c r="C139" t="s">
        <v>414</v>
      </c>
      <c r="D139" t="s">
        <v>1507</v>
      </c>
      <c r="E139" t="s">
        <v>2047</v>
      </c>
      <c r="F139">
        <v>1000</v>
      </c>
      <c r="G139" t="s">
        <v>893</v>
      </c>
    </row>
    <row r="140" spans="1:7">
      <c r="A140" t="s">
        <v>1691</v>
      </c>
      <c r="B140" t="s">
        <v>414</v>
      </c>
      <c r="C140" t="s">
        <v>414</v>
      </c>
      <c r="D140" t="s">
        <v>1538</v>
      </c>
      <c r="E140" t="s">
        <v>2111</v>
      </c>
      <c r="F140">
        <v>14076</v>
      </c>
      <c r="G140" t="s">
        <v>808</v>
      </c>
    </row>
    <row r="141" spans="1:7">
      <c r="A141" t="s">
        <v>1691</v>
      </c>
      <c r="B141" t="s">
        <v>414</v>
      </c>
      <c r="C141" t="s">
        <v>414</v>
      </c>
      <c r="D141" t="s">
        <v>1542</v>
      </c>
      <c r="E141" t="s">
        <v>2116</v>
      </c>
      <c r="F141">
        <v>33505</v>
      </c>
      <c r="G141" t="s">
        <v>2117</v>
      </c>
    </row>
    <row r="142" spans="1:7">
      <c r="A142" t="s">
        <v>1691</v>
      </c>
      <c r="B142" t="s">
        <v>414</v>
      </c>
      <c r="C142" t="s">
        <v>414</v>
      </c>
      <c r="D142" t="s">
        <v>1341</v>
      </c>
      <c r="E142" t="s">
        <v>1714</v>
      </c>
      <c r="F142">
        <v>40107</v>
      </c>
      <c r="G142" t="s">
        <v>1715</v>
      </c>
    </row>
    <row r="143" spans="1:7">
      <c r="A143" t="s">
        <v>1691</v>
      </c>
      <c r="B143" t="s">
        <v>414</v>
      </c>
      <c r="C143" t="s">
        <v>414</v>
      </c>
      <c r="D143" t="s">
        <v>1352</v>
      </c>
      <c r="E143" t="s">
        <v>1734</v>
      </c>
      <c r="F143">
        <v>19312</v>
      </c>
      <c r="G143" t="s">
        <v>1735</v>
      </c>
    </row>
    <row r="144" spans="1:7">
      <c r="A144" t="s">
        <v>1691</v>
      </c>
      <c r="B144" t="s">
        <v>414</v>
      </c>
      <c r="C144" t="s">
        <v>414</v>
      </c>
      <c r="D144" t="s">
        <v>1513</v>
      </c>
      <c r="E144" t="s">
        <v>2057</v>
      </c>
      <c r="F144">
        <v>35400</v>
      </c>
      <c r="G144" t="s">
        <v>1003</v>
      </c>
    </row>
    <row r="145" spans="1:7">
      <c r="A145" t="s">
        <v>1691</v>
      </c>
      <c r="B145" t="s">
        <v>414</v>
      </c>
      <c r="C145" t="s">
        <v>414</v>
      </c>
      <c r="D145" t="s">
        <v>1360</v>
      </c>
      <c r="E145" t="s">
        <v>1749</v>
      </c>
      <c r="F145">
        <v>93170</v>
      </c>
      <c r="G145" t="s">
        <v>1750</v>
      </c>
    </row>
    <row r="146" spans="1:7">
      <c r="A146" t="s">
        <v>1691</v>
      </c>
      <c r="B146" t="s">
        <v>414</v>
      </c>
      <c r="C146" t="s">
        <v>414</v>
      </c>
      <c r="D146" t="s">
        <v>659</v>
      </c>
      <c r="E146" t="s">
        <v>2118</v>
      </c>
      <c r="F146">
        <v>59400</v>
      </c>
      <c r="G146" t="s">
        <v>2119</v>
      </c>
    </row>
    <row r="147" spans="1:7">
      <c r="A147" t="s">
        <v>1691</v>
      </c>
      <c r="B147" t="s">
        <v>414</v>
      </c>
      <c r="C147" t="s">
        <v>414</v>
      </c>
      <c r="D147" t="s">
        <v>1411</v>
      </c>
      <c r="E147" t="s">
        <v>1863</v>
      </c>
      <c r="F147">
        <v>95503</v>
      </c>
      <c r="G147" t="s">
        <v>1864</v>
      </c>
    </row>
    <row r="148" spans="1:7">
      <c r="A148" t="s">
        <v>1691</v>
      </c>
      <c r="B148" t="s">
        <v>414</v>
      </c>
      <c r="C148" t="s">
        <v>414</v>
      </c>
      <c r="D148" t="s">
        <v>1544</v>
      </c>
      <c r="E148" t="s">
        <v>2123</v>
      </c>
      <c r="F148">
        <v>70014</v>
      </c>
      <c r="G148" t="s">
        <v>2124</v>
      </c>
    </row>
    <row r="149" spans="1:7">
      <c r="A149" t="s">
        <v>1691</v>
      </c>
      <c r="B149" t="s">
        <v>414</v>
      </c>
      <c r="C149" t="s">
        <v>414</v>
      </c>
      <c r="D149" t="s">
        <v>1545</v>
      </c>
      <c r="E149" t="s">
        <v>2125</v>
      </c>
      <c r="F149">
        <v>75674</v>
      </c>
      <c r="G149" t="s">
        <v>700</v>
      </c>
    </row>
    <row r="150" spans="1:7">
      <c r="A150" t="s">
        <v>1691</v>
      </c>
      <c r="B150" t="s">
        <v>414</v>
      </c>
      <c r="C150" t="s">
        <v>414</v>
      </c>
      <c r="D150" t="s">
        <v>1546</v>
      </c>
      <c r="E150" t="s">
        <v>2129</v>
      </c>
      <c r="F150">
        <v>77600</v>
      </c>
      <c r="G150" t="s">
        <v>2130</v>
      </c>
    </row>
    <row r="151" spans="1:7">
      <c r="A151" t="s">
        <v>1691</v>
      </c>
      <c r="B151" t="s">
        <v>414</v>
      </c>
      <c r="C151" t="s">
        <v>414</v>
      </c>
      <c r="D151" t="s">
        <v>1547</v>
      </c>
      <c r="E151" t="s">
        <v>2131</v>
      </c>
      <c r="F151">
        <v>95602</v>
      </c>
      <c r="G151" t="s">
        <v>2132</v>
      </c>
    </row>
    <row r="152" spans="1:7">
      <c r="A152" t="s">
        <v>1691</v>
      </c>
      <c r="B152" t="s">
        <v>414</v>
      </c>
      <c r="C152" t="s">
        <v>414</v>
      </c>
      <c r="D152" t="s">
        <v>1548</v>
      </c>
      <c r="E152" t="s">
        <v>2133</v>
      </c>
      <c r="F152">
        <v>93370</v>
      </c>
      <c r="G152" t="s">
        <v>2134</v>
      </c>
    </row>
    <row r="153" spans="1:7">
      <c r="A153" t="s">
        <v>1691</v>
      </c>
      <c r="B153" t="s">
        <v>414</v>
      </c>
      <c r="C153" t="s">
        <v>414</v>
      </c>
      <c r="D153" t="s">
        <v>1549</v>
      </c>
      <c r="E153" t="s">
        <v>2135</v>
      </c>
      <c r="F153">
        <v>35403</v>
      </c>
      <c r="G153" t="s">
        <v>1003</v>
      </c>
    </row>
    <row r="154" spans="1:7">
      <c r="A154" t="s">
        <v>1691</v>
      </c>
      <c r="B154" t="s">
        <v>414</v>
      </c>
      <c r="C154" t="s">
        <v>414</v>
      </c>
      <c r="D154" t="s">
        <v>1550</v>
      </c>
      <c r="E154" t="s">
        <v>2136</v>
      </c>
      <c r="F154">
        <v>38028</v>
      </c>
      <c r="G154" t="s">
        <v>868</v>
      </c>
    </row>
    <row r="155" spans="1:7">
      <c r="A155" t="s">
        <v>1691</v>
      </c>
      <c r="B155" t="s">
        <v>414</v>
      </c>
      <c r="C155" t="s">
        <v>414</v>
      </c>
      <c r="D155" t="s">
        <v>1344</v>
      </c>
      <c r="E155" t="s">
        <v>1720</v>
      </c>
      <c r="F155">
        <v>67504</v>
      </c>
      <c r="G155" t="s">
        <v>1721</v>
      </c>
    </row>
    <row r="156" spans="1:7">
      <c r="A156" t="s">
        <v>1691</v>
      </c>
      <c r="B156" t="s">
        <v>414</v>
      </c>
      <c r="C156" t="s">
        <v>414</v>
      </c>
      <c r="D156" t="s">
        <v>1552</v>
      </c>
      <c r="E156" t="s">
        <v>2138</v>
      </c>
      <c r="F156">
        <v>69003</v>
      </c>
      <c r="G156" t="s">
        <v>903</v>
      </c>
    </row>
    <row r="157" spans="1:7">
      <c r="A157" t="s">
        <v>1691</v>
      </c>
      <c r="B157" t="s">
        <v>414</v>
      </c>
      <c r="C157" t="s">
        <v>414</v>
      </c>
      <c r="D157" t="s">
        <v>1554</v>
      </c>
      <c r="E157" t="s">
        <v>2141</v>
      </c>
      <c r="F157">
        <v>90400</v>
      </c>
      <c r="G157" t="s">
        <v>2142</v>
      </c>
    </row>
    <row r="158" spans="1:7">
      <c r="A158" t="s">
        <v>1691</v>
      </c>
      <c r="B158" t="s">
        <v>414</v>
      </c>
      <c r="C158" t="s">
        <v>414</v>
      </c>
      <c r="D158" t="s">
        <v>1339</v>
      </c>
      <c r="E158" t="s">
        <v>1710</v>
      </c>
      <c r="F158">
        <v>14400</v>
      </c>
      <c r="G158" t="s">
        <v>1711</v>
      </c>
    </row>
    <row r="159" spans="1:7">
      <c r="A159" t="s">
        <v>1691</v>
      </c>
      <c r="B159" t="s">
        <v>414</v>
      </c>
      <c r="C159" t="s">
        <v>414</v>
      </c>
      <c r="D159" t="s">
        <v>1387</v>
      </c>
      <c r="E159" t="s">
        <v>1812</v>
      </c>
      <c r="F159">
        <v>6606</v>
      </c>
      <c r="G159" t="s">
        <v>1813</v>
      </c>
    </row>
    <row r="160" spans="1:7">
      <c r="A160" t="s">
        <v>1691</v>
      </c>
      <c r="B160" t="s">
        <v>414</v>
      </c>
      <c r="C160" t="s">
        <v>414</v>
      </c>
      <c r="D160" t="s">
        <v>1399</v>
      </c>
      <c r="E160" t="s">
        <v>1838</v>
      </c>
      <c r="F160">
        <v>12027</v>
      </c>
      <c r="G160" t="s">
        <v>954</v>
      </c>
    </row>
    <row r="161" spans="1:7">
      <c r="A161" t="s">
        <v>1691</v>
      </c>
      <c r="B161" t="s">
        <v>414</v>
      </c>
      <c r="C161" t="s">
        <v>414</v>
      </c>
      <c r="D161" t="s">
        <v>1641</v>
      </c>
      <c r="E161" t="s">
        <v>2276</v>
      </c>
      <c r="F161">
        <v>74203</v>
      </c>
      <c r="G161" t="s">
        <v>2277</v>
      </c>
    </row>
    <row r="162" spans="1:7">
      <c r="A162" t="s">
        <v>1691</v>
      </c>
      <c r="B162" t="s">
        <v>414</v>
      </c>
      <c r="C162" t="s">
        <v>414</v>
      </c>
      <c r="D162" t="s">
        <v>629</v>
      </c>
      <c r="E162" t="s">
        <v>2280</v>
      </c>
      <c r="F162">
        <v>6254</v>
      </c>
      <c r="G162" t="s">
        <v>2281</v>
      </c>
    </row>
    <row r="163" spans="1:7">
      <c r="A163" t="s">
        <v>1691</v>
      </c>
      <c r="B163" t="s">
        <v>414</v>
      </c>
      <c r="C163" t="s">
        <v>414</v>
      </c>
      <c r="D163" t="s">
        <v>1643</v>
      </c>
      <c r="E163" t="s">
        <v>2282</v>
      </c>
      <c r="F163">
        <v>13012</v>
      </c>
      <c r="G163" t="s">
        <v>822</v>
      </c>
    </row>
    <row r="164" spans="1:7">
      <c r="A164" t="s">
        <v>1691</v>
      </c>
      <c r="B164" t="s">
        <v>414</v>
      </c>
      <c r="C164" t="s">
        <v>414</v>
      </c>
      <c r="D164" t="s">
        <v>1644</v>
      </c>
      <c r="E164" t="s">
        <v>2283</v>
      </c>
      <c r="F164">
        <v>13012</v>
      </c>
      <c r="G164" t="s">
        <v>822</v>
      </c>
    </row>
    <row r="165" spans="1:7">
      <c r="A165" t="s">
        <v>1691</v>
      </c>
      <c r="B165" t="s">
        <v>414</v>
      </c>
      <c r="C165" t="s">
        <v>414</v>
      </c>
      <c r="D165" t="s">
        <v>1645</v>
      </c>
      <c r="E165" t="s">
        <v>2284</v>
      </c>
      <c r="F165">
        <v>75571</v>
      </c>
      <c r="G165" t="s">
        <v>700</v>
      </c>
    </row>
    <row r="166" spans="1:7">
      <c r="A166" t="s">
        <v>1691</v>
      </c>
      <c r="B166" t="s">
        <v>414</v>
      </c>
      <c r="C166" t="s">
        <v>414</v>
      </c>
      <c r="D166" t="s">
        <v>1648</v>
      </c>
      <c r="E166" t="s">
        <v>2287</v>
      </c>
      <c r="F166">
        <v>94010</v>
      </c>
      <c r="G166" t="s">
        <v>1015</v>
      </c>
    </row>
    <row r="167" spans="1:7">
      <c r="A167" t="s">
        <v>1691</v>
      </c>
      <c r="B167" t="s">
        <v>414</v>
      </c>
      <c r="C167" t="s">
        <v>414</v>
      </c>
      <c r="D167" t="s">
        <v>1650</v>
      </c>
      <c r="E167" t="s">
        <v>2289</v>
      </c>
      <c r="F167">
        <v>92104</v>
      </c>
      <c r="G167" t="s">
        <v>2115</v>
      </c>
    </row>
    <row r="168" spans="1:7">
      <c r="A168" t="s">
        <v>1691</v>
      </c>
      <c r="B168" t="s">
        <v>414</v>
      </c>
      <c r="C168" t="s">
        <v>414</v>
      </c>
      <c r="D168" t="s">
        <v>1651</v>
      </c>
      <c r="E168" t="s">
        <v>2290</v>
      </c>
      <c r="F168">
        <v>75679</v>
      </c>
      <c r="G168" t="s">
        <v>700</v>
      </c>
    </row>
    <row r="169" spans="1:7">
      <c r="A169" t="s">
        <v>1691</v>
      </c>
      <c r="B169" t="s">
        <v>414</v>
      </c>
      <c r="C169" t="s">
        <v>414</v>
      </c>
      <c r="D169" t="s">
        <v>1652</v>
      </c>
      <c r="E169" t="s">
        <v>2291</v>
      </c>
      <c r="F169">
        <v>92118</v>
      </c>
      <c r="G169" t="s">
        <v>829</v>
      </c>
    </row>
    <row r="170" spans="1:7">
      <c r="A170" t="s">
        <v>1691</v>
      </c>
      <c r="B170" t="s">
        <v>414</v>
      </c>
      <c r="C170" t="s">
        <v>414</v>
      </c>
      <c r="D170" t="s">
        <v>1653</v>
      </c>
      <c r="E170" t="s">
        <v>2292</v>
      </c>
      <c r="F170">
        <v>75877</v>
      </c>
      <c r="G170" t="s">
        <v>700</v>
      </c>
    </row>
    <row r="171" spans="1:7">
      <c r="A171" t="s">
        <v>1691</v>
      </c>
      <c r="B171" t="s">
        <v>414</v>
      </c>
      <c r="C171" t="s">
        <v>414</v>
      </c>
      <c r="D171" t="s">
        <v>1654</v>
      </c>
      <c r="E171" t="s">
        <v>2293</v>
      </c>
      <c r="F171">
        <v>92701</v>
      </c>
      <c r="G171" t="s">
        <v>2294</v>
      </c>
    </row>
    <row r="172" spans="1:7">
      <c r="A172" t="s">
        <v>1691</v>
      </c>
      <c r="B172" t="s">
        <v>414</v>
      </c>
      <c r="C172" t="s">
        <v>414</v>
      </c>
      <c r="D172" t="s">
        <v>1655</v>
      </c>
      <c r="E172" t="s">
        <v>2295</v>
      </c>
      <c r="F172">
        <v>93009</v>
      </c>
      <c r="G172" t="s">
        <v>970</v>
      </c>
    </row>
    <row r="173" spans="1:7">
      <c r="A173" t="s">
        <v>1691</v>
      </c>
      <c r="B173" t="s">
        <v>414</v>
      </c>
      <c r="C173" t="s">
        <v>414</v>
      </c>
      <c r="D173" t="s">
        <v>1656</v>
      </c>
      <c r="E173" t="s">
        <v>2296</v>
      </c>
      <c r="F173">
        <v>92140</v>
      </c>
      <c r="G173" t="s">
        <v>2297</v>
      </c>
    </row>
    <row r="174" spans="1:7">
      <c r="A174" t="s">
        <v>1691</v>
      </c>
      <c r="B174" t="s">
        <v>414</v>
      </c>
      <c r="C174" t="s">
        <v>414</v>
      </c>
      <c r="D174" t="s">
        <v>1657</v>
      </c>
      <c r="E174" t="s">
        <v>2298</v>
      </c>
      <c r="F174">
        <v>94275</v>
      </c>
      <c r="G174" t="s">
        <v>2299</v>
      </c>
    </row>
    <row r="175" spans="1:7">
      <c r="A175" t="s">
        <v>1691</v>
      </c>
      <c r="B175" t="s">
        <v>414</v>
      </c>
      <c r="C175" t="s">
        <v>414</v>
      </c>
      <c r="D175" t="s">
        <v>1658</v>
      </c>
      <c r="E175" t="s">
        <v>2300</v>
      </c>
      <c r="F175">
        <v>94804</v>
      </c>
      <c r="G175" t="s">
        <v>813</v>
      </c>
    </row>
    <row r="176" spans="1:7">
      <c r="A176" t="s">
        <v>1691</v>
      </c>
      <c r="B176" t="s">
        <v>414</v>
      </c>
      <c r="C176" t="s">
        <v>414</v>
      </c>
      <c r="D176" t="s">
        <v>1659</v>
      </c>
      <c r="E176" t="s">
        <v>2301</v>
      </c>
      <c r="F176">
        <v>75651</v>
      </c>
      <c r="G176" t="s">
        <v>700</v>
      </c>
    </row>
    <row r="177" spans="1:7">
      <c r="A177" t="s">
        <v>1691</v>
      </c>
      <c r="B177" t="s">
        <v>414</v>
      </c>
      <c r="C177" t="s">
        <v>414</v>
      </c>
      <c r="D177" t="s">
        <v>1661</v>
      </c>
      <c r="E177" t="s">
        <v>2303</v>
      </c>
      <c r="F177">
        <v>75475</v>
      </c>
      <c r="G177" t="s">
        <v>700</v>
      </c>
    </row>
    <row r="178" spans="1:7">
      <c r="A178" t="s">
        <v>1691</v>
      </c>
      <c r="B178" t="s">
        <v>414</v>
      </c>
      <c r="C178" t="s">
        <v>414</v>
      </c>
      <c r="D178" t="s">
        <v>1663</v>
      </c>
      <c r="E178" t="s">
        <v>2306</v>
      </c>
      <c r="F178">
        <v>34298</v>
      </c>
      <c r="G178" t="s">
        <v>858</v>
      </c>
    </row>
    <row r="179" spans="1:7">
      <c r="A179" t="s">
        <v>1691</v>
      </c>
      <c r="B179" t="s">
        <v>414</v>
      </c>
      <c r="C179" t="s">
        <v>414</v>
      </c>
      <c r="D179" t="s">
        <v>649</v>
      </c>
      <c r="E179" t="s">
        <v>2004</v>
      </c>
      <c r="F179">
        <v>44805</v>
      </c>
      <c r="G179" t="s">
        <v>2005</v>
      </c>
    </row>
    <row r="180" spans="1:7">
      <c r="A180" t="s">
        <v>1691</v>
      </c>
      <c r="B180" t="s">
        <v>414</v>
      </c>
      <c r="C180" t="s">
        <v>414</v>
      </c>
      <c r="D180" t="s">
        <v>652</v>
      </c>
      <c r="E180" t="s">
        <v>2307</v>
      </c>
      <c r="F180">
        <v>49055</v>
      </c>
      <c r="G180" t="s">
        <v>958</v>
      </c>
    </row>
    <row r="181" spans="1:7">
      <c r="A181" t="s">
        <v>1691</v>
      </c>
      <c r="B181" t="s">
        <v>414</v>
      </c>
      <c r="C181" t="s">
        <v>414</v>
      </c>
      <c r="D181" t="s">
        <v>697</v>
      </c>
      <c r="E181" t="s">
        <v>2315</v>
      </c>
      <c r="F181">
        <v>94805</v>
      </c>
      <c r="G181" t="s">
        <v>813</v>
      </c>
    </row>
    <row r="182" spans="1:7">
      <c r="A182" t="s">
        <v>1691</v>
      </c>
      <c r="B182" t="s">
        <v>414</v>
      </c>
      <c r="C182" t="s">
        <v>414</v>
      </c>
      <c r="D182" t="s">
        <v>823</v>
      </c>
      <c r="E182" t="s">
        <v>2316</v>
      </c>
      <c r="F182">
        <v>13273</v>
      </c>
      <c r="G182" t="s">
        <v>822</v>
      </c>
    </row>
    <row r="183" spans="1:7">
      <c r="A183" t="s">
        <v>1691</v>
      </c>
      <c r="B183" t="s">
        <v>414</v>
      </c>
      <c r="C183" t="s">
        <v>414</v>
      </c>
      <c r="D183" t="s">
        <v>1354</v>
      </c>
      <c r="E183" t="s">
        <v>1738</v>
      </c>
      <c r="F183">
        <v>51005</v>
      </c>
      <c r="G183" t="s">
        <v>1739</v>
      </c>
    </row>
    <row r="184" spans="1:7">
      <c r="A184" t="s">
        <v>1691</v>
      </c>
      <c r="B184" t="s">
        <v>414</v>
      </c>
      <c r="C184" t="s">
        <v>414</v>
      </c>
      <c r="D184" t="s">
        <v>1584</v>
      </c>
      <c r="E184" t="s">
        <v>2183</v>
      </c>
      <c r="F184">
        <v>68024</v>
      </c>
      <c r="G184" t="s">
        <v>924</v>
      </c>
    </row>
    <row r="185" spans="1:7">
      <c r="A185" t="s">
        <v>1691</v>
      </c>
      <c r="B185" t="s">
        <v>414</v>
      </c>
      <c r="C185" t="s">
        <v>414</v>
      </c>
      <c r="D185" t="s">
        <v>1586</v>
      </c>
      <c r="E185" t="s">
        <v>2185</v>
      </c>
      <c r="F185">
        <v>48000</v>
      </c>
      <c r="G185" t="s">
        <v>2186</v>
      </c>
    </row>
    <row r="186" spans="1:7">
      <c r="A186" t="s">
        <v>1691</v>
      </c>
      <c r="B186" t="s">
        <v>414</v>
      </c>
      <c r="C186" t="s">
        <v>414</v>
      </c>
      <c r="D186" t="s">
        <v>1587</v>
      </c>
      <c r="E186" t="s">
        <v>2187</v>
      </c>
      <c r="F186">
        <v>69310</v>
      </c>
      <c r="G186" t="s">
        <v>2188</v>
      </c>
    </row>
    <row r="187" spans="1:7">
      <c r="A187" t="s">
        <v>1691</v>
      </c>
      <c r="B187" t="s">
        <v>414</v>
      </c>
      <c r="C187" t="s">
        <v>414</v>
      </c>
      <c r="D187" t="s">
        <v>1393</v>
      </c>
      <c r="E187" t="s">
        <v>1823</v>
      </c>
      <c r="F187">
        <v>13698</v>
      </c>
      <c r="G187" t="s">
        <v>1824</v>
      </c>
    </row>
    <row r="188" spans="1:7">
      <c r="A188" t="s">
        <v>1691</v>
      </c>
      <c r="B188" t="s">
        <v>414</v>
      </c>
      <c r="C188" t="s">
        <v>414</v>
      </c>
      <c r="D188" t="s">
        <v>1364</v>
      </c>
      <c r="E188" t="s">
        <v>1756</v>
      </c>
      <c r="F188">
        <v>60270</v>
      </c>
      <c r="G188" t="s">
        <v>1757</v>
      </c>
    </row>
    <row r="189" spans="1:7">
      <c r="A189" t="s">
        <v>1691</v>
      </c>
      <c r="B189" t="s">
        <v>414</v>
      </c>
      <c r="C189" t="s">
        <v>414</v>
      </c>
      <c r="D189" t="s">
        <v>641</v>
      </c>
      <c r="E189" t="s">
        <v>2322</v>
      </c>
      <c r="F189">
        <v>33401</v>
      </c>
      <c r="G189" t="s">
        <v>948</v>
      </c>
    </row>
    <row r="190" spans="1:7">
      <c r="A190" t="s">
        <v>1691</v>
      </c>
      <c r="B190" t="s">
        <v>414</v>
      </c>
      <c r="C190" t="s">
        <v>414</v>
      </c>
      <c r="D190" t="s">
        <v>1346</v>
      </c>
      <c r="E190" t="s">
        <v>1724</v>
      </c>
      <c r="F190">
        <v>79021</v>
      </c>
      <c r="G190" t="s">
        <v>946</v>
      </c>
    </row>
    <row r="191" spans="1:7">
      <c r="A191" t="s">
        <v>1691</v>
      </c>
      <c r="B191" t="s">
        <v>414</v>
      </c>
      <c r="C191" t="s">
        <v>414</v>
      </c>
      <c r="D191" t="s">
        <v>1589</v>
      </c>
      <c r="E191" t="s">
        <v>2190</v>
      </c>
      <c r="F191">
        <v>38700</v>
      </c>
      <c r="G191" t="s">
        <v>2191</v>
      </c>
    </row>
    <row r="192" spans="1:7">
      <c r="A192" t="s">
        <v>1691</v>
      </c>
      <c r="B192" t="s">
        <v>414</v>
      </c>
      <c r="C192" t="s">
        <v>414</v>
      </c>
      <c r="D192" t="s">
        <v>1590</v>
      </c>
      <c r="E192" t="s">
        <v>2192</v>
      </c>
      <c r="F192">
        <v>42277</v>
      </c>
      <c r="G192" t="s">
        <v>877</v>
      </c>
    </row>
    <row r="193" spans="1:7">
      <c r="A193" t="s">
        <v>1691</v>
      </c>
      <c r="B193" t="s">
        <v>414</v>
      </c>
      <c r="C193" t="s">
        <v>414</v>
      </c>
      <c r="D193" t="s">
        <v>1359</v>
      </c>
      <c r="E193" t="s">
        <v>1747</v>
      </c>
      <c r="F193">
        <v>62280</v>
      </c>
      <c r="G193" t="s">
        <v>1748</v>
      </c>
    </row>
    <row r="194" spans="1:7">
      <c r="A194" t="s">
        <v>1691</v>
      </c>
      <c r="B194" t="s">
        <v>414</v>
      </c>
      <c r="C194" t="s">
        <v>414</v>
      </c>
      <c r="D194" t="s">
        <v>1512</v>
      </c>
      <c r="E194" t="s">
        <v>2055</v>
      </c>
      <c r="F194">
        <v>67010</v>
      </c>
      <c r="G194" t="s">
        <v>2056</v>
      </c>
    </row>
    <row r="195" spans="1:7">
      <c r="A195" t="s">
        <v>1691</v>
      </c>
      <c r="B195" t="s">
        <v>414</v>
      </c>
      <c r="C195" t="s">
        <v>414</v>
      </c>
      <c r="D195" t="s">
        <v>1591</v>
      </c>
      <c r="E195" t="s">
        <v>2193</v>
      </c>
      <c r="F195">
        <v>91400</v>
      </c>
      <c r="G195" t="s">
        <v>2194</v>
      </c>
    </row>
    <row r="196" spans="1:7">
      <c r="A196" t="s">
        <v>1691</v>
      </c>
      <c r="B196" t="s">
        <v>414</v>
      </c>
      <c r="C196" t="s">
        <v>414</v>
      </c>
      <c r="D196" t="s">
        <v>1347</v>
      </c>
      <c r="E196" t="s">
        <v>1725</v>
      </c>
      <c r="F196">
        <v>64046</v>
      </c>
      <c r="G196" t="s">
        <v>1006</v>
      </c>
    </row>
    <row r="197" spans="1:7">
      <c r="A197" t="s">
        <v>1691</v>
      </c>
      <c r="B197" t="s">
        <v>414</v>
      </c>
      <c r="C197" t="s">
        <v>414</v>
      </c>
      <c r="D197" t="s">
        <v>1348</v>
      </c>
      <c r="E197" t="s">
        <v>1726</v>
      </c>
      <c r="F197">
        <v>24019</v>
      </c>
      <c r="G197" t="s">
        <v>1727</v>
      </c>
    </row>
    <row r="198" spans="1:7">
      <c r="A198" t="s">
        <v>1691</v>
      </c>
      <c r="B198" t="s">
        <v>414</v>
      </c>
      <c r="C198" t="s">
        <v>414</v>
      </c>
      <c r="D198" t="s">
        <v>1592</v>
      </c>
      <c r="E198" t="s">
        <v>2195</v>
      </c>
      <c r="F198">
        <v>58033</v>
      </c>
      <c r="G198" t="s">
        <v>915</v>
      </c>
    </row>
    <row r="199" spans="1:7">
      <c r="A199" t="s">
        <v>1691</v>
      </c>
      <c r="B199" t="s">
        <v>414</v>
      </c>
      <c r="C199" t="s">
        <v>414</v>
      </c>
      <c r="D199" t="s">
        <v>646</v>
      </c>
      <c r="E199" t="s">
        <v>2367</v>
      </c>
      <c r="F199">
        <v>37175</v>
      </c>
      <c r="G199" t="s">
        <v>1999</v>
      </c>
    </row>
    <row r="200" spans="1:7">
      <c r="A200" t="s">
        <v>1691</v>
      </c>
      <c r="B200" t="s">
        <v>414</v>
      </c>
      <c r="C200" t="s">
        <v>414</v>
      </c>
      <c r="D200" t="s">
        <v>1676</v>
      </c>
      <c r="E200" t="s">
        <v>2328</v>
      </c>
      <c r="F200">
        <v>34535</v>
      </c>
      <c r="G200" t="s">
        <v>1790</v>
      </c>
    </row>
    <row r="201" spans="1:7">
      <c r="A201" t="s">
        <v>1691</v>
      </c>
      <c r="B201" t="s">
        <v>414</v>
      </c>
      <c r="C201" t="s">
        <v>414</v>
      </c>
      <c r="D201" t="s">
        <v>1678</v>
      </c>
      <c r="E201" t="s">
        <v>2330</v>
      </c>
      <c r="F201">
        <v>11890</v>
      </c>
      <c r="G201" t="s">
        <v>2331</v>
      </c>
    </row>
    <row r="202" spans="1:7">
      <c r="A202" t="s">
        <v>1691</v>
      </c>
      <c r="B202" t="s">
        <v>414</v>
      </c>
      <c r="C202" t="s">
        <v>414</v>
      </c>
      <c r="D202" t="s">
        <v>1679</v>
      </c>
      <c r="E202" t="s">
        <v>2332</v>
      </c>
      <c r="F202">
        <v>34760</v>
      </c>
      <c r="G202" t="s">
        <v>2333</v>
      </c>
    </row>
    <row r="203" spans="1:7">
      <c r="A203" t="s">
        <v>1691</v>
      </c>
      <c r="B203" t="s">
        <v>414</v>
      </c>
      <c r="C203" t="s">
        <v>414</v>
      </c>
      <c r="D203" t="s">
        <v>1680</v>
      </c>
      <c r="E203" t="s">
        <v>2334</v>
      </c>
      <c r="F203">
        <v>33077</v>
      </c>
      <c r="G203" t="s">
        <v>942</v>
      </c>
    </row>
    <row r="204" spans="1:7">
      <c r="A204" t="s">
        <v>1691</v>
      </c>
      <c r="B204" t="s">
        <v>414</v>
      </c>
      <c r="C204" t="s">
        <v>414</v>
      </c>
      <c r="D204" t="s">
        <v>1681</v>
      </c>
      <c r="E204" t="s">
        <v>2335</v>
      </c>
      <c r="F204">
        <v>13595</v>
      </c>
      <c r="G204" t="s">
        <v>1970</v>
      </c>
    </row>
    <row r="205" spans="1:7">
      <c r="A205" t="s">
        <v>1691</v>
      </c>
      <c r="B205" t="s">
        <v>414</v>
      </c>
      <c r="C205" t="s">
        <v>414</v>
      </c>
      <c r="D205" t="s">
        <v>643</v>
      </c>
      <c r="E205" t="s">
        <v>2338</v>
      </c>
      <c r="F205">
        <v>33310</v>
      </c>
      <c r="G205" t="s">
        <v>2339</v>
      </c>
    </row>
    <row r="206" spans="1:7">
      <c r="A206" t="s">
        <v>1691</v>
      </c>
      <c r="B206" t="s">
        <v>414</v>
      </c>
      <c r="C206" t="s">
        <v>414</v>
      </c>
      <c r="D206" t="s">
        <v>2340</v>
      </c>
      <c r="E206" t="s">
        <v>2341</v>
      </c>
      <c r="F206">
        <v>64501</v>
      </c>
      <c r="G206" t="s">
        <v>2342</v>
      </c>
    </row>
    <row r="207" spans="1:7">
      <c r="A207" t="s">
        <v>1691</v>
      </c>
      <c r="B207" t="s">
        <v>414</v>
      </c>
      <c r="C207" t="s">
        <v>414</v>
      </c>
      <c r="D207" t="s">
        <v>670</v>
      </c>
      <c r="E207" t="s">
        <v>2344</v>
      </c>
      <c r="F207">
        <v>69400</v>
      </c>
      <c r="G207" t="s">
        <v>2345</v>
      </c>
    </row>
    <row r="208" spans="1:7">
      <c r="A208" t="s">
        <v>1691</v>
      </c>
      <c r="B208" t="s">
        <v>414</v>
      </c>
      <c r="C208" t="s">
        <v>414</v>
      </c>
      <c r="D208" t="s">
        <v>633</v>
      </c>
      <c r="E208" t="s">
        <v>2346</v>
      </c>
      <c r="F208">
        <v>49300</v>
      </c>
      <c r="G208" t="s">
        <v>961</v>
      </c>
    </row>
    <row r="209" spans="1:7">
      <c r="A209" t="s">
        <v>1691</v>
      </c>
      <c r="B209" t="s">
        <v>414</v>
      </c>
      <c r="C209" t="s">
        <v>414</v>
      </c>
      <c r="D209" t="s">
        <v>1684</v>
      </c>
      <c r="E209" t="s">
        <v>2347</v>
      </c>
      <c r="F209">
        <v>14052</v>
      </c>
      <c r="G209" t="s">
        <v>808</v>
      </c>
    </row>
    <row r="210" spans="1:7">
      <c r="A210" t="s">
        <v>1691</v>
      </c>
      <c r="B210" t="s">
        <v>414</v>
      </c>
      <c r="C210" t="s">
        <v>414</v>
      </c>
      <c r="D210" t="s">
        <v>635</v>
      </c>
      <c r="E210" t="s">
        <v>2348</v>
      </c>
      <c r="F210">
        <v>21076</v>
      </c>
      <c r="G210" t="s">
        <v>844</v>
      </c>
    </row>
    <row r="211" spans="1:7">
      <c r="A211" t="s">
        <v>1691</v>
      </c>
      <c r="B211" t="s">
        <v>414</v>
      </c>
      <c r="C211" t="s">
        <v>414</v>
      </c>
      <c r="D211" t="s">
        <v>689</v>
      </c>
      <c r="E211" t="s">
        <v>2353</v>
      </c>
      <c r="F211">
        <v>88060</v>
      </c>
      <c r="G211" t="s">
        <v>1956</v>
      </c>
    </row>
    <row r="212" spans="1:7">
      <c r="A212" t="s">
        <v>1691</v>
      </c>
      <c r="B212" t="s">
        <v>414</v>
      </c>
      <c r="C212" t="s">
        <v>414</v>
      </c>
      <c r="D212" t="s">
        <v>1687</v>
      </c>
      <c r="E212" t="s">
        <v>2357</v>
      </c>
      <c r="F212">
        <v>69140</v>
      </c>
      <c r="G212" t="s">
        <v>2358</v>
      </c>
    </row>
    <row r="213" spans="1:7">
      <c r="A213" t="s">
        <v>1691</v>
      </c>
      <c r="B213" t="s">
        <v>414</v>
      </c>
      <c r="C213" t="s">
        <v>414</v>
      </c>
      <c r="D213" t="s">
        <v>1433</v>
      </c>
      <c r="E213" t="s">
        <v>1912</v>
      </c>
      <c r="F213">
        <v>78560</v>
      </c>
      <c r="G213" t="s">
        <v>1913</v>
      </c>
    </row>
    <row r="214" spans="1:7">
      <c r="A214" t="s">
        <v>1691</v>
      </c>
      <c r="B214" t="s">
        <v>414</v>
      </c>
      <c r="C214" t="s">
        <v>414</v>
      </c>
      <c r="D214" t="s">
        <v>1398</v>
      </c>
      <c r="E214" t="s">
        <v>1832</v>
      </c>
      <c r="F214">
        <v>77488</v>
      </c>
      <c r="G214" t="s">
        <v>1833</v>
      </c>
    </row>
    <row r="215" spans="1:7">
      <c r="A215" t="s">
        <v>1691</v>
      </c>
      <c r="B215" t="s">
        <v>414</v>
      </c>
      <c r="C215" t="s">
        <v>414</v>
      </c>
      <c r="D215" t="s">
        <v>1355</v>
      </c>
      <c r="E215" t="s">
        <v>1740</v>
      </c>
      <c r="F215">
        <v>17301</v>
      </c>
      <c r="G215" t="s">
        <v>1741</v>
      </c>
    </row>
    <row r="216" spans="1:7">
      <c r="A216" t="s">
        <v>1691</v>
      </c>
      <c r="B216" t="s">
        <v>414</v>
      </c>
      <c r="C216" t="s">
        <v>414</v>
      </c>
      <c r="D216" t="s">
        <v>1514</v>
      </c>
      <c r="E216" t="s">
        <v>2058</v>
      </c>
      <c r="F216">
        <v>69337</v>
      </c>
      <c r="G216" t="s">
        <v>903</v>
      </c>
    </row>
    <row r="217" spans="1:7">
      <c r="A217" t="s">
        <v>1691</v>
      </c>
      <c r="B217" t="s">
        <v>414</v>
      </c>
      <c r="C217" t="s">
        <v>414</v>
      </c>
      <c r="D217" t="s">
        <v>1530</v>
      </c>
      <c r="E217" t="s">
        <v>2100</v>
      </c>
      <c r="F217">
        <v>76044</v>
      </c>
      <c r="G217" t="s">
        <v>885</v>
      </c>
    </row>
    <row r="218" spans="1:7">
      <c r="A218" t="s">
        <v>1691</v>
      </c>
      <c r="B218" t="s">
        <v>414</v>
      </c>
      <c r="C218" t="s">
        <v>414</v>
      </c>
      <c r="D218" t="s">
        <v>1400</v>
      </c>
      <c r="E218" t="s">
        <v>1839</v>
      </c>
      <c r="F218">
        <v>17108</v>
      </c>
      <c r="G218" t="s">
        <v>1840</v>
      </c>
    </row>
    <row r="219" spans="1:7">
      <c r="A219" t="s">
        <v>1691</v>
      </c>
      <c r="B219" t="s">
        <v>414</v>
      </c>
      <c r="C219" t="s">
        <v>414</v>
      </c>
      <c r="D219" t="s">
        <v>1690</v>
      </c>
      <c r="E219" t="s">
        <v>2368</v>
      </c>
      <c r="F219">
        <v>59600</v>
      </c>
      <c r="G219" t="s">
        <v>2369</v>
      </c>
    </row>
    <row r="220" spans="1:7">
      <c r="A220" t="s">
        <v>1691</v>
      </c>
      <c r="B220" t="s">
        <v>414</v>
      </c>
      <c r="C220" t="s">
        <v>414</v>
      </c>
      <c r="D220" t="s">
        <v>1349</v>
      </c>
      <c r="E220" t="s">
        <v>1728</v>
      </c>
      <c r="F220">
        <v>67606</v>
      </c>
      <c r="G220" t="s">
        <v>1729</v>
      </c>
    </row>
    <row r="221" spans="1:7">
      <c r="A221" t="s">
        <v>1691</v>
      </c>
      <c r="B221" t="s">
        <v>414</v>
      </c>
      <c r="C221" t="s">
        <v>414</v>
      </c>
      <c r="D221" t="s">
        <v>1372</v>
      </c>
      <c r="E221" t="s">
        <v>1778</v>
      </c>
      <c r="F221">
        <v>7205</v>
      </c>
      <c r="G221" t="s">
        <v>1779</v>
      </c>
    </row>
    <row r="222" spans="1:7">
      <c r="A222" t="s">
        <v>1691</v>
      </c>
      <c r="B222" t="s">
        <v>414</v>
      </c>
      <c r="C222" t="s">
        <v>414</v>
      </c>
      <c r="D222" t="s">
        <v>1534</v>
      </c>
      <c r="E222" t="s">
        <v>2105</v>
      </c>
      <c r="F222">
        <v>33000</v>
      </c>
      <c r="G222" t="s">
        <v>942</v>
      </c>
    </row>
    <row r="223" spans="1:7">
      <c r="A223" t="s">
        <v>1691</v>
      </c>
      <c r="B223" t="s">
        <v>414</v>
      </c>
      <c r="C223" t="s">
        <v>414</v>
      </c>
      <c r="D223" t="s">
        <v>1350</v>
      </c>
      <c r="E223" t="s">
        <v>1730</v>
      </c>
      <c r="F223">
        <v>59208</v>
      </c>
      <c r="G223" t="s">
        <v>1731</v>
      </c>
    </row>
    <row r="224" spans="1:7">
      <c r="A224" t="s">
        <v>1691</v>
      </c>
      <c r="B224" t="s">
        <v>414</v>
      </c>
      <c r="C224" t="s">
        <v>414</v>
      </c>
      <c r="D224" t="s">
        <v>1535</v>
      </c>
      <c r="E224" t="s">
        <v>2106</v>
      </c>
      <c r="F224">
        <v>69560</v>
      </c>
      <c r="G224" t="s">
        <v>2107</v>
      </c>
    </row>
    <row r="225" spans="1:7">
      <c r="A225" t="s">
        <v>1691</v>
      </c>
      <c r="B225" t="s">
        <v>414</v>
      </c>
      <c r="C225" t="s">
        <v>414</v>
      </c>
      <c r="D225" t="s">
        <v>1351</v>
      </c>
      <c r="E225" t="s">
        <v>1732</v>
      </c>
      <c r="F225">
        <v>10003</v>
      </c>
      <c r="G225" t="s">
        <v>1733</v>
      </c>
    </row>
    <row r="226" spans="1:7">
      <c r="A226" t="s">
        <v>1691</v>
      </c>
      <c r="B226" t="s">
        <v>414</v>
      </c>
      <c r="C226" t="s">
        <v>414</v>
      </c>
      <c r="D226" t="s">
        <v>1361</v>
      </c>
      <c r="E226" t="s">
        <v>1751</v>
      </c>
      <c r="F226">
        <v>15000</v>
      </c>
      <c r="G226" t="s">
        <v>1752</v>
      </c>
    </row>
    <row r="227" spans="1:7">
      <c r="A227" t="s">
        <v>1691</v>
      </c>
      <c r="B227" t="s">
        <v>414</v>
      </c>
      <c r="C227" t="s">
        <v>414</v>
      </c>
      <c r="D227" t="s">
        <v>1515</v>
      </c>
      <c r="E227" t="s">
        <v>2059</v>
      </c>
      <c r="F227">
        <v>59200</v>
      </c>
      <c r="G227" t="s">
        <v>1731</v>
      </c>
    </row>
    <row r="228" spans="1:7">
      <c r="A228" t="s">
        <v>1691</v>
      </c>
      <c r="B228" t="s">
        <v>414</v>
      </c>
      <c r="C228" t="s">
        <v>414</v>
      </c>
      <c r="D228" t="s">
        <v>1356</v>
      </c>
      <c r="E228" t="s">
        <v>1742</v>
      </c>
      <c r="F228">
        <v>22023</v>
      </c>
      <c r="G228" t="s">
        <v>1743</v>
      </c>
    </row>
    <row r="229" spans="1:7">
      <c r="A229" t="s">
        <v>2936</v>
      </c>
      <c r="C229" t="s">
        <v>414</v>
      </c>
      <c r="D229" t="s">
        <v>2510</v>
      </c>
      <c r="E229" t="s">
        <v>2835</v>
      </c>
      <c r="F229">
        <v>68003</v>
      </c>
      <c r="G229" t="s">
        <v>924</v>
      </c>
    </row>
    <row r="230" spans="1:7">
      <c r="A230" t="s">
        <v>2936</v>
      </c>
      <c r="C230" t="s">
        <v>414</v>
      </c>
      <c r="D230" t="s">
        <v>2446</v>
      </c>
      <c r="E230" t="s">
        <v>2742</v>
      </c>
      <c r="F230">
        <v>61000</v>
      </c>
      <c r="G230" t="s">
        <v>1975</v>
      </c>
    </row>
    <row r="231" spans="1:7">
      <c r="A231" t="s">
        <v>2936</v>
      </c>
      <c r="C231" t="s">
        <v>414</v>
      </c>
      <c r="D231" t="s">
        <v>2436</v>
      </c>
      <c r="E231" t="s">
        <v>2038</v>
      </c>
      <c r="F231">
        <v>62660</v>
      </c>
      <c r="G231" t="s">
        <v>2039</v>
      </c>
    </row>
    <row r="232" spans="1:7">
      <c r="A232" t="s">
        <v>2936</v>
      </c>
      <c r="C232" t="s">
        <v>414</v>
      </c>
      <c r="D232" t="s">
        <v>2437</v>
      </c>
      <c r="E232" t="s">
        <v>2729</v>
      </c>
      <c r="F232">
        <v>57106</v>
      </c>
      <c r="G232" t="s">
        <v>2149</v>
      </c>
    </row>
    <row r="233" spans="1:7">
      <c r="A233" t="s">
        <v>2936</v>
      </c>
      <c r="C233" t="s">
        <v>414</v>
      </c>
      <c r="D233" t="s">
        <v>2511</v>
      </c>
      <c r="E233" t="s">
        <v>2146</v>
      </c>
      <c r="F233">
        <v>92202</v>
      </c>
      <c r="G233" t="s">
        <v>1763</v>
      </c>
    </row>
    <row r="234" spans="1:7">
      <c r="A234" t="s">
        <v>1691</v>
      </c>
      <c r="B234" t="s">
        <v>414</v>
      </c>
      <c r="D234" t="s">
        <v>1330</v>
      </c>
      <c r="E234" t="s">
        <v>1694</v>
      </c>
      <c r="F234">
        <v>51092</v>
      </c>
      <c r="G234" t="s">
        <v>880</v>
      </c>
    </row>
    <row r="235" spans="1:7">
      <c r="A235" t="s">
        <v>2936</v>
      </c>
      <c r="C235" t="s">
        <v>414</v>
      </c>
      <c r="D235" t="s">
        <v>2464</v>
      </c>
      <c r="E235" t="s">
        <v>2073</v>
      </c>
      <c r="F235">
        <v>74000</v>
      </c>
      <c r="G235" t="s">
        <v>2074</v>
      </c>
    </row>
    <row r="236" spans="1:7">
      <c r="A236" t="s">
        <v>2936</v>
      </c>
      <c r="C236" t="s">
        <v>414</v>
      </c>
      <c r="D236" t="s">
        <v>2535</v>
      </c>
      <c r="E236" t="s">
        <v>2202</v>
      </c>
      <c r="F236">
        <v>92160</v>
      </c>
      <c r="G236" t="s">
        <v>967</v>
      </c>
    </row>
    <row r="237" spans="1:7">
      <c r="A237" t="s">
        <v>1691</v>
      </c>
      <c r="B237" t="s">
        <v>414</v>
      </c>
      <c r="D237" t="s">
        <v>1331</v>
      </c>
      <c r="E237" t="s">
        <v>1695</v>
      </c>
      <c r="F237">
        <v>13005</v>
      </c>
      <c r="G237" t="s">
        <v>822</v>
      </c>
    </row>
    <row r="238" spans="1:7">
      <c r="A238" t="s">
        <v>1691</v>
      </c>
      <c r="B238" t="s">
        <v>414</v>
      </c>
      <c r="D238" t="s">
        <v>1508</v>
      </c>
      <c r="E238" t="s">
        <v>2048</v>
      </c>
      <c r="F238">
        <v>33164</v>
      </c>
      <c r="G238" t="s">
        <v>2049</v>
      </c>
    </row>
    <row r="239" spans="1:7">
      <c r="A239" t="s">
        <v>2936</v>
      </c>
      <c r="C239" t="s">
        <v>414</v>
      </c>
      <c r="D239" t="s">
        <v>2377</v>
      </c>
      <c r="E239" t="s">
        <v>2648</v>
      </c>
      <c r="F239">
        <v>61202</v>
      </c>
      <c r="G239" t="s">
        <v>2649</v>
      </c>
    </row>
    <row r="240" spans="1:7">
      <c r="A240" t="s">
        <v>2936</v>
      </c>
      <c r="C240" t="s">
        <v>414</v>
      </c>
      <c r="D240" t="s">
        <v>2447</v>
      </c>
      <c r="E240" t="s">
        <v>2743</v>
      </c>
      <c r="F240">
        <v>74370</v>
      </c>
      <c r="G240" t="s">
        <v>2744</v>
      </c>
    </row>
    <row r="241" spans="1:7">
      <c r="A241" t="s">
        <v>2936</v>
      </c>
      <c r="C241" t="s">
        <v>414</v>
      </c>
      <c r="D241" t="s">
        <v>2531</v>
      </c>
      <c r="E241" t="s">
        <v>2196</v>
      </c>
      <c r="F241">
        <v>94130</v>
      </c>
      <c r="G241" t="s">
        <v>2197</v>
      </c>
    </row>
    <row r="242" spans="1:7">
      <c r="A242" t="s">
        <v>2936</v>
      </c>
      <c r="C242" t="s">
        <v>414</v>
      </c>
      <c r="D242" t="s">
        <v>2594</v>
      </c>
      <c r="E242" t="s">
        <v>2872</v>
      </c>
      <c r="F242">
        <v>6721</v>
      </c>
      <c r="G242" t="s">
        <v>2873</v>
      </c>
    </row>
    <row r="243" spans="1:7">
      <c r="A243" t="s">
        <v>2936</v>
      </c>
      <c r="C243" t="s">
        <v>414</v>
      </c>
      <c r="D243" t="s">
        <v>2438</v>
      </c>
      <c r="E243" t="s">
        <v>2730</v>
      </c>
      <c r="F243">
        <v>13097</v>
      </c>
      <c r="G243" t="s">
        <v>1970</v>
      </c>
    </row>
    <row r="244" spans="1:7">
      <c r="A244" t="s">
        <v>2936</v>
      </c>
      <c r="C244" t="s">
        <v>414</v>
      </c>
      <c r="D244" t="s">
        <v>2512</v>
      </c>
      <c r="E244" t="s">
        <v>2148</v>
      </c>
      <c r="F244">
        <v>57126</v>
      </c>
      <c r="G244" t="s">
        <v>2149</v>
      </c>
    </row>
    <row r="245" spans="1:7">
      <c r="A245" t="s">
        <v>2936</v>
      </c>
      <c r="C245" t="s">
        <v>414</v>
      </c>
      <c r="D245" t="s">
        <v>2439</v>
      </c>
      <c r="E245" t="s">
        <v>2731</v>
      </c>
      <c r="F245">
        <v>38400</v>
      </c>
      <c r="G245" t="s">
        <v>2732</v>
      </c>
    </row>
    <row r="246" spans="1:7">
      <c r="A246" t="s">
        <v>2936</v>
      </c>
      <c r="C246" t="s">
        <v>414</v>
      </c>
      <c r="D246" t="s">
        <v>2449</v>
      </c>
      <c r="E246" t="s">
        <v>2746</v>
      </c>
      <c r="F246">
        <v>94220</v>
      </c>
      <c r="G246" t="s">
        <v>2747</v>
      </c>
    </row>
    <row r="247" spans="1:7">
      <c r="A247" t="s">
        <v>2936</v>
      </c>
      <c r="C247" t="s">
        <v>414</v>
      </c>
      <c r="D247" t="s">
        <v>2595</v>
      </c>
      <c r="E247" t="s">
        <v>2311</v>
      </c>
      <c r="F247">
        <v>33076</v>
      </c>
      <c r="G247" t="s">
        <v>942</v>
      </c>
    </row>
    <row r="248" spans="1:7">
      <c r="A248" t="s">
        <v>1691</v>
      </c>
      <c r="B248" t="s">
        <v>414</v>
      </c>
      <c r="D248" t="s">
        <v>1342</v>
      </c>
      <c r="E248" t="s">
        <v>1716</v>
      </c>
      <c r="F248">
        <v>91640</v>
      </c>
      <c r="G248" t="s">
        <v>1717</v>
      </c>
    </row>
    <row r="249" spans="1:7">
      <c r="A249" t="s">
        <v>2936</v>
      </c>
      <c r="C249" t="s">
        <v>414</v>
      </c>
      <c r="D249" t="s">
        <v>2607</v>
      </c>
      <c r="E249" t="s">
        <v>2336</v>
      </c>
      <c r="F249">
        <v>41260</v>
      </c>
      <c r="G249" t="s">
        <v>2884</v>
      </c>
    </row>
    <row r="250" spans="1:7">
      <c r="A250" t="s">
        <v>2936</v>
      </c>
      <c r="C250" t="s">
        <v>414</v>
      </c>
      <c r="D250" t="s">
        <v>2538</v>
      </c>
      <c r="E250" t="s">
        <v>2843</v>
      </c>
      <c r="F250">
        <v>62320</v>
      </c>
      <c r="G250" t="s">
        <v>2844</v>
      </c>
    </row>
    <row r="251" spans="1:7">
      <c r="A251" t="s">
        <v>2936</v>
      </c>
      <c r="C251" t="s">
        <v>414</v>
      </c>
      <c r="D251" t="s">
        <v>2440</v>
      </c>
      <c r="E251" t="s">
        <v>2733</v>
      </c>
      <c r="F251">
        <v>13006</v>
      </c>
      <c r="G251" t="s">
        <v>822</v>
      </c>
    </row>
    <row r="252" spans="1:7">
      <c r="A252" t="s">
        <v>2936</v>
      </c>
      <c r="C252" t="s">
        <v>414</v>
      </c>
      <c r="D252" t="s">
        <v>2392</v>
      </c>
      <c r="E252" t="s">
        <v>2677</v>
      </c>
      <c r="F252">
        <v>54151</v>
      </c>
      <c r="G252" t="s">
        <v>2678</v>
      </c>
    </row>
    <row r="253" spans="1:7">
      <c r="A253" t="s">
        <v>2936</v>
      </c>
      <c r="C253" t="s">
        <v>414</v>
      </c>
      <c r="D253" t="s">
        <v>2374</v>
      </c>
      <c r="E253" t="s">
        <v>2642</v>
      </c>
      <c r="F253">
        <v>35305</v>
      </c>
      <c r="G253" t="s">
        <v>2643</v>
      </c>
    </row>
    <row r="254" spans="1:7">
      <c r="A254" t="s">
        <v>1691</v>
      </c>
      <c r="B254" t="s">
        <v>414</v>
      </c>
      <c r="D254" t="s">
        <v>1336</v>
      </c>
      <c r="E254" t="s">
        <v>1701</v>
      </c>
      <c r="F254">
        <v>35000</v>
      </c>
      <c r="G254" t="s">
        <v>1702</v>
      </c>
    </row>
    <row r="255" spans="1:7">
      <c r="A255" t="s">
        <v>1691</v>
      </c>
      <c r="B255" t="s">
        <v>414</v>
      </c>
      <c r="D255" t="s">
        <v>1505</v>
      </c>
      <c r="E255" t="s">
        <v>2044</v>
      </c>
      <c r="F255">
        <v>47000</v>
      </c>
      <c r="G255" t="s">
        <v>1767</v>
      </c>
    </row>
    <row r="256" spans="1:7">
      <c r="A256" t="s">
        <v>1691</v>
      </c>
      <c r="B256" t="s">
        <v>414</v>
      </c>
      <c r="D256" t="s">
        <v>1541</v>
      </c>
      <c r="E256" t="s">
        <v>2114</v>
      </c>
      <c r="F256">
        <v>92100</v>
      </c>
      <c r="G256" t="s">
        <v>2115</v>
      </c>
    </row>
    <row r="257" spans="1:7">
      <c r="A257" t="s">
        <v>2936</v>
      </c>
      <c r="C257" t="s">
        <v>414</v>
      </c>
      <c r="D257" t="s">
        <v>2596</v>
      </c>
      <c r="E257" t="s">
        <v>2313</v>
      </c>
      <c r="F257">
        <v>54519</v>
      </c>
      <c r="G257" t="s">
        <v>850</v>
      </c>
    </row>
    <row r="258" spans="1:7">
      <c r="A258" t="s">
        <v>2936</v>
      </c>
      <c r="C258" t="s">
        <v>414</v>
      </c>
      <c r="D258" t="s">
        <v>2533</v>
      </c>
      <c r="E258" t="s">
        <v>2840</v>
      </c>
      <c r="F258">
        <v>6400</v>
      </c>
      <c r="G258" t="s">
        <v>1817</v>
      </c>
    </row>
    <row r="259" spans="1:7">
      <c r="A259" t="s">
        <v>1691</v>
      </c>
      <c r="B259" t="s">
        <v>414</v>
      </c>
      <c r="D259" t="s">
        <v>626</v>
      </c>
      <c r="E259" t="s">
        <v>1705</v>
      </c>
      <c r="F259">
        <v>6189</v>
      </c>
      <c r="G259" t="s">
        <v>836</v>
      </c>
    </row>
    <row r="260" spans="1:7">
      <c r="A260" t="s">
        <v>2936</v>
      </c>
      <c r="C260" t="s">
        <v>414</v>
      </c>
      <c r="D260" t="s">
        <v>2389</v>
      </c>
      <c r="E260" t="s">
        <v>2669</v>
      </c>
      <c r="F260">
        <v>7103</v>
      </c>
      <c r="G260" t="s">
        <v>2670</v>
      </c>
    </row>
    <row r="261" spans="1:7">
      <c r="A261" t="s">
        <v>2936</v>
      </c>
      <c r="C261" t="s">
        <v>414</v>
      </c>
      <c r="D261" t="s">
        <v>2390</v>
      </c>
      <c r="E261" t="s">
        <v>2671</v>
      </c>
      <c r="F261">
        <v>59421</v>
      </c>
      <c r="G261" t="s">
        <v>2672</v>
      </c>
    </row>
    <row r="262" spans="1:7">
      <c r="A262" t="s">
        <v>1691</v>
      </c>
      <c r="B262" t="s">
        <v>414</v>
      </c>
      <c r="D262" t="s">
        <v>1377</v>
      </c>
      <c r="E262" t="s">
        <v>1791</v>
      </c>
      <c r="F262">
        <v>55012</v>
      </c>
      <c r="G262" t="s">
        <v>1792</v>
      </c>
    </row>
    <row r="263" spans="1:7">
      <c r="A263" t="s">
        <v>2936</v>
      </c>
      <c r="C263" t="s">
        <v>414</v>
      </c>
      <c r="D263" t="s">
        <v>624</v>
      </c>
      <c r="E263" t="s">
        <v>2673</v>
      </c>
      <c r="F263">
        <v>1300</v>
      </c>
      <c r="G263" t="s">
        <v>2674</v>
      </c>
    </row>
    <row r="264" spans="1:7">
      <c r="A264" t="s">
        <v>1691</v>
      </c>
      <c r="B264" t="s">
        <v>414</v>
      </c>
      <c r="D264" t="s">
        <v>1384</v>
      </c>
      <c r="E264" t="s">
        <v>1804</v>
      </c>
      <c r="F264">
        <v>2303</v>
      </c>
      <c r="G264" t="s">
        <v>1805</v>
      </c>
    </row>
    <row r="265" spans="1:7">
      <c r="A265" t="s">
        <v>2936</v>
      </c>
      <c r="C265" t="s">
        <v>414</v>
      </c>
      <c r="D265" t="s">
        <v>2391</v>
      </c>
      <c r="E265" t="s">
        <v>2675</v>
      </c>
      <c r="F265">
        <v>73208</v>
      </c>
      <c r="G265" t="s">
        <v>2676</v>
      </c>
    </row>
    <row r="266" spans="1:7">
      <c r="A266" t="s">
        <v>2936</v>
      </c>
      <c r="C266" t="s">
        <v>414</v>
      </c>
      <c r="D266" t="s">
        <v>2394</v>
      </c>
      <c r="E266" t="s">
        <v>2681</v>
      </c>
      <c r="F266">
        <v>15102</v>
      </c>
      <c r="G266" t="s">
        <v>2682</v>
      </c>
    </row>
    <row r="267" spans="1:7">
      <c r="A267" t="s">
        <v>2936</v>
      </c>
      <c r="C267" t="s">
        <v>414</v>
      </c>
      <c r="D267" t="s">
        <v>2395</v>
      </c>
      <c r="E267" t="s">
        <v>2683</v>
      </c>
      <c r="F267">
        <v>91152</v>
      </c>
      <c r="G267" t="s">
        <v>2684</v>
      </c>
    </row>
    <row r="268" spans="1:7">
      <c r="A268" t="s">
        <v>2936</v>
      </c>
      <c r="C268" t="s">
        <v>414</v>
      </c>
      <c r="D268" t="s">
        <v>2396</v>
      </c>
      <c r="E268" t="s">
        <v>2685</v>
      </c>
      <c r="F268">
        <v>42605</v>
      </c>
      <c r="G268" t="s">
        <v>2686</v>
      </c>
    </row>
    <row r="269" spans="1:7">
      <c r="A269" t="s">
        <v>2936</v>
      </c>
      <c r="C269" t="s">
        <v>414</v>
      </c>
      <c r="D269" t="s">
        <v>2397</v>
      </c>
      <c r="E269" t="s">
        <v>2687</v>
      </c>
      <c r="F269">
        <v>53204</v>
      </c>
      <c r="G269" t="s">
        <v>2688</v>
      </c>
    </row>
    <row r="270" spans="1:7">
      <c r="A270" t="s">
        <v>1691</v>
      </c>
      <c r="B270" t="s">
        <v>414</v>
      </c>
      <c r="D270" t="s">
        <v>1414</v>
      </c>
      <c r="E270" t="s">
        <v>1869</v>
      </c>
      <c r="F270">
        <v>59524</v>
      </c>
      <c r="G270" t="s">
        <v>1870</v>
      </c>
    </row>
    <row r="271" spans="1:7">
      <c r="A271" t="s">
        <v>2936</v>
      </c>
      <c r="C271" t="s">
        <v>414</v>
      </c>
      <c r="D271" t="s">
        <v>2398</v>
      </c>
      <c r="E271" t="s">
        <v>2689</v>
      </c>
      <c r="F271">
        <v>83175</v>
      </c>
      <c r="G271" t="s">
        <v>2690</v>
      </c>
    </row>
    <row r="272" spans="1:7">
      <c r="A272" t="s">
        <v>1691</v>
      </c>
      <c r="B272" t="s">
        <v>414</v>
      </c>
      <c r="D272" t="s">
        <v>1421</v>
      </c>
      <c r="E272" t="s">
        <v>1882</v>
      </c>
      <c r="F272">
        <v>72000</v>
      </c>
      <c r="G272" t="s">
        <v>1883</v>
      </c>
    </row>
    <row r="273" spans="1:7">
      <c r="A273" t="s">
        <v>1691</v>
      </c>
      <c r="B273" t="s">
        <v>414</v>
      </c>
      <c r="D273" t="s">
        <v>1422</v>
      </c>
      <c r="E273" t="s">
        <v>1884</v>
      </c>
      <c r="F273">
        <v>62307</v>
      </c>
      <c r="G273" t="s">
        <v>935</v>
      </c>
    </row>
    <row r="274" spans="1:7">
      <c r="A274" t="s">
        <v>2936</v>
      </c>
      <c r="C274" t="s">
        <v>414</v>
      </c>
      <c r="D274" t="s">
        <v>687</v>
      </c>
      <c r="E274" t="s">
        <v>2691</v>
      </c>
      <c r="F274">
        <v>84106</v>
      </c>
      <c r="G274" t="s">
        <v>2692</v>
      </c>
    </row>
    <row r="275" spans="1:7">
      <c r="A275" t="s">
        <v>2936</v>
      </c>
      <c r="C275" t="s">
        <v>414</v>
      </c>
      <c r="D275" t="s">
        <v>2399</v>
      </c>
      <c r="E275" t="s">
        <v>2693</v>
      </c>
      <c r="F275">
        <v>39108</v>
      </c>
      <c r="G275" t="s">
        <v>2694</v>
      </c>
    </row>
    <row r="276" spans="1:7">
      <c r="A276" t="s">
        <v>2936</v>
      </c>
      <c r="C276" t="s">
        <v>414</v>
      </c>
      <c r="D276" t="s">
        <v>2400</v>
      </c>
      <c r="E276" t="s">
        <v>2695</v>
      </c>
      <c r="F276">
        <v>85302</v>
      </c>
      <c r="G276" t="s">
        <v>2696</v>
      </c>
    </row>
    <row r="277" spans="1:7">
      <c r="A277" t="s">
        <v>1691</v>
      </c>
      <c r="B277" t="s">
        <v>414</v>
      </c>
      <c r="D277" t="s">
        <v>1427</v>
      </c>
      <c r="E277" t="s">
        <v>1894</v>
      </c>
      <c r="F277">
        <v>57604</v>
      </c>
      <c r="G277" t="s">
        <v>1895</v>
      </c>
    </row>
    <row r="278" spans="1:7">
      <c r="A278" t="s">
        <v>2936</v>
      </c>
      <c r="C278" t="s">
        <v>414</v>
      </c>
      <c r="D278" t="s">
        <v>2401</v>
      </c>
      <c r="E278" t="s">
        <v>2697</v>
      </c>
      <c r="F278">
        <v>12101</v>
      </c>
      <c r="G278" t="s">
        <v>2698</v>
      </c>
    </row>
    <row r="279" spans="1:7">
      <c r="A279" t="s">
        <v>2936</v>
      </c>
      <c r="C279" t="s">
        <v>414</v>
      </c>
      <c r="D279" t="s">
        <v>2402</v>
      </c>
      <c r="E279" t="s">
        <v>2699</v>
      </c>
      <c r="F279">
        <v>20090</v>
      </c>
      <c r="G279" t="s">
        <v>2700</v>
      </c>
    </row>
    <row r="280" spans="1:7">
      <c r="A280" t="s">
        <v>2936</v>
      </c>
      <c r="C280" t="s">
        <v>414</v>
      </c>
      <c r="D280" t="s">
        <v>2393</v>
      </c>
      <c r="E280" t="s">
        <v>2679</v>
      </c>
      <c r="F280">
        <v>42700</v>
      </c>
      <c r="G280" t="s">
        <v>2680</v>
      </c>
    </row>
    <row r="281" spans="1:7">
      <c r="A281" t="s">
        <v>2936</v>
      </c>
      <c r="C281" t="s">
        <v>414</v>
      </c>
      <c r="D281" t="s">
        <v>2403</v>
      </c>
      <c r="E281" t="s">
        <v>2701</v>
      </c>
      <c r="F281">
        <v>63503</v>
      </c>
      <c r="G281" t="s">
        <v>2702</v>
      </c>
    </row>
    <row r="282" spans="1:7">
      <c r="A282" t="s">
        <v>2936</v>
      </c>
      <c r="C282" t="s">
        <v>414</v>
      </c>
      <c r="D282" t="s">
        <v>2404</v>
      </c>
      <c r="E282" t="s">
        <v>2703</v>
      </c>
      <c r="F282">
        <v>41206</v>
      </c>
      <c r="G282" t="s">
        <v>2704</v>
      </c>
    </row>
    <row r="283" spans="1:7">
      <c r="A283" t="s">
        <v>1691</v>
      </c>
      <c r="B283" t="s">
        <v>414</v>
      </c>
      <c r="D283" t="s">
        <v>1434</v>
      </c>
      <c r="E283" t="s">
        <v>1914</v>
      </c>
      <c r="F283">
        <v>57402</v>
      </c>
      <c r="G283" t="s">
        <v>1915</v>
      </c>
    </row>
    <row r="284" spans="1:7">
      <c r="A284" t="s">
        <v>2936</v>
      </c>
      <c r="C284" t="s">
        <v>414</v>
      </c>
      <c r="D284" t="s">
        <v>2405</v>
      </c>
      <c r="E284" t="s">
        <v>2705</v>
      </c>
      <c r="F284">
        <v>59113</v>
      </c>
      <c r="G284" t="s">
        <v>2706</v>
      </c>
    </row>
    <row r="285" spans="1:7">
      <c r="A285" t="s">
        <v>1691</v>
      </c>
      <c r="B285" t="s">
        <v>414</v>
      </c>
      <c r="D285" t="s">
        <v>1439</v>
      </c>
      <c r="E285" t="s">
        <v>1927</v>
      </c>
      <c r="F285">
        <v>77875</v>
      </c>
      <c r="G285" t="s">
        <v>1928</v>
      </c>
    </row>
    <row r="286" spans="1:7">
      <c r="A286" t="s">
        <v>2936</v>
      </c>
      <c r="C286" t="s">
        <v>414</v>
      </c>
      <c r="D286" t="s">
        <v>2406</v>
      </c>
      <c r="E286" t="s">
        <v>2707</v>
      </c>
      <c r="F286">
        <v>50303</v>
      </c>
      <c r="G286" t="s">
        <v>2209</v>
      </c>
    </row>
    <row r="287" spans="1:7">
      <c r="A287" t="s">
        <v>1691</v>
      </c>
      <c r="B287" t="s">
        <v>414</v>
      </c>
      <c r="D287" t="s">
        <v>1445</v>
      </c>
      <c r="E287" t="s">
        <v>1942</v>
      </c>
      <c r="F287">
        <v>50406</v>
      </c>
      <c r="G287" t="s">
        <v>1943</v>
      </c>
    </row>
    <row r="288" spans="1:7">
      <c r="A288" t="s">
        <v>2936</v>
      </c>
      <c r="C288" t="s">
        <v>414</v>
      </c>
      <c r="D288" t="s">
        <v>2477</v>
      </c>
      <c r="E288" t="s">
        <v>2084</v>
      </c>
      <c r="F288">
        <v>69110</v>
      </c>
      <c r="G288" t="s">
        <v>2085</v>
      </c>
    </row>
    <row r="289" spans="1:7">
      <c r="A289" t="s">
        <v>2936</v>
      </c>
      <c r="C289" t="s">
        <v>414</v>
      </c>
      <c r="D289" t="s">
        <v>2513</v>
      </c>
      <c r="E289" t="s">
        <v>2150</v>
      </c>
      <c r="F289">
        <v>76031</v>
      </c>
      <c r="G289" t="s">
        <v>885</v>
      </c>
    </row>
    <row r="290" spans="1:7">
      <c r="A290" t="s">
        <v>1691</v>
      </c>
      <c r="B290" t="s">
        <v>414</v>
      </c>
      <c r="D290" t="s">
        <v>1363</v>
      </c>
      <c r="E290" t="s">
        <v>1754</v>
      </c>
      <c r="F290">
        <v>52001</v>
      </c>
      <c r="G290" t="s">
        <v>1755</v>
      </c>
    </row>
    <row r="291" spans="1:7">
      <c r="A291" t="s">
        <v>1691</v>
      </c>
      <c r="B291" t="s">
        <v>414</v>
      </c>
      <c r="D291" t="s">
        <v>1446</v>
      </c>
      <c r="E291" t="s">
        <v>1944</v>
      </c>
      <c r="F291">
        <v>56017</v>
      </c>
      <c r="G291" t="s">
        <v>1945</v>
      </c>
    </row>
    <row r="292" spans="1:7">
      <c r="A292" t="s">
        <v>2936</v>
      </c>
      <c r="C292" t="s">
        <v>414</v>
      </c>
      <c r="D292" t="s">
        <v>2407</v>
      </c>
      <c r="E292" t="s">
        <v>2708</v>
      </c>
      <c r="F292">
        <v>56017</v>
      </c>
      <c r="G292" t="s">
        <v>1945</v>
      </c>
    </row>
    <row r="293" spans="1:7">
      <c r="A293" t="s">
        <v>1691</v>
      </c>
      <c r="B293" t="s">
        <v>414</v>
      </c>
      <c r="D293" t="s">
        <v>1449</v>
      </c>
      <c r="E293" t="s">
        <v>1950</v>
      </c>
      <c r="F293">
        <v>94010</v>
      </c>
      <c r="G293" t="s">
        <v>1015</v>
      </c>
    </row>
    <row r="294" spans="1:7">
      <c r="A294" t="s">
        <v>2936</v>
      </c>
      <c r="C294" t="s">
        <v>414</v>
      </c>
      <c r="D294" t="s">
        <v>2408</v>
      </c>
      <c r="E294" t="s">
        <v>1950</v>
      </c>
      <c r="F294">
        <v>94010</v>
      </c>
      <c r="G294" t="s">
        <v>1015</v>
      </c>
    </row>
    <row r="295" spans="1:7">
      <c r="A295" t="s">
        <v>1691</v>
      </c>
      <c r="B295" t="s">
        <v>414</v>
      </c>
      <c r="D295" t="s">
        <v>1450</v>
      </c>
      <c r="E295" t="s">
        <v>1951</v>
      </c>
      <c r="F295">
        <v>83608</v>
      </c>
      <c r="G295" t="s">
        <v>1952</v>
      </c>
    </row>
    <row r="296" spans="1:7">
      <c r="A296" t="s">
        <v>2936</v>
      </c>
      <c r="C296" t="s">
        <v>414</v>
      </c>
      <c r="D296" t="s">
        <v>2409</v>
      </c>
      <c r="E296" t="s">
        <v>1951</v>
      </c>
      <c r="F296">
        <v>83608</v>
      </c>
      <c r="G296" t="s">
        <v>1952</v>
      </c>
    </row>
    <row r="297" spans="1:7">
      <c r="A297" t="s">
        <v>2936</v>
      </c>
      <c r="C297" t="s">
        <v>414</v>
      </c>
      <c r="D297" t="s">
        <v>2410</v>
      </c>
      <c r="E297" t="s">
        <v>2709</v>
      </c>
      <c r="F297">
        <v>4101</v>
      </c>
      <c r="G297" t="s">
        <v>2710</v>
      </c>
    </row>
    <row r="298" spans="1:7">
      <c r="A298" t="s">
        <v>2936</v>
      </c>
      <c r="C298" t="s">
        <v>414</v>
      </c>
      <c r="D298" t="s">
        <v>2411</v>
      </c>
      <c r="E298" t="s">
        <v>2711</v>
      </c>
      <c r="F298">
        <v>78250</v>
      </c>
      <c r="G298" t="s">
        <v>2712</v>
      </c>
    </row>
    <row r="299" spans="1:7">
      <c r="A299" t="s">
        <v>1691</v>
      </c>
      <c r="B299" t="s">
        <v>414</v>
      </c>
      <c r="D299" t="s">
        <v>1453</v>
      </c>
      <c r="E299" t="s">
        <v>1957</v>
      </c>
      <c r="F299">
        <v>25304</v>
      </c>
      <c r="G299" t="s">
        <v>1958</v>
      </c>
    </row>
    <row r="300" spans="1:7">
      <c r="A300" t="s">
        <v>2936</v>
      </c>
      <c r="C300" t="s">
        <v>414</v>
      </c>
      <c r="D300" t="s">
        <v>2412</v>
      </c>
      <c r="E300" t="s">
        <v>2713</v>
      </c>
      <c r="F300">
        <v>94195</v>
      </c>
      <c r="G300" t="s">
        <v>1962</v>
      </c>
    </row>
    <row r="301" spans="1:7">
      <c r="A301" t="s">
        <v>1691</v>
      </c>
      <c r="B301" t="s">
        <v>414</v>
      </c>
      <c r="D301" t="s">
        <v>1455</v>
      </c>
      <c r="E301" t="s">
        <v>1961</v>
      </c>
      <c r="F301">
        <v>94195</v>
      </c>
      <c r="G301" t="s">
        <v>1962</v>
      </c>
    </row>
    <row r="302" spans="1:7">
      <c r="A302" t="s">
        <v>2936</v>
      </c>
      <c r="C302" t="s">
        <v>414</v>
      </c>
      <c r="D302" t="s">
        <v>2413</v>
      </c>
      <c r="E302" t="s">
        <v>1963</v>
      </c>
      <c r="F302">
        <v>40024</v>
      </c>
      <c r="G302" t="s">
        <v>1964</v>
      </c>
    </row>
    <row r="303" spans="1:7">
      <c r="A303" t="s">
        <v>1691</v>
      </c>
      <c r="B303" t="s">
        <v>414</v>
      </c>
      <c r="D303" t="s">
        <v>1456</v>
      </c>
      <c r="E303" t="s">
        <v>1963</v>
      </c>
      <c r="F303">
        <v>40024</v>
      </c>
      <c r="G303" t="s">
        <v>1964</v>
      </c>
    </row>
    <row r="304" spans="1:7">
      <c r="A304" t="s">
        <v>2936</v>
      </c>
      <c r="C304" t="s">
        <v>414</v>
      </c>
      <c r="D304" t="s">
        <v>2414</v>
      </c>
      <c r="E304" t="s">
        <v>2714</v>
      </c>
      <c r="F304">
        <v>78303</v>
      </c>
      <c r="G304" t="s">
        <v>2715</v>
      </c>
    </row>
    <row r="305" spans="1:7">
      <c r="A305" t="s">
        <v>1691</v>
      </c>
      <c r="B305" t="s">
        <v>414</v>
      </c>
      <c r="D305" t="s">
        <v>1457</v>
      </c>
      <c r="E305" t="s">
        <v>1965</v>
      </c>
      <c r="F305">
        <v>78100</v>
      </c>
      <c r="G305" t="s">
        <v>1966</v>
      </c>
    </row>
    <row r="306" spans="1:7">
      <c r="A306" t="s">
        <v>1691</v>
      </c>
      <c r="B306" t="s">
        <v>414</v>
      </c>
      <c r="D306" t="s">
        <v>1459</v>
      </c>
      <c r="E306" t="s">
        <v>1969</v>
      </c>
      <c r="F306">
        <v>13616</v>
      </c>
      <c r="G306" t="s">
        <v>1970</v>
      </c>
    </row>
    <row r="307" spans="1:7">
      <c r="A307" t="s">
        <v>2936</v>
      </c>
      <c r="C307" t="s">
        <v>414</v>
      </c>
      <c r="D307" t="s">
        <v>2415</v>
      </c>
      <c r="E307" t="s">
        <v>1969</v>
      </c>
      <c r="F307">
        <v>13616</v>
      </c>
      <c r="G307" t="s">
        <v>1970</v>
      </c>
    </row>
    <row r="308" spans="1:7">
      <c r="A308" t="s">
        <v>1691</v>
      </c>
      <c r="B308" t="s">
        <v>414</v>
      </c>
      <c r="D308" t="s">
        <v>1462</v>
      </c>
      <c r="E308" t="s">
        <v>1974</v>
      </c>
      <c r="F308">
        <v>61014</v>
      </c>
      <c r="G308" t="s">
        <v>1975</v>
      </c>
    </row>
    <row r="309" spans="1:7">
      <c r="A309" t="s">
        <v>2936</v>
      </c>
      <c r="C309" t="s">
        <v>414</v>
      </c>
      <c r="D309" t="s">
        <v>2416</v>
      </c>
      <c r="E309" t="s">
        <v>1974</v>
      </c>
      <c r="F309">
        <v>61014</v>
      </c>
      <c r="G309" t="s">
        <v>2716</v>
      </c>
    </row>
    <row r="310" spans="1:7">
      <c r="A310" t="s">
        <v>1691</v>
      </c>
      <c r="B310" t="s">
        <v>414</v>
      </c>
      <c r="D310" t="s">
        <v>1465</v>
      </c>
      <c r="E310" t="s">
        <v>1979</v>
      </c>
      <c r="F310">
        <v>73106</v>
      </c>
      <c r="G310" t="s">
        <v>1980</v>
      </c>
    </row>
    <row r="311" spans="1:7">
      <c r="A311" t="s">
        <v>2936</v>
      </c>
      <c r="C311" t="s">
        <v>414</v>
      </c>
      <c r="D311" t="s">
        <v>2417</v>
      </c>
      <c r="E311" t="s">
        <v>2717</v>
      </c>
      <c r="F311">
        <v>59037</v>
      </c>
      <c r="G311" t="s">
        <v>871</v>
      </c>
    </row>
    <row r="312" spans="1:7">
      <c r="A312" t="s">
        <v>2936</v>
      </c>
      <c r="C312" t="s">
        <v>414</v>
      </c>
      <c r="D312" t="s">
        <v>2418</v>
      </c>
      <c r="E312" t="s">
        <v>2718</v>
      </c>
      <c r="F312">
        <v>29609</v>
      </c>
      <c r="G312" t="s">
        <v>862</v>
      </c>
    </row>
    <row r="313" spans="1:7">
      <c r="A313" t="s">
        <v>1691</v>
      </c>
      <c r="B313" t="s">
        <v>414</v>
      </c>
      <c r="D313" t="s">
        <v>1471</v>
      </c>
      <c r="E313" t="s">
        <v>1989</v>
      </c>
      <c r="F313">
        <v>37044</v>
      </c>
      <c r="G313" t="s">
        <v>818</v>
      </c>
    </row>
    <row r="314" spans="1:7">
      <c r="A314" t="s">
        <v>2936</v>
      </c>
      <c r="C314" t="s">
        <v>414</v>
      </c>
      <c r="D314" t="s">
        <v>2420</v>
      </c>
      <c r="E314" t="s">
        <v>1993</v>
      </c>
      <c r="F314">
        <v>54511</v>
      </c>
      <c r="G314" t="s">
        <v>850</v>
      </c>
    </row>
    <row r="315" spans="1:7">
      <c r="A315" t="s">
        <v>2936</v>
      </c>
      <c r="C315" t="s">
        <v>414</v>
      </c>
      <c r="D315" t="s">
        <v>2419</v>
      </c>
      <c r="E315" t="s">
        <v>1991</v>
      </c>
      <c r="F315">
        <v>54035</v>
      </c>
      <c r="G315" t="s">
        <v>1992</v>
      </c>
    </row>
    <row r="316" spans="1:7">
      <c r="A316" t="s">
        <v>1691</v>
      </c>
      <c r="B316" t="s">
        <v>414</v>
      </c>
      <c r="D316" t="s">
        <v>1473</v>
      </c>
      <c r="E316" t="s">
        <v>1991</v>
      </c>
      <c r="F316">
        <v>54035</v>
      </c>
      <c r="G316" t="s">
        <v>1992</v>
      </c>
    </row>
    <row r="317" spans="1:7">
      <c r="A317" t="s">
        <v>1691</v>
      </c>
      <c r="B317" t="s">
        <v>414</v>
      </c>
      <c r="D317" t="s">
        <v>1474</v>
      </c>
      <c r="E317" t="s">
        <v>1993</v>
      </c>
      <c r="F317">
        <v>54511</v>
      </c>
      <c r="G317" t="s">
        <v>850</v>
      </c>
    </row>
    <row r="318" spans="1:7">
      <c r="A318" t="s">
        <v>1691</v>
      </c>
      <c r="B318" t="s">
        <v>414</v>
      </c>
      <c r="D318" t="s">
        <v>1476</v>
      </c>
      <c r="E318" t="s">
        <v>1996</v>
      </c>
      <c r="F318">
        <v>35000</v>
      </c>
      <c r="G318" t="s">
        <v>1702</v>
      </c>
    </row>
    <row r="319" spans="1:7">
      <c r="A319" t="s">
        <v>1691</v>
      </c>
      <c r="B319" t="s">
        <v>414</v>
      </c>
      <c r="D319" t="s">
        <v>1480</v>
      </c>
      <c r="E319" t="s">
        <v>1847</v>
      </c>
      <c r="F319">
        <v>97261</v>
      </c>
      <c r="G319" t="s">
        <v>2001</v>
      </c>
    </row>
    <row r="320" spans="1:7">
      <c r="A320" t="s">
        <v>1691</v>
      </c>
      <c r="B320" t="s">
        <v>414</v>
      </c>
      <c r="D320" t="s">
        <v>1482</v>
      </c>
      <c r="E320" t="s">
        <v>2004</v>
      </c>
      <c r="F320">
        <v>44800</v>
      </c>
      <c r="G320" t="s">
        <v>2005</v>
      </c>
    </row>
    <row r="321" spans="1:7">
      <c r="A321" t="s">
        <v>1691</v>
      </c>
      <c r="B321" t="s">
        <v>414</v>
      </c>
      <c r="D321" t="s">
        <v>1483</v>
      </c>
      <c r="E321" t="s">
        <v>2006</v>
      </c>
      <c r="F321">
        <v>6202</v>
      </c>
      <c r="G321" t="s">
        <v>836</v>
      </c>
    </row>
    <row r="322" spans="1:7">
      <c r="A322" t="s">
        <v>1691</v>
      </c>
      <c r="B322" t="s">
        <v>414</v>
      </c>
      <c r="D322" t="s">
        <v>1484</v>
      </c>
      <c r="E322" t="s">
        <v>2007</v>
      </c>
      <c r="F322">
        <v>86106</v>
      </c>
      <c r="G322" t="s">
        <v>2008</v>
      </c>
    </row>
    <row r="323" spans="1:7">
      <c r="A323" t="s">
        <v>1691</v>
      </c>
      <c r="B323" t="s">
        <v>414</v>
      </c>
      <c r="D323" t="s">
        <v>1485</v>
      </c>
      <c r="E323" t="s">
        <v>2009</v>
      </c>
      <c r="F323">
        <v>25030</v>
      </c>
      <c r="G323" t="s">
        <v>874</v>
      </c>
    </row>
    <row r="324" spans="1:7">
      <c r="A324" t="s">
        <v>1691</v>
      </c>
      <c r="B324" t="s">
        <v>414</v>
      </c>
      <c r="D324" t="s">
        <v>1488</v>
      </c>
      <c r="E324" t="s">
        <v>2012</v>
      </c>
      <c r="F324">
        <v>97405</v>
      </c>
      <c r="G324" t="s">
        <v>1866</v>
      </c>
    </row>
    <row r="325" spans="1:7">
      <c r="A325" t="s">
        <v>2936</v>
      </c>
      <c r="C325" t="s">
        <v>414</v>
      </c>
      <c r="D325" t="s">
        <v>2423</v>
      </c>
      <c r="E325" t="s">
        <v>2719</v>
      </c>
      <c r="F325">
        <v>97405</v>
      </c>
      <c r="G325" t="s">
        <v>1866</v>
      </c>
    </row>
    <row r="326" spans="1:7">
      <c r="A326" t="s">
        <v>2936</v>
      </c>
      <c r="C326" t="s">
        <v>414</v>
      </c>
      <c r="D326" t="s">
        <v>2514</v>
      </c>
      <c r="E326" t="s">
        <v>2836</v>
      </c>
      <c r="F326">
        <v>67091</v>
      </c>
      <c r="G326" t="s">
        <v>2056</v>
      </c>
    </row>
    <row r="327" spans="1:7">
      <c r="A327" t="s">
        <v>2936</v>
      </c>
      <c r="C327" t="s">
        <v>414</v>
      </c>
      <c r="D327" t="s">
        <v>2424</v>
      </c>
      <c r="E327" t="s">
        <v>2720</v>
      </c>
      <c r="F327">
        <v>31082</v>
      </c>
      <c r="G327" t="s">
        <v>833</v>
      </c>
    </row>
    <row r="328" spans="1:7">
      <c r="A328" t="s">
        <v>2936</v>
      </c>
      <c r="C328" t="s">
        <v>414</v>
      </c>
      <c r="D328" t="s">
        <v>2425</v>
      </c>
      <c r="E328" t="s">
        <v>2721</v>
      </c>
      <c r="F328">
        <v>34070</v>
      </c>
      <c r="G328" t="s">
        <v>858</v>
      </c>
    </row>
    <row r="329" spans="1:7">
      <c r="A329" t="s">
        <v>1691</v>
      </c>
      <c r="B329" t="s">
        <v>414</v>
      </c>
      <c r="D329" t="s">
        <v>1490</v>
      </c>
      <c r="E329" t="s">
        <v>2015</v>
      </c>
      <c r="F329">
        <v>31130</v>
      </c>
      <c r="G329" t="s">
        <v>2016</v>
      </c>
    </row>
    <row r="330" spans="1:7">
      <c r="A330" t="s">
        <v>2936</v>
      </c>
      <c r="C330" t="s">
        <v>414</v>
      </c>
      <c r="D330" t="s">
        <v>2426</v>
      </c>
      <c r="E330" t="s">
        <v>2015</v>
      </c>
      <c r="F330">
        <v>31130</v>
      </c>
      <c r="G330" t="s">
        <v>2016</v>
      </c>
    </row>
    <row r="331" spans="1:7">
      <c r="A331" t="s">
        <v>2936</v>
      </c>
      <c r="C331" t="s">
        <v>414</v>
      </c>
      <c r="D331" t="s">
        <v>2427</v>
      </c>
      <c r="E331" t="s">
        <v>1724</v>
      </c>
      <c r="F331">
        <v>82000</v>
      </c>
      <c r="G331" t="s">
        <v>1899</v>
      </c>
    </row>
    <row r="332" spans="1:7">
      <c r="A332" t="s">
        <v>1691</v>
      </c>
      <c r="B332" t="s">
        <v>414</v>
      </c>
      <c r="D332" t="s">
        <v>1495</v>
      </c>
      <c r="E332" t="s">
        <v>2023</v>
      </c>
      <c r="F332">
        <v>31700</v>
      </c>
      <c r="G332" t="s">
        <v>2024</v>
      </c>
    </row>
    <row r="333" spans="1:7">
      <c r="A333" t="s">
        <v>2936</v>
      </c>
      <c r="C333" t="s">
        <v>414</v>
      </c>
      <c r="D333" t="s">
        <v>2428</v>
      </c>
      <c r="E333" t="s">
        <v>2023</v>
      </c>
      <c r="F333">
        <v>31700</v>
      </c>
      <c r="G333" t="s">
        <v>2024</v>
      </c>
    </row>
    <row r="334" spans="1:7">
      <c r="A334" t="s">
        <v>2936</v>
      </c>
      <c r="C334" t="s">
        <v>414</v>
      </c>
      <c r="D334" t="s">
        <v>2430</v>
      </c>
      <c r="E334" t="s">
        <v>2723</v>
      </c>
      <c r="F334">
        <v>66000</v>
      </c>
      <c r="G334" t="s">
        <v>1907</v>
      </c>
    </row>
    <row r="335" spans="1:7">
      <c r="A335" t="s">
        <v>2936</v>
      </c>
      <c r="C335" t="s">
        <v>414</v>
      </c>
      <c r="D335" t="s">
        <v>2429</v>
      </c>
      <c r="E335" t="s">
        <v>2722</v>
      </c>
      <c r="F335">
        <v>34960</v>
      </c>
      <c r="G335" t="s">
        <v>858</v>
      </c>
    </row>
    <row r="336" spans="1:7">
      <c r="A336" t="s">
        <v>1691</v>
      </c>
      <c r="B336" t="s">
        <v>414</v>
      </c>
      <c r="D336" t="s">
        <v>1498</v>
      </c>
      <c r="E336" t="s">
        <v>2028</v>
      </c>
      <c r="F336">
        <v>82000</v>
      </c>
      <c r="G336" t="s">
        <v>1899</v>
      </c>
    </row>
    <row r="337" spans="1:7">
      <c r="A337" t="s">
        <v>2936</v>
      </c>
      <c r="C337" t="s">
        <v>414</v>
      </c>
      <c r="D337" t="s">
        <v>2432</v>
      </c>
      <c r="E337" t="s">
        <v>2724</v>
      </c>
      <c r="F337">
        <v>31076</v>
      </c>
      <c r="G337" t="s">
        <v>833</v>
      </c>
    </row>
    <row r="338" spans="1:7">
      <c r="A338" t="s">
        <v>2936</v>
      </c>
      <c r="C338" t="s">
        <v>414</v>
      </c>
      <c r="D338" t="s">
        <v>2433</v>
      </c>
      <c r="E338" t="s">
        <v>2725</v>
      </c>
      <c r="F338">
        <v>34433</v>
      </c>
      <c r="G338" t="s">
        <v>2726</v>
      </c>
    </row>
    <row r="339" spans="1:7">
      <c r="A339" t="s">
        <v>2936</v>
      </c>
      <c r="C339" t="s">
        <v>414</v>
      </c>
      <c r="D339" t="s">
        <v>2434</v>
      </c>
      <c r="E339" t="s">
        <v>2727</v>
      </c>
      <c r="F339">
        <v>34190</v>
      </c>
      <c r="G339" t="s">
        <v>2728</v>
      </c>
    </row>
    <row r="340" spans="1:7">
      <c r="A340" t="s">
        <v>2936</v>
      </c>
      <c r="C340" t="s">
        <v>414</v>
      </c>
      <c r="D340" t="s">
        <v>2431</v>
      </c>
      <c r="E340" t="s">
        <v>2028</v>
      </c>
      <c r="F340">
        <v>82000</v>
      </c>
      <c r="G340" t="s">
        <v>1899</v>
      </c>
    </row>
    <row r="341" spans="1:7">
      <c r="A341" t="s">
        <v>2936</v>
      </c>
      <c r="C341" t="s">
        <v>414</v>
      </c>
      <c r="D341" t="s">
        <v>2892</v>
      </c>
      <c r="E341" t="s">
        <v>2893</v>
      </c>
      <c r="F341">
        <v>62460</v>
      </c>
      <c r="G341" t="s">
        <v>2894</v>
      </c>
    </row>
    <row r="342" spans="1:7">
      <c r="A342" t="s">
        <v>2936</v>
      </c>
      <c r="C342" t="s">
        <v>414</v>
      </c>
      <c r="D342" t="s">
        <v>2590</v>
      </c>
      <c r="E342" t="s">
        <v>2270</v>
      </c>
      <c r="F342">
        <v>57000</v>
      </c>
      <c r="G342" t="s">
        <v>2271</v>
      </c>
    </row>
    <row r="343" spans="1:7">
      <c r="A343" t="s">
        <v>2936</v>
      </c>
      <c r="C343" t="s">
        <v>414</v>
      </c>
      <c r="D343" t="s">
        <v>2534</v>
      </c>
      <c r="E343" t="s">
        <v>2200</v>
      </c>
      <c r="F343">
        <v>91480</v>
      </c>
      <c r="G343" t="s">
        <v>2201</v>
      </c>
    </row>
    <row r="344" spans="1:7">
      <c r="A344" t="s">
        <v>1691</v>
      </c>
      <c r="B344" t="s">
        <v>414</v>
      </c>
      <c r="D344" t="s">
        <v>637</v>
      </c>
      <c r="E344" t="s">
        <v>2031</v>
      </c>
      <c r="F344">
        <v>21079</v>
      </c>
      <c r="G344" t="s">
        <v>844</v>
      </c>
    </row>
    <row r="345" spans="1:7">
      <c r="A345" t="s">
        <v>2936</v>
      </c>
      <c r="C345" t="s">
        <v>414</v>
      </c>
      <c r="D345" t="s">
        <v>2435</v>
      </c>
      <c r="E345" t="s">
        <v>2031</v>
      </c>
      <c r="F345">
        <v>21079</v>
      </c>
      <c r="G345" t="s">
        <v>844</v>
      </c>
    </row>
    <row r="346" spans="1:7">
      <c r="A346" t="s">
        <v>1691</v>
      </c>
      <c r="B346" t="s">
        <v>414</v>
      </c>
      <c r="D346" t="s">
        <v>1500</v>
      </c>
      <c r="E346" t="s">
        <v>2032</v>
      </c>
      <c r="F346">
        <v>94669</v>
      </c>
      <c r="G346" t="s">
        <v>2033</v>
      </c>
    </row>
    <row r="347" spans="1:7">
      <c r="A347" t="s">
        <v>1691</v>
      </c>
      <c r="B347" t="s">
        <v>414</v>
      </c>
      <c r="D347" t="s">
        <v>694</v>
      </c>
      <c r="E347" t="s">
        <v>2035</v>
      </c>
      <c r="F347">
        <v>92210</v>
      </c>
      <c r="G347" t="s">
        <v>2036</v>
      </c>
    </row>
    <row r="348" spans="1:7">
      <c r="A348" t="s">
        <v>1691</v>
      </c>
      <c r="B348" t="s">
        <v>414</v>
      </c>
      <c r="D348" t="s">
        <v>639</v>
      </c>
      <c r="E348" t="s">
        <v>2038</v>
      </c>
      <c r="F348">
        <v>62660</v>
      </c>
      <c r="G348" t="s">
        <v>2039</v>
      </c>
    </row>
    <row r="349" spans="1:7">
      <c r="A349" t="s">
        <v>2936</v>
      </c>
      <c r="C349" t="s">
        <v>414</v>
      </c>
      <c r="D349" t="s">
        <v>2450</v>
      </c>
      <c r="E349" t="s">
        <v>2748</v>
      </c>
      <c r="F349">
        <v>91160</v>
      </c>
      <c r="G349" t="s">
        <v>976</v>
      </c>
    </row>
    <row r="350" spans="1:7">
      <c r="A350" t="s">
        <v>2936</v>
      </c>
      <c r="C350" t="s">
        <v>414</v>
      </c>
      <c r="D350" t="s">
        <v>2452</v>
      </c>
      <c r="E350" t="s">
        <v>2753</v>
      </c>
      <c r="F350">
        <v>23011</v>
      </c>
      <c r="G350" t="s">
        <v>2659</v>
      </c>
    </row>
    <row r="351" spans="1:7">
      <c r="A351" t="s">
        <v>2936</v>
      </c>
      <c r="C351" t="s">
        <v>414</v>
      </c>
      <c r="D351" t="s">
        <v>2453</v>
      </c>
      <c r="E351" t="s">
        <v>2754</v>
      </c>
      <c r="F351">
        <v>63100</v>
      </c>
      <c r="G351" t="s">
        <v>896</v>
      </c>
    </row>
    <row r="352" spans="1:7">
      <c r="A352" t="s">
        <v>2936</v>
      </c>
      <c r="C352" t="s">
        <v>414</v>
      </c>
      <c r="D352" t="s">
        <v>2454</v>
      </c>
      <c r="E352" t="s">
        <v>2755</v>
      </c>
      <c r="F352">
        <v>78200</v>
      </c>
      <c r="G352" t="s">
        <v>1862</v>
      </c>
    </row>
    <row r="353" spans="1:7">
      <c r="A353" t="s">
        <v>2936</v>
      </c>
      <c r="C353" t="s">
        <v>414</v>
      </c>
      <c r="D353" t="s">
        <v>653</v>
      </c>
      <c r="E353" t="s">
        <v>2749</v>
      </c>
      <c r="F353">
        <v>49044</v>
      </c>
      <c r="G353" t="s">
        <v>958</v>
      </c>
    </row>
    <row r="354" spans="1:7">
      <c r="A354" t="s">
        <v>2936</v>
      </c>
      <c r="C354" t="s">
        <v>414</v>
      </c>
      <c r="D354" t="s">
        <v>634</v>
      </c>
      <c r="E354" t="s">
        <v>2750</v>
      </c>
      <c r="F354">
        <v>17138</v>
      </c>
      <c r="G354" t="s">
        <v>2751</v>
      </c>
    </row>
    <row r="355" spans="1:7">
      <c r="A355" t="s">
        <v>2936</v>
      </c>
      <c r="C355" t="s">
        <v>414</v>
      </c>
      <c r="D355" t="s">
        <v>2451</v>
      </c>
      <c r="E355" t="s">
        <v>2752</v>
      </c>
      <c r="F355">
        <v>76040</v>
      </c>
      <c r="G355" t="s">
        <v>885</v>
      </c>
    </row>
    <row r="356" spans="1:7">
      <c r="A356" t="s">
        <v>2936</v>
      </c>
      <c r="C356" t="s">
        <v>414</v>
      </c>
      <c r="D356" t="s">
        <v>680</v>
      </c>
      <c r="E356" t="s">
        <v>2756</v>
      </c>
      <c r="F356">
        <v>77220</v>
      </c>
      <c r="G356" t="s">
        <v>2757</v>
      </c>
    </row>
    <row r="357" spans="1:7">
      <c r="A357" t="s">
        <v>2936</v>
      </c>
      <c r="C357" t="s">
        <v>414</v>
      </c>
      <c r="D357" t="s">
        <v>662</v>
      </c>
      <c r="E357" t="s">
        <v>2758</v>
      </c>
      <c r="F357">
        <v>62780</v>
      </c>
      <c r="G357" t="s">
        <v>2759</v>
      </c>
    </row>
    <row r="358" spans="1:7">
      <c r="A358" t="s">
        <v>2936</v>
      </c>
      <c r="C358" t="s">
        <v>414</v>
      </c>
      <c r="D358" t="s">
        <v>640</v>
      </c>
      <c r="E358" t="s">
        <v>2760</v>
      </c>
      <c r="F358">
        <v>38130</v>
      </c>
      <c r="G358" t="s">
        <v>2761</v>
      </c>
    </row>
    <row r="359" spans="1:7">
      <c r="A359" t="s">
        <v>2936</v>
      </c>
      <c r="C359" t="s">
        <v>414</v>
      </c>
      <c r="D359" t="s">
        <v>2455</v>
      </c>
      <c r="E359" t="s">
        <v>2762</v>
      </c>
      <c r="F359">
        <v>18206</v>
      </c>
      <c r="G359" t="s">
        <v>2763</v>
      </c>
    </row>
    <row r="360" spans="1:7">
      <c r="A360" t="s">
        <v>2936</v>
      </c>
      <c r="C360" t="s">
        <v>414</v>
      </c>
      <c r="D360" t="s">
        <v>661</v>
      </c>
      <c r="E360" t="s">
        <v>2764</v>
      </c>
      <c r="F360">
        <v>59360</v>
      </c>
      <c r="G360" t="s">
        <v>2765</v>
      </c>
    </row>
    <row r="361" spans="1:7">
      <c r="A361" t="s">
        <v>2936</v>
      </c>
      <c r="C361" t="s">
        <v>414</v>
      </c>
      <c r="D361" t="s">
        <v>668</v>
      </c>
      <c r="E361" t="s">
        <v>2766</v>
      </c>
      <c r="F361">
        <v>68200</v>
      </c>
      <c r="G361" t="s">
        <v>2163</v>
      </c>
    </row>
    <row r="362" spans="1:7">
      <c r="A362" t="s">
        <v>2936</v>
      </c>
      <c r="C362" t="s">
        <v>414</v>
      </c>
      <c r="D362" t="s">
        <v>627</v>
      </c>
      <c r="E362" t="s">
        <v>2767</v>
      </c>
      <c r="F362">
        <v>6130</v>
      </c>
      <c r="G362" t="s">
        <v>2768</v>
      </c>
    </row>
    <row r="363" spans="1:7">
      <c r="A363" t="s">
        <v>2936</v>
      </c>
      <c r="C363" t="s">
        <v>414</v>
      </c>
      <c r="D363" t="s">
        <v>2456</v>
      </c>
      <c r="E363" t="s">
        <v>2769</v>
      </c>
      <c r="F363">
        <v>60000</v>
      </c>
      <c r="G363" t="s">
        <v>1788</v>
      </c>
    </row>
    <row r="364" spans="1:7">
      <c r="A364" t="s">
        <v>2936</v>
      </c>
      <c r="C364" t="s">
        <v>414</v>
      </c>
      <c r="D364" t="s">
        <v>2457</v>
      </c>
      <c r="E364" t="s">
        <v>2770</v>
      </c>
      <c r="F364">
        <v>42276</v>
      </c>
      <c r="G364" t="s">
        <v>877</v>
      </c>
    </row>
    <row r="365" spans="1:7">
      <c r="A365" t="s">
        <v>2936</v>
      </c>
      <c r="C365" t="s">
        <v>414</v>
      </c>
      <c r="D365" t="s">
        <v>675</v>
      </c>
      <c r="E365" t="s">
        <v>2771</v>
      </c>
      <c r="F365">
        <v>72018</v>
      </c>
      <c r="G365" t="s">
        <v>1883</v>
      </c>
    </row>
    <row r="366" spans="1:7">
      <c r="A366" t="s">
        <v>2936</v>
      </c>
      <c r="C366" t="s">
        <v>414</v>
      </c>
      <c r="D366" t="s">
        <v>2459</v>
      </c>
      <c r="E366" t="s">
        <v>2773</v>
      </c>
      <c r="F366">
        <v>41100</v>
      </c>
      <c r="G366" t="s">
        <v>2774</v>
      </c>
    </row>
    <row r="367" spans="1:7">
      <c r="A367" t="s">
        <v>1691</v>
      </c>
      <c r="B367" t="s">
        <v>414</v>
      </c>
      <c r="D367" t="s">
        <v>698</v>
      </c>
      <c r="E367" t="s">
        <v>2068</v>
      </c>
      <c r="F367">
        <v>94320</v>
      </c>
      <c r="G367" t="s">
        <v>2069</v>
      </c>
    </row>
    <row r="368" spans="1:7">
      <c r="A368" t="s">
        <v>1691</v>
      </c>
      <c r="B368" t="s">
        <v>414</v>
      </c>
      <c r="D368" t="s">
        <v>1516</v>
      </c>
      <c r="E368" t="s">
        <v>2070</v>
      </c>
      <c r="F368">
        <v>69130</v>
      </c>
      <c r="G368" t="s">
        <v>2071</v>
      </c>
    </row>
    <row r="369" spans="1:7">
      <c r="A369" t="s">
        <v>2936</v>
      </c>
      <c r="C369" t="s">
        <v>414</v>
      </c>
      <c r="D369" t="s">
        <v>2460</v>
      </c>
      <c r="E369" t="s">
        <v>2070</v>
      </c>
      <c r="F369">
        <v>69130</v>
      </c>
      <c r="G369" t="s">
        <v>2071</v>
      </c>
    </row>
    <row r="370" spans="1:7">
      <c r="A370" t="s">
        <v>1691</v>
      </c>
      <c r="B370" t="s">
        <v>414</v>
      </c>
      <c r="D370" t="s">
        <v>1517</v>
      </c>
      <c r="E370" t="s">
        <v>2072</v>
      </c>
      <c r="F370">
        <v>87039</v>
      </c>
      <c r="G370" t="s">
        <v>855</v>
      </c>
    </row>
    <row r="371" spans="1:7">
      <c r="A371" t="s">
        <v>1691</v>
      </c>
      <c r="B371" t="s">
        <v>414</v>
      </c>
      <c r="D371" t="s">
        <v>1518</v>
      </c>
      <c r="E371" t="s">
        <v>2073</v>
      </c>
      <c r="F371">
        <v>74000</v>
      </c>
      <c r="G371" t="s">
        <v>2074</v>
      </c>
    </row>
    <row r="372" spans="1:7">
      <c r="A372" t="s">
        <v>1691</v>
      </c>
      <c r="B372" t="s">
        <v>414</v>
      </c>
      <c r="D372" t="s">
        <v>1519</v>
      </c>
      <c r="E372" t="s">
        <v>2075</v>
      </c>
      <c r="F372">
        <v>26000</v>
      </c>
      <c r="G372" t="s">
        <v>1842</v>
      </c>
    </row>
    <row r="373" spans="1:7">
      <c r="A373" t="s">
        <v>1691</v>
      </c>
      <c r="B373" t="s">
        <v>414</v>
      </c>
      <c r="D373" t="s">
        <v>677</v>
      </c>
      <c r="E373" t="s">
        <v>2076</v>
      </c>
      <c r="F373">
        <v>75017</v>
      </c>
      <c r="G373" t="s">
        <v>700</v>
      </c>
    </row>
    <row r="374" spans="1:7">
      <c r="A374" t="s">
        <v>2936</v>
      </c>
      <c r="C374" t="s">
        <v>414</v>
      </c>
      <c r="D374" t="s">
        <v>2470</v>
      </c>
      <c r="E374" t="s">
        <v>2787</v>
      </c>
      <c r="F374">
        <v>19316</v>
      </c>
      <c r="G374" t="s">
        <v>1735</v>
      </c>
    </row>
    <row r="375" spans="1:7">
      <c r="A375" t="s">
        <v>1691</v>
      </c>
      <c r="B375" t="s">
        <v>414</v>
      </c>
      <c r="D375" t="s">
        <v>1520</v>
      </c>
      <c r="E375" t="s">
        <v>2077</v>
      </c>
      <c r="F375">
        <v>76600</v>
      </c>
      <c r="G375" t="s">
        <v>2078</v>
      </c>
    </row>
    <row r="376" spans="1:7">
      <c r="A376" t="s">
        <v>2936</v>
      </c>
      <c r="C376" t="s">
        <v>414</v>
      </c>
      <c r="D376" t="s">
        <v>699</v>
      </c>
      <c r="E376" t="s">
        <v>2181</v>
      </c>
      <c r="F376">
        <v>69200</v>
      </c>
      <c r="G376" t="s">
        <v>2182</v>
      </c>
    </row>
    <row r="377" spans="1:7">
      <c r="A377" t="s">
        <v>1691</v>
      </c>
      <c r="B377" t="s">
        <v>414</v>
      </c>
      <c r="D377" t="s">
        <v>654</v>
      </c>
      <c r="E377" t="s">
        <v>2079</v>
      </c>
      <c r="F377">
        <v>54271</v>
      </c>
      <c r="G377" t="s">
        <v>2080</v>
      </c>
    </row>
    <row r="378" spans="1:7">
      <c r="A378" t="s">
        <v>1691</v>
      </c>
      <c r="B378" t="s">
        <v>414</v>
      </c>
      <c r="D378" t="s">
        <v>1521</v>
      </c>
      <c r="E378" t="s">
        <v>2081</v>
      </c>
      <c r="F378">
        <v>76000</v>
      </c>
      <c r="G378" t="s">
        <v>885</v>
      </c>
    </row>
    <row r="379" spans="1:7">
      <c r="A379" t="s">
        <v>2936</v>
      </c>
      <c r="C379" t="s">
        <v>414</v>
      </c>
      <c r="D379" t="s">
        <v>2476</v>
      </c>
      <c r="E379" t="s">
        <v>2791</v>
      </c>
      <c r="F379">
        <v>77000</v>
      </c>
      <c r="G379" t="s">
        <v>1827</v>
      </c>
    </row>
    <row r="380" spans="1:7">
      <c r="A380" t="s">
        <v>1691</v>
      </c>
      <c r="B380" t="s">
        <v>414</v>
      </c>
      <c r="D380" t="s">
        <v>1522</v>
      </c>
      <c r="E380" t="s">
        <v>2082</v>
      </c>
      <c r="F380">
        <v>77100</v>
      </c>
      <c r="G380" t="s">
        <v>2083</v>
      </c>
    </row>
    <row r="381" spans="1:7">
      <c r="A381" t="s">
        <v>1691</v>
      </c>
      <c r="B381" t="s">
        <v>414</v>
      </c>
      <c r="D381" t="s">
        <v>1523</v>
      </c>
      <c r="E381" t="s">
        <v>2084</v>
      </c>
      <c r="F381">
        <v>69110</v>
      </c>
      <c r="G381" t="s">
        <v>2085</v>
      </c>
    </row>
    <row r="382" spans="1:7">
      <c r="A382" t="s">
        <v>1691</v>
      </c>
      <c r="B382" t="s">
        <v>414</v>
      </c>
      <c r="D382" t="s">
        <v>1524</v>
      </c>
      <c r="E382" t="s">
        <v>2086</v>
      </c>
      <c r="F382">
        <v>76550</v>
      </c>
      <c r="G382" t="s">
        <v>2087</v>
      </c>
    </row>
    <row r="383" spans="1:7">
      <c r="A383" t="s">
        <v>1691</v>
      </c>
      <c r="B383" t="s">
        <v>414</v>
      </c>
      <c r="D383" t="s">
        <v>636</v>
      </c>
      <c r="E383" t="s">
        <v>2088</v>
      </c>
      <c r="F383">
        <v>21240</v>
      </c>
      <c r="G383" t="s">
        <v>2089</v>
      </c>
    </row>
    <row r="384" spans="1:7">
      <c r="A384" t="s">
        <v>2936</v>
      </c>
      <c r="C384" t="s">
        <v>414</v>
      </c>
      <c r="D384" t="s">
        <v>2479</v>
      </c>
      <c r="E384" t="s">
        <v>2792</v>
      </c>
      <c r="F384">
        <v>21240</v>
      </c>
      <c r="G384" t="s">
        <v>2089</v>
      </c>
    </row>
    <row r="385" spans="1:7">
      <c r="A385" t="s">
        <v>2936</v>
      </c>
      <c r="C385" t="s">
        <v>414</v>
      </c>
      <c r="D385" t="s">
        <v>2480</v>
      </c>
      <c r="E385" t="s">
        <v>2793</v>
      </c>
      <c r="F385">
        <v>35000</v>
      </c>
      <c r="G385" t="s">
        <v>1702</v>
      </c>
    </row>
    <row r="386" spans="1:7">
      <c r="A386" t="s">
        <v>2936</v>
      </c>
      <c r="C386" t="s">
        <v>414</v>
      </c>
      <c r="D386" t="s">
        <v>656</v>
      </c>
      <c r="E386" t="s">
        <v>2797</v>
      </c>
      <c r="F386">
        <v>56324</v>
      </c>
      <c r="G386" t="s">
        <v>2128</v>
      </c>
    </row>
    <row r="387" spans="1:7">
      <c r="A387" t="s">
        <v>2936</v>
      </c>
      <c r="C387" t="s">
        <v>414</v>
      </c>
      <c r="D387" t="s">
        <v>2484</v>
      </c>
      <c r="E387" t="s">
        <v>2798</v>
      </c>
      <c r="F387">
        <v>14500</v>
      </c>
      <c r="G387" t="s">
        <v>2799</v>
      </c>
    </row>
    <row r="388" spans="1:7">
      <c r="A388" t="s">
        <v>1691</v>
      </c>
      <c r="B388" t="s">
        <v>414</v>
      </c>
      <c r="D388" t="s">
        <v>630</v>
      </c>
      <c r="E388" t="s">
        <v>2090</v>
      </c>
      <c r="F388">
        <v>91130</v>
      </c>
      <c r="G388" t="s">
        <v>2091</v>
      </c>
    </row>
    <row r="389" spans="1:7">
      <c r="A389" t="s">
        <v>1691</v>
      </c>
      <c r="B389" t="s">
        <v>414</v>
      </c>
      <c r="D389" t="s">
        <v>1525</v>
      </c>
      <c r="E389" t="s">
        <v>2092</v>
      </c>
      <c r="F389">
        <v>29229</v>
      </c>
      <c r="G389" t="s">
        <v>862</v>
      </c>
    </row>
    <row r="390" spans="1:7">
      <c r="A390" t="s">
        <v>1691</v>
      </c>
      <c r="B390" t="s">
        <v>414</v>
      </c>
      <c r="D390" t="s">
        <v>691</v>
      </c>
      <c r="E390" t="s">
        <v>2093</v>
      </c>
      <c r="F390">
        <v>89100</v>
      </c>
      <c r="G390" t="s">
        <v>1921</v>
      </c>
    </row>
    <row r="391" spans="1:7">
      <c r="A391" t="s">
        <v>1691</v>
      </c>
      <c r="B391" t="s">
        <v>414</v>
      </c>
      <c r="D391" t="s">
        <v>628</v>
      </c>
      <c r="E391" t="s">
        <v>2094</v>
      </c>
      <c r="F391">
        <v>6105</v>
      </c>
      <c r="G391" t="s">
        <v>836</v>
      </c>
    </row>
    <row r="392" spans="1:7">
      <c r="A392" t="s">
        <v>1691</v>
      </c>
      <c r="B392" t="s">
        <v>414</v>
      </c>
      <c r="D392" t="s">
        <v>1526</v>
      </c>
      <c r="E392" t="s">
        <v>2095</v>
      </c>
      <c r="F392">
        <v>75007</v>
      </c>
      <c r="G392" t="s">
        <v>700</v>
      </c>
    </row>
    <row r="393" spans="1:7">
      <c r="A393" t="s">
        <v>1691</v>
      </c>
      <c r="B393" t="s">
        <v>414</v>
      </c>
      <c r="D393" t="s">
        <v>1527</v>
      </c>
      <c r="E393" t="s">
        <v>2096</v>
      </c>
      <c r="F393">
        <v>77000</v>
      </c>
      <c r="G393" t="s">
        <v>1827</v>
      </c>
    </row>
    <row r="394" spans="1:7">
      <c r="A394" t="s">
        <v>1691</v>
      </c>
      <c r="B394" t="s">
        <v>414</v>
      </c>
      <c r="D394" t="s">
        <v>1528</v>
      </c>
      <c r="E394" t="s">
        <v>2097</v>
      </c>
      <c r="F394">
        <v>49804</v>
      </c>
      <c r="G394" t="s">
        <v>2098</v>
      </c>
    </row>
    <row r="395" spans="1:7">
      <c r="A395" t="s">
        <v>2936</v>
      </c>
      <c r="C395" t="s">
        <v>414</v>
      </c>
      <c r="D395" t="s">
        <v>2498</v>
      </c>
      <c r="E395" t="s">
        <v>2813</v>
      </c>
      <c r="F395">
        <v>44110</v>
      </c>
      <c r="G395" t="s">
        <v>2814</v>
      </c>
    </row>
    <row r="396" spans="1:7">
      <c r="A396" t="s">
        <v>2936</v>
      </c>
      <c r="C396" t="s">
        <v>414</v>
      </c>
      <c r="D396" t="s">
        <v>2500</v>
      </c>
      <c r="E396" t="s">
        <v>2816</v>
      </c>
      <c r="F396">
        <v>85204</v>
      </c>
      <c r="G396" t="s">
        <v>2817</v>
      </c>
    </row>
    <row r="397" spans="1:7">
      <c r="A397" t="s">
        <v>2936</v>
      </c>
      <c r="C397" t="s">
        <v>414</v>
      </c>
      <c r="D397" t="s">
        <v>2504</v>
      </c>
      <c r="E397" t="s">
        <v>2821</v>
      </c>
      <c r="F397">
        <v>20000</v>
      </c>
      <c r="G397" t="s">
        <v>2700</v>
      </c>
    </row>
    <row r="398" spans="1:7">
      <c r="A398" t="s">
        <v>2936</v>
      </c>
      <c r="C398" t="s">
        <v>414</v>
      </c>
      <c r="D398" t="s">
        <v>2553</v>
      </c>
      <c r="E398" t="s">
        <v>2219</v>
      </c>
      <c r="F398">
        <v>44277</v>
      </c>
      <c r="G398" t="s">
        <v>2003</v>
      </c>
    </row>
    <row r="399" spans="1:7">
      <c r="A399" t="s">
        <v>2936</v>
      </c>
      <c r="C399" t="s">
        <v>414</v>
      </c>
      <c r="D399" t="s">
        <v>2445</v>
      </c>
      <c r="E399" t="s">
        <v>2740</v>
      </c>
      <c r="F399">
        <v>95290</v>
      </c>
      <c r="G399" t="s">
        <v>2741</v>
      </c>
    </row>
    <row r="400" spans="1:7">
      <c r="A400" t="s">
        <v>2936</v>
      </c>
      <c r="C400" t="s">
        <v>414</v>
      </c>
      <c r="D400" t="s">
        <v>2579</v>
      </c>
      <c r="E400" t="s">
        <v>2252</v>
      </c>
      <c r="F400">
        <v>22190</v>
      </c>
      <c r="G400" t="s">
        <v>1000</v>
      </c>
    </row>
    <row r="401" spans="1:7">
      <c r="A401" t="s">
        <v>1691</v>
      </c>
      <c r="B401" t="s">
        <v>414</v>
      </c>
      <c r="D401" t="s">
        <v>1539</v>
      </c>
      <c r="E401" t="s">
        <v>2112</v>
      </c>
      <c r="F401">
        <v>76038</v>
      </c>
      <c r="G401" t="s">
        <v>885</v>
      </c>
    </row>
    <row r="402" spans="1:7">
      <c r="A402" t="s">
        <v>1691</v>
      </c>
      <c r="B402" t="s">
        <v>414</v>
      </c>
      <c r="D402" t="s">
        <v>1540</v>
      </c>
      <c r="E402" t="s">
        <v>2113</v>
      </c>
      <c r="F402">
        <v>67033</v>
      </c>
      <c r="G402" t="s">
        <v>2056</v>
      </c>
    </row>
    <row r="403" spans="1:7">
      <c r="A403" t="s">
        <v>2936</v>
      </c>
      <c r="C403" t="s">
        <v>414</v>
      </c>
      <c r="D403" t="s">
        <v>2515</v>
      </c>
      <c r="E403" t="s">
        <v>2152</v>
      </c>
      <c r="F403">
        <v>69317</v>
      </c>
      <c r="G403" t="s">
        <v>903</v>
      </c>
    </row>
    <row r="404" spans="1:7">
      <c r="A404" t="s">
        <v>2936</v>
      </c>
      <c r="C404" t="s">
        <v>414</v>
      </c>
      <c r="D404" t="s">
        <v>2520</v>
      </c>
      <c r="E404" t="s">
        <v>2161</v>
      </c>
      <c r="F404">
        <v>69437</v>
      </c>
      <c r="G404" t="s">
        <v>903</v>
      </c>
    </row>
    <row r="405" spans="1:7">
      <c r="A405" t="s">
        <v>2936</v>
      </c>
      <c r="C405" t="s">
        <v>414</v>
      </c>
      <c r="D405" t="s">
        <v>2521</v>
      </c>
      <c r="E405" t="s">
        <v>2162</v>
      </c>
      <c r="F405">
        <v>68051</v>
      </c>
      <c r="G405" t="s">
        <v>2163</v>
      </c>
    </row>
    <row r="406" spans="1:7">
      <c r="A406" t="s">
        <v>2936</v>
      </c>
      <c r="C406" t="s">
        <v>414</v>
      </c>
      <c r="D406" t="s">
        <v>2462</v>
      </c>
      <c r="E406" t="s">
        <v>2776</v>
      </c>
      <c r="F406">
        <v>47002</v>
      </c>
      <c r="G406" t="s">
        <v>1767</v>
      </c>
    </row>
    <row r="407" spans="1:7">
      <c r="A407" t="s">
        <v>2936</v>
      </c>
      <c r="C407" t="s">
        <v>414</v>
      </c>
      <c r="D407" t="s">
        <v>2522</v>
      </c>
      <c r="E407" t="s">
        <v>2164</v>
      </c>
      <c r="F407">
        <v>63003</v>
      </c>
      <c r="G407" t="s">
        <v>896</v>
      </c>
    </row>
    <row r="408" spans="1:7">
      <c r="A408" t="s">
        <v>2936</v>
      </c>
      <c r="C408" t="s">
        <v>414</v>
      </c>
      <c r="D408" t="s">
        <v>2505</v>
      </c>
      <c r="E408" t="s">
        <v>2822</v>
      </c>
      <c r="F408">
        <v>17201</v>
      </c>
      <c r="G408" t="s">
        <v>2823</v>
      </c>
    </row>
    <row r="409" spans="1:7">
      <c r="A409" t="s">
        <v>1691</v>
      </c>
      <c r="B409" t="s">
        <v>414</v>
      </c>
      <c r="D409" t="s">
        <v>1511</v>
      </c>
      <c r="E409" t="s">
        <v>2054</v>
      </c>
      <c r="F409">
        <v>80000</v>
      </c>
      <c r="G409" t="s">
        <v>840</v>
      </c>
    </row>
    <row r="410" spans="1:7">
      <c r="A410" t="s">
        <v>2936</v>
      </c>
      <c r="C410" t="s">
        <v>414</v>
      </c>
      <c r="D410" t="s">
        <v>2523</v>
      </c>
      <c r="E410" t="s">
        <v>2837</v>
      </c>
      <c r="F410">
        <v>13003</v>
      </c>
      <c r="G410" t="s">
        <v>822</v>
      </c>
    </row>
    <row r="411" spans="1:7">
      <c r="A411" t="s">
        <v>2936</v>
      </c>
      <c r="C411" t="s">
        <v>414</v>
      </c>
      <c r="D411" t="s">
        <v>2524</v>
      </c>
      <c r="E411" t="s">
        <v>2166</v>
      </c>
      <c r="F411">
        <v>93308</v>
      </c>
      <c r="G411" t="s">
        <v>2167</v>
      </c>
    </row>
    <row r="412" spans="1:7">
      <c r="A412" t="s">
        <v>2936</v>
      </c>
      <c r="C412" t="s">
        <v>414</v>
      </c>
      <c r="D412" t="s">
        <v>2526</v>
      </c>
      <c r="E412" t="s">
        <v>2838</v>
      </c>
      <c r="F412">
        <v>92151</v>
      </c>
      <c r="G412" t="s">
        <v>2171</v>
      </c>
    </row>
    <row r="413" spans="1:7">
      <c r="A413" t="s">
        <v>2936</v>
      </c>
      <c r="C413" t="s">
        <v>414</v>
      </c>
      <c r="D413" t="s">
        <v>2527</v>
      </c>
      <c r="E413" t="s">
        <v>2172</v>
      </c>
      <c r="F413">
        <v>92309</v>
      </c>
      <c r="G413" t="s">
        <v>1021</v>
      </c>
    </row>
    <row r="414" spans="1:7">
      <c r="A414" t="s">
        <v>2936</v>
      </c>
      <c r="C414" t="s">
        <v>414</v>
      </c>
      <c r="D414" t="s">
        <v>2610</v>
      </c>
      <c r="E414" t="s">
        <v>2888</v>
      </c>
      <c r="F414">
        <v>25052</v>
      </c>
      <c r="G414" t="s">
        <v>874</v>
      </c>
    </row>
    <row r="415" spans="1:7">
      <c r="A415" t="s">
        <v>2936</v>
      </c>
      <c r="C415" t="s">
        <v>414</v>
      </c>
      <c r="D415" t="s">
        <v>2623</v>
      </c>
      <c r="E415" t="s">
        <v>2351</v>
      </c>
      <c r="F415">
        <v>24004</v>
      </c>
      <c r="G415" t="s">
        <v>1727</v>
      </c>
    </row>
    <row r="416" spans="1:7">
      <c r="A416" t="s">
        <v>2936</v>
      </c>
      <c r="C416" t="s">
        <v>414</v>
      </c>
      <c r="D416" t="s">
        <v>2557</v>
      </c>
      <c r="E416" t="s">
        <v>2226</v>
      </c>
      <c r="F416">
        <v>78009</v>
      </c>
      <c r="G416" t="s">
        <v>2178</v>
      </c>
    </row>
    <row r="417" spans="1:7">
      <c r="A417" t="s">
        <v>2936</v>
      </c>
      <c r="C417" t="s">
        <v>414</v>
      </c>
      <c r="D417" t="s">
        <v>2463</v>
      </c>
      <c r="E417" t="s">
        <v>2777</v>
      </c>
      <c r="F417">
        <v>87039</v>
      </c>
      <c r="G417" t="s">
        <v>855</v>
      </c>
    </row>
    <row r="418" spans="1:7">
      <c r="A418" t="s">
        <v>2936</v>
      </c>
      <c r="C418" t="s">
        <v>414</v>
      </c>
      <c r="D418" t="s">
        <v>2507</v>
      </c>
      <c r="E418" t="s">
        <v>2826</v>
      </c>
      <c r="F418">
        <v>40280</v>
      </c>
      <c r="G418" t="s">
        <v>2827</v>
      </c>
    </row>
    <row r="419" spans="1:7">
      <c r="A419" t="s">
        <v>1691</v>
      </c>
      <c r="B419" t="s">
        <v>414</v>
      </c>
      <c r="D419" t="s">
        <v>2120</v>
      </c>
      <c r="E419" t="s">
        <v>2121</v>
      </c>
      <c r="F419">
        <v>59020</v>
      </c>
      <c r="G419" t="s">
        <v>871</v>
      </c>
    </row>
    <row r="420" spans="1:7">
      <c r="A420" t="s">
        <v>2936</v>
      </c>
      <c r="C420" t="s">
        <v>414</v>
      </c>
      <c r="D420" t="s">
        <v>2828</v>
      </c>
      <c r="E420" t="s">
        <v>2829</v>
      </c>
      <c r="F420">
        <v>59160</v>
      </c>
      <c r="G420" t="s">
        <v>871</v>
      </c>
    </row>
    <row r="421" spans="1:7">
      <c r="A421" t="s">
        <v>1691</v>
      </c>
      <c r="B421" t="s">
        <v>414</v>
      </c>
      <c r="D421" t="s">
        <v>1543</v>
      </c>
      <c r="E421" t="s">
        <v>2122</v>
      </c>
      <c r="F421">
        <v>10000</v>
      </c>
      <c r="G421" t="s">
        <v>1733</v>
      </c>
    </row>
    <row r="422" spans="1:7">
      <c r="A422" t="s">
        <v>2936</v>
      </c>
      <c r="C422" t="s">
        <v>414</v>
      </c>
      <c r="D422" t="s">
        <v>2509</v>
      </c>
      <c r="E422" t="s">
        <v>2830</v>
      </c>
      <c r="F422">
        <v>52000</v>
      </c>
      <c r="G422" t="s">
        <v>1755</v>
      </c>
    </row>
    <row r="423" spans="1:7">
      <c r="A423" t="s">
        <v>2936</v>
      </c>
      <c r="C423" t="s">
        <v>414</v>
      </c>
      <c r="D423" t="s">
        <v>2831</v>
      </c>
      <c r="E423" t="s">
        <v>2832</v>
      </c>
      <c r="F423">
        <v>76400</v>
      </c>
      <c r="G423" t="s">
        <v>2833</v>
      </c>
    </row>
    <row r="424" spans="1:7">
      <c r="A424" t="s">
        <v>2936</v>
      </c>
      <c r="C424" t="s">
        <v>414</v>
      </c>
      <c r="D424" t="s">
        <v>2508</v>
      </c>
      <c r="E424" t="s">
        <v>2122</v>
      </c>
      <c r="F424">
        <v>10000</v>
      </c>
      <c r="G424" t="s">
        <v>1733</v>
      </c>
    </row>
    <row r="425" spans="1:7">
      <c r="A425" t="s">
        <v>2936</v>
      </c>
      <c r="C425" t="s">
        <v>414</v>
      </c>
      <c r="D425" t="s">
        <v>2465</v>
      </c>
      <c r="E425" t="s">
        <v>2778</v>
      </c>
      <c r="F425">
        <v>13700</v>
      </c>
      <c r="G425" t="s">
        <v>2779</v>
      </c>
    </row>
    <row r="426" spans="1:7">
      <c r="A426" t="s">
        <v>2936</v>
      </c>
      <c r="C426" t="s">
        <v>414</v>
      </c>
      <c r="D426" t="s">
        <v>2558</v>
      </c>
      <c r="E426" t="s">
        <v>2857</v>
      </c>
      <c r="F426">
        <v>75005</v>
      </c>
      <c r="G426" t="s">
        <v>700</v>
      </c>
    </row>
    <row r="427" spans="1:7">
      <c r="A427" t="s">
        <v>1691</v>
      </c>
      <c r="B427" t="s">
        <v>414</v>
      </c>
      <c r="D427" t="s">
        <v>2126</v>
      </c>
      <c r="E427" t="s">
        <v>2127</v>
      </c>
      <c r="F427">
        <v>56322</v>
      </c>
      <c r="G427" t="s">
        <v>2128</v>
      </c>
    </row>
    <row r="428" spans="1:7">
      <c r="A428" t="s">
        <v>2936</v>
      </c>
      <c r="C428" t="s">
        <v>414</v>
      </c>
      <c r="D428" t="s">
        <v>2834</v>
      </c>
      <c r="E428" t="s">
        <v>2127</v>
      </c>
      <c r="F428">
        <v>56322</v>
      </c>
      <c r="G428" t="s">
        <v>2128</v>
      </c>
    </row>
    <row r="429" spans="1:7">
      <c r="A429" t="s">
        <v>2936</v>
      </c>
      <c r="C429" t="s">
        <v>414</v>
      </c>
      <c r="D429" t="s">
        <v>2597</v>
      </c>
      <c r="E429" t="s">
        <v>2314</v>
      </c>
      <c r="F429">
        <v>51056</v>
      </c>
      <c r="G429" t="s">
        <v>880</v>
      </c>
    </row>
    <row r="430" spans="1:7">
      <c r="A430" t="s">
        <v>2936</v>
      </c>
      <c r="C430" t="s">
        <v>414</v>
      </c>
      <c r="D430" t="s">
        <v>2554</v>
      </c>
      <c r="E430" t="s">
        <v>2220</v>
      </c>
      <c r="F430">
        <v>11100</v>
      </c>
      <c r="G430" t="s">
        <v>2856</v>
      </c>
    </row>
    <row r="431" spans="1:7">
      <c r="A431" t="s">
        <v>1691</v>
      </c>
      <c r="B431" t="s">
        <v>414</v>
      </c>
      <c r="D431" t="s">
        <v>1580</v>
      </c>
      <c r="E431" t="s">
        <v>2177</v>
      </c>
      <c r="F431">
        <v>78004</v>
      </c>
      <c r="G431" t="s">
        <v>2178</v>
      </c>
    </row>
    <row r="432" spans="1:7">
      <c r="A432" t="s">
        <v>1691</v>
      </c>
      <c r="B432" t="s">
        <v>414</v>
      </c>
      <c r="D432" t="s">
        <v>1551</v>
      </c>
      <c r="E432" t="s">
        <v>2137</v>
      </c>
      <c r="F432">
        <v>33076</v>
      </c>
      <c r="G432" t="s">
        <v>942</v>
      </c>
    </row>
    <row r="433" spans="1:7">
      <c r="A433" t="s">
        <v>2936</v>
      </c>
      <c r="C433" t="s">
        <v>414</v>
      </c>
      <c r="D433" t="s">
        <v>2383</v>
      </c>
      <c r="E433" t="s">
        <v>2658</v>
      </c>
      <c r="F433">
        <v>23011</v>
      </c>
      <c r="G433" t="s">
        <v>2659</v>
      </c>
    </row>
    <row r="434" spans="1:7">
      <c r="A434" t="s">
        <v>2936</v>
      </c>
      <c r="C434" t="s">
        <v>414</v>
      </c>
      <c r="D434" t="s">
        <v>2559</v>
      </c>
      <c r="E434" t="s">
        <v>2227</v>
      </c>
      <c r="F434">
        <v>18230</v>
      </c>
      <c r="G434" t="s">
        <v>2228</v>
      </c>
    </row>
    <row r="435" spans="1:7">
      <c r="A435" t="s">
        <v>2936</v>
      </c>
      <c r="C435" t="s">
        <v>414</v>
      </c>
      <c r="D435" t="s">
        <v>2384</v>
      </c>
      <c r="E435" t="s">
        <v>2660</v>
      </c>
      <c r="F435">
        <v>22200</v>
      </c>
      <c r="G435" t="s">
        <v>2661</v>
      </c>
    </row>
    <row r="436" spans="1:7">
      <c r="A436" t="s">
        <v>2936</v>
      </c>
      <c r="C436" t="s">
        <v>414</v>
      </c>
      <c r="D436" t="s">
        <v>2516</v>
      </c>
      <c r="E436" t="s">
        <v>2154</v>
      </c>
      <c r="F436">
        <v>67200</v>
      </c>
      <c r="G436" t="s">
        <v>2056</v>
      </c>
    </row>
    <row r="437" spans="1:7">
      <c r="A437" t="s">
        <v>2936</v>
      </c>
      <c r="C437" t="s">
        <v>414</v>
      </c>
      <c r="D437" t="s">
        <v>2528</v>
      </c>
      <c r="E437" t="s">
        <v>2173</v>
      </c>
      <c r="F437">
        <v>33604</v>
      </c>
      <c r="G437" t="s">
        <v>2174</v>
      </c>
    </row>
    <row r="438" spans="1:7">
      <c r="A438" t="s">
        <v>2936</v>
      </c>
      <c r="C438" t="s">
        <v>414</v>
      </c>
      <c r="D438" t="s">
        <v>2638</v>
      </c>
      <c r="E438" t="s">
        <v>2928</v>
      </c>
      <c r="F438">
        <v>44800</v>
      </c>
      <c r="G438" t="s">
        <v>2005</v>
      </c>
    </row>
    <row r="439" spans="1:7">
      <c r="A439" t="s">
        <v>2936</v>
      </c>
      <c r="C439" t="s">
        <v>414</v>
      </c>
      <c r="D439" t="s">
        <v>2376</v>
      </c>
      <c r="E439" t="s">
        <v>2646</v>
      </c>
      <c r="F439">
        <v>19012</v>
      </c>
      <c r="G439" t="s">
        <v>2647</v>
      </c>
    </row>
    <row r="440" spans="1:7">
      <c r="A440" t="s">
        <v>1691</v>
      </c>
      <c r="B440" t="s">
        <v>414</v>
      </c>
      <c r="D440" t="s">
        <v>1553</v>
      </c>
      <c r="E440" t="s">
        <v>2139</v>
      </c>
      <c r="F440">
        <v>33882</v>
      </c>
      <c r="G440" t="s">
        <v>2140</v>
      </c>
    </row>
    <row r="441" spans="1:7">
      <c r="A441" t="s">
        <v>2936</v>
      </c>
      <c r="C441" t="s">
        <v>414</v>
      </c>
      <c r="D441" t="s">
        <v>2637</v>
      </c>
      <c r="E441" t="s">
        <v>2927</v>
      </c>
      <c r="F441">
        <v>80100</v>
      </c>
      <c r="G441" t="s">
        <v>1765</v>
      </c>
    </row>
    <row r="442" spans="1:7">
      <c r="A442" t="s">
        <v>1691</v>
      </c>
      <c r="B442" t="s">
        <v>414</v>
      </c>
      <c r="D442" t="s">
        <v>1555</v>
      </c>
      <c r="E442" t="s">
        <v>2143</v>
      </c>
      <c r="F442">
        <v>59037</v>
      </c>
      <c r="G442" t="s">
        <v>871</v>
      </c>
    </row>
    <row r="443" spans="1:7">
      <c r="A443" t="s">
        <v>1691</v>
      </c>
      <c r="B443" t="s">
        <v>414</v>
      </c>
      <c r="D443" t="s">
        <v>1556</v>
      </c>
      <c r="E443" t="s">
        <v>2144</v>
      </c>
      <c r="F443">
        <v>77150</v>
      </c>
      <c r="G443" t="s">
        <v>2145</v>
      </c>
    </row>
    <row r="444" spans="1:7">
      <c r="A444" t="s">
        <v>1691</v>
      </c>
      <c r="B444" t="s">
        <v>414</v>
      </c>
      <c r="D444" t="s">
        <v>1557</v>
      </c>
      <c r="E444" t="s">
        <v>2146</v>
      </c>
      <c r="F444">
        <v>92202</v>
      </c>
      <c r="G444" t="s">
        <v>1763</v>
      </c>
    </row>
    <row r="445" spans="1:7">
      <c r="A445" t="s">
        <v>1691</v>
      </c>
      <c r="B445" t="s">
        <v>414</v>
      </c>
      <c r="D445" t="s">
        <v>1558</v>
      </c>
      <c r="E445" t="s">
        <v>2147</v>
      </c>
      <c r="F445">
        <v>34295</v>
      </c>
      <c r="G445" t="s">
        <v>858</v>
      </c>
    </row>
    <row r="446" spans="1:7">
      <c r="A446" t="s">
        <v>1691</v>
      </c>
      <c r="B446" t="s">
        <v>414</v>
      </c>
      <c r="D446" t="s">
        <v>1559</v>
      </c>
      <c r="E446" t="s">
        <v>2148</v>
      </c>
      <c r="F446">
        <v>57126</v>
      </c>
      <c r="G446" t="s">
        <v>2149</v>
      </c>
    </row>
    <row r="447" spans="1:7">
      <c r="A447" t="s">
        <v>1691</v>
      </c>
      <c r="B447" t="s">
        <v>414</v>
      </c>
      <c r="D447" t="s">
        <v>1560</v>
      </c>
      <c r="E447" t="s">
        <v>2150</v>
      </c>
      <c r="F447">
        <v>76031</v>
      </c>
      <c r="G447" t="s">
        <v>885</v>
      </c>
    </row>
    <row r="448" spans="1:7">
      <c r="A448" t="s">
        <v>1691</v>
      </c>
      <c r="B448" t="s">
        <v>414</v>
      </c>
      <c r="D448" t="s">
        <v>1561</v>
      </c>
      <c r="E448" t="s">
        <v>2151</v>
      </c>
      <c r="F448">
        <v>67091</v>
      </c>
      <c r="G448" t="s">
        <v>2056</v>
      </c>
    </row>
    <row r="449" spans="1:7">
      <c r="A449" t="s">
        <v>1691</v>
      </c>
      <c r="B449" t="s">
        <v>414</v>
      </c>
      <c r="D449" t="s">
        <v>1562</v>
      </c>
      <c r="E449" t="s">
        <v>2152</v>
      </c>
      <c r="F449">
        <v>69317</v>
      </c>
      <c r="G449" t="s">
        <v>903</v>
      </c>
    </row>
    <row r="450" spans="1:7">
      <c r="A450" t="s">
        <v>1691</v>
      </c>
      <c r="B450" t="s">
        <v>414</v>
      </c>
      <c r="D450" t="s">
        <v>1563</v>
      </c>
      <c r="E450" t="s">
        <v>2153</v>
      </c>
      <c r="F450">
        <v>76230</v>
      </c>
      <c r="G450" t="s">
        <v>2067</v>
      </c>
    </row>
    <row r="451" spans="1:7">
      <c r="A451" t="s">
        <v>1691</v>
      </c>
      <c r="B451" t="s">
        <v>414</v>
      </c>
      <c r="D451" t="s">
        <v>1564</v>
      </c>
      <c r="E451" t="s">
        <v>2154</v>
      </c>
      <c r="F451">
        <v>67200</v>
      </c>
      <c r="G451" t="s">
        <v>2056</v>
      </c>
    </row>
    <row r="452" spans="1:7">
      <c r="A452" t="s">
        <v>1691</v>
      </c>
      <c r="B452" t="s">
        <v>414</v>
      </c>
      <c r="D452" t="s">
        <v>1565</v>
      </c>
      <c r="E452" t="s">
        <v>2155</v>
      </c>
      <c r="F452">
        <v>75020</v>
      </c>
      <c r="G452" t="s">
        <v>700</v>
      </c>
    </row>
    <row r="453" spans="1:7">
      <c r="A453" t="s">
        <v>1691</v>
      </c>
      <c r="B453" t="s">
        <v>414</v>
      </c>
      <c r="D453" t="s">
        <v>1566</v>
      </c>
      <c r="E453" t="s">
        <v>2156</v>
      </c>
      <c r="F453">
        <v>31059</v>
      </c>
      <c r="G453" t="s">
        <v>833</v>
      </c>
    </row>
    <row r="454" spans="1:7">
      <c r="A454" t="s">
        <v>1691</v>
      </c>
      <c r="B454" t="s">
        <v>414</v>
      </c>
      <c r="D454" t="s">
        <v>1567</v>
      </c>
      <c r="E454" t="s">
        <v>2157</v>
      </c>
      <c r="F454">
        <v>57502</v>
      </c>
      <c r="G454" t="s">
        <v>2158</v>
      </c>
    </row>
    <row r="455" spans="1:7">
      <c r="A455" t="s">
        <v>1691</v>
      </c>
      <c r="B455" t="s">
        <v>414</v>
      </c>
      <c r="D455" t="s">
        <v>1568</v>
      </c>
      <c r="E455" t="s">
        <v>2159</v>
      </c>
      <c r="F455">
        <v>38500</v>
      </c>
      <c r="G455" t="s">
        <v>2160</v>
      </c>
    </row>
    <row r="456" spans="1:7">
      <c r="A456" t="s">
        <v>1691</v>
      </c>
      <c r="B456" t="s">
        <v>414</v>
      </c>
      <c r="D456" t="s">
        <v>1569</v>
      </c>
      <c r="E456" t="s">
        <v>2161</v>
      </c>
      <c r="F456">
        <v>69437</v>
      </c>
      <c r="G456" t="s">
        <v>903</v>
      </c>
    </row>
    <row r="457" spans="1:7">
      <c r="A457" t="s">
        <v>1691</v>
      </c>
      <c r="B457" t="s">
        <v>414</v>
      </c>
      <c r="D457" t="s">
        <v>1570</v>
      </c>
      <c r="E457" t="s">
        <v>2162</v>
      </c>
      <c r="F457">
        <v>68051</v>
      </c>
      <c r="G457" t="s">
        <v>2163</v>
      </c>
    </row>
    <row r="458" spans="1:7">
      <c r="A458" t="s">
        <v>1691</v>
      </c>
      <c r="B458" t="s">
        <v>414</v>
      </c>
      <c r="D458" t="s">
        <v>1571</v>
      </c>
      <c r="E458" t="s">
        <v>2164</v>
      </c>
      <c r="F458">
        <v>63003</v>
      </c>
      <c r="G458" t="s">
        <v>896</v>
      </c>
    </row>
    <row r="459" spans="1:7">
      <c r="A459" t="s">
        <v>1691</v>
      </c>
      <c r="B459" t="s">
        <v>414</v>
      </c>
      <c r="D459" t="s">
        <v>1572</v>
      </c>
      <c r="E459" t="s">
        <v>2165</v>
      </c>
      <c r="F459">
        <v>13003</v>
      </c>
      <c r="G459" t="s">
        <v>822</v>
      </c>
    </row>
    <row r="460" spans="1:7">
      <c r="A460" t="s">
        <v>1691</v>
      </c>
      <c r="B460" t="s">
        <v>414</v>
      </c>
      <c r="D460" t="s">
        <v>1573</v>
      </c>
      <c r="E460" t="s">
        <v>2166</v>
      </c>
      <c r="F460">
        <v>93308</v>
      </c>
      <c r="G460" t="s">
        <v>2167</v>
      </c>
    </row>
    <row r="461" spans="1:7">
      <c r="A461" t="s">
        <v>1691</v>
      </c>
      <c r="B461" t="s">
        <v>414</v>
      </c>
      <c r="D461" t="s">
        <v>1574</v>
      </c>
      <c r="E461" t="s">
        <v>2168</v>
      </c>
      <c r="F461">
        <v>69677</v>
      </c>
      <c r="G461" t="s">
        <v>2169</v>
      </c>
    </row>
    <row r="462" spans="1:7">
      <c r="A462" t="s">
        <v>1691</v>
      </c>
      <c r="B462" t="s">
        <v>414</v>
      </c>
      <c r="D462" t="s">
        <v>1575</v>
      </c>
      <c r="E462" t="s">
        <v>2170</v>
      </c>
      <c r="F462">
        <v>92151</v>
      </c>
      <c r="G462" t="s">
        <v>2171</v>
      </c>
    </row>
    <row r="463" spans="1:7">
      <c r="A463" t="s">
        <v>1691</v>
      </c>
      <c r="B463" t="s">
        <v>414</v>
      </c>
      <c r="D463" t="s">
        <v>1576</v>
      </c>
      <c r="E463" t="s">
        <v>2172</v>
      </c>
      <c r="F463">
        <v>92309</v>
      </c>
      <c r="G463" t="s">
        <v>1021</v>
      </c>
    </row>
    <row r="464" spans="1:7">
      <c r="A464" t="s">
        <v>1691</v>
      </c>
      <c r="B464" t="s">
        <v>414</v>
      </c>
      <c r="D464" t="s">
        <v>1577</v>
      </c>
      <c r="E464" t="s">
        <v>1746</v>
      </c>
      <c r="F464">
        <v>63003</v>
      </c>
      <c r="G464" t="s">
        <v>896</v>
      </c>
    </row>
    <row r="465" spans="1:7">
      <c r="A465" t="s">
        <v>1691</v>
      </c>
      <c r="B465" t="s">
        <v>414</v>
      </c>
      <c r="D465" t="s">
        <v>1578</v>
      </c>
      <c r="E465" t="s">
        <v>2173</v>
      </c>
      <c r="F465">
        <v>33604</v>
      </c>
      <c r="G465" t="s">
        <v>2174</v>
      </c>
    </row>
    <row r="466" spans="1:7">
      <c r="A466" t="s">
        <v>1691</v>
      </c>
      <c r="B466" t="s">
        <v>414</v>
      </c>
      <c r="D466" t="s">
        <v>1579</v>
      </c>
      <c r="E466" t="s">
        <v>2175</v>
      </c>
      <c r="F466">
        <v>76290</v>
      </c>
      <c r="G466" t="s">
        <v>2176</v>
      </c>
    </row>
    <row r="467" spans="1:7">
      <c r="A467" t="s">
        <v>1691</v>
      </c>
      <c r="B467" t="s">
        <v>414</v>
      </c>
      <c r="D467" t="s">
        <v>1593</v>
      </c>
      <c r="E467" t="s">
        <v>2168</v>
      </c>
      <c r="F467">
        <v>69394</v>
      </c>
      <c r="G467" t="s">
        <v>903</v>
      </c>
    </row>
    <row r="468" spans="1:7">
      <c r="A468" t="s">
        <v>1691</v>
      </c>
      <c r="B468" t="s">
        <v>414</v>
      </c>
      <c r="D468" t="s">
        <v>1594</v>
      </c>
      <c r="E468" t="s">
        <v>2196</v>
      </c>
      <c r="F468">
        <v>94130</v>
      </c>
      <c r="G468" t="s">
        <v>2197</v>
      </c>
    </row>
    <row r="469" spans="1:7">
      <c r="A469" t="s">
        <v>1691</v>
      </c>
      <c r="B469" t="s">
        <v>414</v>
      </c>
      <c r="D469" t="s">
        <v>1595</v>
      </c>
      <c r="E469" t="s">
        <v>2198</v>
      </c>
      <c r="F469">
        <v>62012</v>
      </c>
      <c r="G469" t="s">
        <v>929</v>
      </c>
    </row>
    <row r="470" spans="1:7">
      <c r="A470" t="s">
        <v>1691</v>
      </c>
      <c r="B470" t="s">
        <v>414</v>
      </c>
      <c r="D470" t="s">
        <v>1596</v>
      </c>
      <c r="E470" t="s">
        <v>2199</v>
      </c>
      <c r="F470">
        <v>13009</v>
      </c>
      <c r="G470" t="s">
        <v>822</v>
      </c>
    </row>
    <row r="471" spans="1:7">
      <c r="A471" t="s">
        <v>1691</v>
      </c>
      <c r="B471" t="s">
        <v>414</v>
      </c>
      <c r="D471" t="s">
        <v>1597</v>
      </c>
      <c r="E471" t="s">
        <v>2200</v>
      </c>
      <c r="F471">
        <v>91480</v>
      </c>
      <c r="G471" t="s">
        <v>2201</v>
      </c>
    </row>
    <row r="472" spans="1:7">
      <c r="A472" t="s">
        <v>1691</v>
      </c>
      <c r="B472" t="s">
        <v>414</v>
      </c>
      <c r="D472" t="s">
        <v>1598</v>
      </c>
      <c r="E472" t="s">
        <v>2202</v>
      </c>
      <c r="F472">
        <v>92160</v>
      </c>
      <c r="G472" t="s">
        <v>967</v>
      </c>
    </row>
    <row r="473" spans="1:7">
      <c r="A473" t="s">
        <v>1691</v>
      </c>
      <c r="B473" t="s">
        <v>414</v>
      </c>
      <c r="D473" t="s">
        <v>1600</v>
      </c>
      <c r="E473" t="s">
        <v>2205</v>
      </c>
      <c r="F473">
        <v>78190</v>
      </c>
      <c r="G473" t="s">
        <v>2206</v>
      </c>
    </row>
    <row r="474" spans="1:7">
      <c r="A474" t="s">
        <v>1691</v>
      </c>
      <c r="B474" t="s">
        <v>414</v>
      </c>
      <c r="D474" t="s">
        <v>1602</v>
      </c>
      <c r="E474" t="s">
        <v>2208</v>
      </c>
      <c r="F474">
        <v>50300</v>
      </c>
      <c r="G474" t="s">
        <v>2209</v>
      </c>
    </row>
    <row r="475" spans="1:7">
      <c r="A475" t="s">
        <v>1691</v>
      </c>
      <c r="B475" t="s">
        <v>414</v>
      </c>
      <c r="D475" t="s">
        <v>1603</v>
      </c>
      <c r="E475" t="s">
        <v>2210</v>
      </c>
      <c r="F475">
        <v>42100</v>
      </c>
      <c r="G475" t="s">
        <v>2211</v>
      </c>
    </row>
    <row r="476" spans="1:7">
      <c r="A476" t="s">
        <v>1691</v>
      </c>
      <c r="B476" t="s">
        <v>414</v>
      </c>
      <c r="D476" t="s">
        <v>1604</v>
      </c>
      <c r="E476" t="s">
        <v>2212</v>
      </c>
      <c r="F476">
        <v>93156</v>
      </c>
      <c r="G476" t="s">
        <v>2213</v>
      </c>
    </row>
    <row r="477" spans="1:7">
      <c r="A477" t="s">
        <v>1691</v>
      </c>
      <c r="B477" t="s">
        <v>414</v>
      </c>
      <c r="D477" t="s">
        <v>1601</v>
      </c>
      <c r="E477" t="s">
        <v>2207</v>
      </c>
      <c r="F477">
        <v>76620</v>
      </c>
      <c r="G477" t="s">
        <v>2078</v>
      </c>
    </row>
    <row r="478" spans="1:7">
      <c r="A478" t="s">
        <v>1691</v>
      </c>
      <c r="B478" t="s">
        <v>414</v>
      </c>
      <c r="D478" t="s">
        <v>1605</v>
      </c>
      <c r="E478" t="s">
        <v>2214</v>
      </c>
      <c r="F478">
        <v>77177</v>
      </c>
      <c r="G478" t="s">
        <v>2215</v>
      </c>
    </row>
    <row r="479" spans="1:7">
      <c r="A479" t="s">
        <v>1691</v>
      </c>
      <c r="B479" t="s">
        <v>414</v>
      </c>
      <c r="D479" t="s">
        <v>1606</v>
      </c>
      <c r="E479" t="s">
        <v>2216</v>
      </c>
      <c r="F479">
        <v>59650</v>
      </c>
      <c r="G479" t="s">
        <v>2217</v>
      </c>
    </row>
    <row r="480" spans="1:7">
      <c r="A480" t="s">
        <v>1691</v>
      </c>
      <c r="B480" t="s">
        <v>414</v>
      </c>
      <c r="D480" t="s">
        <v>2251</v>
      </c>
      <c r="E480" t="s">
        <v>2252</v>
      </c>
      <c r="F480">
        <v>22190</v>
      </c>
      <c r="G480" t="s">
        <v>1000</v>
      </c>
    </row>
    <row r="481" spans="1:7">
      <c r="A481" t="s">
        <v>1691</v>
      </c>
      <c r="B481" t="s">
        <v>414</v>
      </c>
      <c r="D481" t="s">
        <v>1607</v>
      </c>
      <c r="E481" t="s">
        <v>2218</v>
      </c>
      <c r="F481">
        <v>75013</v>
      </c>
      <c r="G481" t="s">
        <v>700</v>
      </c>
    </row>
    <row r="482" spans="1:7">
      <c r="A482" t="s">
        <v>1691</v>
      </c>
      <c r="B482" t="s">
        <v>414</v>
      </c>
      <c r="D482" t="s">
        <v>1599</v>
      </c>
      <c r="E482" t="s">
        <v>2203</v>
      </c>
      <c r="F482">
        <v>28300</v>
      </c>
      <c r="G482" t="s">
        <v>2204</v>
      </c>
    </row>
    <row r="483" spans="1:7">
      <c r="A483" t="s">
        <v>1691</v>
      </c>
      <c r="B483" t="s">
        <v>414</v>
      </c>
      <c r="D483" t="s">
        <v>1608</v>
      </c>
      <c r="E483" t="s">
        <v>2219</v>
      </c>
      <c r="F483">
        <v>44277</v>
      </c>
      <c r="G483" t="s">
        <v>2003</v>
      </c>
    </row>
    <row r="484" spans="1:7">
      <c r="A484" t="s">
        <v>1691</v>
      </c>
      <c r="B484" t="s">
        <v>414</v>
      </c>
      <c r="D484" t="s">
        <v>1609</v>
      </c>
      <c r="E484" t="s">
        <v>2220</v>
      </c>
      <c r="F484">
        <v>11100</v>
      </c>
      <c r="G484" t="s">
        <v>2221</v>
      </c>
    </row>
    <row r="485" spans="1:7">
      <c r="A485" t="s">
        <v>1691</v>
      </c>
      <c r="B485" t="s">
        <v>414</v>
      </c>
      <c r="D485" t="s">
        <v>1610</v>
      </c>
      <c r="E485" t="s">
        <v>2222</v>
      </c>
      <c r="F485">
        <v>91330</v>
      </c>
      <c r="G485" t="s">
        <v>2223</v>
      </c>
    </row>
    <row r="486" spans="1:7">
      <c r="A486" t="s">
        <v>1691</v>
      </c>
      <c r="B486" t="s">
        <v>414</v>
      </c>
      <c r="D486" t="s">
        <v>1611</v>
      </c>
      <c r="E486" t="s">
        <v>2224</v>
      </c>
      <c r="F486">
        <v>93290</v>
      </c>
      <c r="G486" t="s">
        <v>2225</v>
      </c>
    </row>
    <row r="487" spans="1:7">
      <c r="A487" t="s">
        <v>1691</v>
      </c>
      <c r="B487" t="s">
        <v>414</v>
      </c>
      <c r="D487" t="s">
        <v>1612</v>
      </c>
      <c r="E487" t="s">
        <v>2226</v>
      </c>
      <c r="F487">
        <v>78009</v>
      </c>
      <c r="G487" t="s">
        <v>2178</v>
      </c>
    </row>
    <row r="488" spans="1:7">
      <c r="A488" t="s">
        <v>1691</v>
      </c>
      <c r="B488" t="s">
        <v>414</v>
      </c>
      <c r="D488" t="s">
        <v>1613</v>
      </c>
      <c r="E488" t="s">
        <v>2227</v>
      </c>
      <c r="F488">
        <v>18230</v>
      </c>
      <c r="G488" t="s">
        <v>2228</v>
      </c>
    </row>
    <row r="489" spans="1:7">
      <c r="A489" t="s">
        <v>1691</v>
      </c>
      <c r="B489" t="s">
        <v>414</v>
      </c>
      <c r="D489" t="s">
        <v>1614</v>
      </c>
      <c r="E489" t="s">
        <v>2229</v>
      </c>
      <c r="F489">
        <v>69008</v>
      </c>
      <c r="G489" t="s">
        <v>903</v>
      </c>
    </row>
    <row r="490" spans="1:7">
      <c r="A490" t="s">
        <v>1691</v>
      </c>
      <c r="B490" t="s">
        <v>414</v>
      </c>
      <c r="D490" t="s">
        <v>1615</v>
      </c>
      <c r="E490" t="s">
        <v>2230</v>
      </c>
      <c r="F490">
        <v>13675</v>
      </c>
      <c r="G490" t="s">
        <v>2231</v>
      </c>
    </row>
    <row r="491" spans="1:7">
      <c r="A491" t="s">
        <v>1691</v>
      </c>
      <c r="B491" t="s">
        <v>414</v>
      </c>
      <c r="D491" t="s">
        <v>1616</v>
      </c>
      <c r="E491" t="s">
        <v>2232</v>
      </c>
      <c r="F491">
        <v>63110</v>
      </c>
      <c r="G491" t="s">
        <v>2233</v>
      </c>
    </row>
    <row r="492" spans="1:7">
      <c r="A492" t="s">
        <v>1691</v>
      </c>
      <c r="B492" t="s">
        <v>414</v>
      </c>
      <c r="D492" t="s">
        <v>1617</v>
      </c>
      <c r="E492" t="s">
        <v>2234</v>
      </c>
      <c r="F492">
        <v>59042</v>
      </c>
      <c r="G492" t="s">
        <v>871</v>
      </c>
    </row>
    <row r="493" spans="1:7">
      <c r="A493" t="s">
        <v>1691</v>
      </c>
      <c r="B493" t="s">
        <v>414</v>
      </c>
      <c r="D493" t="s">
        <v>1618</v>
      </c>
      <c r="E493" t="s">
        <v>2235</v>
      </c>
      <c r="F493">
        <v>92250</v>
      </c>
      <c r="G493" t="s">
        <v>2236</v>
      </c>
    </row>
    <row r="494" spans="1:7">
      <c r="A494" t="s">
        <v>1691</v>
      </c>
      <c r="B494" t="s">
        <v>414</v>
      </c>
      <c r="D494" t="s">
        <v>2253</v>
      </c>
      <c r="E494" t="s">
        <v>2254</v>
      </c>
      <c r="F494">
        <v>59000</v>
      </c>
      <c r="G494" t="s">
        <v>871</v>
      </c>
    </row>
    <row r="495" spans="1:7">
      <c r="A495" t="s">
        <v>1691</v>
      </c>
      <c r="B495" t="s">
        <v>414</v>
      </c>
      <c r="D495" t="s">
        <v>1619</v>
      </c>
      <c r="E495" t="s">
        <v>2237</v>
      </c>
      <c r="F495">
        <v>73190</v>
      </c>
      <c r="G495" t="s">
        <v>2238</v>
      </c>
    </row>
    <row r="496" spans="1:7">
      <c r="A496" t="s">
        <v>1691</v>
      </c>
      <c r="B496" t="s">
        <v>414</v>
      </c>
      <c r="D496" t="s">
        <v>1620</v>
      </c>
      <c r="E496" t="s">
        <v>2239</v>
      </c>
      <c r="F496">
        <v>54000</v>
      </c>
      <c r="G496" t="s">
        <v>1992</v>
      </c>
    </row>
    <row r="497" spans="1:7">
      <c r="A497" t="s">
        <v>1691</v>
      </c>
      <c r="B497" t="s">
        <v>414</v>
      </c>
      <c r="D497" t="s">
        <v>1621</v>
      </c>
      <c r="E497" t="s">
        <v>2240</v>
      </c>
      <c r="F497">
        <v>95200</v>
      </c>
      <c r="G497" t="s">
        <v>2241</v>
      </c>
    </row>
    <row r="498" spans="1:7">
      <c r="A498" t="s">
        <v>1691</v>
      </c>
      <c r="B498" t="s">
        <v>414</v>
      </c>
      <c r="D498" t="s">
        <v>2304</v>
      </c>
      <c r="E498" t="s">
        <v>2305</v>
      </c>
      <c r="F498">
        <v>56000</v>
      </c>
      <c r="G498" t="s">
        <v>1945</v>
      </c>
    </row>
    <row r="499" spans="1:7">
      <c r="A499" t="s">
        <v>1691</v>
      </c>
      <c r="B499" t="s">
        <v>414</v>
      </c>
      <c r="D499" t="s">
        <v>1622</v>
      </c>
      <c r="E499" t="s">
        <v>2242</v>
      </c>
      <c r="F499">
        <v>27025</v>
      </c>
      <c r="G499" t="s">
        <v>1860</v>
      </c>
    </row>
    <row r="500" spans="1:7">
      <c r="A500" t="s">
        <v>1691</v>
      </c>
      <c r="B500" t="s">
        <v>414</v>
      </c>
      <c r="D500" t="s">
        <v>1623</v>
      </c>
      <c r="E500" t="s">
        <v>2243</v>
      </c>
      <c r="F500">
        <v>94500</v>
      </c>
      <c r="G500" t="s">
        <v>2244</v>
      </c>
    </row>
    <row r="501" spans="1:7">
      <c r="A501" t="s">
        <v>1691</v>
      </c>
      <c r="B501" t="s">
        <v>414</v>
      </c>
      <c r="D501" t="s">
        <v>1624</v>
      </c>
      <c r="E501" t="s">
        <v>2245</v>
      </c>
      <c r="F501">
        <v>2315</v>
      </c>
      <c r="G501" t="s">
        <v>1917</v>
      </c>
    </row>
    <row r="502" spans="1:7">
      <c r="A502" t="s">
        <v>1691</v>
      </c>
      <c r="B502" t="s">
        <v>414</v>
      </c>
      <c r="D502" t="s">
        <v>1626</v>
      </c>
      <c r="E502" t="s">
        <v>2248</v>
      </c>
      <c r="F502">
        <v>71100</v>
      </c>
      <c r="G502" t="s">
        <v>907</v>
      </c>
    </row>
    <row r="503" spans="1:7">
      <c r="A503" t="s">
        <v>1691</v>
      </c>
      <c r="B503" t="s">
        <v>414</v>
      </c>
      <c r="D503" t="s">
        <v>1625</v>
      </c>
      <c r="E503" t="s">
        <v>2246</v>
      </c>
      <c r="F503">
        <v>3630</v>
      </c>
      <c r="G503" t="s">
        <v>2247</v>
      </c>
    </row>
    <row r="504" spans="1:7">
      <c r="A504" t="s">
        <v>1691</v>
      </c>
      <c r="B504" t="s">
        <v>414</v>
      </c>
      <c r="D504" t="s">
        <v>1627</v>
      </c>
      <c r="E504" t="s">
        <v>2249</v>
      </c>
      <c r="F504">
        <v>35576</v>
      </c>
      <c r="G504" t="s">
        <v>2250</v>
      </c>
    </row>
    <row r="505" spans="1:7">
      <c r="A505" t="s">
        <v>1691</v>
      </c>
      <c r="B505" t="s">
        <v>414</v>
      </c>
      <c r="D505" t="s">
        <v>1628</v>
      </c>
      <c r="E505" t="s">
        <v>2255</v>
      </c>
      <c r="F505">
        <v>31059</v>
      </c>
      <c r="G505" t="s">
        <v>833</v>
      </c>
    </row>
    <row r="506" spans="1:7">
      <c r="A506" t="s">
        <v>1691</v>
      </c>
      <c r="B506" t="s">
        <v>414</v>
      </c>
      <c r="D506" t="s">
        <v>1629</v>
      </c>
      <c r="E506" t="s">
        <v>2256</v>
      </c>
      <c r="F506">
        <v>51092</v>
      </c>
      <c r="G506" t="s">
        <v>880</v>
      </c>
    </row>
    <row r="507" spans="1:7">
      <c r="A507" t="s">
        <v>1691</v>
      </c>
      <c r="B507" t="s">
        <v>414</v>
      </c>
      <c r="D507" t="s">
        <v>1630</v>
      </c>
      <c r="E507" t="s">
        <v>2257</v>
      </c>
      <c r="F507">
        <v>57211</v>
      </c>
      <c r="G507" t="s">
        <v>2258</v>
      </c>
    </row>
    <row r="508" spans="1:7">
      <c r="A508" t="s">
        <v>1691</v>
      </c>
      <c r="B508" t="s">
        <v>414</v>
      </c>
      <c r="D508" t="s">
        <v>1631</v>
      </c>
      <c r="E508" t="s">
        <v>2259</v>
      </c>
      <c r="F508">
        <v>94366</v>
      </c>
      <c r="G508" t="s">
        <v>2260</v>
      </c>
    </row>
    <row r="509" spans="1:7">
      <c r="A509" t="s">
        <v>1691</v>
      </c>
      <c r="B509" t="s">
        <v>414</v>
      </c>
      <c r="D509" t="s">
        <v>1632</v>
      </c>
      <c r="E509" t="s">
        <v>2261</v>
      </c>
      <c r="F509">
        <v>13008</v>
      </c>
      <c r="G509" t="s">
        <v>822</v>
      </c>
    </row>
    <row r="510" spans="1:7">
      <c r="A510" t="s">
        <v>1691</v>
      </c>
      <c r="B510" t="s">
        <v>414</v>
      </c>
      <c r="D510" t="s">
        <v>1633</v>
      </c>
      <c r="E510" t="s">
        <v>2262</v>
      </c>
      <c r="F510">
        <v>33075</v>
      </c>
      <c r="G510" t="s">
        <v>942</v>
      </c>
    </row>
    <row r="511" spans="1:7">
      <c r="A511" t="s">
        <v>1691</v>
      </c>
      <c r="B511" t="s">
        <v>414</v>
      </c>
      <c r="D511" t="s">
        <v>1634</v>
      </c>
      <c r="E511" t="s">
        <v>2263</v>
      </c>
      <c r="F511">
        <v>17019</v>
      </c>
      <c r="G511" t="s">
        <v>2264</v>
      </c>
    </row>
    <row r="512" spans="1:7">
      <c r="A512" t="s">
        <v>1691</v>
      </c>
      <c r="B512" t="s">
        <v>414</v>
      </c>
      <c r="D512" t="s">
        <v>1635</v>
      </c>
      <c r="E512" t="s">
        <v>2265</v>
      </c>
      <c r="F512">
        <v>34207</v>
      </c>
      <c r="G512" t="s">
        <v>2266</v>
      </c>
    </row>
    <row r="513" spans="1:7">
      <c r="A513" t="s">
        <v>1691</v>
      </c>
      <c r="B513" t="s">
        <v>414</v>
      </c>
      <c r="D513" t="s">
        <v>1636</v>
      </c>
      <c r="E513" t="s">
        <v>2267</v>
      </c>
      <c r="F513">
        <v>34295</v>
      </c>
      <c r="G513" t="s">
        <v>858</v>
      </c>
    </row>
    <row r="514" spans="1:7">
      <c r="A514" t="s">
        <v>1691</v>
      </c>
      <c r="B514" t="s">
        <v>414</v>
      </c>
      <c r="D514" t="s">
        <v>1637</v>
      </c>
      <c r="E514" t="s">
        <v>2268</v>
      </c>
      <c r="F514">
        <v>59056</v>
      </c>
      <c r="G514" t="s">
        <v>2269</v>
      </c>
    </row>
    <row r="515" spans="1:7">
      <c r="A515" t="s">
        <v>1691</v>
      </c>
      <c r="B515" t="s">
        <v>414</v>
      </c>
      <c r="D515" t="s">
        <v>1638</v>
      </c>
      <c r="E515" t="s">
        <v>2270</v>
      </c>
      <c r="F515">
        <v>57000</v>
      </c>
      <c r="G515" t="s">
        <v>2271</v>
      </c>
    </row>
    <row r="516" spans="1:7">
      <c r="A516" t="s">
        <v>1691</v>
      </c>
      <c r="B516" t="s">
        <v>414</v>
      </c>
      <c r="D516" t="s">
        <v>1639</v>
      </c>
      <c r="E516" t="s">
        <v>2272</v>
      </c>
      <c r="F516">
        <v>26102</v>
      </c>
      <c r="G516" t="s">
        <v>2273</v>
      </c>
    </row>
    <row r="517" spans="1:7">
      <c r="A517" t="s">
        <v>1691</v>
      </c>
      <c r="B517" t="s">
        <v>414</v>
      </c>
      <c r="D517" t="s">
        <v>1640</v>
      </c>
      <c r="E517" t="s">
        <v>2274</v>
      </c>
      <c r="F517">
        <v>16112</v>
      </c>
      <c r="G517" t="s">
        <v>2275</v>
      </c>
    </row>
    <row r="518" spans="1:7">
      <c r="A518" t="s">
        <v>1691</v>
      </c>
      <c r="B518" t="s">
        <v>414</v>
      </c>
      <c r="D518" t="s">
        <v>1343</v>
      </c>
      <c r="E518" t="s">
        <v>1718</v>
      </c>
      <c r="F518">
        <v>4003</v>
      </c>
      <c r="G518" t="s">
        <v>1719</v>
      </c>
    </row>
    <row r="519" spans="1:7">
      <c r="A519" t="s">
        <v>1691</v>
      </c>
      <c r="B519" t="s">
        <v>414</v>
      </c>
      <c r="D519" t="s">
        <v>1395</v>
      </c>
      <c r="E519" t="s">
        <v>1826</v>
      </c>
      <c r="F519">
        <v>77000</v>
      </c>
      <c r="G519" t="s">
        <v>1827</v>
      </c>
    </row>
    <row r="520" spans="1:7">
      <c r="A520" t="s">
        <v>2936</v>
      </c>
      <c r="C520" t="s">
        <v>414</v>
      </c>
      <c r="D520" t="s">
        <v>2587</v>
      </c>
      <c r="E520" t="s">
        <v>2265</v>
      </c>
      <c r="F520">
        <v>34207</v>
      </c>
      <c r="G520" t="s">
        <v>2266</v>
      </c>
    </row>
    <row r="521" spans="1:7">
      <c r="A521" t="s">
        <v>2936</v>
      </c>
      <c r="C521" t="s">
        <v>414</v>
      </c>
      <c r="D521" t="s">
        <v>2592</v>
      </c>
      <c r="E521" t="s">
        <v>2870</v>
      </c>
      <c r="F521">
        <v>71206</v>
      </c>
      <c r="G521" t="s">
        <v>2871</v>
      </c>
    </row>
    <row r="522" spans="1:7">
      <c r="A522" t="s">
        <v>1691</v>
      </c>
      <c r="B522" t="s">
        <v>414</v>
      </c>
      <c r="D522" t="s">
        <v>1646</v>
      </c>
      <c r="E522" t="s">
        <v>2285</v>
      </c>
      <c r="F522">
        <v>75970</v>
      </c>
      <c r="G522" t="s">
        <v>700</v>
      </c>
    </row>
    <row r="523" spans="1:7">
      <c r="A523" t="s">
        <v>1691</v>
      </c>
      <c r="B523" t="s">
        <v>414</v>
      </c>
      <c r="D523" t="s">
        <v>1647</v>
      </c>
      <c r="E523" t="s">
        <v>2286</v>
      </c>
      <c r="F523">
        <v>75571</v>
      </c>
      <c r="G523" t="s">
        <v>700</v>
      </c>
    </row>
    <row r="524" spans="1:7">
      <c r="A524" t="s">
        <v>1691</v>
      </c>
      <c r="B524" t="s">
        <v>414</v>
      </c>
      <c r="D524" t="s">
        <v>1649</v>
      </c>
      <c r="E524" t="s">
        <v>2288</v>
      </c>
      <c r="F524">
        <v>75743</v>
      </c>
      <c r="G524" t="s">
        <v>700</v>
      </c>
    </row>
    <row r="525" spans="1:7">
      <c r="A525" t="s">
        <v>1691</v>
      </c>
      <c r="B525" t="s">
        <v>414</v>
      </c>
      <c r="D525" t="s">
        <v>1660</v>
      </c>
      <c r="E525" t="s">
        <v>2302</v>
      </c>
      <c r="F525">
        <v>75019</v>
      </c>
      <c r="G525" t="s">
        <v>700</v>
      </c>
    </row>
    <row r="526" spans="1:7">
      <c r="A526" t="s">
        <v>1691</v>
      </c>
      <c r="B526" t="s">
        <v>414</v>
      </c>
      <c r="D526" t="s">
        <v>1662</v>
      </c>
      <c r="E526" t="s">
        <v>2113</v>
      </c>
      <c r="F526">
        <v>67200</v>
      </c>
      <c r="G526" t="s">
        <v>2056</v>
      </c>
    </row>
    <row r="527" spans="1:7">
      <c r="A527" t="s">
        <v>1691</v>
      </c>
      <c r="B527" t="s">
        <v>414</v>
      </c>
      <c r="D527" t="s">
        <v>1664</v>
      </c>
      <c r="E527" t="s">
        <v>2308</v>
      </c>
      <c r="F527">
        <v>69008</v>
      </c>
      <c r="G527" t="s">
        <v>903</v>
      </c>
    </row>
    <row r="528" spans="1:7">
      <c r="A528" t="s">
        <v>1691</v>
      </c>
      <c r="B528" t="s">
        <v>414</v>
      </c>
      <c r="D528" t="s">
        <v>1665</v>
      </c>
      <c r="E528" t="s">
        <v>2309</v>
      </c>
      <c r="F528">
        <v>69641</v>
      </c>
      <c r="G528" t="s">
        <v>2310</v>
      </c>
    </row>
    <row r="529" spans="1:7">
      <c r="A529" t="s">
        <v>2936</v>
      </c>
      <c r="C529" t="s">
        <v>414</v>
      </c>
      <c r="D529" t="s">
        <v>2608</v>
      </c>
      <c r="E529" t="s">
        <v>2885</v>
      </c>
      <c r="F529">
        <v>79006</v>
      </c>
      <c r="G529" t="s">
        <v>946</v>
      </c>
    </row>
    <row r="530" spans="1:7">
      <c r="A530" t="s">
        <v>1691</v>
      </c>
      <c r="B530" t="s">
        <v>414</v>
      </c>
      <c r="D530" t="s">
        <v>642</v>
      </c>
      <c r="E530" t="s">
        <v>2311</v>
      </c>
      <c r="F530">
        <v>33076</v>
      </c>
      <c r="G530" t="s">
        <v>942</v>
      </c>
    </row>
    <row r="531" spans="1:7">
      <c r="A531" t="s">
        <v>1691</v>
      </c>
      <c r="B531" t="s">
        <v>414</v>
      </c>
      <c r="D531" t="s">
        <v>1666</v>
      </c>
      <c r="E531" t="s">
        <v>2312</v>
      </c>
      <c r="F531">
        <v>42271</v>
      </c>
      <c r="G531" t="s">
        <v>877</v>
      </c>
    </row>
    <row r="532" spans="1:7">
      <c r="A532" t="s">
        <v>1691</v>
      </c>
      <c r="B532" t="s">
        <v>414</v>
      </c>
      <c r="D532" t="s">
        <v>655</v>
      </c>
      <c r="E532" t="s">
        <v>2313</v>
      </c>
      <c r="F532">
        <v>54519</v>
      </c>
      <c r="G532" t="s">
        <v>850</v>
      </c>
    </row>
    <row r="533" spans="1:7">
      <c r="A533" t="s">
        <v>1691</v>
      </c>
      <c r="B533" t="s">
        <v>414</v>
      </c>
      <c r="D533" t="s">
        <v>1667</v>
      </c>
      <c r="E533" t="s">
        <v>2314</v>
      </c>
      <c r="F533">
        <v>51056</v>
      </c>
      <c r="G533" t="s">
        <v>880</v>
      </c>
    </row>
    <row r="534" spans="1:7">
      <c r="A534" t="s">
        <v>1691</v>
      </c>
      <c r="B534" t="s">
        <v>414</v>
      </c>
      <c r="D534" t="s">
        <v>1668</v>
      </c>
      <c r="E534" t="s">
        <v>2317</v>
      </c>
      <c r="F534">
        <v>84918</v>
      </c>
      <c r="G534" t="s">
        <v>1815</v>
      </c>
    </row>
    <row r="535" spans="1:7">
      <c r="A535" t="s">
        <v>1691</v>
      </c>
      <c r="B535" t="s">
        <v>414</v>
      </c>
      <c r="D535" t="s">
        <v>1358</v>
      </c>
      <c r="E535" t="s">
        <v>1746</v>
      </c>
      <c r="F535">
        <v>63011</v>
      </c>
      <c r="G535" t="s">
        <v>896</v>
      </c>
    </row>
    <row r="536" spans="1:7">
      <c r="A536" t="s">
        <v>2936</v>
      </c>
      <c r="C536" t="s">
        <v>414</v>
      </c>
      <c r="D536" t="s">
        <v>2560</v>
      </c>
      <c r="E536" t="s">
        <v>2858</v>
      </c>
      <c r="F536">
        <v>91300</v>
      </c>
      <c r="G536" t="s">
        <v>2859</v>
      </c>
    </row>
    <row r="537" spans="1:7">
      <c r="A537" t="s">
        <v>2936</v>
      </c>
      <c r="C537" t="s">
        <v>414</v>
      </c>
      <c r="D537" t="s">
        <v>2529</v>
      </c>
      <c r="E537" t="s">
        <v>2175</v>
      </c>
      <c r="F537">
        <v>76290</v>
      </c>
      <c r="G537" t="s">
        <v>2176</v>
      </c>
    </row>
    <row r="538" spans="1:7">
      <c r="A538" t="s">
        <v>2936</v>
      </c>
      <c r="C538" t="s">
        <v>414</v>
      </c>
      <c r="D538" t="s">
        <v>2561</v>
      </c>
      <c r="E538" t="s">
        <v>2229</v>
      </c>
      <c r="F538">
        <v>69008</v>
      </c>
      <c r="G538" t="s">
        <v>903</v>
      </c>
    </row>
    <row r="539" spans="1:7">
      <c r="A539" t="s">
        <v>2936</v>
      </c>
      <c r="C539" t="s">
        <v>414</v>
      </c>
      <c r="D539" t="s">
        <v>2422</v>
      </c>
      <c r="E539" t="s">
        <v>2009</v>
      </c>
      <c r="F539">
        <v>25030</v>
      </c>
      <c r="G539" t="s">
        <v>874</v>
      </c>
    </row>
    <row r="540" spans="1:7">
      <c r="A540" t="s">
        <v>2936</v>
      </c>
      <c r="C540" t="s">
        <v>414</v>
      </c>
      <c r="D540" t="s">
        <v>2466</v>
      </c>
      <c r="E540" t="s">
        <v>2780</v>
      </c>
      <c r="F540">
        <v>37500</v>
      </c>
      <c r="G540" t="s">
        <v>2781</v>
      </c>
    </row>
    <row r="541" spans="1:7">
      <c r="A541" t="s">
        <v>2936</v>
      </c>
      <c r="C541" t="s">
        <v>414</v>
      </c>
      <c r="D541" t="s">
        <v>2640</v>
      </c>
      <c r="E541" t="s">
        <v>2930</v>
      </c>
      <c r="F541">
        <v>45500</v>
      </c>
      <c r="G541" t="s">
        <v>2931</v>
      </c>
    </row>
    <row r="542" spans="1:7">
      <c r="A542" t="s">
        <v>2936</v>
      </c>
      <c r="C542" t="s">
        <v>414</v>
      </c>
      <c r="D542" t="s">
        <v>2385</v>
      </c>
      <c r="E542" t="s">
        <v>2662</v>
      </c>
      <c r="F542">
        <v>17503</v>
      </c>
      <c r="G542" t="s">
        <v>2663</v>
      </c>
    </row>
    <row r="543" spans="1:7">
      <c r="A543" t="s">
        <v>2936</v>
      </c>
      <c r="C543" t="s">
        <v>414</v>
      </c>
      <c r="D543" t="s">
        <v>2530</v>
      </c>
      <c r="E543" t="s">
        <v>2839</v>
      </c>
      <c r="F543">
        <v>31076</v>
      </c>
      <c r="G543" t="s">
        <v>833</v>
      </c>
    </row>
    <row r="544" spans="1:7">
      <c r="A544" t="s">
        <v>2936</v>
      </c>
      <c r="C544" t="s">
        <v>414</v>
      </c>
      <c r="D544" t="s">
        <v>2482</v>
      </c>
      <c r="E544" t="s">
        <v>2795</v>
      </c>
      <c r="F544">
        <v>44314</v>
      </c>
      <c r="G544" t="s">
        <v>2003</v>
      </c>
    </row>
    <row r="545" spans="1:7">
      <c r="A545" t="s">
        <v>2936</v>
      </c>
      <c r="C545" t="s">
        <v>414</v>
      </c>
      <c r="D545" t="s">
        <v>2467</v>
      </c>
      <c r="E545" t="s">
        <v>2782</v>
      </c>
      <c r="F545">
        <v>26200</v>
      </c>
      <c r="G545" t="s">
        <v>1911</v>
      </c>
    </row>
    <row r="546" spans="1:7">
      <c r="A546" t="s">
        <v>1691</v>
      </c>
      <c r="B546" t="s">
        <v>414</v>
      </c>
      <c r="D546" t="s">
        <v>1669</v>
      </c>
      <c r="E546" t="s">
        <v>2318</v>
      </c>
      <c r="F546">
        <v>30029</v>
      </c>
      <c r="G546" t="s">
        <v>951</v>
      </c>
    </row>
    <row r="547" spans="1:7">
      <c r="A547" t="s">
        <v>2936</v>
      </c>
      <c r="C547" t="s">
        <v>414</v>
      </c>
      <c r="D547" t="s">
        <v>2563</v>
      </c>
      <c r="E547" t="s">
        <v>2232</v>
      </c>
      <c r="F547">
        <v>63110</v>
      </c>
      <c r="G547" t="s">
        <v>2233</v>
      </c>
    </row>
    <row r="548" spans="1:7">
      <c r="A548" t="s">
        <v>2936</v>
      </c>
      <c r="C548" t="s">
        <v>414</v>
      </c>
      <c r="D548" t="s">
        <v>2564</v>
      </c>
      <c r="E548" t="s">
        <v>2860</v>
      </c>
      <c r="F548">
        <v>59042</v>
      </c>
      <c r="G548" t="s">
        <v>871</v>
      </c>
    </row>
    <row r="549" spans="1:7">
      <c r="A549" t="s">
        <v>2936</v>
      </c>
      <c r="C549" t="s">
        <v>414</v>
      </c>
      <c r="D549" t="s">
        <v>2469</v>
      </c>
      <c r="E549" t="s">
        <v>2785</v>
      </c>
      <c r="F549">
        <v>26300</v>
      </c>
      <c r="G549" t="s">
        <v>2786</v>
      </c>
    </row>
    <row r="550" spans="1:7">
      <c r="A550" t="s">
        <v>2936</v>
      </c>
      <c r="C550" t="s">
        <v>414</v>
      </c>
      <c r="D550" t="s">
        <v>2625</v>
      </c>
      <c r="E550" t="s">
        <v>2911</v>
      </c>
      <c r="F550">
        <v>3205</v>
      </c>
      <c r="G550" t="s">
        <v>1873</v>
      </c>
    </row>
    <row r="551" spans="1:7">
      <c r="A551" t="s">
        <v>1691</v>
      </c>
      <c r="B551" t="s">
        <v>414</v>
      </c>
      <c r="D551" t="s">
        <v>1353</v>
      </c>
      <c r="E551" t="s">
        <v>1736</v>
      </c>
      <c r="F551">
        <v>22303</v>
      </c>
      <c r="G551" t="s">
        <v>1737</v>
      </c>
    </row>
    <row r="552" spans="1:7">
      <c r="A552" t="s">
        <v>2936</v>
      </c>
      <c r="C552" t="s">
        <v>414</v>
      </c>
      <c r="D552" t="s">
        <v>2468</v>
      </c>
      <c r="E552" t="s">
        <v>2783</v>
      </c>
      <c r="F552">
        <v>45160</v>
      </c>
      <c r="G552" t="s">
        <v>2784</v>
      </c>
    </row>
    <row r="553" spans="1:7">
      <c r="A553" t="s">
        <v>1691</v>
      </c>
      <c r="B553" t="s">
        <v>414</v>
      </c>
      <c r="D553" t="s">
        <v>1581</v>
      </c>
      <c r="E553" t="s">
        <v>2179</v>
      </c>
      <c r="F553">
        <v>31059</v>
      </c>
      <c r="G553" t="s">
        <v>833</v>
      </c>
    </row>
    <row r="554" spans="1:7">
      <c r="A554" t="s">
        <v>2936</v>
      </c>
      <c r="C554" t="s">
        <v>414</v>
      </c>
      <c r="D554" t="s">
        <v>2378</v>
      </c>
      <c r="E554" t="s">
        <v>2650</v>
      </c>
      <c r="F554">
        <v>53015</v>
      </c>
      <c r="G554" t="s">
        <v>2372</v>
      </c>
    </row>
    <row r="555" spans="1:7">
      <c r="A555" t="s">
        <v>2936</v>
      </c>
      <c r="C555" t="s">
        <v>414</v>
      </c>
      <c r="D555" t="s">
        <v>2382</v>
      </c>
      <c r="E555" t="s">
        <v>2657</v>
      </c>
      <c r="F555">
        <v>72037</v>
      </c>
      <c r="G555" t="s">
        <v>1883</v>
      </c>
    </row>
    <row r="556" spans="1:7">
      <c r="A556" t="s">
        <v>1691</v>
      </c>
      <c r="B556" t="s">
        <v>414</v>
      </c>
      <c r="D556" t="s">
        <v>1670</v>
      </c>
      <c r="E556" t="s">
        <v>2319</v>
      </c>
      <c r="F556">
        <v>25209</v>
      </c>
      <c r="G556" t="s">
        <v>2320</v>
      </c>
    </row>
    <row r="557" spans="1:7">
      <c r="A557" t="s">
        <v>1691</v>
      </c>
      <c r="B557" t="s">
        <v>414</v>
      </c>
      <c r="D557" t="s">
        <v>1357</v>
      </c>
      <c r="E557" t="s">
        <v>1744</v>
      </c>
      <c r="F557">
        <v>59187</v>
      </c>
      <c r="G557" t="s">
        <v>1745</v>
      </c>
    </row>
    <row r="558" spans="1:7">
      <c r="A558" t="s">
        <v>2936</v>
      </c>
      <c r="C558" t="s">
        <v>414</v>
      </c>
      <c r="D558" t="s">
        <v>2471</v>
      </c>
      <c r="E558" t="s">
        <v>2788</v>
      </c>
      <c r="F558">
        <v>97420</v>
      </c>
      <c r="G558" t="s">
        <v>2789</v>
      </c>
    </row>
    <row r="559" spans="1:7">
      <c r="A559" t="s">
        <v>2936</v>
      </c>
      <c r="C559" t="s">
        <v>414</v>
      </c>
      <c r="D559" t="s">
        <v>2472</v>
      </c>
      <c r="E559" t="s">
        <v>2077</v>
      </c>
      <c r="F559">
        <v>76600</v>
      </c>
      <c r="G559" t="s">
        <v>2078</v>
      </c>
    </row>
    <row r="560" spans="1:7">
      <c r="A560" t="s">
        <v>1691</v>
      </c>
      <c r="B560" t="s">
        <v>414</v>
      </c>
      <c r="D560" t="s">
        <v>1583</v>
      </c>
      <c r="E560" t="s">
        <v>2181</v>
      </c>
      <c r="F560">
        <v>69200</v>
      </c>
      <c r="G560" t="s">
        <v>2182</v>
      </c>
    </row>
    <row r="561" spans="1:7">
      <c r="A561" t="s">
        <v>1691</v>
      </c>
      <c r="B561" t="s">
        <v>414</v>
      </c>
      <c r="D561" t="s">
        <v>1337</v>
      </c>
      <c r="E561" t="s">
        <v>1706</v>
      </c>
      <c r="F561">
        <v>74700</v>
      </c>
      <c r="G561" t="s">
        <v>1707</v>
      </c>
    </row>
    <row r="562" spans="1:7">
      <c r="A562" t="s">
        <v>2936</v>
      </c>
      <c r="C562" t="s">
        <v>414</v>
      </c>
      <c r="D562" t="s">
        <v>2441</v>
      </c>
      <c r="E562" t="s">
        <v>2734</v>
      </c>
      <c r="F562">
        <v>49402</v>
      </c>
      <c r="G562" t="s">
        <v>2735</v>
      </c>
    </row>
    <row r="563" spans="1:7">
      <c r="A563" t="s">
        <v>2936</v>
      </c>
      <c r="C563" t="s">
        <v>414</v>
      </c>
      <c r="D563" t="s">
        <v>2473</v>
      </c>
      <c r="E563" t="s">
        <v>2079</v>
      </c>
      <c r="F563">
        <v>54271</v>
      </c>
      <c r="G563" t="s">
        <v>2080</v>
      </c>
    </row>
    <row r="564" spans="1:7">
      <c r="A564" t="s">
        <v>1691</v>
      </c>
      <c r="B564" t="s">
        <v>414</v>
      </c>
      <c r="D564" t="s">
        <v>1585</v>
      </c>
      <c r="E564" t="s">
        <v>2184</v>
      </c>
      <c r="F564">
        <v>69677</v>
      </c>
      <c r="G564" t="s">
        <v>2169</v>
      </c>
    </row>
    <row r="565" spans="1:7">
      <c r="A565" t="s">
        <v>1691</v>
      </c>
      <c r="B565" t="s">
        <v>414</v>
      </c>
      <c r="D565" t="s">
        <v>1588</v>
      </c>
      <c r="E565" t="s">
        <v>2189</v>
      </c>
      <c r="F565">
        <v>51092</v>
      </c>
      <c r="G565" t="s">
        <v>880</v>
      </c>
    </row>
    <row r="566" spans="1:7">
      <c r="A566" t="s">
        <v>2936</v>
      </c>
      <c r="C566" t="s">
        <v>414</v>
      </c>
      <c r="D566" t="s">
        <v>2628</v>
      </c>
      <c r="E566" t="s">
        <v>2916</v>
      </c>
      <c r="F566">
        <v>83196</v>
      </c>
      <c r="G566" t="s">
        <v>2913</v>
      </c>
    </row>
    <row r="567" spans="1:7">
      <c r="A567" t="s">
        <v>2936</v>
      </c>
      <c r="C567" t="s">
        <v>414</v>
      </c>
      <c r="D567" t="s">
        <v>2474</v>
      </c>
      <c r="E567" t="s">
        <v>2790</v>
      </c>
      <c r="F567">
        <v>92100</v>
      </c>
      <c r="G567" t="s">
        <v>2115</v>
      </c>
    </row>
    <row r="568" spans="1:7">
      <c r="A568" t="s">
        <v>2936</v>
      </c>
      <c r="C568" t="s">
        <v>414</v>
      </c>
      <c r="D568" t="s">
        <v>2379</v>
      </c>
      <c r="E568" t="s">
        <v>2651</v>
      </c>
      <c r="F568">
        <v>47207</v>
      </c>
      <c r="G568" t="s">
        <v>2652</v>
      </c>
    </row>
    <row r="569" spans="1:7">
      <c r="A569" t="s">
        <v>2936</v>
      </c>
      <c r="C569" t="s">
        <v>414</v>
      </c>
      <c r="D569" t="s">
        <v>2475</v>
      </c>
      <c r="E569" t="s">
        <v>2081</v>
      </c>
      <c r="F569">
        <v>76000</v>
      </c>
      <c r="G569" t="s">
        <v>885</v>
      </c>
    </row>
    <row r="570" spans="1:7">
      <c r="A570" t="s">
        <v>2936</v>
      </c>
      <c r="C570" t="s">
        <v>414</v>
      </c>
      <c r="D570" t="s">
        <v>2388</v>
      </c>
      <c r="E570" t="s">
        <v>2668</v>
      </c>
      <c r="F570">
        <v>72058</v>
      </c>
      <c r="G570" t="s">
        <v>1883</v>
      </c>
    </row>
    <row r="571" spans="1:7">
      <c r="A571" t="s">
        <v>1691</v>
      </c>
      <c r="B571" t="s">
        <v>414</v>
      </c>
      <c r="D571" t="s">
        <v>1362</v>
      </c>
      <c r="E571" t="s">
        <v>1753</v>
      </c>
      <c r="F571">
        <v>97100</v>
      </c>
      <c r="G571" t="s">
        <v>1723</v>
      </c>
    </row>
    <row r="572" spans="1:7">
      <c r="A572" t="s">
        <v>2936</v>
      </c>
      <c r="C572" t="s">
        <v>414</v>
      </c>
      <c r="D572" t="s">
        <v>2567</v>
      </c>
      <c r="E572" t="s">
        <v>2237</v>
      </c>
      <c r="F572">
        <v>73190</v>
      </c>
      <c r="G572" t="s">
        <v>2238</v>
      </c>
    </row>
    <row r="573" spans="1:7">
      <c r="A573" t="s">
        <v>1691</v>
      </c>
      <c r="B573" t="s">
        <v>414</v>
      </c>
      <c r="D573" t="s">
        <v>1671</v>
      </c>
      <c r="E573" t="s">
        <v>2321</v>
      </c>
      <c r="F573">
        <v>69100</v>
      </c>
      <c r="G573" t="s">
        <v>995</v>
      </c>
    </row>
    <row r="574" spans="1:7">
      <c r="A574" t="s">
        <v>2936</v>
      </c>
      <c r="C574" t="s">
        <v>414</v>
      </c>
      <c r="D574" t="s">
        <v>2598</v>
      </c>
      <c r="E574" t="s">
        <v>2321</v>
      </c>
      <c r="F574">
        <v>69100</v>
      </c>
      <c r="G574" t="s">
        <v>995</v>
      </c>
    </row>
    <row r="575" spans="1:7">
      <c r="A575" t="s">
        <v>2936</v>
      </c>
      <c r="C575" t="s">
        <v>414</v>
      </c>
      <c r="D575" t="s">
        <v>2478</v>
      </c>
      <c r="E575" t="s">
        <v>2086</v>
      </c>
      <c r="F575">
        <v>76550</v>
      </c>
      <c r="G575" t="s">
        <v>2087</v>
      </c>
    </row>
    <row r="576" spans="1:7">
      <c r="A576" t="s">
        <v>2936</v>
      </c>
      <c r="C576" t="s">
        <v>414</v>
      </c>
      <c r="D576" t="s">
        <v>2483</v>
      </c>
      <c r="E576" t="s">
        <v>2796</v>
      </c>
      <c r="F576">
        <v>42013</v>
      </c>
      <c r="G576" t="s">
        <v>2211</v>
      </c>
    </row>
    <row r="577" spans="1:7">
      <c r="A577" t="s">
        <v>2936</v>
      </c>
      <c r="C577" t="s">
        <v>414</v>
      </c>
      <c r="D577" t="s">
        <v>2546</v>
      </c>
      <c r="E577" t="s">
        <v>2850</v>
      </c>
      <c r="F577">
        <v>90002</v>
      </c>
      <c r="G577" t="s">
        <v>2851</v>
      </c>
    </row>
    <row r="578" spans="1:7">
      <c r="A578" t="s">
        <v>2936</v>
      </c>
      <c r="C578" t="s">
        <v>414</v>
      </c>
      <c r="D578" t="s">
        <v>2591</v>
      </c>
      <c r="E578" t="s">
        <v>2869</v>
      </c>
      <c r="F578">
        <v>74700</v>
      </c>
      <c r="G578" t="s">
        <v>1707</v>
      </c>
    </row>
    <row r="579" spans="1:7">
      <c r="A579" t="s">
        <v>2936</v>
      </c>
      <c r="C579" t="s">
        <v>414</v>
      </c>
      <c r="D579" t="s">
        <v>2600</v>
      </c>
      <c r="E579" t="s">
        <v>2875</v>
      </c>
      <c r="F579">
        <v>38503</v>
      </c>
      <c r="G579" t="s">
        <v>2160</v>
      </c>
    </row>
    <row r="580" spans="1:7">
      <c r="A580" t="s">
        <v>2936</v>
      </c>
      <c r="C580" t="s">
        <v>414</v>
      </c>
      <c r="D580" t="s">
        <v>2599</v>
      </c>
      <c r="E580" t="s">
        <v>2874</v>
      </c>
      <c r="F580">
        <v>30104</v>
      </c>
      <c r="G580" t="s">
        <v>1773</v>
      </c>
    </row>
    <row r="581" spans="1:7">
      <c r="A581" t="s">
        <v>2936</v>
      </c>
      <c r="C581" t="s">
        <v>414</v>
      </c>
      <c r="D581" t="s">
        <v>2421</v>
      </c>
      <c r="E581" t="s">
        <v>2006</v>
      </c>
      <c r="F581">
        <v>6202</v>
      </c>
      <c r="G581" t="s">
        <v>836</v>
      </c>
    </row>
    <row r="582" spans="1:7">
      <c r="A582" t="s">
        <v>1691</v>
      </c>
      <c r="B582" t="s">
        <v>414</v>
      </c>
      <c r="D582" t="s">
        <v>1672</v>
      </c>
      <c r="E582" t="s">
        <v>2323</v>
      </c>
      <c r="F582">
        <v>59300</v>
      </c>
      <c r="G582" t="s">
        <v>1934</v>
      </c>
    </row>
    <row r="583" spans="1:7">
      <c r="A583" t="s">
        <v>1691</v>
      </c>
      <c r="B583" t="s">
        <v>414</v>
      </c>
      <c r="D583" t="s">
        <v>1673</v>
      </c>
      <c r="E583" t="s">
        <v>2324</v>
      </c>
      <c r="F583">
        <v>31059</v>
      </c>
      <c r="G583" t="s">
        <v>833</v>
      </c>
    </row>
    <row r="584" spans="1:7">
      <c r="A584" t="s">
        <v>1691</v>
      </c>
      <c r="B584" t="s">
        <v>414</v>
      </c>
      <c r="D584" t="s">
        <v>1674</v>
      </c>
      <c r="E584" t="s">
        <v>2324</v>
      </c>
      <c r="F584">
        <v>31059</v>
      </c>
      <c r="G584" t="s">
        <v>833</v>
      </c>
    </row>
    <row r="585" spans="1:7">
      <c r="A585" t="s">
        <v>2936</v>
      </c>
      <c r="C585" t="s">
        <v>414</v>
      </c>
      <c r="D585" t="s">
        <v>2448</v>
      </c>
      <c r="E585" t="s">
        <v>2745</v>
      </c>
      <c r="F585">
        <v>84100</v>
      </c>
      <c r="G585" t="s">
        <v>2692</v>
      </c>
    </row>
    <row r="586" spans="1:7">
      <c r="A586" t="s">
        <v>2936</v>
      </c>
      <c r="C586" t="s">
        <v>414</v>
      </c>
      <c r="D586" t="s">
        <v>2601</v>
      </c>
      <c r="E586" t="s">
        <v>2325</v>
      </c>
      <c r="F586">
        <v>45770</v>
      </c>
      <c r="G586" t="s">
        <v>2326</v>
      </c>
    </row>
    <row r="587" spans="1:7">
      <c r="A587" t="s">
        <v>1691</v>
      </c>
      <c r="B587" t="s">
        <v>414</v>
      </c>
      <c r="D587" t="s">
        <v>651</v>
      </c>
      <c r="E587" t="s">
        <v>2325</v>
      </c>
      <c r="F587">
        <v>45770</v>
      </c>
      <c r="G587" t="s">
        <v>2326</v>
      </c>
    </row>
    <row r="588" spans="1:7">
      <c r="A588" t="s">
        <v>2936</v>
      </c>
      <c r="C588" t="s">
        <v>414</v>
      </c>
      <c r="D588" t="s">
        <v>2549</v>
      </c>
      <c r="E588" t="s">
        <v>2852</v>
      </c>
      <c r="F588">
        <v>78150</v>
      </c>
      <c r="G588" t="s">
        <v>2853</v>
      </c>
    </row>
    <row r="589" spans="1:7">
      <c r="A589" t="s">
        <v>2936</v>
      </c>
      <c r="C589" t="s">
        <v>414</v>
      </c>
      <c r="D589" t="s">
        <v>2485</v>
      </c>
      <c r="E589" t="s">
        <v>2800</v>
      </c>
      <c r="F589">
        <v>7500</v>
      </c>
      <c r="G589" t="s">
        <v>2801</v>
      </c>
    </row>
    <row r="590" spans="1:7">
      <c r="A590" t="s">
        <v>2936</v>
      </c>
      <c r="C590" t="s">
        <v>414</v>
      </c>
      <c r="D590" t="s">
        <v>2570</v>
      </c>
      <c r="E590" t="s">
        <v>2242</v>
      </c>
      <c r="F590">
        <v>27025</v>
      </c>
      <c r="G590" t="s">
        <v>1860</v>
      </c>
    </row>
    <row r="591" spans="1:7">
      <c r="A591" t="s">
        <v>2936</v>
      </c>
      <c r="C591" t="s">
        <v>414</v>
      </c>
      <c r="D591" t="s">
        <v>2486</v>
      </c>
      <c r="E591" t="s">
        <v>2092</v>
      </c>
      <c r="F591">
        <v>29229</v>
      </c>
      <c r="G591" t="s">
        <v>862</v>
      </c>
    </row>
    <row r="592" spans="1:7">
      <c r="A592" t="s">
        <v>2936</v>
      </c>
      <c r="C592" t="s">
        <v>414</v>
      </c>
      <c r="D592" t="s">
        <v>2571</v>
      </c>
      <c r="E592" t="s">
        <v>2243</v>
      </c>
      <c r="F592">
        <v>94500</v>
      </c>
      <c r="G592" t="s">
        <v>2244</v>
      </c>
    </row>
    <row r="593" spans="1:7">
      <c r="A593" t="s">
        <v>2936</v>
      </c>
      <c r="C593" t="s">
        <v>414</v>
      </c>
      <c r="D593" t="s">
        <v>2487</v>
      </c>
      <c r="E593" t="s">
        <v>2093</v>
      </c>
      <c r="F593">
        <v>89100</v>
      </c>
      <c r="G593" t="s">
        <v>1921</v>
      </c>
    </row>
    <row r="594" spans="1:7">
      <c r="A594" t="s">
        <v>2936</v>
      </c>
      <c r="C594" t="s">
        <v>414</v>
      </c>
      <c r="D594" t="s">
        <v>2481</v>
      </c>
      <c r="E594" t="s">
        <v>2794</v>
      </c>
      <c r="F594">
        <v>33608</v>
      </c>
      <c r="G594" t="s">
        <v>2174</v>
      </c>
    </row>
    <row r="595" spans="1:7">
      <c r="A595" t="s">
        <v>2936</v>
      </c>
      <c r="C595" t="s">
        <v>414</v>
      </c>
      <c r="D595" t="s">
        <v>2380</v>
      </c>
      <c r="E595" t="s">
        <v>2653</v>
      </c>
      <c r="F595">
        <v>56800</v>
      </c>
      <c r="G595" t="s">
        <v>2654</v>
      </c>
    </row>
    <row r="596" spans="1:7">
      <c r="A596" t="s">
        <v>1691</v>
      </c>
      <c r="B596" t="s">
        <v>414</v>
      </c>
      <c r="D596" t="s">
        <v>1675</v>
      </c>
      <c r="E596" t="s">
        <v>2327</v>
      </c>
      <c r="F596">
        <v>63050</v>
      </c>
      <c r="G596" t="s">
        <v>896</v>
      </c>
    </row>
    <row r="597" spans="1:7">
      <c r="A597" t="s">
        <v>1691</v>
      </c>
      <c r="B597" t="s">
        <v>414</v>
      </c>
      <c r="D597" t="s">
        <v>1677</v>
      </c>
      <c r="E597" t="s">
        <v>2329</v>
      </c>
      <c r="F597">
        <v>65000</v>
      </c>
      <c r="G597" t="s">
        <v>1930</v>
      </c>
    </row>
    <row r="598" spans="1:7">
      <c r="A598" t="s">
        <v>2936</v>
      </c>
      <c r="C598" t="s">
        <v>414</v>
      </c>
      <c r="D598" t="s">
        <v>2604</v>
      </c>
      <c r="E598" t="s">
        <v>2878</v>
      </c>
      <c r="F598">
        <v>65000</v>
      </c>
      <c r="G598" t="s">
        <v>1930</v>
      </c>
    </row>
    <row r="599" spans="1:7">
      <c r="A599" t="s">
        <v>2936</v>
      </c>
      <c r="C599" t="s">
        <v>414</v>
      </c>
      <c r="D599" t="s">
        <v>2605</v>
      </c>
      <c r="E599" t="s">
        <v>2879</v>
      </c>
      <c r="F599">
        <v>66330</v>
      </c>
      <c r="G599" t="s">
        <v>2880</v>
      </c>
    </row>
    <row r="600" spans="1:7">
      <c r="A600" t="s">
        <v>2936</v>
      </c>
      <c r="C600" t="s">
        <v>414</v>
      </c>
      <c r="D600" t="s">
        <v>2606</v>
      </c>
      <c r="E600" t="s">
        <v>2881</v>
      </c>
      <c r="F600">
        <v>34200</v>
      </c>
      <c r="G600" t="s">
        <v>2266</v>
      </c>
    </row>
    <row r="601" spans="1:7">
      <c r="A601" t="s">
        <v>2936</v>
      </c>
      <c r="C601" t="s">
        <v>414</v>
      </c>
      <c r="D601" t="s">
        <v>2609</v>
      </c>
      <c r="E601" t="s">
        <v>2886</v>
      </c>
      <c r="F601">
        <v>14113</v>
      </c>
      <c r="G601" t="s">
        <v>2887</v>
      </c>
    </row>
    <row r="602" spans="1:7">
      <c r="A602" t="s">
        <v>2936</v>
      </c>
      <c r="C602" t="s">
        <v>414</v>
      </c>
      <c r="D602" t="s">
        <v>2613</v>
      </c>
      <c r="E602" t="s">
        <v>2890</v>
      </c>
      <c r="F602">
        <v>44615</v>
      </c>
      <c r="G602" t="s">
        <v>2891</v>
      </c>
    </row>
    <row r="603" spans="1:7">
      <c r="A603" t="s">
        <v>2936</v>
      </c>
      <c r="C603" t="s">
        <v>414</v>
      </c>
      <c r="D603" t="s">
        <v>2611</v>
      </c>
      <c r="E603" t="s">
        <v>2889</v>
      </c>
      <c r="F603">
        <v>29220</v>
      </c>
      <c r="G603" t="s">
        <v>862</v>
      </c>
    </row>
    <row r="604" spans="1:7">
      <c r="A604" t="s">
        <v>2936</v>
      </c>
      <c r="C604" t="s">
        <v>414</v>
      </c>
      <c r="D604" t="s">
        <v>2612</v>
      </c>
      <c r="E604" t="s">
        <v>1946</v>
      </c>
      <c r="F604">
        <v>56920</v>
      </c>
      <c r="G604" t="s">
        <v>1947</v>
      </c>
    </row>
    <row r="605" spans="1:7">
      <c r="A605" t="s">
        <v>2936</v>
      </c>
      <c r="C605" t="s">
        <v>414</v>
      </c>
      <c r="D605" t="s">
        <v>2614</v>
      </c>
      <c r="E605" t="s">
        <v>2898</v>
      </c>
      <c r="F605">
        <v>14100</v>
      </c>
      <c r="G605" t="s">
        <v>2899</v>
      </c>
    </row>
    <row r="606" spans="1:7">
      <c r="A606" t="s">
        <v>2936</v>
      </c>
      <c r="C606" t="s">
        <v>414</v>
      </c>
      <c r="D606" t="s">
        <v>2618</v>
      </c>
      <c r="E606" t="s">
        <v>2371</v>
      </c>
      <c r="F606">
        <v>53010</v>
      </c>
      <c r="G606" t="s">
        <v>2372</v>
      </c>
    </row>
    <row r="607" spans="1:7">
      <c r="A607" t="s">
        <v>2936</v>
      </c>
      <c r="C607" t="s">
        <v>414</v>
      </c>
      <c r="D607" t="s">
        <v>2615</v>
      </c>
      <c r="E607" t="s">
        <v>2900</v>
      </c>
      <c r="F607">
        <v>80094</v>
      </c>
      <c r="G607" t="s">
        <v>840</v>
      </c>
    </row>
    <row r="608" spans="1:7">
      <c r="A608" t="s">
        <v>2936</v>
      </c>
      <c r="C608" t="s">
        <v>414</v>
      </c>
      <c r="D608" t="s">
        <v>2616</v>
      </c>
      <c r="E608" t="s">
        <v>2901</v>
      </c>
      <c r="F608">
        <v>86035</v>
      </c>
      <c r="G608" t="s">
        <v>888</v>
      </c>
    </row>
    <row r="609" spans="1:7">
      <c r="A609" t="s">
        <v>2936</v>
      </c>
      <c r="C609" t="s">
        <v>414</v>
      </c>
      <c r="D609" t="s">
        <v>2617</v>
      </c>
      <c r="E609" t="s">
        <v>2902</v>
      </c>
      <c r="F609">
        <v>50100</v>
      </c>
      <c r="G609" t="s">
        <v>2903</v>
      </c>
    </row>
    <row r="610" spans="1:7">
      <c r="A610" t="s">
        <v>2936</v>
      </c>
      <c r="C610" t="s">
        <v>414</v>
      </c>
      <c r="D610" t="s">
        <v>2621</v>
      </c>
      <c r="E610" t="s">
        <v>2907</v>
      </c>
      <c r="F610">
        <v>58004</v>
      </c>
      <c r="G610" t="s">
        <v>915</v>
      </c>
    </row>
    <row r="611" spans="1:7">
      <c r="A611" t="s">
        <v>2936</v>
      </c>
      <c r="C611" t="s">
        <v>414</v>
      </c>
      <c r="D611" t="s">
        <v>2619</v>
      </c>
      <c r="E611" t="s">
        <v>2904</v>
      </c>
      <c r="F611">
        <v>22100</v>
      </c>
      <c r="G611" t="s">
        <v>2905</v>
      </c>
    </row>
    <row r="612" spans="1:7">
      <c r="A612" t="s">
        <v>2936</v>
      </c>
      <c r="C612" t="s">
        <v>414</v>
      </c>
      <c r="D612" t="s">
        <v>2895</v>
      </c>
      <c r="E612" t="s">
        <v>2896</v>
      </c>
      <c r="F612">
        <v>59212</v>
      </c>
      <c r="G612" t="s">
        <v>2897</v>
      </c>
    </row>
    <row r="613" spans="1:7">
      <c r="A613" t="s">
        <v>2936</v>
      </c>
      <c r="C613" t="s">
        <v>414</v>
      </c>
      <c r="D613" t="s">
        <v>2622</v>
      </c>
      <c r="E613" t="s">
        <v>2350</v>
      </c>
      <c r="F613">
        <v>71031</v>
      </c>
      <c r="G613" t="s">
        <v>1886</v>
      </c>
    </row>
    <row r="614" spans="1:7">
      <c r="A614" t="s">
        <v>2936</v>
      </c>
      <c r="C614" t="s">
        <v>414</v>
      </c>
      <c r="D614" t="s">
        <v>2634</v>
      </c>
      <c r="E614" t="s">
        <v>2366</v>
      </c>
      <c r="F614">
        <v>89003</v>
      </c>
      <c r="G614" t="s">
        <v>1786</v>
      </c>
    </row>
    <row r="615" spans="1:7">
      <c r="A615" t="s">
        <v>1691</v>
      </c>
      <c r="B615" t="s">
        <v>414</v>
      </c>
      <c r="D615" t="s">
        <v>1682</v>
      </c>
      <c r="E615" t="s">
        <v>2336</v>
      </c>
      <c r="F615">
        <v>41260</v>
      </c>
      <c r="G615" t="s">
        <v>2337</v>
      </c>
    </row>
    <row r="616" spans="1:7">
      <c r="A616" t="s">
        <v>1691</v>
      </c>
      <c r="B616" t="s">
        <v>414</v>
      </c>
      <c r="D616" t="s">
        <v>1683</v>
      </c>
      <c r="E616" t="s">
        <v>2343</v>
      </c>
      <c r="F616">
        <v>51057</v>
      </c>
      <c r="G616" t="s">
        <v>880</v>
      </c>
    </row>
    <row r="617" spans="1:7">
      <c r="A617" t="s">
        <v>2936</v>
      </c>
      <c r="C617" t="s">
        <v>414</v>
      </c>
      <c r="D617" t="s">
        <v>2620</v>
      </c>
      <c r="E617" t="s">
        <v>2906</v>
      </c>
      <c r="F617">
        <v>81100</v>
      </c>
      <c r="G617" t="s">
        <v>1972</v>
      </c>
    </row>
    <row r="618" spans="1:7">
      <c r="A618" t="s">
        <v>1691</v>
      </c>
      <c r="B618" t="s">
        <v>414</v>
      </c>
      <c r="D618" t="s">
        <v>657</v>
      </c>
      <c r="E618" t="s">
        <v>2349</v>
      </c>
      <c r="F618">
        <v>58004</v>
      </c>
      <c r="G618" t="s">
        <v>915</v>
      </c>
    </row>
    <row r="619" spans="1:7">
      <c r="A619" t="s">
        <v>1691</v>
      </c>
      <c r="B619" t="s">
        <v>414</v>
      </c>
      <c r="D619" t="s">
        <v>671</v>
      </c>
      <c r="E619" t="s">
        <v>2350</v>
      </c>
      <c r="F619">
        <v>71031</v>
      </c>
      <c r="G619" t="s">
        <v>1886</v>
      </c>
    </row>
    <row r="620" spans="1:7">
      <c r="A620" t="s">
        <v>1691</v>
      </c>
      <c r="B620" t="s">
        <v>414</v>
      </c>
      <c r="D620" t="s">
        <v>638</v>
      </c>
      <c r="E620" t="s">
        <v>2351</v>
      </c>
      <c r="F620">
        <v>24004</v>
      </c>
      <c r="G620" t="s">
        <v>2352</v>
      </c>
    </row>
    <row r="621" spans="1:7">
      <c r="A621" t="s">
        <v>2936</v>
      </c>
      <c r="C621" t="s">
        <v>414</v>
      </c>
      <c r="D621" t="s">
        <v>2624</v>
      </c>
      <c r="E621" t="s">
        <v>2908</v>
      </c>
      <c r="F621">
        <v>30932</v>
      </c>
      <c r="G621" t="s">
        <v>951</v>
      </c>
    </row>
    <row r="622" spans="1:7">
      <c r="A622" t="s">
        <v>2936</v>
      </c>
      <c r="C622" t="s">
        <v>414</v>
      </c>
      <c r="D622" t="s">
        <v>644</v>
      </c>
      <c r="E622" t="s">
        <v>2909</v>
      </c>
      <c r="F622">
        <v>33523</v>
      </c>
      <c r="G622" t="s">
        <v>2910</v>
      </c>
    </row>
    <row r="623" spans="1:7">
      <c r="A623" t="s">
        <v>1691</v>
      </c>
      <c r="B623" t="s">
        <v>414</v>
      </c>
      <c r="D623" t="s">
        <v>1685</v>
      </c>
      <c r="E623" t="s">
        <v>2354</v>
      </c>
      <c r="F623">
        <v>3205</v>
      </c>
      <c r="G623" t="s">
        <v>1873</v>
      </c>
    </row>
    <row r="624" spans="1:7">
      <c r="A624" t="s">
        <v>1691</v>
      </c>
      <c r="B624" t="s">
        <v>414</v>
      </c>
      <c r="D624" t="s">
        <v>1686</v>
      </c>
      <c r="E624" t="s">
        <v>2355</v>
      </c>
      <c r="F624">
        <v>20200</v>
      </c>
      <c r="G624" t="s">
        <v>2356</v>
      </c>
    </row>
    <row r="625" spans="1:7">
      <c r="A625" t="s">
        <v>2936</v>
      </c>
      <c r="C625" t="s">
        <v>414</v>
      </c>
      <c r="D625" t="s">
        <v>2626</v>
      </c>
      <c r="E625" t="s">
        <v>2355</v>
      </c>
      <c r="F625">
        <v>20200</v>
      </c>
      <c r="G625" t="s">
        <v>2356</v>
      </c>
    </row>
    <row r="626" spans="1:7">
      <c r="A626" t="s">
        <v>2936</v>
      </c>
      <c r="C626" t="s">
        <v>414</v>
      </c>
      <c r="D626" t="s">
        <v>685</v>
      </c>
      <c r="E626" t="s">
        <v>2912</v>
      </c>
      <c r="F626">
        <v>83196</v>
      </c>
      <c r="G626" t="s">
        <v>2913</v>
      </c>
    </row>
    <row r="627" spans="1:7">
      <c r="A627" t="s">
        <v>2936</v>
      </c>
      <c r="C627" t="s">
        <v>414</v>
      </c>
      <c r="D627" t="s">
        <v>2627</v>
      </c>
      <c r="E627" t="s">
        <v>2914</v>
      </c>
      <c r="F627">
        <v>62110</v>
      </c>
      <c r="G627" t="s">
        <v>2915</v>
      </c>
    </row>
    <row r="628" spans="1:7">
      <c r="A628" t="s">
        <v>2936</v>
      </c>
      <c r="C628" t="s">
        <v>414</v>
      </c>
      <c r="D628" t="s">
        <v>631</v>
      </c>
      <c r="E628" t="s">
        <v>2882</v>
      </c>
      <c r="F628">
        <v>10120</v>
      </c>
      <c r="G628" t="s">
        <v>2883</v>
      </c>
    </row>
    <row r="629" spans="1:7">
      <c r="A629" t="s">
        <v>2936</v>
      </c>
      <c r="C629" t="s">
        <v>414</v>
      </c>
      <c r="D629" t="s">
        <v>686</v>
      </c>
      <c r="E629" t="s">
        <v>2917</v>
      </c>
      <c r="F629">
        <v>83300</v>
      </c>
      <c r="G629" t="s">
        <v>1879</v>
      </c>
    </row>
    <row r="630" spans="1:7">
      <c r="A630" t="s">
        <v>1691</v>
      </c>
      <c r="B630" t="s">
        <v>414</v>
      </c>
      <c r="D630" t="s">
        <v>665</v>
      </c>
      <c r="E630" t="s">
        <v>2359</v>
      </c>
      <c r="F630">
        <v>64000</v>
      </c>
      <c r="G630" t="s">
        <v>1006</v>
      </c>
    </row>
    <row r="631" spans="1:7">
      <c r="A631" t="s">
        <v>2936</v>
      </c>
      <c r="C631" t="s">
        <v>414</v>
      </c>
      <c r="D631" t="s">
        <v>666</v>
      </c>
      <c r="E631" t="s">
        <v>2918</v>
      </c>
      <c r="F631">
        <v>64000</v>
      </c>
      <c r="G631" t="s">
        <v>1006</v>
      </c>
    </row>
    <row r="632" spans="1:7">
      <c r="A632" t="s">
        <v>2936</v>
      </c>
      <c r="C632" t="s">
        <v>414</v>
      </c>
      <c r="D632" t="s">
        <v>2629</v>
      </c>
      <c r="E632" t="s">
        <v>2919</v>
      </c>
      <c r="F632">
        <v>51430</v>
      </c>
      <c r="G632" t="s">
        <v>2920</v>
      </c>
    </row>
    <row r="633" spans="1:7">
      <c r="A633" t="s">
        <v>1691</v>
      </c>
      <c r="B633" t="s">
        <v>414</v>
      </c>
      <c r="D633" t="s">
        <v>2360</v>
      </c>
      <c r="E633" t="s">
        <v>2361</v>
      </c>
      <c r="F633">
        <v>60204</v>
      </c>
      <c r="G633" t="s">
        <v>1808</v>
      </c>
    </row>
    <row r="634" spans="1:7">
      <c r="A634" t="s">
        <v>1691</v>
      </c>
      <c r="B634" t="s">
        <v>414</v>
      </c>
      <c r="D634" t="s">
        <v>679</v>
      </c>
      <c r="E634" t="s">
        <v>2362</v>
      </c>
      <c r="F634">
        <v>6800</v>
      </c>
      <c r="G634" t="s">
        <v>2363</v>
      </c>
    </row>
    <row r="635" spans="1:7">
      <c r="A635" t="s">
        <v>1691</v>
      </c>
      <c r="B635" t="s">
        <v>414</v>
      </c>
      <c r="D635" t="s">
        <v>1688</v>
      </c>
      <c r="E635" t="s">
        <v>2364</v>
      </c>
      <c r="F635">
        <v>35006</v>
      </c>
      <c r="G635" t="s">
        <v>1702</v>
      </c>
    </row>
    <row r="636" spans="1:7">
      <c r="A636" t="s">
        <v>1691</v>
      </c>
      <c r="B636" t="s">
        <v>414</v>
      </c>
      <c r="D636" t="s">
        <v>1689</v>
      </c>
      <c r="E636" t="s">
        <v>2365</v>
      </c>
      <c r="F636">
        <v>3000</v>
      </c>
      <c r="G636" t="s">
        <v>1831</v>
      </c>
    </row>
    <row r="637" spans="1:7">
      <c r="A637" t="s">
        <v>1691</v>
      </c>
      <c r="B637" t="s">
        <v>414</v>
      </c>
      <c r="D637" t="s">
        <v>692</v>
      </c>
      <c r="E637" t="s">
        <v>2366</v>
      </c>
      <c r="F637">
        <v>89003</v>
      </c>
      <c r="G637" t="s">
        <v>1786</v>
      </c>
    </row>
    <row r="638" spans="1:7">
      <c r="A638" t="s">
        <v>2936</v>
      </c>
      <c r="C638" t="s">
        <v>414</v>
      </c>
      <c r="D638" t="s">
        <v>2551</v>
      </c>
      <c r="E638" t="s">
        <v>2854</v>
      </c>
      <c r="F638">
        <v>75013</v>
      </c>
      <c r="G638" t="s">
        <v>700</v>
      </c>
    </row>
    <row r="639" spans="1:7">
      <c r="A639" t="s">
        <v>2936</v>
      </c>
      <c r="C639" t="s">
        <v>414</v>
      </c>
      <c r="D639" t="s">
        <v>2444</v>
      </c>
      <c r="E639" t="s">
        <v>1795</v>
      </c>
      <c r="F639">
        <v>85340</v>
      </c>
      <c r="G639" t="s">
        <v>2739</v>
      </c>
    </row>
    <row r="640" spans="1:7">
      <c r="A640" t="s">
        <v>2936</v>
      </c>
      <c r="C640" t="s">
        <v>414</v>
      </c>
      <c r="D640" t="s">
        <v>2543</v>
      </c>
      <c r="E640" t="s">
        <v>2208</v>
      </c>
      <c r="F640">
        <v>50300</v>
      </c>
      <c r="G640" t="s">
        <v>2209</v>
      </c>
    </row>
    <row r="641" spans="1:7">
      <c r="A641" t="s">
        <v>2936</v>
      </c>
      <c r="C641" t="s">
        <v>414</v>
      </c>
      <c r="D641" t="s">
        <v>2542</v>
      </c>
      <c r="E641" t="s">
        <v>2207</v>
      </c>
      <c r="F641">
        <v>76620</v>
      </c>
      <c r="G641" t="s">
        <v>2078</v>
      </c>
    </row>
    <row r="642" spans="1:7">
      <c r="A642" t="s">
        <v>2936</v>
      </c>
      <c r="C642" t="s">
        <v>414</v>
      </c>
      <c r="D642" t="s">
        <v>968</v>
      </c>
      <c r="E642" t="s">
        <v>2305</v>
      </c>
      <c r="F642">
        <v>56000</v>
      </c>
      <c r="G642" t="s">
        <v>1945</v>
      </c>
    </row>
    <row r="643" spans="1:7">
      <c r="A643" t="s">
        <v>2936</v>
      </c>
      <c r="C643" t="s">
        <v>414</v>
      </c>
      <c r="D643" t="s">
        <v>2532</v>
      </c>
      <c r="E643" t="s">
        <v>2198</v>
      </c>
      <c r="F643">
        <v>62012</v>
      </c>
      <c r="G643" t="s">
        <v>929</v>
      </c>
    </row>
    <row r="644" spans="1:7">
      <c r="A644" t="s">
        <v>2936</v>
      </c>
      <c r="C644" t="s">
        <v>414</v>
      </c>
      <c r="D644" t="s">
        <v>2552</v>
      </c>
      <c r="E644" t="s">
        <v>2855</v>
      </c>
      <c r="F644">
        <v>21000</v>
      </c>
      <c r="G644" t="s">
        <v>844</v>
      </c>
    </row>
    <row r="645" spans="1:7">
      <c r="A645" t="s">
        <v>2936</v>
      </c>
      <c r="C645" t="s">
        <v>414</v>
      </c>
      <c r="D645" t="s">
        <v>2562</v>
      </c>
      <c r="E645" t="s">
        <v>2230</v>
      </c>
      <c r="F645">
        <v>13675</v>
      </c>
      <c r="G645" t="s">
        <v>2231</v>
      </c>
    </row>
    <row r="646" spans="1:7">
      <c r="A646" t="s">
        <v>2936</v>
      </c>
      <c r="C646" t="s">
        <v>414</v>
      </c>
      <c r="D646" t="s">
        <v>2539</v>
      </c>
      <c r="E646" t="s">
        <v>2845</v>
      </c>
      <c r="F646">
        <v>93604</v>
      </c>
      <c r="G646" t="s">
        <v>1968</v>
      </c>
    </row>
    <row r="647" spans="1:7">
      <c r="A647" t="s">
        <v>2936</v>
      </c>
      <c r="C647" t="s">
        <v>414</v>
      </c>
      <c r="D647" t="s">
        <v>2540</v>
      </c>
      <c r="E647" t="s">
        <v>2205</v>
      </c>
      <c r="F647">
        <v>78190</v>
      </c>
      <c r="G647" t="s">
        <v>2206</v>
      </c>
    </row>
    <row r="648" spans="1:7">
      <c r="A648" t="s">
        <v>2936</v>
      </c>
      <c r="C648" t="s">
        <v>414</v>
      </c>
      <c r="D648" t="s">
        <v>2565</v>
      </c>
      <c r="E648" t="s">
        <v>2235</v>
      </c>
      <c r="F648">
        <v>92250</v>
      </c>
      <c r="G648" t="s">
        <v>2236</v>
      </c>
    </row>
    <row r="649" spans="1:7">
      <c r="A649" t="s">
        <v>2936</v>
      </c>
      <c r="C649" t="s">
        <v>414</v>
      </c>
      <c r="D649" t="s">
        <v>2580</v>
      </c>
      <c r="E649" t="s">
        <v>2254</v>
      </c>
      <c r="F649">
        <v>59000</v>
      </c>
      <c r="G649" t="s">
        <v>871</v>
      </c>
    </row>
    <row r="650" spans="1:7">
      <c r="A650" t="s">
        <v>2936</v>
      </c>
      <c r="C650" t="s">
        <v>414</v>
      </c>
      <c r="D650" t="s">
        <v>2566</v>
      </c>
      <c r="E650" t="s">
        <v>2861</v>
      </c>
      <c r="F650">
        <v>30000</v>
      </c>
      <c r="G650" t="s">
        <v>951</v>
      </c>
    </row>
    <row r="651" spans="1:7">
      <c r="A651" t="s">
        <v>2936</v>
      </c>
      <c r="C651" t="s">
        <v>414</v>
      </c>
      <c r="D651" t="s">
        <v>2568</v>
      </c>
      <c r="E651" t="s">
        <v>2239</v>
      </c>
      <c r="F651">
        <v>54000</v>
      </c>
      <c r="G651" t="s">
        <v>1992</v>
      </c>
    </row>
    <row r="652" spans="1:7">
      <c r="A652" t="s">
        <v>2936</v>
      </c>
      <c r="C652" t="s">
        <v>414</v>
      </c>
      <c r="D652" t="s">
        <v>2569</v>
      </c>
      <c r="E652" t="s">
        <v>2240</v>
      </c>
      <c r="F652">
        <v>95200</v>
      </c>
      <c r="G652" t="s">
        <v>2241</v>
      </c>
    </row>
    <row r="653" spans="1:7">
      <c r="A653" t="s">
        <v>2936</v>
      </c>
      <c r="C653" t="s">
        <v>414</v>
      </c>
      <c r="D653" t="s">
        <v>2536</v>
      </c>
      <c r="E653" t="s">
        <v>2841</v>
      </c>
      <c r="F653">
        <v>1506</v>
      </c>
      <c r="G653" t="s">
        <v>2842</v>
      </c>
    </row>
    <row r="654" spans="1:7">
      <c r="A654" t="s">
        <v>2936</v>
      </c>
      <c r="C654" t="s">
        <v>414</v>
      </c>
      <c r="D654" t="s">
        <v>2541</v>
      </c>
      <c r="E654" t="s">
        <v>2846</v>
      </c>
      <c r="F654">
        <v>69800</v>
      </c>
      <c r="G654" t="s">
        <v>2847</v>
      </c>
    </row>
    <row r="655" spans="1:7">
      <c r="A655" t="s">
        <v>2936</v>
      </c>
      <c r="C655" t="s">
        <v>414</v>
      </c>
      <c r="D655" t="s">
        <v>2537</v>
      </c>
      <c r="E655" t="s">
        <v>2203</v>
      </c>
      <c r="F655">
        <v>28300</v>
      </c>
      <c r="G655" t="s">
        <v>2204</v>
      </c>
    </row>
    <row r="656" spans="1:7">
      <c r="A656" t="s">
        <v>2936</v>
      </c>
      <c r="C656" t="s">
        <v>414</v>
      </c>
      <c r="D656" t="s">
        <v>2548</v>
      </c>
      <c r="E656" t="s">
        <v>2214</v>
      </c>
      <c r="F656">
        <v>77177</v>
      </c>
      <c r="G656" t="s">
        <v>2215</v>
      </c>
    </row>
    <row r="657" spans="1:7">
      <c r="A657" t="s">
        <v>2936</v>
      </c>
      <c r="C657" t="s">
        <v>414</v>
      </c>
      <c r="D657" t="s">
        <v>2544</v>
      </c>
      <c r="E657" t="s">
        <v>2210</v>
      </c>
      <c r="F657">
        <v>42100</v>
      </c>
      <c r="G657" t="s">
        <v>2211</v>
      </c>
    </row>
    <row r="658" spans="1:7">
      <c r="A658" t="s">
        <v>2936</v>
      </c>
      <c r="C658" t="s">
        <v>414</v>
      </c>
      <c r="D658" t="s">
        <v>2545</v>
      </c>
      <c r="E658" t="s">
        <v>2848</v>
      </c>
      <c r="F658">
        <v>50000</v>
      </c>
      <c r="G658" t="s">
        <v>2849</v>
      </c>
    </row>
    <row r="659" spans="1:7">
      <c r="A659" t="s">
        <v>2936</v>
      </c>
      <c r="C659" t="s">
        <v>414</v>
      </c>
      <c r="D659" t="s">
        <v>2547</v>
      </c>
      <c r="E659" t="s">
        <v>2212</v>
      </c>
      <c r="F659">
        <v>93156</v>
      </c>
      <c r="G659" t="s">
        <v>2213</v>
      </c>
    </row>
    <row r="660" spans="1:7">
      <c r="A660" t="s">
        <v>2936</v>
      </c>
      <c r="C660" t="s">
        <v>414</v>
      </c>
      <c r="D660" t="s">
        <v>2576</v>
      </c>
      <c r="E660" t="s">
        <v>2864</v>
      </c>
      <c r="F660">
        <v>14050</v>
      </c>
      <c r="G660" t="s">
        <v>808</v>
      </c>
    </row>
    <row r="661" spans="1:7">
      <c r="A661" t="s">
        <v>2936</v>
      </c>
      <c r="C661" t="s">
        <v>414</v>
      </c>
      <c r="D661" t="s">
        <v>2593</v>
      </c>
      <c r="E661" t="s">
        <v>2309</v>
      </c>
      <c r="F661">
        <v>69641</v>
      </c>
      <c r="G661" t="s">
        <v>2310</v>
      </c>
    </row>
    <row r="662" spans="1:7">
      <c r="A662" t="s">
        <v>2936</v>
      </c>
      <c r="C662" t="s">
        <v>414</v>
      </c>
      <c r="D662" t="s">
        <v>2581</v>
      </c>
      <c r="E662" t="s">
        <v>2255</v>
      </c>
      <c r="F662">
        <v>31059</v>
      </c>
      <c r="G662" t="s">
        <v>833</v>
      </c>
    </row>
    <row r="663" spans="1:7">
      <c r="A663" t="s">
        <v>2936</v>
      </c>
      <c r="C663" t="s">
        <v>414</v>
      </c>
      <c r="D663" t="s">
        <v>2518</v>
      </c>
      <c r="E663" t="s">
        <v>2156</v>
      </c>
      <c r="F663">
        <v>31059</v>
      </c>
      <c r="G663" t="s">
        <v>833</v>
      </c>
    </row>
    <row r="664" spans="1:7">
      <c r="A664" t="s">
        <v>2936</v>
      </c>
      <c r="C664" t="s">
        <v>414</v>
      </c>
      <c r="D664" t="s">
        <v>2381</v>
      </c>
      <c r="E664" t="s">
        <v>2655</v>
      </c>
      <c r="F664">
        <v>88204</v>
      </c>
      <c r="G664" t="s">
        <v>2656</v>
      </c>
    </row>
    <row r="665" spans="1:7">
      <c r="A665" t="s">
        <v>2936</v>
      </c>
      <c r="C665" t="s">
        <v>414</v>
      </c>
      <c r="D665" t="s">
        <v>2458</v>
      </c>
      <c r="E665" t="s">
        <v>2772</v>
      </c>
      <c r="F665">
        <v>42300</v>
      </c>
      <c r="G665" t="s">
        <v>1837</v>
      </c>
    </row>
    <row r="666" spans="1:7">
      <c r="A666" t="s">
        <v>2936</v>
      </c>
      <c r="C666" t="s">
        <v>414</v>
      </c>
      <c r="D666" t="s">
        <v>2602</v>
      </c>
      <c r="E666" t="s">
        <v>2327</v>
      </c>
      <c r="F666">
        <v>63050</v>
      </c>
      <c r="G666" t="s">
        <v>896</v>
      </c>
    </row>
    <row r="667" spans="1:7">
      <c r="A667" t="s">
        <v>2936</v>
      </c>
      <c r="C667" t="s">
        <v>414</v>
      </c>
      <c r="D667" t="s">
        <v>2488</v>
      </c>
      <c r="E667" t="s">
        <v>2802</v>
      </c>
      <c r="F667">
        <v>67016</v>
      </c>
      <c r="G667" t="s">
        <v>2056</v>
      </c>
    </row>
    <row r="668" spans="1:7">
      <c r="A668" t="s">
        <v>2936</v>
      </c>
      <c r="C668" t="s">
        <v>414</v>
      </c>
      <c r="D668" t="s">
        <v>2582</v>
      </c>
      <c r="E668" t="s">
        <v>2256</v>
      </c>
      <c r="F668">
        <v>51092</v>
      </c>
      <c r="G668" t="s">
        <v>880</v>
      </c>
    </row>
    <row r="669" spans="1:7">
      <c r="A669" t="s">
        <v>2936</v>
      </c>
      <c r="C669" t="s">
        <v>414</v>
      </c>
      <c r="D669" t="s">
        <v>2583</v>
      </c>
      <c r="E669" t="s">
        <v>2868</v>
      </c>
      <c r="F669">
        <v>57211</v>
      </c>
      <c r="G669" t="s">
        <v>2258</v>
      </c>
    </row>
    <row r="670" spans="1:7">
      <c r="A670" t="s">
        <v>2936</v>
      </c>
      <c r="C670" t="s">
        <v>414</v>
      </c>
      <c r="D670" t="s">
        <v>2489</v>
      </c>
      <c r="E670" t="s">
        <v>2803</v>
      </c>
      <c r="F670">
        <v>59552</v>
      </c>
      <c r="G670" t="s">
        <v>2804</v>
      </c>
    </row>
    <row r="671" spans="1:7">
      <c r="A671" t="s">
        <v>2936</v>
      </c>
      <c r="C671" t="s">
        <v>414</v>
      </c>
      <c r="D671" t="s">
        <v>2519</v>
      </c>
      <c r="E671" t="s">
        <v>2157</v>
      </c>
      <c r="F671">
        <v>57502</v>
      </c>
      <c r="G671" t="s">
        <v>2158</v>
      </c>
    </row>
    <row r="672" spans="1:7">
      <c r="A672" t="s">
        <v>2936</v>
      </c>
      <c r="C672" t="s">
        <v>414</v>
      </c>
      <c r="D672" t="s">
        <v>2584</v>
      </c>
      <c r="E672" t="s">
        <v>2259</v>
      </c>
      <c r="F672">
        <v>94366</v>
      </c>
      <c r="G672" t="s">
        <v>2260</v>
      </c>
    </row>
    <row r="673" spans="1:7">
      <c r="A673" t="s">
        <v>2936</v>
      </c>
      <c r="C673" t="s">
        <v>414</v>
      </c>
      <c r="D673" t="s">
        <v>2490</v>
      </c>
      <c r="E673" t="s">
        <v>2805</v>
      </c>
      <c r="F673">
        <v>85016</v>
      </c>
      <c r="G673" t="s">
        <v>1949</v>
      </c>
    </row>
    <row r="674" spans="1:7">
      <c r="A674" t="s">
        <v>2936</v>
      </c>
      <c r="C674" t="s">
        <v>414</v>
      </c>
      <c r="D674" t="s">
        <v>2386</v>
      </c>
      <c r="E674" t="s">
        <v>2664</v>
      </c>
      <c r="F674">
        <v>54201</v>
      </c>
      <c r="G674" t="s">
        <v>2665</v>
      </c>
    </row>
    <row r="675" spans="1:7">
      <c r="A675" t="s">
        <v>2936</v>
      </c>
      <c r="C675" t="s">
        <v>414</v>
      </c>
      <c r="D675" t="s">
        <v>2572</v>
      </c>
      <c r="E675" t="s">
        <v>2245</v>
      </c>
      <c r="F675">
        <v>2315</v>
      </c>
      <c r="G675" t="s">
        <v>1917</v>
      </c>
    </row>
    <row r="676" spans="1:7">
      <c r="A676" t="s">
        <v>2936</v>
      </c>
      <c r="C676" t="s">
        <v>414</v>
      </c>
      <c r="D676" t="s">
        <v>2921</v>
      </c>
      <c r="E676" t="s">
        <v>2361</v>
      </c>
      <c r="F676">
        <v>60204</v>
      </c>
      <c r="G676" t="s">
        <v>1808</v>
      </c>
    </row>
    <row r="677" spans="1:7">
      <c r="A677" t="s">
        <v>2936</v>
      </c>
      <c r="C677" t="s">
        <v>414</v>
      </c>
      <c r="D677" t="s">
        <v>2491</v>
      </c>
      <c r="E677" t="s">
        <v>2806</v>
      </c>
      <c r="F677">
        <v>36006</v>
      </c>
      <c r="G677" t="s">
        <v>1803</v>
      </c>
    </row>
    <row r="678" spans="1:7">
      <c r="A678" t="s">
        <v>2936</v>
      </c>
      <c r="C678" t="s">
        <v>414</v>
      </c>
      <c r="D678" t="s">
        <v>2492</v>
      </c>
      <c r="E678" t="s">
        <v>2094</v>
      </c>
      <c r="F678">
        <v>6105</v>
      </c>
      <c r="G678" t="s">
        <v>836</v>
      </c>
    </row>
    <row r="679" spans="1:7">
      <c r="A679" t="s">
        <v>2936</v>
      </c>
      <c r="C679" t="s">
        <v>414</v>
      </c>
      <c r="D679" t="s">
        <v>2630</v>
      </c>
      <c r="E679" t="s">
        <v>2922</v>
      </c>
      <c r="F679">
        <v>17110</v>
      </c>
      <c r="G679" t="s">
        <v>2923</v>
      </c>
    </row>
    <row r="680" spans="1:7">
      <c r="A680" t="s">
        <v>2936</v>
      </c>
      <c r="C680" t="s">
        <v>414</v>
      </c>
      <c r="D680" t="s">
        <v>2493</v>
      </c>
      <c r="E680" t="s">
        <v>2096</v>
      </c>
      <c r="F680">
        <v>77000</v>
      </c>
      <c r="G680" t="s">
        <v>1827</v>
      </c>
    </row>
    <row r="681" spans="1:7">
      <c r="A681" t="s">
        <v>2936</v>
      </c>
      <c r="C681" t="s">
        <v>414</v>
      </c>
      <c r="D681" t="s">
        <v>2631</v>
      </c>
      <c r="E681" t="s">
        <v>2362</v>
      </c>
      <c r="F681">
        <v>6800</v>
      </c>
      <c r="G681" t="s">
        <v>2363</v>
      </c>
    </row>
    <row r="682" spans="1:7">
      <c r="A682" t="s">
        <v>2936</v>
      </c>
      <c r="C682" t="s">
        <v>414</v>
      </c>
      <c r="D682" t="s">
        <v>2494</v>
      </c>
      <c r="E682" t="s">
        <v>2807</v>
      </c>
      <c r="F682">
        <v>49804</v>
      </c>
      <c r="G682" t="s">
        <v>2098</v>
      </c>
    </row>
    <row r="683" spans="1:7">
      <c r="A683" t="s">
        <v>2936</v>
      </c>
      <c r="C683" t="s">
        <v>414</v>
      </c>
      <c r="D683" t="s">
        <v>2585</v>
      </c>
      <c r="E683" t="s">
        <v>2261</v>
      </c>
      <c r="F683">
        <v>13008</v>
      </c>
      <c r="G683" t="s">
        <v>822</v>
      </c>
    </row>
    <row r="684" spans="1:7">
      <c r="A684" t="s">
        <v>2936</v>
      </c>
      <c r="C684" t="s">
        <v>414</v>
      </c>
      <c r="D684" t="s">
        <v>2387</v>
      </c>
      <c r="E684" t="s">
        <v>2666</v>
      </c>
      <c r="F684">
        <v>87205</v>
      </c>
      <c r="G684" t="s">
        <v>2667</v>
      </c>
    </row>
    <row r="685" spans="1:7">
      <c r="A685" t="s">
        <v>2936</v>
      </c>
      <c r="C685" t="s">
        <v>414</v>
      </c>
      <c r="D685" t="s">
        <v>2495</v>
      </c>
      <c r="E685" t="s">
        <v>2808</v>
      </c>
      <c r="F685">
        <v>78300</v>
      </c>
      <c r="G685" t="s">
        <v>2715</v>
      </c>
    </row>
    <row r="686" spans="1:7">
      <c r="A686" t="s">
        <v>2936</v>
      </c>
      <c r="C686" t="s">
        <v>414</v>
      </c>
      <c r="D686" t="s">
        <v>2496</v>
      </c>
      <c r="E686" t="s">
        <v>2809</v>
      </c>
      <c r="F686">
        <v>97200</v>
      </c>
      <c r="G686" t="s">
        <v>2001</v>
      </c>
    </row>
    <row r="687" spans="1:7">
      <c r="A687" t="s">
        <v>2936</v>
      </c>
      <c r="C687" t="s">
        <v>414</v>
      </c>
      <c r="D687" t="s">
        <v>2517</v>
      </c>
      <c r="E687" t="s">
        <v>2155</v>
      </c>
      <c r="F687">
        <v>75020</v>
      </c>
      <c r="G687" t="s">
        <v>700</v>
      </c>
    </row>
    <row r="688" spans="1:7">
      <c r="A688" t="s">
        <v>2936</v>
      </c>
      <c r="C688" t="s">
        <v>414</v>
      </c>
      <c r="D688" t="s">
        <v>2497</v>
      </c>
      <c r="E688" t="s">
        <v>2810</v>
      </c>
      <c r="F688">
        <v>25044</v>
      </c>
      <c r="G688" t="s">
        <v>874</v>
      </c>
    </row>
    <row r="689" spans="1:7">
      <c r="A689" t="s">
        <v>1691</v>
      </c>
      <c r="B689" t="s">
        <v>414</v>
      </c>
      <c r="D689" t="s">
        <v>1529</v>
      </c>
      <c r="E689" t="s">
        <v>2099</v>
      </c>
      <c r="F689">
        <v>33074</v>
      </c>
      <c r="G689" t="s">
        <v>942</v>
      </c>
    </row>
    <row r="690" spans="1:7">
      <c r="A690" t="s">
        <v>2936</v>
      </c>
      <c r="C690" t="s">
        <v>414</v>
      </c>
      <c r="D690" t="s">
        <v>2574</v>
      </c>
      <c r="E690" t="s">
        <v>2248</v>
      </c>
      <c r="F690">
        <v>71100</v>
      </c>
      <c r="G690" t="s">
        <v>907</v>
      </c>
    </row>
    <row r="691" spans="1:7">
      <c r="A691" t="s">
        <v>1691</v>
      </c>
      <c r="B691" t="s">
        <v>414</v>
      </c>
      <c r="D691" t="s">
        <v>1531</v>
      </c>
      <c r="E691" t="s">
        <v>2101</v>
      </c>
      <c r="F691">
        <v>67085</v>
      </c>
      <c r="G691" t="s">
        <v>2056</v>
      </c>
    </row>
    <row r="692" spans="1:7">
      <c r="A692" t="s">
        <v>2936</v>
      </c>
      <c r="C692" t="s">
        <v>414</v>
      </c>
      <c r="D692" t="s">
        <v>2499</v>
      </c>
      <c r="E692" t="s">
        <v>2815</v>
      </c>
      <c r="F692">
        <v>67083</v>
      </c>
      <c r="G692" t="s">
        <v>2056</v>
      </c>
    </row>
    <row r="693" spans="1:7">
      <c r="A693" t="s">
        <v>2936</v>
      </c>
      <c r="C693" t="s">
        <v>414</v>
      </c>
      <c r="D693" t="s">
        <v>2811</v>
      </c>
      <c r="E693" t="s">
        <v>2812</v>
      </c>
      <c r="F693">
        <v>67502</v>
      </c>
      <c r="G693" t="s">
        <v>1721</v>
      </c>
    </row>
    <row r="694" spans="1:7">
      <c r="A694" t="s">
        <v>2936</v>
      </c>
      <c r="C694" t="s">
        <v>414</v>
      </c>
      <c r="D694" t="s">
        <v>2573</v>
      </c>
      <c r="E694" t="s">
        <v>2246</v>
      </c>
      <c r="F694">
        <v>3630</v>
      </c>
      <c r="G694" t="s">
        <v>2247</v>
      </c>
    </row>
    <row r="695" spans="1:7">
      <c r="A695" t="s">
        <v>2936</v>
      </c>
      <c r="C695" t="s">
        <v>414</v>
      </c>
      <c r="D695" t="s">
        <v>2586</v>
      </c>
      <c r="E695" t="s">
        <v>2263</v>
      </c>
      <c r="F695">
        <v>17019</v>
      </c>
      <c r="G695" t="s">
        <v>2264</v>
      </c>
    </row>
    <row r="696" spans="1:7">
      <c r="A696" t="s">
        <v>2936</v>
      </c>
      <c r="C696" t="s">
        <v>414</v>
      </c>
      <c r="D696" t="s">
        <v>2632</v>
      </c>
      <c r="E696" t="s">
        <v>2365</v>
      </c>
      <c r="F696">
        <v>3000</v>
      </c>
      <c r="G696" t="s">
        <v>1831</v>
      </c>
    </row>
    <row r="697" spans="1:7">
      <c r="A697" t="s">
        <v>2936</v>
      </c>
      <c r="C697" t="s">
        <v>414</v>
      </c>
      <c r="D697" t="s">
        <v>2633</v>
      </c>
      <c r="E697" t="s">
        <v>2924</v>
      </c>
      <c r="F697">
        <v>6200</v>
      </c>
      <c r="G697" t="s">
        <v>836</v>
      </c>
    </row>
    <row r="698" spans="1:7">
      <c r="A698" t="s">
        <v>2936</v>
      </c>
      <c r="C698" t="s">
        <v>414</v>
      </c>
      <c r="D698" t="s">
        <v>2603</v>
      </c>
      <c r="E698" t="s">
        <v>2876</v>
      </c>
      <c r="F698">
        <v>72200</v>
      </c>
      <c r="G698" t="s">
        <v>2877</v>
      </c>
    </row>
    <row r="699" spans="1:7">
      <c r="A699" t="s">
        <v>2936</v>
      </c>
      <c r="C699" t="s">
        <v>414</v>
      </c>
      <c r="D699" t="s">
        <v>2639</v>
      </c>
      <c r="E699" t="s">
        <v>2929</v>
      </c>
      <c r="F699">
        <v>29600</v>
      </c>
      <c r="G699" t="s">
        <v>1700</v>
      </c>
    </row>
    <row r="700" spans="1:7">
      <c r="A700" t="s">
        <v>2936</v>
      </c>
      <c r="C700" t="s">
        <v>414</v>
      </c>
      <c r="D700" t="s">
        <v>2575</v>
      </c>
      <c r="E700" t="s">
        <v>2862</v>
      </c>
      <c r="F700">
        <v>35576</v>
      </c>
      <c r="G700" t="s">
        <v>2863</v>
      </c>
    </row>
    <row r="701" spans="1:7">
      <c r="A701" t="s">
        <v>2936</v>
      </c>
      <c r="C701" t="s">
        <v>414</v>
      </c>
      <c r="D701" t="s">
        <v>2588</v>
      </c>
      <c r="E701" t="s">
        <v>2267</v>
      </c>
      <c r="F701">
        <v>34295</v>
      </c>
      <c r="G701" t="s">
        <v>858</v>
      </c>
    </row>
    <row r="702" spans="1:7">
      <c r="A702" t="s">
        <v>2936</v>
      </c>
      <c r="C702" t="s">
        <v>414</v>
      </c>
      <c r="D702" t="s">
        <v>2442</v>
      </c>
      <c r="E702" t="s">
        <v>2736</v>
      </c>
      <c r="F702">
        <v>62501</v>
      </c>
      <c r="G702" t="s">
        <v>2737</v>
      </c>
    </row>
    <row r="703" spans="1:7">
      <c r="A703" t="s">
        <v>2936</v>
      </c>
      <c r="C703" t="s">
        <v>414</v>
      </c>
      <c r="D703" t="s">
        <v>2641</v>
      </c>
      <c r="E703" t="s">
        <v>2932</v>
      </c>
      <c r="F703">
        <v>84302</v>
      </c>
      <c r="G703" t="s">
        <v>2933</v>
      </c>
    </row>
    <row r="704" spans="1:7">
      <c r="A704" t="s">
        <v>2936</v>
      </c>
      <c r="C704" t="s">
        <v>414</v>
      </c>
      <c r="D704" t="s">
        <v>688</v>
      </c>
      <c r="E704" t="s">
        <v>2934</v>
      </c>
      <c r="F704">
        <v>84200</v>
      </c>
      <c r="G704" t="s">
        <v>2935</v>
      </c>
    </row>
    <row r="705" spans="1:7">
      <c r="A705" t="s">
        <v>1691</v>
      </c>
      <c r="B705" t="s">
        <v>414</v>
      </c>
      <c r="D705" t="s">
        <v>1533</v>
      </c>
      <c r="E705" t="s">
        <v>2104</v>
      </c>
      <c r="F705">
        <v>59304</v>
      </c>
      <c r="G705" t="s">
        <v>1934</v>
      </c>
    </row>
    <row r="706" spans="1:7">
      <c r="A706" t="s">
        <v>2936</v>
      </c>
      <c r="C706" t="s">
        <v>414</v>
      </c>
      <c r="D706" t="s">
        <v>2506</v>
      </c>
      <c r="E706" t="s">
        <v>2824</v>
      </c>
      <c r="F706">
        <v>56270</v>
      </c>
      <c r="G706" t="s">
        <v>2825</v>
      </c>
    </row>
    <row r="707" spans="1:7">
      <c r="A707" t="s">
        <v>2936</v>
      </c>
      <c r="C707" t="s">
        <v>414</v>
      </c>
      <c r="D707" t="s">
        <v>2577</v>
      </c>
      <c r="E707" t="s">
        <v>2865</v>
      </c>
      <c r="F707">
        <v>83000</v>
      </c>
      <c r="G707" t="s">
        <v>865</v>
      </c>
    </row>
    <row r="708" spans="1:7">
      <c r="A708" t="s">
        <v>2936</v>
      </c>
      <c r="C708" t="s">
        <v>414</v>
      </c>
      <c r="D708" t="s">
        <v>2501</v>
      </c>
      <c r="E708" t="s">
        <v>2818</v>
      </c>
      <c r="F708">
        <v>75008</v>
      </c>
      <c r="G708" t="s">
        <v>700</v>
      </c>
    </row>
    <row r="709" spans="1:7">
      <c r="A709" t="s">
        <v>1691</v>
      </c>
      <c r="B709" t="s">
        <v>414</v>
      </c>
      <c r="D709" t="s">
        <v>2370</v>
      </c>
      <c r="E709" t="s">
        <v>2371</v>
      </c>
      <c r="F709">
        <v>53010</v>
      </c>
      <c r="G709" t="s">
        <v>2372</v>
      </c>
    </row>
    <row r="710" spans="1:7">
      <c r="A710" t="s">
        <v>2936</v>
      </c>
      <c r="C710" t="s">
        <v>414</v>
      </c>
      <c r="D710" t="s">
        <v>2635</v>
      </c>
      <c r="E710" t="s">
        <v>2925</v>
      </c>
      <c r="F710">
        <v>84000</v>
      </c>
      <c r="G710" t="s">
        <v>1815</v>
      </c>
    </row>
    <row r="711" spans="1:7">
      <c r="A711" t="s">
        <v>2936</v>
      </c>
      <c r="C711" t="s">
        <v>414</v>
      </c>
      <c r="D711" t="s">
        <v>2443</v>
      </c>
      <c r="E711" t="s">
        <v>2738</v>
      </c>
      <c r="F711">
        <v>92210</v>
      </c>
      <c r="G711" t="s">
        <v>2036</v>
      </c>
    </row>
    <row r="712" spans="1:7">
      <c r="A712" t="s">
        <v>2936</v>
      </c>
      <c r="C712" t="s">
        <v>414</v>
      </c>
      <c r="D712" t="s">
        <v>2555</v>
      </c>
      <c r="E712" t="s">
        <v>2222</v>
      </c>
      <c r="F712">
        <v>91330</v>
      </c>
      <c r="G712" t="s">
        <v>2223</v>
      </c>
    </row>
    <row r="713" spans="1:7">
      <c r="A713" t="s">
        <v>1691</v>
      </c>
      <c r="B713" t="s">
        <v>414</v>
      </c>
      <c r="D713" t="s">
        <v>1401</v>
      </c>
      <c r="E713" t="s">
        <v>1841</v>
      </c>
      <c r="F713">
        <v>26953</v>
      </c>
      <c r="G713" t="s">
        <v>1842</v>
      </c>
    </row>
    <row r="714" spans="1:7">
      <c r="A714" t="s">
        <v>2936</v>
      </c>
      <c r="C714" t="s">
        <v>414</v>
      </c>
      <c r="D714" t="s">
        <v>2636</v>
      </c>
      <c r="E714" t="s">
        <v>2926</v>
      </c>
      <c r="F714">
        <v>59300</v>
      </c>
      <c r="G714" t="s">
        <v>1934</v>
      </c>
    </row>
    <row r="715" spans="1:7">
      <c r="A715" t="s">
        <v>2936</v>
      </c>
      <c r="C715" t="s">
        <v>414</v>
      </c>
      <c r="D715" t="s">
        <v>2556</v>
      </c>
      <c r="E715" t="s">
        <v>2224</v>
      </c>
      <c r="F715">
        <v>93290</v>
      </c>
      <c r="G715" t="s">
        <v>2225</v>
      </c>
    </row>
    <row r="716" spans="1:7">
      <c r="A716" t="s">
        <v>1691</v>
      </c>
      <c r="B716" t="s">
        <v>414</v>
      </c>
      <c r="D716" t="s">
        <v>1536</v>
      </c>
      <c r="E716" t="s">
        <v>2108</v>
      </c>
      <c r="F716">
        <v>72000</v>
      </c>
      <c r="G716" t="s">
        <v>1883</v>
      </c>
    </row>
    <row r="717" spans="1:7">
      <c r="A717" t="s">
        <v>2936</v>
      </c>
      <c r="C717" t="s">
        <v>414</v>
      </c>
      <c r="D717" t="s">
        <v>2502</v>
      </c>
      <c r="E717" t="s">
        <v>2819</v>
      </c>
      <c r="F717">
        <v>80094</v>
      </c>
      <c r="G717" t="s">
        <v>840</v>
      </c>
    </row>
    <row r="718" spans="1:7">
      <c r="A718" t="s">
        <v>2936</v>
      </c>
      <c r="C718" t="s">
        <v>414</v>
      </c>
      <c r="D718" t="s">
        <v>2589</v>
      </c>
      <c r="E718" t="s">
        <v>2268</v>
      </c>
      <c r="F718">
        <v>59056</v>
      </c>
      <c r="G718" t="s">
        <v>2269</v>
      </c>
    </row>
    <row r="719" spans="1:7">
      <c r="A719" t="s">
        <v>2936</v>
      </c>
      <c r="C719" t="s">
        <v>414</v>
      </c>
      <c r="D719" t="s">
        <v>2550</v>
      </c>
      <c r="E719" t="s">
        <v>2216</v>
      </c>
      <c r="F719">
        <v>59650</v>
      </c>
      <c r="G719" t="s">
        <v>2217</v>
      </c>
    </row>
    <row r="720" spans="1:7">
      <c r="A720" t="s">
        <v>2936</v>
      </c>
      <c r="C720" t="s">
        <v>414</v>
      </c>
      <c r="D720" t="s">
        <v>2503</v>
      </c>
      <c r="E720" t="s">
        <v>2820</v>
      </c>
      <c r="F720">
        <v>94195</v>
      </c>
      <c r="G720" t="s">
        <v>1962</v>
      </c>
    </row>
    <row r="721" spans="1:7">
      <c r="A721" t="s">
        <v>2936</v>
      </c>
      <c r="C721" t="s">
        <v>414</v>
      </c>
      <c r="D721" t="s">
        <v>2375</v>
      </c>
      <c r="E721" t="s">
        <v>2644</v>
      </c>
      <c r="F721">
        <v>35506</v>
      </c>
      <c r="G721" t="s">
        <v>2645</v>
      </c>
    </row>
    <row r="722" spans="1:7">
      <c r="A722" t="s">
        <v>2936</v>
      </c>
      <c r="C722" t="s">
        <v>414</v>
      </c>
      <c r="D722" t="s">
        <v>2461</v>
      </c>
      <c r="E722" t="s">
        <v>2775</v>
      </c>
      <c r="F722">
        <v>7200</v>
      </c>
      <c r="G722" t="s">
        <v>1779</v>
      </c>
    </row>
    <row r="723" spans="1:7">
      <c r="A723" t="s">
        <v>2936</v>
      </c>
      <c r="C723" t="s">
        <v>414</v>
      </c>
      <c r="D723" t="s">
        <v>2578</v>
      </c>
      <c r="E723" t="s">
        <v>2866</v>
      </c>
      <c r="F723">
        <v>33740</v>
      </c>
      <c r="G723" t="s">
        <v>2867</v>
      </c>
    </row>
    <row r="724" spans="1:7">
      <c r="A724" t="s">
        <v>2936</v>
      </c>
      <c r="C724" t="s">
        <v>414</v>
      </c>
      <c r="D724" t="s">
        <v>2525</v>
      </c>
      <c r="E724" t="s">
        <v>2168</v>
      </c>
      <c r="F724">
        <v>69677</v>
      </c>
      <c r="G724" t="s">
        <v>2169</v>
      </c>
    </row>
  </sheetData>
  <autoFilter ref="A2:G724" xr:uid="{CD7E97D9-D6E4-4839-9D1A-4B9B9F695A84}"/>
  <phoneticPr fontId="6" type="noConversion"/>
  <conditionalFormatting sqref="D1:D1048576">
    <cfRule type="duplicateValues" dxfId="746"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EC141BE2F31E94EBC0580FA8467291E" ma:contentTypeVersion="17" ma:contentTypeDescription="Create a new document." ma:contentTypeScope="" ma:versionID="ebad116bb808612a1e9fab3fa214c736">
  <xsd:schema xmlns:xsd="http://www.w3.org/2001/XMLSchema" xmlns:xs="http://www.w3.org/2001/XMLSchema" xmlns:p="http://schemas.microsoft.com/office/2006/metadata/properties" xmlns:ns2="85b331f9-3e20-4df2-a01d-81830c2a2a8d" xmlns:ns3="84aadc61-525a-485e-8de0-2d134f8fe619" targetNamespace="http://schemas.microsoft.com/office/2006/metadata/properties" ma:root="true" ma:fieldsID="1b4fbe99d34f1f1789c07fc4669d203b" ns2:_="" ns3:_="">
    <xsd:import namespace="85b331f9-3e20-4df2-a01d-81830c2a2a8d"/>
    <xsd:import namespace="84aadc61-525a-485e-8de0-2d134f8fe6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b331f9-3e20-4df2-a01d-81830c2a2a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0c488f7-1c6c-4b6a-857a-c8ab97af24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aadc61-525a-485e-8de0-2d134f8fe61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74c8f0-4d49-4930-af28-d0902262b252}" ma:internalName="TaxCatchAll" ma:showField="CatchAllData" ma:web="84aadc61-525a-485e-8de0-2d134f8fe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4aadc61-525a-485e-8de0-2d134f8fe619" xsi:nil="true"/>
    <lcf76f155ced4ddcb4097134ff3c332f xmlns="85b331f9-3e20-4df2-a01d-81830c2a2a8d">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AAAB5-A169-423E-9AAF-CAFC3E7F65E7}">
  <ds:schemaRefs>
    <ds:schemaRef ds:uri="http://schemas.microsoft.com/DataMashup"/>
  </ds:schemaRefs>
</ds:datastoreItem>
</file>

<file path=customXml/itemProps2.xml><?xml version="1.0" encoding="utf-8"?>
<ds:datastoreItem xmlns:ds="http://schemas.openxmlformats.org/officeDocument/2006/customXml" ds:itemID="{2DF540E1-A0D1-435F-8DB0-BEBC761916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b331f9-3e20-4df2-a01d-81830c2a2a8d"/>
    <ds:schemaRef ds:uri="84aadc61-525a-485e-8de0-2d134f8fe6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92DDB4-BDBD-4B33-B338-2DD9AC8E9F5F}">
  <ds:schemaRefs>
    <ds:schemaRef ds:uri="http://schemas.microsoft.com/office/2006/metadata/properties"/>
    <ds:schemaRef ds:uri="http://schemas.microsoft.com/office/infopath/2007/PartnerControls"/>
    <ds:schemaRef ds:uri="84aadc61-525a-485e-8de0-2d134f8fe619"/>
    <ds:schemaRef ds:uri="85b331f9-3e20-4df2-a01d-81830c2a2a8d"/>
  </ds:schemaRefs>
</ds:datastoreItem>
</file>

<file path=customXml/itemProps4.xml><?xml version="1.0" encoding="utf-8"?>
<ds:datastoreItem xmlns:ds="http://schemas.openxmlformats.org/officeDocument/2006/customXml" ds:itemID="{CA9CDE2B-2BBC-4819-B677-5ED3F0344C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HCO_Data</vt:lpstr>
      <vt:lpstr>Clinical Trials HCO</vt:lpstr>
      <vt:lpstr>HCO referrals</vt:lpstr>
      <vt:lpstr>HCPs</vt:lpstr>
      <vt:lpstr>HCP_evidence</vt:lpstr>
      <vt:lpstr>Testing Centres</vt:lpstr>
      <vt:lpstr>Testing Referrals</vt:lpstr>
      <vt:lpstr>Roles</vt:lpstr>
      <vt:lpstr>Investigate</vt:lpstr>
      <vt:lpstr>Sheet2</vt:lpstr>
      <vt:lpstr>Sheet4</vt:lpstr>
      <vt:lpstr>CCAM_Whipple</vt:lpstr>
      <vt:lpstr>Info_Clinical Trials</vt:lpstr>
      <vt:lpstr>InClinical_trials _Evidence_HCP</vt:lpstr>
      <vt:lpstr>Referrals Testing Labs</vt:lpstr>
      <vt:lpstr>Info_Referrals_oncogenetic</vt:lpstr>
      <vt:lpstr>Info_KRAS_NRAS Testing Centers</vt:lpstr>
      <vt:lpstr>Data_Patients_Pancreas Cancer</vt:lpstr>
      <vt:lpstr>Cancer NETWORKS_All</vt:lpstr>
      <vt:lpstr>INCa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Blom</dc:creator>
  <cp:lastModifiedBy>Chloe van Gelder</cp:lastModifiedBy>
  <dcterms:created xsi:type="dcterms:W3CDTF">2026-04-28T11:37:05Z</dcterms:created>
  <dcterms:modified xsi:type="dcterms:W3CDTF">2026-09-16T09:26:01Z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0x010100DEC141BE2F31E94EBC0580FA8467291E</vt:lpwstr>
  </property>
  <property fmtid="{D5CDD505-2E9C-101B-9397-08002B2CF9AE}" pid="3" name="MediaServiceImageTags">
    <vt:lpwstr/>
  </property>
</Properties>
</file>